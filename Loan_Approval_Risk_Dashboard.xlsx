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Data Analysis\"/>
    </mc:Choice>
  </mc:AlternateContent>
  <bookViews>
    <workbookView xWindow="0" yWindow="0" windowWidth="20490" windowHeight="7530" firstSheet="1" activeTab="1"/>
  </bookViews>
  <sheets>
    <sheet name="loan_approval_dataset" sheetId="1" state="hidden" r:id="rId1"/>
    <sheet name="Dashboard" sheetId="3" r:id="rId2"/>
    <sheet name="Approval Rate by Education" sheetId="2" state="hidden" r:id="rId3"/>
  </sheets>
  <definedNames>
    <definedName name="_xlcn.WorksheetConnection_loan_approval_dataset.csvLoanData1" hidden="1">LoanData[]</definedName>
    <definedName name="Slicer_asset_strength">#N/A</definedName>
    <definedName name="Slicer_cibil_band">#N/A</definedName>
    <definedName name="Slicer_education">#N/A</definedName>
    <definedName name="Slicer_income_group">#N/A</definedName>
    <definedName name="Slicer_self_employed">#N/A</definedName>
  </definedNames>
  <calcPr calcId="162913"/>
  <pivotCaches>
    <pivotCache cacheId="94" r:id="rId4"/>
    <pivotCache cacheId="97" r:id="rId5"/>
    <pivotCache cacheId="100" r:id="rId6"/>
    <pivotCache cacheId="103" r:id="rId7"/>
    <pivotCache cacheId="106" r:id="rId8"/>
    <pivotCache cacheId="109" r:id="rId9"/>
    <pivotCache cacheId="112"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LoanData" name="LoanData" connection="WorksheetConnection_loan_approval_dataset.csv!LoanData"/>
        </x15:modelTables>
      </x15:dataModel>
    </ext>
  </extLst>
</workbook>
</file>

<file path=xl/calcChain.xml><?xml version="1.0" encoding="utf-8"?>
<calcChain xmlns="http://schemas.openxmlformats.org/spreadsheetml/2006/main">
  <c r="S4270" i="1" l="1"/>
  <c r="R4270" i="1"/>
  <c r="Q4270" i="1"/>
  <c r="P4270" i="1"/>
  <c r="O4270" i="1"/>
  <c r="N4270" i="1"/>
  <c r="S4269" i="1"/>
  <c r="R4269" i="1"/>
  <c r="Q4269" i="1"/>
  <c r="P4269" i="1"/>
  <c r="O4269" i="1"/>
  <c r="N4269" i="1"/>
  <c r="S4268" i="1"/>
  <c r="R4268" i="1"/>
  <c r="Q4268" i="1"/>
  <c r="P4268" i="1"/>
  <c r="O4268" i="1"/>
  <c r="N4268" i="1"/>
  <c r="S4267" i="1"/>
  <c r="R4267" i="1"/>
  <c r="Q4267" i="1"/>
  <c r="P4267" i="1"/>
  <c r="O4267" i="1"/>
  <c r="N4267" i="1"/>
  <c r="S4266" i="1"/>
  <c r="R4266" i="1"/>
  <c r="Q4266" i="1"/>
  <c r="P4266" i="1"/>
  <c r="O4266" i="1"/>
  <c r="N4266" i="1"/>
  <c r="S4265" i="1"/>
  <c r="R4265" i="1"/>
  <c r="Q4265" i="1"/>
  <c r="P4265" i="1"/>
  <c r="O4265" i="1"/>
  <c r="N4265" i="1"/>
  <c r="S4264" i="1"/>
  <c r="R4264" i="1"/>
  <c r="Q4264" i="1"/>
  <c r="P4264" i="1"/>
  <c r="O4264" i="1"/>
  <c r="N4264" i="1"/>
  <c r="S4263" i="1"/>
  <c r="R4263" i="1"/>
  <c r="Q4263" i="1"/>
  <c r="P4263" i="1"/>
  <c r="O4263" i="1"/>
  <c r="N4263" i="1"/>
  <c r="S4262" i="1"/>
  <c r="R4262" i="1"/>
  <c r="Q4262" i="1"/>
  <c r="P4262" i="1"/>
  <c r="O4262" i="1"/>
  <c r="N4262" i="1"/>
  <c r="S4261" i="1"/>
  <c r="R4261" i="1"/>
  <c r="Q4261" i="1"/>
  <c r="P4261" i="1"/>
  <c r="O4261" i="1"/>
  <c r="N4261" i="1"/>
  <c r="S4260" i="1"/>
  <c r="R4260" i="1"/>
  <c r="Q4260" i="1"/>
  <c r="P4260" i="1"/>
  <c r="O4260" i="1"/>
  <c r="N4260" i="1"/>
  <c r="S4259" i="1"/>
  <c r="R4259" i="1"/>
  <c r="Q4259" i="1"/>
  <c r="P4259" i="1"/>
  <c r="O4259" i="1"/>
  <c r="N4259" i="1"/>
  <c r="S4258" i="1"/>
  <c r="R4258" i="1"/>
  <c r="Q4258" i="1"/>
  <c r="P4258" i="1"/>
  <c r="O4258" i="1"/>
  <c r="N4258" i="1"/>
  <c r="S4257" i="1"/>
  <c r="R4257" i="1"/>
  <c r="Q4257" i="1"/>
  <c r="P4257" i="1"/>
  <c r="O4257" i="1"/>
  <c r="N4257" i="1"/>
  <c r="S4256" i="1"/>
  <c r="R4256" i="1"/>
  <c r="Q4256" i="1"/>
  <c r="P4256" i="1"/>
  <c r="O4256" i="1"/>
  <c r="N4256" i="1"/>
  <c r="S4255" i="1"/>
  <c r="R4255" i="1"/>
  <c r="Q4255" i="1"/>
  <c r="P4255" i="1"/>
  <c r="O4255" i="1"/>
  <c r="N4255" i="1"/>
  <c r="S4254" i="1"/>
  <c r="R4254" i="1"/>
  <c r="Q4254" i="1"/>
  <c r="P4254" i="1"/>
  <c r="O4254" i="1"/>
  <c r="N4254" i="1"/>
  <c r="S4253" i="1"/>
  <c r="R4253" i="1"/>
  <c r="Q4253" i="1"/>
  <c r="P4253" i="1"/>
  <c r="O4253" i="1"/>
  <c r="N4253" i="1"/>
  <c r="S4252" i="1"/>
  <c r="R4252" i="1"/>
  <c r="Q4252" i="1"/>
  <c r="P4252" i="1"/>
  <c r="O4252" i="1"/>
  <c r="N4252" i="1"/>
  <c r="S4251" i="1"/>
  <c r="R4251" i="1"/>
  <c r="Q4251" i="1"/>
  <c r="P4251" i="1"/>
  <c r="O4251" i="1"/>
  <c r="N4251" i="1"/>
  <c r="S4250" i="1"/>
  <c r="R4250" i="1"/>
  <c r="Q4250" i="1"/>
  <c r="P4250" i="1"/>
  <c r="O4250" i="1"/>
  <c r="N4250" i="1"/>
  <c r="S4249" i="1"/>
  <c r="R4249" i="1"/>
  <c r="Q4249" i="1"/>
  <c r="P4249" i="1"/>
  <c r="O4249" i="1"/>
  <c r="N4249" i="1"/>
  <c r="S4248" i="1"/>
  <c r="R4248" i="1"/>
  <c r="Q4248" i="1"/>
  <c r="P4248" i="1"/>
  <c r="O4248" i="1"/>
  <c r="N4248" i="1"/>
  <c r="S4247" i="1"/>
  <c r="R4247" i="1"/>
  <c r="Q4247" i="1"/>
  <c r="P4247" i="1"/>
  <c r="O4247" i="1"/>
  <c r="N4247" i="1"/>
  <c r="S4246" i="1"/>
  <c r="R4246" i="1"/>
  <c r="Q4246" i="1"/>
  <c r="P4246" i="1"/>
  <c r="O4246" i="1"/>
  <c r="N4246" i="1"/>
  <c r="S4245" i="1"/>
  <c r="R4245" i="1"/>
  <c r="Q4245" i="1"/>
  <c r="P4245" i="1"/>
  <c r="O4245" i="1"/>
  <c r="N4245" i="1"/>
  <c r="S4244" i="1"/>
  <c r="R4244" i="1"/>
  <c r="Q4244" i="1"/>
  <c r="P4244" i="1"/>
  <c r="O4244" i="1"/>
  <c r="N4244" i="1"/>
  <c r="S4243" i="1"/>
  <c r="R4243" i="1"/>
  <c r="Q4243" i="1"/>
  <c r="P4243" i="1"/>
  <c r="O4243" i="1"/>
  <c r="N4243" i="1"/>
  <c r="S4242" i="1"/>
  <c r="R4242" i="1"/>
  <c r="Q4242" i="1"/>
  <c r="P4242" i="1"/>
  <c r="O4242" i="1"/>
  <c r="N4242" i="1"/>
  <c r="S4241" i="1"/>
  <c r="R4241" i="1"/>
  <c r="Q4241" i="1"/>
  <c r="P4241" i="1"/>
  <c r="O4241" i="1"/>
  <c r="N4241" i="1"/>
  <c r="S4240" i="1"/>
  <c r="R4240" i="1"/>
  <c r="Q4240" i="1"/>
  <c r="P4240" i="1"/>
  <c r="O4240" i="1"/>
  <c r="N4240" i="1"/>
  <c r="S4239" i="1"/>
  <c r="R4239" i="1"/>
  <c r="Q4239" i="1"/>
  <c r="P4239" i="1"/>
  <c r="O4239" i="1"/>
  <c r="N4239" i="1"/>
  <c r="S4238" i="1"/>
  <c r="R4238" i="1"/>
  <c r="Q4238" i="1"/>
  <c r="P4238" i="1"/>
  <c r="O4238" i="1"/>
  <c r="N4238" i="1"/>
  <c r="S4237" i="1"/>
  <c r="R4237" i="1"/>
  <c r="Q4237" i="1"/>
  <c r="P4237" i="1"/>
  <c r="O4237" i="1"/>
  <c r="N4237" i="1"/>
  <c r="S4236" i="1"/>
  <c r="R4236" i="1"/>
  <c r="Q4236" i="1"/>
  <c r="P4236" i="1"/>
  <c r="O4236" i="1"/>
  <c r="N4236" i="1"/>
  <c r="S4235" i="1"/>
  <c r="R4235" i="1"/>
  <c r="Q4235" i="1"/>
  <c r="P4235" i="1"/>
  <c r="O4235" i="1"/>
  <c r="N4235" i="1"/>
  <c r="S4234" i="1"/>
  <c r="R4234" i="1"/>
  <c r="Q4234" i="1"/>
  <c r="P4234" i="1"/>
  <c r="O4234" i="1"/>
  <c r="N4234" i="1"/>
  <c r="S4233" i="1"/>
  <c r="R4233" i="1"/>
  <c r="Q4233" i="1"/>
  <c r="P4233" i="1"/>
  <c r="O4233" i="1"/>
  <c r="N4233" i="1"/>
  <c r="S4232" i="1"/>
  <c r="R4232" i="1"/>
  <c r="Q4232" i="1"/>
  <c r="P4232" i="1"/>
  <c r="O4232" i="1"/>
  <c r="N4232" i="1"/>
  <c r="S4231" i="1"/>
  <c r="R4231" i="1"/>
  <c r="Q4231" i="1"/>
  <c r="P4231" i="1"/>
  <c r="O4231" i="1"/>
  <c r="N4231" i="1"/>
  <c r="S4230" i="1"/>
  <c r="R4230" i="1"/>
  <c r="Q4230" i="1"/>
  <c r="P4230" i="1"/>
  <c r="O4230" i="1"/>
  <c r="N4230" i="1"/>
  <c r="S4229" i="1"/>
  <c r="R4229" i="1"/>
  <c r="Q4229" i="1"/>
  <c r="P4229" i="1"/>
  <c r="O4229" i="1"/>
  <c r="N4229" i="1"/>
  <c r="S4228" i="1"/>
  <c r="R4228" i="1"/>
  <c r="Q4228" i="1"/>
  <c r="P4228" i="1"/>
  <c r="O4228" i="1"/>
  <c r="N4228" i="1"/>
  <c r="S4227" i="1"/>
  <c r="R4227" i="1"/>
  <c r="Q4227" i="1"/>
  <c r="P4227" i="1"/>
  <c r="O4227" i="1"/>
  <c r="N4227" i="1"/>
  <c r="S4226" i="1"/>
  <c r="R4226" i="1"/>
  <c r="Q4226" i="1"/>
  <c r="P4226" i="1"/>
  <c r="O4226" i="1"/>
  <c r="N4226" i="1"/>
  <c r="S4225" i="1"/>
  <c r="R4225" i="1"/>
  <c r="Q4225" i="1"/>
  <c r="P4225" i="1"/>
  <c r="O4225" i="1"/>
  <c r="N4225" i="1"/>
  <c r="S4224" i="1"/>
  <c r="R4224" i="1"/>
  <c r="Q4224" i="1"/>
  <c r="P4224" i="1"/>
  <c r="O4224" i="1"/>
  <c r="N4224" i="1"/>
  <c r="S4223" i="1"/>
  <c r="R4223" i="1"/>
  <c r="Q4223" i="1"/>
  <c r="P4223" i="1"/>
  <c r="O4223" i="1"/>
  <c r="N4223" i="1"/>
  <c r="S4222" i="1"/>
  <c r="R4222" i="1"/>
  <c r="Q4222" i="1"/>
  <c r="P4222" i="1"/>
  <c r="O4222" i="1"/>
  <c r="N4222" i="1"/>
  <c r="S4221" i="1"/>
  <c r="R4221" i="1"/>
  <c r="Q4221" i="1"/>
  <c r="P4221" i="1"/>
  <c r="O4221" i="1"/>
  <c r="N4221" i="1"/>
  <c r="S4220" i="1"/>
  <c r="R4220" i="1"/>
  <c r="Q4220" i="1"/>
  <c r="P4220" i="1"/>
  <c r="O4220" i="1"/>
  <c r="N4220" i="1"/>
  <c r="S4219" i="1"/>
  <c r="R4219" i="1"/>
  <c r="Q4219" i="1"/>
  <c r="P4219" i="1"/>
  <c r="O4219" i="1"/>
  <c r="N4219" i="1"/>
  <c r="S4218" i="1"/>
  <c r="R4218" i="1"/>
  <c r="Q4218" i="1"/>
  <c r="P4218" i="1"/>
  <c r="O4218" i="1"/>
  <c r="N4218" i="1"/>
  <c r="S4217" i="1"/>
  <c r="R4217" i="1"/>
  <c r="Q4217" i="1"/>
  <c r="P4217" i="1"/>
  <c r="O4217" i="1"/>
  <c r="N4217" i="1"/>
  <c r="S4216" i="1"/>
  <c r="R4216" i="1"/>
  <c r="Q4216" i="1"/>
  <c r="P4216" i="1"/>
  <c r="O4216" i="1"/>
  <c r="N4216" i="1"/>
  <c r="S4215" i="1"/>
  <c r="R4215" i="1"/>
  <c r="Q4215" i="1"/>
  <c r="P4215" i="1"/>
  <c r="O4215" i="1"/>
  <c r="N4215" i="1"/>
  <c r="S4214" i="1"/>
  <c r="R4214" i="1"/>
  <c r="Q4214" i="1"/>
  <c r="P4214" i="1"/>
  <c r="O4214" i="1"/>
  <c r="N4214" i="1"/>
  <c r="S4213" i="1"/>
  <c r="R4213" i="1"/>
  <c r="Q4213" i="1"/>
  <c r="P4213" i="1"/>
  <c r="O4213" i="1"/>
  <c r="N4213" i="1"/>
  <c r="S4212" i="1"/>
  <c r="R4212" i="1"/>
  <c r="Q4212" i="1"/>
  <c r="P4212" i="1"/>
  <c r="O4212" i="1"/>
  <c r="N4212" i="1"/>
  <c r="S4211" i="1"/>
  <c r="R4211" i="1"/>
  <c r="Q4211" i="1"/>
  <c r="P4211" i="1"/>
  <c r="O4211" i="1"/>
  <c r="N4211" i="1"/>
  <c r="S4210" i="1"/>
  <c r="R4210" i="1"/>
  <c r="Q4210" i="1"/>
  <c r="P4210" i="1"/>
  <c r="O4210" i="1"/>
  <c r="N4210" i="1"/>
  <c r="S4209" i="1"/>
  <c r="R4209" i="1"/>
  <c r="Q4209" i="1"/>
  <c r="P4209" i="1"/>
  <c r="O4209" i="1"/>
  <c r="N4209" i="1"/>
  <c r="S4208" i="1"/>
  <c r="R4208" i="1"/>
  <c r="Q4208" i="1"/>
  <c r="P4208" i="1"/>
  <c r="O4208" i="1"/>
  <c r="N4208" i="1"/>
  <c r="S4207" i="1"/>
  <c r="R4207" i="1"/>
  <c r="Q4207" i="1"/>
  <c r="P4207" i="1"/>
  <c r="O4207" i="1"/>
  <c r="N4207" i="1"/>
  <c r="S4206" i="1"/>
  <c r="R4206" i="1"/>
  <c r="Q4206" i="1"/>
  <c r="P4206" i="1"/>
  <c r="O4206" i="1"/>
  <c r="N4206" i="1"/>
  <c r="S4205" i="1"/>
  <c r="R4205" i="1"/>
  <c r="Q4205" i="1"/>
  <c r="P4205" i="1"/>
  <c r="O4205" i="1"/>
  <c r="N4205" i="1"/>
  <c r="S4204" i="1"/>
  <c r="R4204" i="1"/>
  <c r="Q4204" i="1"/>
  <c r="P4204" i="1"/>
  <c r="O4204" i="1"/>
  <c r="N4204" i="1"/>
  <c r="S4203" i="1"/>
  <c r="R4203" i="1"/>
  <c r="Q4203" i="1"/>
  <c r="P4203" i="1"/>
  <c r="O4203" i="1"/>
  <c r="N4203" i="1"/>
  <c r="S4202" i="1"/>
  <c r="R4202" i="1"/>
  <c r="Q4202" i="1"/>
  <c r="P4202" i="1"/>
  <c r="O4202" i="1"/>
  <c r="N4202" i="1"/>
  <c r="S4201" i="1"/>
  <c r="R4201" i="1"/>
  <c r="Q4201" i="1"/>
  <c r="P4201" i="1"/>
  <c r="O4201" i="1"/>
  <c r="N4201" i="1"/>
  <c r="S4200" i="1"/>
  <c r="R4200" i="1"/>
  <c r="Q4200" i="1"/>
  <c r="P4200" i="1"/>
  <c r="O4200" i="1"/>
  <c r="N4200" i="1"/>
  <c r="S4199" i="1"/>
  <c r="R4199" i="1"/>
  <c r="Q4199" i="1"/>
  <c r="P4199" i="1"/>
  <c r="O4199" i="1"/>
  <c r="N4199" i="1"/>
  <c r="S4198" i="1"/>
  <c r="R4198" i="1"/>
  <c r="Q4198" i="1"/>
  <c r="P4198" i="1"/>
  <c r="O4198" i="1"/>
  <c r="N4198" i="1"/>
  <c r="S4197" i="1"/>
  <c r="R4197" i="1"/>
  <c r="Q4197" i="1"/>
  <c r="P4197" i="1"/>
  <c r="O4197" i="1"/>
  <c r="N4197" i="1"/>
  <c r="S4196" i="1"/>
  <c r="R4196" i="1"/>
  <c r="Q4196" i="1"/>
  <c r="P4196" i="1"/>
  <c r="O4196" i="1"/>
  <c r="N4196" i="1"/>
  <c r="S4195" i="1"/>
  <c r="R4195" i="1"/>
  <c r="Q4195" i="1"/>
  <c r="P4195" i="1"/>
  <c r="O4195" i="1"/>
  <c r="N4195" i="1"/>
  <c r="S4194" i="1"/>
  <c r="R4194" i="1"/>
  <c r="Q4194" i="1"/>
  <c r="P4194" i="1"/>
  <c r="O4194" i="1"/>
  <c r="N4194" i="1"/>
  <c r="S4193" i="1"/>
  <c r="R4193" i="1"/>
  <c r="Q4193" i="1"/>
  <c r="P4193" i="1"/>
  <c r="O4193" i="1"/>
  <c r="N4193" i="1"/>
  <c r="S4192" i="1"/>
  <c r="R4192" i="1"/>
  <c r="Q4192" i="1"/>
  <c r="P4192" i="1"/>
  <c r="O4192" i="1"/>
  <c r="N4192" i="1"/>
  <c r="S4191" i="1"/>
  <c r="R4191" i="1"/>
  <c r="Q4191" i="1"/>
  <c r="P4191" i="1"/>
  <c r="O4191" i="1"/>
  <c r="N4191" i="1"/>
  <c r="S4190" i="1"/>
  <c r="R4190" i="1"/>
  <c r="Q4190" i="1"/>
  <c r="P4190" i="1"/>
  <c r="O4190" i="1"/>
  <c r="N4190" i="1"/>
  <c r="S4189" i="1"/>
  <c r="R4189" i="1"/>
  <c r="Q4189" i="1"/>
  <c r="P4189" i="1"/>
  <c r="O4189" i="1"/>
  <c r="N4189" i="1"/>
  <c r="S4188" i="1"/>
  <c r="R4188" i="1"/>
  <c r="Q4188" i="1"/>
  <c r="P4188" i="1"/>
  <c r="O4188" i="1"/>
  <c r="N4188" i="1"/>
  <c r="S4187" i="1"/>
  <c r="R4187" i="1"/>
  <c r="Q4187" i="1"/>
  <c r="P4187" i="1"/>
  <c r="O4187" i="1"/>
  <c r="N4187" i="1"/>
  <c r="S4186" i="1"/>
  <c r="R4186" i="1"/>
  <c r="Q4186" i="1"/>
  <c r="P4186" i="1"/>
  <c r="O4186" i="1"/>
  <c r="N4186" i="1"/>
  <c r="S4185" i="1"/>
  <c r="R4185" i="1"/>
  <c r="Q4185" i="1"/>
  <c r="P4185" i="1"/>
  <c r="O4185" i="1"/>
  <c r="N4185" i="1"/>
  <c r="S4184" i="1"/>
  <c r="R4184" i="1"/>
  <c r="Q4184" i="1"/>
  <c r="P4184" i="1"/>
  <c r="O4184" i="1"/>
  <c r="N4184" i="1"/>
  <c r="S4183" i="1"/>
  <c r="R4183" i="1"/>
  <c r="Q4183" i="1"/>
  <c r="P4183" i="1"/>
  <c r="O4183" i="1"/>
  <c r="N4183" i="1"/>
  <c r="S4182" i="1"/>
  <c r="R4182" i="1"/>
  <c r="Q4182" i="1"/>
  <c r="P4182" i="1"/>
  <c r="O4182" i="1"/>
  <c r="N4182" i="1"/>
  <c r="S4181" i="1"/>
  <c r="R4181" i="1"/>
  <c r="Q4181" i="1"/>
  <c r="P4181" i="1"/>
  <c r="O4181" i="1"/>
  <c r="N4181" i="1"/>
  <c r="S4180" i="1"/>
  <c r="R4180" i="1"/>
  <c r="Q4180" i="1"/>
  <c r="P4180" i="1"/>
  <c r="O4180" i="1"/>
  <c r="N4180" i="1"/>
  <c r="S4179" i="1"/>
  <c r="R4179" i="1"/>
  <c r="Q4179" i="1"/>
  <c r="P4179" i="1"/>
  <c r="O4179" i="1"/>
  <c r="N4179" i="1"/>
  <c r="S4178" i="1"/>
  <c r="R4178" i="1"/>
  <c r="Q4178" i="1"/>
  <c r="P4178" i="1"/>
  <c r="O4178" i="1"/>
  <c r="N4178" i="1"/>
  <c r="S4177" i="1"/>
  <c r="R4177" i="1"/>
  <c r="Q4177" i="1"/>
  <c r="P4177" i="1"/>
  <c r="O4177" i="1"/>
  <c r="N4177" i="1"/>
  <c r="S4176" i="1"/>
  <c r="R4176" i="1"/>
  <c r="Q4176" i="1"/>
  <c r="P4176" i="1"/>
  <c r="O4176" i="1"/>
  <c r="N4176" i="1"/>
  <c r="S4175" i="1"/>
  <c r="R4175" i="1"/>
  <c r="Q4175" i="1"/>
  <c r="P4175" i="1"/>
  <c r="O4175" i="1"/>
  <c r="N4175" i="1"/>
  <c r="S4174" i="1"/>
  <c r="R4174" i="1"/>
  <c r="Q4174" i="1"/>
  <c r="P4174" i="1"/>
  <c r="O4174" i="1"/>
  <c r="N4174" i="1"/>
  <c r="S4173" i="1"/>
  <c r="R4173" i="1"/>
  <c r="Q4173" i="1"/>
  <c r="P4173" i="1"/>
  <c r="O4173" i="1"/>
  <c r="N4173" i="1"/>
  <c r="S4172" i="1"/>
  <c r="R4172" i="1"/>
  <c r="Q4172" i="1"/>
  <c r="P4172" i="1"/>
  <c r="O4172" i="1"/>
  <c r="N4172" i="1"/>
  <c r="S4171" i="1"/>
  <c r="R4171" i="1"/>
  <c r="Q4171" i="1"/>
  <c r="P4171" i="1"/>
  <c r="O4171" i="1"/>
  <c r="N4171" i="1"/>
  <c r="S4170" i="1"/>
  <c r="R4170" i="1"/>
  <c r="Q4170" i="1"/>
  <c r="P4170" i="1"/>
  <c r="O4170" i="1"/>
  <c r="N4170" i="1"/>
  <c r="S4169" i="1"/>
  <c r="R4169" i="1"/>
  <c r="Q4169" i="1"/>
  <c r="P4169" i="1"/>
  <c r="O4169" i="1"/>
  <c r="N4169" i="1"/>
  <c r="S4168" i="1"/>
  <c r="R4168" i="1"/>
  <c r="Q4168" i="1"/>
  <c r="P4168" i="1"/>
  <c r="O4168" i="1"/>
  <c r="N4168" i="1"/>
  <c r="S4167" i="1"/>
  <c r="R4167" i="1"/>
  <c r="Q4167" i="1"/>
  <c r="P4167" i="1"/>
  <c r="O4167" i="1"/>
  <c r="N4167" i="1"/>
  <c r="S4166" i="1"/>
  <c r="R4166" i="1"/>
  <c r="Q4166" i="1"/>
  <c r="P4166" i="1"/>
  <c r="O4166" i="1"/>
  <c r="N4166" i="1"/>
  <c r="S4165" i="1"/>
  <c r="R4165" i="1"/>
  <c r="Q4165" i="1"/>
  <c r="P4165" i="1"/>
  <c r="O4165" i="1"/>
  <c r="N4165" i="1"/>
  <c r="S4164" i="1"/>
  <c r="R4164" i="1"/>
  <c r="Q4164" i="1"/>
  <c r="P4164" i="1"/>
  <c r="O4164" i="1"/>
  <c r="N4164" i="1"/>
  <c r="S4163" i="1"/>
  <c r="R4163" i="1"/>
  <c r="Q4163" i="1"/>
  <c r="P4163" i="1"/>
  <c r="O4163" i="1"/>
  <c r="N4163" i="1"/>
  <c r="S4162" i="1"/>
  <c r="R4162" i="1"/>
  <c r="Q4162" i="1"/>
  <c r="P4162" i="1"/>
  <c r="O4162" i="1"/>
  <c r="N4162" i="1"/>
  <c r="S4161" i="1"/>
  <c r="R4161" i="1"/>
  <c r="Q4161" i="1"/>
  <c r="P4161" i="1"/>
  <c r="O4161" i="1"/>
  <c r="N4161" i="1"/>
  <c r="S4160" i="1"/>
  <c r="R4160" i="1"/>
  <c r="Q4160" i="1"/>
  <c r="P4160" i="1"/>
  <c r="O4160" i="1"/>
  <c r="N4160" i="1"/>
  <c r="S4159" i="1"/>
  <c r="R4159" i="1"/>
  <c r="Q4159" i="1"/>
  <c r="P4159" i="1"/>
  <c r="O4159" i="1"/>
  <c r="N4159" i="1"/>
  <c r="S4158" i="1"/>
  <c r="R4158" i="1"/>
  <c r="Q4158" i="1"/>
  <c r="P4158" i="1"/>
  <c r="O4158" i="1"/>
  <c r="N4158" i="1"/>
  <c r="S4157" i="1"/>
  <c r="R4157" i="1"/>
  <c r="Q4157" i="1"/>
  <c r="P4157" i="1"/>
  <c r="O4157" i="1"/>
  <c r="N4157" i="1"/>
  <c r="S4156" i="1"/>
  <c r="R4156" i="1"/>
  <c r="Q4156" i="1"/>
  <c r="P4156" i="1"/>
  <c r="O4156" i="1"/>
  <c r="N4156" i="1"/>
  <c r="S4155" i="1"/>
  <c r="R4155" i="1"/>
  <c r="Q4155" i="1"/>
  <c r="P4155" i="1"/>
  <c r="O4155" i="1"/>
  <c r="N4155" i="1"/>
  <c r="S4154" i="1"/>
  <c r="R4154" i="1"/>
  <c r="Q4154" i="1"/>
  <c r="P4154" i="1"/>
  <c r="O4154" i="1"/>
  <c r="N4154" i="1"/>
  <c r="S4153" i="1"/>
  <c r="R4153" i="1"/>
  <c r="Q4153" i="1"/>
  <c r="P4153" i="1"/>
  <c r="O4153" i="1"/>
  <c r="N4153" i="1"/>
  <c r="S4152" i="1"/>
  <c r="R4152" i="1"/>
  <c r="Q4152" i="1"/>
  <c r="P4152" i="1"/>
  <c r="O4152" i="1"/>
  <c r="N4152" i="1"/>
  <c r="S4151" i="1"/>
  <c r="R4151" i="1"/>
  <c r="Q4151" i="1"/>
  <c r="P4151" i="1"/>
  <c r="O4151" i="1"/>
  <c r="N4151" i="1"/>
  <c r="S4150" i="1"/>
  <c r="R4150" i="1"/>
  <c r="Q4150" i="1"/>
  <c r="P4150" i="1"/>
  <c r="O4150" i="1"/>
  <c r="N4150" i="1"/>
  <c r="S4149" i="1"/>
  <c r="R4149" i="1"/>
  <c r="Q4149" i="1"/>
  <c r="P4149" i="1"/>
  <c r="O4149" i="1"/>
  <c r="N4149" i="1"/>
  <c r="S4148" i="1"/>
  <c r="R4148" i="1"/>
  <c r="Q4148" i="1"/>
  <c r="P4148" i="1"/>
  <c r="O4148" i="1"/>
  <c r="N4148" i="1"/>
  <c r="S4147" i="1"/>
  <c r="R4147" i="1"/>
  <c r="Q4147" i="1"/>
  <c r="P4147" i="1"/>
  <c r="O4147" i="1"/>
  <c r="N4147" i="1"/>
  <c r="S4146" i="1"/>
  <c r="R4146" i="1"/>
  <c r="Q4146" i="1"/>
  <c r="P4146" i="1"/>
  <c r="O4146" i="1"/>
  <c r="N4146" i="1"/>
  <c r="S4145" i="1"/>
  <c r="R4145" i="1"/>
  <c r="Q4145" i="1"/>
  <c r="P4145" i="1"/>
  <c r="O4145" i="1"/>
  <c r="N4145" i="1"/>
  <c r="S4144" i="1"/>
  <c r="R4144" i="1"/>
  <c r="Q4144" i="1"/>
  <c r="P4144" i="1"/>
  <c r="O4144" i="1"/>
  <c r="N4144" i="1"/>
  <c r="S4143" i="1"/>
  <c r="R4143" i="1"/>
  <c r="Q4143" i="1"/>
  <c r="P4143" i="1"/>
  <c r="O4143" i="1"/>
  <c r="N4143" i="1"/>
  <c r="S4142" i="1"/>
  <c r="R4142" i="1"/>
  <c r="Q4142" i="1"/>
  <c r="P4142" i="1"/>
  <c r="O4142" i="1"/>
  <c r="N4142" i="1"/>
  <c r="S4141" i="1"/>
  <c r="R4141" i="1"/>
  <c r="Q4141" i="1"/>
  <c r="P4141" i="1"/>
  <c r="O4141" i="1"/>
  <c r="N4141" i="1"/>
  <c r="S4140" i="1"/>
  <c r="R4140" i="1"/>
  <c r="Q4140" i="1"/>
  <c r="P4140" i="1"/>
  <c r="O4140" i="1"/>
  <c r="N4140" i="1"/>
  <c r="S4139" i="1"/>
  <c r="R4139" i="1"/>
  <c r="Q4139" i="1"/>
  <c r="P4139" i="1"/>
  <c r="O4139" i="1"/>
  <c r="N4139" i="1"/>
  <c r="S4138" i="1"/>
  <c r="R4138" i="1"/>
  <c r="Q4138" i="1"/>
  <c r="P4138" i="1"/>
  <c r="O4138" i="1"/>
  <c r="N4138" i="1"/>
  <c r="S4137" i="1"/>
  <c r="R4137" i="1"/>
  <c r="Q4137" i="1"/>
  <c r="P4137" i="1"/>
  <c r="O4137" i="1"/>
  <c r="N4137" i="1"/>
  <c r="S4136" i="1"/>
  <c r="R4136" i="1"/>
  <c r="Q4136" i="1"/>
  <c r="P4136" i="1"/>
  <c r="O4136" i="1"/>
  <c r="N4136" i="1"/>
  <c r="S4135" i="1"/>
  <c r="R4135" i="1"/>
  <c r="Q4135" i="1"/>
  <c r="P4135" i="1"/>
  <c r="O4135" i="1"/>
  <c r="N4135" i="1"/>
  <c r="S4134" i="1"/>
  <c r="R4134" i="1"/>
  <c r="Q4134" i="1"/>
  <c r="P4134" i="1"/>
  <c r="O4134" i="1"/>
  <c r="N4134" i="1"/>
  <c r="S4133" i="1"/>
  <c r="R4133" i="1"/>
  <c r="Q4133" i="1"/>
  <c r="P4133" i="1"/>
  <c r="O4133" i="1"/>
  <c r="N4133" i="1"/>
  <c r="S4132" i="1"/>
  <c r="R4132" i="1"/>
  <c r="Q4132" i="1"/>
  <c r="P4132" i="1"/>
  <c r="O4132" i="1"/>
  <c r="N4132" i="1"/>
  <c r="S4131" i="1"/>
  <c r="R4131" i="1"/>
  <c r="Q4131" i="1"/>
  <c r="P4131" i="1"/>
  <c r="O4131" i="1"/>
  <c r="N4131" i="1"/>
  <c r="S4130" i="1"/>
  <c r="R4130" i="1"/>
  <c r="Q4130" i="1"/>
  <c r="P4130" i="1"/>
  <c r="O4130" i="1"/>
  <c r="N4130" i="1"/>
  <c r="S4129" i="1"/>
  <c r="R4129" i="1"/>
  <c r="Q4129" i="1"/>
  <c r="P4129" i="1"/>
  <c r="O4129" i="1"/>
  <c r="N4129" i="1"/>
  <c r="S4128" i="1"/>
  <c r="R4128" i="1"/>
  <c r="Q4128" i="1"/>
  <c r="P4128" i="1"/>
  <c r="O4128" i="1"/>
  <c r="N4128" i="1"/>
  <c r="S4127" i="1"/>
  <c r="R4127" i="1"/>
  <c r="Q4127" i="1"/>
  <c r="P4127" i="1"/>
  <c r="O4127" i="1"/>
  <c r="N4127" i="1"/>
  <c r="S4126" i="1"/>
  <c r="R4126" i="1"/>
  <c r="Q4126" i="1"/>
  <c r="P4126" i="1"/>
  <c r="O4126" i="1"/>
  <c r="N4126" i="1"/>
  <c r="S4125" i="1"/>
  <c r="R4125" i="1"/>
  <c r="Q4125" i="1"/>
  <c r="P4125" i="1"/>
  <c r="O4125" i="1"/>
  <c r="N4125" i="1"/>
  <c r="S4124" i="1"/>
  <c r="R4124" i="1"/>
  <c r="Q4124" i="1"/>
  <c r="P4124" i="1"/>
  <c r="O4124" i="1"/>
  <c r="N4124" i="1"/>
  <c r="S4123" i="1"/>
  <c r="R4123" i="1"/>
  <c r="Q4123" i="1"/>
  <c r="P4123" i="1"/>
  <c r="O4123" i="1"/>
  <c r="N4123" i="1"/>
  <c r="S4122" i="1"/>
  <c r="R4122" i="1"/>
  <c r="Q4122" i="1"/>
  <c r="P4122" i="1"/>
  <c r="O4122" i="1"/>
  <c r="N4122" i="1"/>
  <c r="S4121" i="1"/>
  <c r="R4121" i="1"/>
  <c r="Q4121" i="1"/>
  <c r="P4121" i="1"/>
  <c r="O4121" i="1"/>
  <c r="N4121" i="1"/>
  <c r="S4120" i="1"/>
  <c r="R4120" i="1"/>
  <c r="Q4120" i="1"/>
  <c r="P4120" i="1"/>
  <c r="O4120" i="1"/>
  <c r="N4120" i="1"/>
  <c r="S4119" i="1"/>
  <c r="R4119" i="1"/>
  <c r="Q4119" i="1"/>
  <c r="P4119" i="1"/>
  <c r="O4119" i="1"/>
  <c r="N4119" i="1"/>
  <c r="S4118" i="1"/>
  <c r="R4118" i="1"/>
  <c r="Q4118" i="1"/>
  <c r="P4118" i="1"/>
  <c r="O4118" i="1"/>
  <c r="N4118" i="1"/>
  <c r="S4117" i="1"/>
  <c r="R4117" i="1"/>
  <c r="Q4117" i="1"/>
  <c r="P4117" i="1"/>
  <c r="O4117" i="1"/>
  <c r="N4117" i="1"/>
  <c r="S4116" i="1"/>
  <c r="R4116" i="1"/>
  <c r="Q4116" i="1"/>
  <c r="P4116" i="1"/>
  <c r="O4116" i="1"/>
  <c r="N4116" i="1"/>
  <c r="S4115" i="1"/>
  <c r="R4115" i="1"/>
  <c r="Q4115" i="1"/>
  <c r="P4115" i="1"/>
  <c r="O4115" i="1"/>
  <c r="N4115" i="1"/>
  <c r="S4114" i="1"/>
  <c r="R4114" i="1"/>
  <c r="Q4114" i="1"/>
  <c r="P4114" i="1"/>
  <c r="O4114" i="1"/>
  <c r="N4114" i="1"/>
  <c r="S4113" i="1"/>
  <c r="R4113" i="1"/>
  <c r="Q4113" i="1"/>
  <c r="P4113" i="1"/>
  <c r="O4113" i="1"/>
  <c r="N4113" i="1"/>
  <c r="S4112" i="1"/>
  <c r="R4112" i="1"/>
  <c r="Q4112" i="1"/>
  <c r="P4112" i="1"/>
  <c r="O4112" i="1"/>
  <c r="N4112" i="1"/>
  <c r="S4111" i="1"/>
  <c r="R4111" i="1"/>
  <c r="Q4111" i="1"/>
  <c r="P4111" i="1"/>
  <c r="O4111" i="1"/>
  <c r="N4111" i="1"/>
  <c r="S4110" i="1"/>
  <c r="R4110" i="1"/>
  <c r="Q4110" i="1"/>
  <c r="P4110" i="1"/>
  <c r="O4110" i="1"/>
  <c r="N4110" i="1"/>
  <c r="S4109" i="1"/>
  <c r="R4109" i="1"/>
  <c r="Q4109" i="1"/>
  <c r="P4109" i="1"/>
  <c r="O4109" i="1"/>
  <c r="N4109" i="1"/>
  <c r="S4108" i="1"/>
  <c r="R4108" i="1"/>
  <c r="Q4108" i="1"/>
  <c r="P4108" i="1"/>
  <c r="O4108" i="1"/>
  <c r="N4108" i="1"/>
  <c r="S4107" i="1"/>
  <c r="R4107" i="1"/>
  <c r="Q4107" i="1"/>
  <c r="P4107" i="1"/>
  <c r="O4107" i="1"/>
  <c r="N4107" i="1"/>
  <c r="S4106" i="1"/>
  <c r="R4106" i="1"/>
  <c r="Q4106" i="1"/>
  <c r="P4106" i="1"/>
  <c r="O4106" i="1"/>
  <c r="N4106" i="1"/>
  <c r="S4105" i="1"/>
  <c r="R4105" i="1"/>
  <c r="Q4105" i="1"/>
  <c r="P4105" i="1"/>
  <c r="O4105" i="1"/>
  <c r="N4105" i="1"/>
  <c r="S4104" i="1"/>
  <c r="R4104" i="1"/>
  <c r="Q4104" i="1"/>
  <c r="P4104" i="1"/>
  <c r="O4104" i="1"/>
  <c r="N4104" i="1"/>
  <c r="S4103" i="1"/>
  <c r="R4103" i="1"/>
  <c r="Q4103" i="1"/>
  <c r="P4103" i="1"/>
  <c r="O4103" i="1"/>
  <c r="N4103" i="1"/>
  <c r="S4102" i="1"/>
  <c r="R4102" i="1"/>
  <c r="Q4102" i="1"/>
  <c r="P4102" i="1"/>
  <c r="O4102" i="1"/>
  <c r="N4102" i="1"/>
  <c r="S4101" i="1"/>
  <c r="R4101" i="1"/>
  <c r="Q4101" i="1"/>
  <c r="P4101" i="1"/>
  <c r="O4101" i="1"/>
  <c r="N4101" i="1"/>
  <c r="S4100" i="1"/>
  <c r="R4100" i="1"/>
  <c r="Q4100" i="1"/>
  <c r="P4100" i="1"/>
  <c r="O4100" i="1"/>
  <c r="N4100" i="1"/>
  <c r="S4099" i="1"/>
  <c r="R4099" i="1"/>
  <c r="Q4099" i="1"/>
  <c r="P4099" i="1"/>
  <c r="O4099" i="1"/>
  <c r="N4099" i="1"/>
  <c r="S4098" i="1"/>
  <c r="R4098" i="1"/>
  <c r="Q4098" i="1"/>
  <c r="P4098" i="1"/>
  <c r="O4098" i="1"/>
  <c r="N4098" i="1"/>
  <c r="S4097" i="1"/>
  <c r="R4097" i="1"/>
  <c r="Q4097" i="1"/>
  <c r="P4097" i="1"/>
  <c r="O4097" i="1"/>
  <c r="N4097" i="1"/>
  <c r="S4096" i="1"/>
  <c r="R4096" i="1"/>
  <c r="Q4096" i="1"/>
  <c r="P4096" i="1"/>
  <c r="O4096" i="1"/>
  <c r="N4096" i="1"/>
  <c r="S4095" i="1"/>
  <c r="R4095" i="1"/>
  <c r="Q4095" i="1"/>
  <c r="P4095" i="1"/>
  <c r="O4095" i="1"/>
  <c r="N4095" i="1"/>
  <c r="S4094" i="1"/>
  <c r="R4094" i="1"/>
  <c r="Q4094" i="1"/>
  <c r="P4094" i="1"/>
  <c r="O4094" i="1"/>
  <c r="N4094" i="1"/>
  <c r="S4093" i="1"/>
  <c r="R4093" i="1"/>
  <c r="Q4093" i="1"/>
  <c r="P4093" i="1"/>
  <c r="O4093" i="1"/>
  <c r="N4093" i="1"/>
  <c r="S4092" i="1"/>
  <c r="R4092" i="1"/>
  <c r="Q4092" i="1"/>
  <c r="P4092" i="1"/>
  <c r="O4092" i="1"/>
  <c r="N4092" i="1"/>
  <c r="S4091" i="1"/>
  <c r="R4091" i="1"/>
  <c r="Q4091" i="1"/>
  <c r="P4091" i="1"/>
  <c r="O4091" i="1"/>
  <c r="N4091" i="1"/>
  <c r="S4090" i="1"/>
  <c r="R4090" i="1"/>
  <c r="Q4090" i="1"/>
  <c r="P4090" i="1"/>
  <c r="O4090" i="1"/>
  <c r="N4090" i="1"/>
  <c r="S4089" i="1"/>
  <c r="R4089" i="1"/>
  <c r="Q4089" i="1"/>
  <c r="P4089" i="1"/>
  <c r="O4089" i="1"/>
  <c r="N4089" i="1"/>
  <c r="S4088" i="1"/>
  <c r="R4088" i="1"/>
  <c r="Q4088" i="1"/>
  <c r="P4088" i="1"/>
  <c r="O4088" i="1"/>
  <c r="N4088" i="1"/>
  <c r="S4087" i="1"/>
  <c r="R4087" i="1"/>
  <c r="Q4087" i="1"/>
  <c r="P4087" i="1"/>
  <c r="O4087" i="1"/>
  <c r="N4087" i="1"/>
  <c r="S4086" i="1"/>
  <c r="R4086" i="1"/>
  <c r="Q4086" i="1"/>
  <c r="P4086" i="1"/>
  <c r="O4086" i="1"/>
  <c r="N4086" i="1"/>
  <c r="S4085" i="1"/>
  <c r="R4085" i="1"/>
  <c r="Q4085" i="1"/>
  <c r="P4085" i="1"/>
  <c r="O4085" i="1"/>
  <c r="N4085" i="1"/>
  <c r="S4084" i="1"/>
  <c r="R4084" i="1"/>
  <c r="Q4084" i="1"/>
  <c r="P4084" i="1"/>
  <c r="O4084" i="1"/>
  <c r="N4084" i="1"/>
  <c r="S4083" i="1"/>
  <c r="R4083" i="1"/>
  <c r="Q4083" i="1"/>
  <c r="P4083" i="1"/>
  <c r="O4083" i="1"/>
  <c r="N4083" i="1"/>
  <c r="S4082" i="1"/>
  <c r="R4082" i="1"/>
  <c r="Q4082" i="1"/>
  <c r="P4082" i="1"/>
  <c r="O4082" i="1"/>
  <c r="N4082" i="1"/>
  <c r="S4081" i="1"/>
  <c r="R4081" i="1"/>
  <c r="Q4081" i="1"/>
  <c r="P4081" i="1"/>
  <c r="O4081" i="1"/>
  <c r="N4081" i="1"/>
  <c r="S4080" i="1"/>
  <c r="R4080" i="1"/>
  <c r="Q4080" i="1"/>
  <c r="P4080" i="1"/>
  <c r="O4080" i="1"/>
  <c r="N4080" i="1"/>
  <c r="S4079" i="1"/>
  <c r="R4079" i="1"/>
  <c r="Q4079" i="1"/>
  <c r="P4079" i="1"/>
  <c r="O4079" i="1"/>
  <c r="N4079" i="1"/>
  <c r="S4078" i="1"/>
  <c r="R4078" i="1"/>
  <c r="Q4078" i="1"/>
  <c r="P4078" i="1"/>
  <c r="O4078" i="1"/>
  <c r="N4078" i="1"/>
  <c r="S4077" i="1"/>
  <c r="R4077" i="1"/>
  <c r="Q4077" i="1"/>
  <c r="P4077" i="1"/>
  <c r="O4077" i="1"/>
  <c r="N4077" i="1"/>
  <c r="S4076" i="1"/>
  <c r="R4076" i="1"/>
  <c r="Q4076" i="1"/>
  <c r="P4076" i="1"/>
  <c r="O4076" i="1"/>
  <c r="N4076" i="1"/>
  <c r="S4075" i="1"/>
  <c r="R4075" i="1"/>
  <c r="Q4075" i="1"/>
  <c r="P4075" i="1"/>
  <c r="O4075" i="1"/>
  <c r="N4075" i="1"/>
  <c r="S4074" i="1"/>
  <c r="R4074" i="1"/>
  <c r="Q4074" i="1"/>
  <c r="P4074" i="1"/>
  <c r="O4074" i="1"/>
  <c r="N4074" i="1"/>
  <c r="S4073" i="1"/>
  <c r="R4073" i="1"/>
  <c r="Q4073" i="1"/>
  <c r="P4073" i="1"/>
  <c r="O4073" i="1"/>
  <c r="N4073" i="1"/>
  <c r="S4072" i="1"/>
  <c r="R4072" i="1"/>
  <c r="Q4072" i="1"/>
  <c r="P4072" i="1"/>
  <c r="O4072" i="1"/>
  <c r="N4072" i="1"/>
  <c r="S4071" i="1"/>
  <c r="R4071" i="1"/>
  <c r="Q4071" i="1"/>
  <c r="P4071" i="1"/>
  <c r="O4071" i="1"/>
  <c r="N4071" i="1"/>
  <c r="S4070" i="1"/>
  <c r="R4070" i="1"/>
  <c r="Q4070" i="1"/>
  <c r="P4070" i="1"/>
  <c r="O4070" i="1"/>
  <c r="N4070" i="1"/>
  <c r="S4069" i="1"/>
  <c r="R4069" i="1"/>
  <c r="Q4069" i="1"/>
  <c r="P4069" i="1"/>
  <c r="O4069" i="1"/>
  <c r="N4069" i="1"/>
  <c r="S4068" i="1"/>
  <c r="R4068" i="1"/>
  <c r="Q4068" i="1"/>
  <c r="P4068" i="1"/>
  <c r="O4068" i="1"/>
  <c r="N4068" i="1"/>
  <c r="S4067" i="1"/>
  <c r="R4067" i="1"/>
  <c r="Q4067" i="1"/>
  <c r="P4067" i="1"/>
  <c r="O4067" i="1"/>
  <c r="N4067" i="1"/>
  <c r="S4066" i="1"/>
  <c r="R4066" i="1"/>
  <c r="Q4066" i="1"/>
  <c r="P4066" i="1"/>
  <c r="O4066" i="1"/>
  <c r="N4066" i="1"/>
  <c r="S4065" i="1"/>
  <c r="R4065" i="1"/>
  <c r="Q4065" i="1"/>
  <c r="P4065" i="1"/>
  <c r="O4065" i="1"/>
  <c r="N4065" i="1"/>
  <c r="S4064" i="1"/>
  <c r="R4064" i="1"/>
  <c r="Q4064" i="1"/>
  <c r="P4064" i="1"/>
  <c r="O4064" i="1"/>
  <c r="N4064" i="1"/>
  <c r="S4063" i="1"/>
  <c r="R4063" i="1"/>
  <c r="Q4063" i="1"/>
  <c r="P4063" i="1"/>
  <c r="O4063" i="1"/>
  <c r="N4063" i="1"/>
  <c r="S4062" i="1"/>
  <c r="R4062" i="1"/>
  <c r="Q4062" i="1"/>
  <c r="P4062" i="1"/>
  <c r="O4062" i="1"/>
  <c r="N4062" i="1"/>
  <c r="S4061" i="1"/>
  <c r="R4061" i="1"/>
  <c r="Q4061" i="1"/>
  <c r="P4061" i="1"/>
  <c r="O4061" i="1"/>
  <c r="N4061" i="1"/>
  <c r="S4060" i="1"/>
  <c r="R4060" i="1"/>
  <c r="Q4060" i="1"/>
  <c r="P4060" i="1"/>
  <c r="O4060" i="1"/>
  <c r="N4060" i="1"/>
  <c r="S4059" i="1"/>
  <c r="R4059" i="1"/>
  <c r="Q4059" i="1"/>
  <c r="P4059" i="1"/>
  <c r="O4059" i="1"/>
  <c r="N4059" i="1"/>
  <c r="S4058" i="1"/>
  <c r="R4058" i="1"/>
  <c r="Q4058" i="1"/>
  <c r="P4058" i="1"/>
  <c r="O4058" i="1"/>
  <c r="N4058" i="1"/>
  <c r="S4057" i="1"/>
  <c r="R4057" i="1"/>
  <c r="Q4057" i="1"/>
  <c r="P4057" i="1"/>
  <c r="O4057" i="1"/>
  <c r="N4057" i="1"/>
  <c r="S4056" i="1"/>
  <c r="R4056" i="1"/>
  <c r="Q4056" i="1"/>
  <c r="P4056" i="1"/>
  <c r="O4056" i="1"/>
  <c r="N4056" i="1"/>
  <c r="S4055" i="1"/>
  <c r="R4055" i="1"/>
  <c r="Q4055" i="1"/>
  <c r="P4055" i="1"/>
  <c r="O4055" i="1"/>
  <c r="N4055" i="1"/>
  <c r="S4054" i="1"/>
  <c r="R4054" i="1"/>
  <c r="Q4054" i="1"/>
  <c r="P4054" i="1"/>
  <c r="O4054" i="1"/>
  <c r="N4054" i="1"/>
  <c r="S4053" i="1"/>
  <c r="R4053" i="1"/>
  <c r="Q4053" i="1"/>
  <c r="P4053" i="1"/>
  <c r="O4053" i="1"/>
  <c r="N4053" i="1"/>
  <c r="S4052" i="1"/>
  <c r="R4052" i="1"/>
  <c r="Q4052" i="1"/>
  <c r="P4052" i="1"/>
  <c r="O4052" i="1"/>
  <c r="N4052" i="1"/>
  <c r="S4051" i="1"/>
  <c r="R4051" i="1"/>
  <c r="Q4051" i="1"/>
  <c r="P4051" i="1"/>
  <c r="O4051" i="1"/>
  <c r="N4051" i="1"/>
  <c r="S4050" i="1"/>
  <c r="R4050" i="1"/>
  <c r="Q4050" i="1"/>
  <c r="P4050" i="1"/>
  <c r="O4050" i="1"/>
  <c r="N4050" i="1"/>
  <c r="S4049" i="1"/>
  <c r="R4049" i="1"/>
  <c r="Q4049" i="1"/>
  <c r="P4049" i="1"/>
  <c r="O4049" i="1"/>
  <c r="N4049" i="1"/>
  <c r="S4048" i="1"/>
  <c r="R4048" i="1"/>
  <c r="Q4048" i="1"/>
  <c r="P4048" i="1"/>
  <c r="O4048" i="1"/>
  <c r="N4048" i="1"/>
  <c r="S4047" i="1"/>
  <c r="R4047" i="1"/>
  <c r="Q4047" i="1"/>
  <c r="P4047" i="1"/>
  <c r="O4047" i="1"/>
  <c r="N4047" i="1"/>
  <c r="S4046" i="1"/>
  <c r="R4046" i="1"/>
  <c r="Q4046" i="1"/>
  <c r="P4046" i="1"/>
  <c r="O4046" i="1"/>
  <c r="N4046" i="1"/>
  <c r="S4045" i="1"/>
  <c r="R4045" i="1"/>
  <c r="Q4045" i="1"/>
  <c r="P4045" i="1"/>
  <c r="O4045" i="1"/>
  <c r="N4045" i="1"/>
  <c r="S4044" i="1"/>
  <c r="R4044" i="1"/>
  <c r="Q4044" i="1"/>
  <c r="P4044" i="1"/>
  <c r="O4044" i="1"/>
  <c r="N4044" i="1"/>
  <c r="S4043" i="1"/>
  <c r="R4043" i="1"/>
  <c r="Q4043" i="1"/>
  <c r="P4043" i="1"/>
  <c r="O4043" i="1"/>
  <c r="N4043" i="1"/>
  <c r="S4042" i="1"/>
  <c r="R4042" i="1"/>
  <c r="Q4042" i="1"/>
  <c r="P4042" i="1"/>
  <c r="O4042" i="1"/>
  <c r="N4042" i="1"/>
  <c r="S4041" i="1"/>
  <c r="R4041" i="1"/>
  <c r="Q4041" i="1"/>
  <c r="P4041" i="1"/>
  <c r="O4041" i="1"/>
  <c r="N4041" i="1"/>
  <c r="S4040" i="1"/>
  <c r="R4040" i="1"/>
  <c r="Q4040" i="1"/>
  <c r="P4040" i="1"/>
  <c r="O4040" i="1"/>
  <c r="N4040" i="1"/>
  <c r="S4039" i="1"/>
  <c r="R4039" i="1"/>
  <c r="Q4039" i="1"/>
  <c r="P4039" i="1"/>
  <c r="O4039" i="1"/>
  <c r="N4039" i="1"/>
  <c r="S4038" i="1"/>
  <c r="R4038" i="1"/>
  <c r="Q4038" i="1"/>
  <c r="P4038" i="1"/>
  <c r="O4038" i="1"/>
  <c r="N4038" i="1"/>
  <c r="S4037" i="1"/>
  <c r="R4037" i="1"/>
  <c r="Q4037" i="1"/>
  <c r="P4037" i="1"/>
  <c r="O4037" i="1"/>
  <c r="N4037" i="1"/>
  <c r="S4036" i="1"/>
  <c r="R4036" i="1"/>
  <c r="Q4036" i="1"/>
  <c r="P4036" i="1"/>
  <c r="O4036" i="1"/>
  <c r="N4036" i="1"/>
  <c r="S4035" i="1"/>
  <c r="R4035" i="1"/>
  <c r="Q4035" i="1"/>
  <c r="P4035" i="1"/>
  <c r="O4035" i="1"/>
  <c r="N4035" i="1"/>
  <c r="S4034" i="1"/>
  <c r="R4034" i="1"/>
  <c r="Q4034" i="1"/>
  <c r="P4034" i="1"/>
  <c r="O4034" i="1"/>
  <c r="N4034" i="1"/>
  <c r="S4033" i="1"/>
  <c r="R4033" i="1"/>
  <c r="Q4033" i="1"/>
  <c r="P4033" i="1"/>
  <c r="O4033" i="1"/>
  <c r="N4033" i="1"/>
  <c r="S4032" i="1"/>
  <c r="R4032" i="1"/>
  <c r="Q4032" i="1"/>
  <c r="P4032" i="1"/>
  <c r="O4032" i="1"/>
  <c r="N4032" i="1"/>
  <c r="S4031" i="1"/>
  <c r="R4031" i="1"/>
  <c r="Q4031" i="1"/>
  <c r="P4031" i="1"/>
  <c r="O4031" i="1"/>
  <c r="N4031" i="1"/>
  <c r="S4030" i="1"/>
  <c r="R4030" i="1"/>
  <c r="Q4030" i="1"/>
  <c r="P4030" i="1"/>
  <c r="O4030" i="1"/>
  <c r="N4030" i="1"/>
  <c r="S4029" i="1"/>
  <c r="R4029" i="1"/>
  <c r="Q4029" i="1"/>
  <c r="P4029" i="1"/>
  <c r="O4029" i="1"/>
  <c r="N4029" i="1"/>
  <c r="S4028" i="1"/>
  <c r="R4028" i="1"/>
  <c r="Q4028" i="1"/>
  <c r="P4028" i="1"/>
  <c r="O4028" i="1"/>
  <c r="N4028" i="1"/>
  <c r="S4027" i="1"/>
  <c r="R4027" i="1"/>
  <c r="Q4027" i="1"/>
  <c r="P4027" i="1"/>
  <c r="O4027" i="1"/>
  <c r="N4027" i="1"/>
  <c r="S4026" i="1"/>
  <c r="R4026" i="1"/>
  <c r="Q4026" i="1"/>
  <c r="P4026" i="1"/>
  <c r="O4026" i="1"/>
  <c r="N4026" i="1"/>
  <c r="S4025" i="1"/>
  <c r="R4025" i="1"/>
  <c r="Q4025" i="1"/>
  <c r="P4025" i="1"/>
  <c r="O4025" i="1"/>
  <c r="N4025" i="1"/>
  <c r="S4024" i="1"/>
  <c r="R4024" i="1"/>
  <c r="Q4024" i="1"/>
  <c r="P4024" i="1"/>
  <c r="O4024" i="1"/>
  <c r="N4024" i="1"/>
  <c r="S4023" i="1"/>
  <c r="R4023" i="1"/>
  <c r="Q4023" i="1"/>
  <c r="P4023" i="1"/>
  <c r="O4023" i="1"/>
  <c r="N4023" i="1"/>
  <c r="S4022" i="1"/>
  <c r="R4022" i="1"/>
  <c r="Q4022" i="1"/>
  <c r="P4022" i="1"/>
  <c r="O4022" i="1"/>
  <c r="N4022" i="1"/>
  <c r="S4021" i="1"/>
  <c r="R4021" i="1"/>
  <c r="Q4021" i="1"/>
  <c r="P4021" i="1"/>
  <c r="O4021" i="1"/>
  <c r="N4021" i="1"/>
  <c r="S4020" i="1"/>
  <c r="R4020" i="1"/>
  <c r="Q4020" i="1"/>
  <c r="P4020" i="1"/>
  <c r="O4020" i="1"/>
  <c r="N4020" i="1"/>
  <c r="S4019" i="1"/>
  <c r="R4019" i="1"/>
  <c r="Q4019" i="1"/>
  <c r="P4019" i="1"/>
  <c r="O4019" i="1"/>
  <c r="N4019" i="1"/>
  <c r="S4018" i="1"/>
  <c r="R4018" i="1"/>
  <c r="Q4018" i="1"/>
  <c r="P4018" i="1"/>
  <c r="O4018" i="1"/>
  <c r="N4018" i="1"/>
  <c r="S4017" i="1"/>
  <c r="R4017" i="1"/>
  <c r="Q4017" i="1"/>
  <c r="P4017" i="1"/>
  <c r="O4017" i="1"/>
  <c r="N4017" i="1"/>
  <c r="S4016" i="1"/>
  <c r="R4016" i="1"/>
  <c r="Q4016" i="1"/>
  <c r="P4016" i="1"/>
  <c r="O4016" i="1"/>
  <c r="N4016" i="1"/>
  <c r="S4015" i="1"/>
  <c r="R4015" i="1"/>
  <c r="Q4015" i="1"/>
  <c r="P4015" i="1"/>
  <c r="O4015" i="1"/>
  <c r="N4015" i="1"/>
  <c r="S4014" i="1"/>
  <c r="R4014" i="1"/>
  <c r="Q4014" i="1"/>
  <c r="P4014" i="1"/>
  <c r="O4014" i="1"/>
  <c r="N4014" i="1"/>
  <c r="S4013" i="1"/>
  <c r="R4013" i="1"/>
  <c r="Q4013" i="1"/>
  <c r="P4013" i="1"/>
  <c r="O4013" i="1"/>
  <c r="N4013" i="1"/>
  <c r="S4012" i="1"/>
  <c r="R4012" i="1"/>
  <c r="Q4012" i="1"/>
  <c r="P4012" i="1"/>
  <c r="O4012" i="1"/>
  <c r="N4012" i="1"/>
  <c r="S4011" i="1"/>
  <c r="R4011" i="1"/>
  <c r="Q4011" i="1"/>
  <c r="P4011" i="1"/>
  <c r="O4011" i="1"/>
  <c r="N4011" i="1"/>
  <c r="S4010" i="1"/>
  <c r="R4010" i="1"/>
  <c r="Q4010" i="1"/>
  <c r="P4010" i="1"/>
  <c r="O4010" i="1"/>
  <c r="N4010" i="1"/>
  <c r="S4009" i="1"/>
  <c r="R4009" i="1"/>
  <c r="Q4009" i="1"/>
  <c r="P4009" i="1"/>
  <c r="O4009" i="1"/>
  <c r="N4009" i="1"/>
  <c r="S4008" i="1"/>
  <c r="R4008" i="1"/>
  <c r="Q4008" i="1"/>
  <c r="P4008" i="1"/>
  <c r="O4008" i="1"/>
  <c r="N4008" i="1"/>
  <c r="S4007" i="1"/>
  <c r="R4007" i="1"/>
  <c r="Q4007" i="1"/>
  <c r="P4007" i="1"/>
  <c r="O4007" i="1"/>
  <c r="N4007" i="1"/>
  <c r="S4006" i="1"/>
  <c r="R4006" i="1"/>
  <c r="Q4006" i="1"/>
  <c r="P4006" i="1"/>
  <c r="O4006" i="1"/>
  <c r="N4006" i="1"/>
  <c r="S4005" i="1"/>
  <c r="R4005" i="1"/>
  <c r="Q4005" i="1"/>
  <c r="P4005" i="1"/>
  <c r="O4005" i="1"/>
  <c r="N4005" i="1"/>
  <c r="S4004" i="1"/>
  <c r="R4004" i="1"/>
  <c r="Q4004" i="1"/>
  <c r="P4004" i="1"/>
  <c r="O4004" i="1"/>
  <c r="N4004" i="1"/>
  <c r="S4003" i="1"/>
  <c r="R4003" i="1"/>
  <c r="Q4003" i="1"/>
  <c r="P4003" i="1"/>
  <c r="O4003" i="1"/>
  <c r="N4003" i="1"/>
  <c r="S4002" i="1"/>
  <c r="R4002" i="1"/>
  <c r="Q4002" i="1"/>
  <c r="P4002" i="1"/>
  <c r="O4002" i="1"/>
  <c r="N4002" i="1"/>
  <c r="S4001" i="1"/>
  <c r="R4001" i="1"/>
  <c r="Q4001" i="1"/>
  <c r="P4001" i="1"/>
  <c r="O4001" i="1"/>
  <c r="N4001" i="1"/>
  <c r="S4000" i="1"/>
  <c r="R4000" i="1"/>
  <c r="Q4000" i="1"/>
  <c r="P4000" i="1"/>
  <c r="O4000" i="1"/>
  <c r="N4000" i="1"/>
  <c r="S3999" i="1"/>
  <c r="R3999" i="1"/>
  <c r="Q3999" i="1"/>
  <c r="P3999" i="1"/>
  <c r="O3999" i="1"/>
  <c r="N3999" i="1"/>
  <c r="S3998" i="1"/>
  <c r="R3998" i="1"/>
  <c r="Q3998" i="1"/>
  <c r="P3998" i="1"/>
  <c r="O3998" i="1"/>
  <c r="N3998" i="1"/>
  <c r="S3997" i="1"/>
  <c r="R3997" i="1"/>
  <c r="Q3997" i="1"/>
  <c r="P3997" i="1"/>
  <c r="O3997" i="1"/>
  <c r="N3997" i="1"/>
  <c r="S3996" i="1"/>
  <c r="R3996" i="1"/>
  <c r="Q3996" i="1"/>
  <c r="P3996" i="1"/>
  <c r="O3996" i="1"/>
  <c r="N3996" i="1"/>
  <c r="S3995" i="1"/>
  <c r="R3995" i="1"/>
  <c r="Q3995" i="1"/>
  <c r="P3995" i="1"/>
  <c r="O3995" i="1"/>
  <c r="N3995" i="1"/>
  <c r="S3994" i="1"/>
  <c r="R3994" i="1"/>
  <c r="Q3994" i="1"/>
  <c r="P3994" i="1"/>
  <c r="O3994" i="1"/>
  <c r="N3994" i="1"/>
  <c r="S3993" i="1"/>
  <c r="R3993" i="1"/>
  <c r="Q3993" i="1"/>
  <c r="P3993" i="1"/>
  <c r="O3993" i="1"/>
  <c r="N3993" i="1"/>
  <c r="S3992" i="1"/>
  <c r="R3992" i="1"/>
  <c r="Q3992" i="1"/>
  <c r="P3992" i="1"/>
  <c r="O3992" i="1"/>
  <c r="N3992" i="1"/>
  <c r="S3991" i="1"/>
  <c r="R3991" i="1"/>
  <c r="Q3991" i="1"/>
  <c r="P3991" i="1"/>
  <c r="O3991" i="1"/>
  <c r="N3991" i="1"/>
  <c r="S3990" i="1"/>
  <c r="R3990" i="1"/>
  <c r="Q3990" i="1"/>
  <c r="P3990" i="1"/>
  <c r="O3990" i="1"/>
  <c r="N3990" i="1"/>
  <c r="S3989" i="1"/>
  <c r="R3989" i="1"/>
  <c r="Q3989" i="1"/>
  <c r="P3989" i="1"/>
  <c r="O3989" i="1"/>
  <c r="N3989" i="1"/>
  <c r="S3988" i="1"/>
  <c r="R3988" i="1"/>
  <c r="Q3988" i="1"/>
  <c r="P3988" i="1"/>
  <c r="O3988" i="1"/>
  <c r="N3988" i="1"/>
  <c r="S3987" i="1"/>
  <c r="R3987" i="1"/>
  <c r="Q3987" i="1"/>
  <c r="P3987" i="1"/>
  <c r="O3987" i="1"/>
  <c r="N3987" i="1"/>
  <c r="S3986" i="1"/>
  <c r="R3986" i="1"/>
  <c r="Q3986" i="1"/>
  <c r="P3986" i="1"/>
  <c r="O3986" i="1"/>
  <c r="N3986" i="1"/>
  <c r="S3985" i="1"/>
  <c r="R3985" i="1"/>
  <c r="Q3985" i="1"/>
  <c r="P3985" i="1"/>
  <c r="O3985" i="1"/>
  <c r="N3985" i="1"/>
  <c r="S3984" i="1"/>
  <c r="R3984" i="1"/>
  <c r="Q3984" i="1"/>
  <c r="P3984" i="1"/>
  <c r="O3984" i="1"/>
  <c r="N3984" i="1"/>
  <c r="S3983" i="1"/>
  <c r="R3983" i="1"/>
  <c r="Q3983" i="1"/>
  <c r="P3983" i="1"/>
  <c r="O3983" i="1"/>
  <c r="N3983" i="1"/>
  <c r="S3982" i="1"/>
  <c r="R3982" i="1"/>
  <c r="Q3982" i="1"/>
  <c r="P3982" i="1"/>
  <c r="O3982" i="1"/>
  <c r="N3982" i="1"/>
  <c r="S3981" i="1"/>
  <c r="R3981" i="1"/>
  <c r="Q3981" i="1"/>
  <c r="P3981" i="1"/>
  <c r="O3981" i="1"/>
  <c r="N3981" i="1"/>
  <c r="S3980" i="1"/>
  <c r="R3980" i="1"/>
  <c r="Q3980" i="1"/>
  <c r="P3980" i="1"/>
  <c r="O3980" i="1"/>
  <c r="N3980" i="1"/>
  <c r="S3979" i="1"/>
  <c r="R3979" i="1"/>
  <c r="Q3979" i="1"/>
  <c r="P3979" i="1"/>
  <c r="O3979" i="1"/>
  <c r="N3979" i="1"/>
  <c r="S3978" i="1"/>
  <c r="R3978" i="1"/>
  <c r="Q3978" i="1"/>
  <c r="P3978" i="1"/>
  <c r="O3978" i="1"/>
  <c r="N3978" i="1"/>
  <c r="S3977" i="1"/>
  <c r="R3977" i="1"/>
  <c r="Q3977" i="1"/>
  <c r="P3977" i="1"/>
  <c r="O3977" i="1"/>
  <c r="N3977" i="1"/>
  <c r="S3976" i="1"/>
  <c r="R3976" i="1"/>
  <c r="Q3976" i="1"/>
  <c r="P3976" i="1"/>
  <c r="O3976" i="1"/>
  <c r="N3976" i="1"/>
  <c r="S3975" i="1"/>
  <c r="R3975" i="1"/>
  <c r="Q3975" i="1"/>
  <c r="P3975" i="1"/>
  <c r="O3975" i="1"/>
  <c r="N3975" i="1"/>
  <c r="S3974" i="1"/>
  <c r="R3974" i="1"/>
  <c r="Q3974" i="1"/>
  <c r="P3974" i="1"/>
  <c r="O3974" i="1"/>
  <c r="N3974" i="1"/>
  <c r="S3973" i="1"/>
  <c r="R3973" i="1"/>
  <c r="Q3973" i="1"/>
  <c r="P3973" i="1"/>
  <c r="O3973" i="1"/>
  <c r="N3973" i="1"/>
  <c r="S3972" i="1"/>
  <c r="R3972" i="1"/>
  <c r="Q3972" i="1"/>
  <c r="P3972" i="1"/>
  <c r="O3972" i="1"/>
  <c r="N3972" i="1"/>
  <c r="S3971" i="1"/>
  <c r="R3971" i="1"/>
  <c r="Q3971" i="1"/>
  <c r="P3971" i="1"/>
  <c r="O3971" i="1"/>
  <c r="N3971" i="1"/>
  <c r="S3970" i="1"/>
  <c r="R3970" i="1"/>
  <c r="Q3970" i="1"/>
  <c r="P3970" i="1"/>
  <c r="O3970" i="1"/>
  <c r="N3970" i="1"/>
  <c r="S3969" i="1"/>
  <c r="R3969" i="1"/>
  <c r="Q3969" i="1"/>
  <c r="P3969" i="1"/>
  <c r="O3969" i="1"/>
  <c r="N3969" i="1"/>
  <c r="S3968" i="1"/>
  <c r="R3968" i="1"/>
  <c r="Q3968" i="1"/>
  <c r="P3968" i="1"/>
  <c r="O3968" i="1"/>
  <c r="N3968" i="1"/>
  <c r="S3967" i="1"/>
  <c r="R3967" i="1"/>
  <c r="Q3967" i="1"/>
  <c r="P3967" i="1"/>
  <c r="O3967" i="1"/>
  <c r="N3967" i="1"/>
  <c r="S3966" i="1"/>
  <c r="R3966" i="1"/>
  <c r="Q3966" i="1"/>
  <c r="P3966" i="1"/>
  <c r="O3966" i="1"/>
  <c r="N3966" i="1"/>
  <c r="S3965" i="1"/>
  <c r="R3965" i="1"/>
  <c r="Q3965" i="1"/>
  <c r="P3965" i="1"/>
  <c r="O3965" i="1"/>
  <c r="N3965" i="1"/>
  <c r="S3964" i="1"/>
  <c r="R3964" i="1"/>
  <c r="Q3964" i="1"/>
  <c r="P3964" i="1"/>
  <c r="O3964" i="1"/>
  <c r="N3964" i="1"/>
  <c r="S3963" i="1"/>
  <c r="R3963" i="1"/>
  <c r="Q3963" i="1"/>
  <c r="P3963" i="1"/>
  <c r="O3963" i="1"/>
  <c r="N3963" i="1"/>
  <c r="S3962" i="1"/>
  <c r="R3962" i="1"/>
  <c r="Q3962" i="1"/>
  <c r="P3962" i="1"/>
  <c r="O3962" i="1"/>
  <c r="N3962" i="1"/>
  <c r="S3961" i="1"/>
  <c r="R3961" i="1"/>
  <c r="Q3961" i="1"/>
  <c r="P3961" i="1"/>
  <c r="O3961" i="1"/>
  <c r="N3961" i="1"/>
  <c r="S3960" i="1"/>
  <c r="R3960" i="1"/>
  <c r="Q3960" i="1"/>
  <c r="P3960" i="1"/>
  <c r="O3960" i="1"/>
  <c r="N3960" i="1"/>
  <c r="S3959" i="1"/>
  <c r="R3959" i="1"/>
  <c r="Q3959" i="1"/>
  <c r="P3959" i="1"/>
  <c r="O3959" i="1"/>
  <c r="N3959" i="1"/>
  <c r="S3958" i="1"/>
  <c r="R3958" i="1"/>
  <c r="Q3958" i="1"/>
  <c r="P3958" i="1"/>
  <c r="O3958" i="1"/>
  <c r="N3958" i="1"/>
  <c r="S3957" i="1"/>
  <c r="R3957" i="1"/>
  <c r="Q3957" i="1"/>
  <c r="P3957" i="1"/>
  <c r="O3957" i="1"/>
  <c r="N3957" i="1"/>
  <c r="S3956" i="1"/>
  <c r="R3956" i="1"/>
  <c r="Q3956" i="1"/>
  <c r="P3956" i="1"/>
  <c r="O3956" i="1"/>
  <c r="N3956" i="1"/>
  <c r="S3955" i="1"/>
  <c r="R3955" i="1"/>
  <c r="Q3955" i="1"/>
  <c r="P3955" i="1"/>
  <c r="O3955" i="1"/>
  <c r="N3955" i="1"/>
  <c r="S3954" i="1"/>
  <c r="R3954" i="1"/>
  <c r="Q3954" i="1"/>
  <c r="P3954" i="1"/>
  <c r="O3954" i="1"/>
  <c r="N3954" i="1"/>
  <c r="S3953" i="1"/>
  <c r="R3953" i="1"/>
  <c r="Q3953" i="1"/>
  <c r="P3953" i="1"/>
  <c r="O3953" i="1"/>
  <c r="N3953" i="1"/>
  <c r="S3952" i="1"/>
  <c r="R3952" i="1"/>
  <c r="Q3952" i="1"/>
  <c r="P3952" i="1"/>
  <c r="O3952" i="1"/>
  <c r="N3952" i="1"/>
  <c r="S3951" i="1"/>
  <c r="R3951" i="1"/>
  <c r="Q3951" i="1"/>
  <c r="P3951" i="1"/>
  <c r="O3951" i="1"/>
  <c r="N3951" i="1"/>
  <c r="S3950" i="1"/>
  <c r="R3950" i="1"/>
  <c r="Q3950" i="1"/>
  <c r="P3950" i="1"/>
  <c r="O3950" i="1"/>
  <c r="N3950" i="1"/>
  <c r="S3949" i="1"/>
  <c r="R3949" i="1"/>
  <c r="Q3949" i="1"/>
  <c r="P3949" i="1"/>
  <c r="O3949" i="1"/>
  <c r="N3949" i="1"/>
  <c r="S3948" i="1"/>
  <c r="R3948" i="1"/>
  <c r="Q3948" i="1"/>
  <c r="P3948" i="1"/>
  <c r="O3948" i="1"/>
  <c r="N3948" i="1"/>
  <c r="S3947" i="1"/>
  <c r="R3947" i="1"/>
  <c r="Q3947" i="1"/>
  <c r="P3947" i="1"/>
  <c r="O3947" i="1"/>
  <c r="N3947" i="1"/>
  <c r="S3946" i="1"/>
  <c r="R3946" i="1"/>
  <c r="Q3946" i="1"/>
  <c r="P3946" i="1"/>
  <c r="O3946" i="1"/>
  <c r="N3946" i="1"/>
  <c r="S3945" i="1"/>
  <c r="R3945" i="1"/>
  <c r="Q3945" i="1"/>
  <c r="P3945" i="1"/>
  <c r="O3945" i="1"/>
  <c r="N3945" i="1"/>
  <c r="S3944" i="1"/>
  <c r="R3944" i="1"/>
  <c r="Q3944" i="1"/>
  <c r="P3944" i="1"/>
  <c r="O3944" i="1"/>
  <c r="N3944" i="1"/>
  <c r="S3943" i="1"/>
  <c r="R3943" i="1"/>
  <c r="Q3943" i="1"/>
  <c r="P3943" i="1"/>
  <c r="O3943" i="1"/>
  <c r="N3943" i="1"/>
  <c r="S3942" i="1"/>
  <c r="R3942" i="1"/>
  <c r="Q3942" i="1"/>
  <c r="P3942" i="1"/>
  <c r="O3942" i="1"/>
  <c r="N3942" i="1"/>
  <c r="S3941" i="1"/>
  <c r="R3941" i="1"/>
  <c r="Q3941" i="1"/>
  <c r="P3941" i="1"/>
  <c r="O3941" i="1"/>
  <c r="N3941" i="1"/>
  <c r="S3940" i="1"/>
  <c r="R3940" i="1"/>
  <c r="Q3940" i="1"/>
  <c r="P3940" i="1"/>
  <c r="O3940" i="1"/>
  <c r="N3940" i="1"/>
  <c r="S3939" i="1"/>
  <c r="R3939" i="1"/>
  <c r="Q3939" i="1"/>
  <c r="P3939" i="1"/>
  <c r="O3939" i="1"/>
  <c r="N3939" i="1"/>
  <c r="S3938" i="1"/>
  <c r="R3938" i="1"/>
  <c r="Q3938" i="1"/>
  <c r="P3938" i="1"/>
  <c r="O3938" i="1"/>
  <c r="N3938" i="1"/>
  <c r="S3937" i="1"/>
  <c r="R3937" i="1"/>
  <c r="Q3937" i="1"/>
  <c r="P3937" i="1"/>
  <c r="O3937" i="1"/>
  <c r="N3937" i="1"/>
  <c r="S3936" i="1"/>
  <c r="R3936" i="1"/>
  <c r="Q3936" i="1"/>
  <c r="P3936" i="1"/>
  <c r="O3936" i="1"/>
  <c r="N3936" i="1"/>
  <c r="S3935" i="1"/>
  <c r="R3935" i="1"/>
  <c r="Q3935" i="1"/>
  <c r="P3935" i="1"/>
  <c r="O3935" i="1"/>
  <c r="N3935" i="1"/>
  <c r="S3934" i="1"/>
  <c r="R3934" i="1"/>
  <c r="Q3934" i="1"/>
  <c r="P3934" i="1"/>
  <c r="O3934" i="1"/>
  <c r="N3934" i="1"/>
  <c r="S3933" i="1"/>
  <c r="R3933" i="1"/>
  <c r="Q3933" i="1"/>
  <c r="P3933" i="1"/>
  <c r="O3933" i="1"/>
  <c r="N3933" i="1"/>
  <c r="S3932" i="1"/>
  <c r="R3932" i="1"/>
  <c r="Q3932" i="1"/>
  <c r="P3932" i="1"/>
  <c r="O3932" i="1"/>
  <c r="N3932" i="1"/>
  <c r="S3931" i="1"/>
  <c r="R3931" i="1"/>
  <c r="Q3931" i="1"/>
  <c r="P3931" i="1"/>
  <c r="O3931" i="1"/>
  <c r="N3931" i="1"/>
  <c r="S3930" i="1"/>
  <c r="R3930" i="1"/>
  <c r="Q3930" i="1"/>
  <c r="P3930" i="1"/>
  <c r="O3930" i="1"/>
  <c r="N3930" i="1"/>
  <c r="S3929" i="1"/>
  <c r="R3929" i="1"/>
  <c r="Q3929" i="1"/>
  <c r="P3929" i="1"/>
  <c r="O3929" i="1"/>
  <c r="N3929" i="1"/>
  <c r="S3928" i="1"/>
  <c r="R3928" i="1"/>
  <c r="Q3928" i="1"/>
  <c r="P3928" i="1"/>
  <c r="O3928" i="1"/>
  <c r="N3928" i="1"/>
  <c r="S3927" i="1"/>
  <c r="R3927" i="1"/>
  <c r="Q3927" i="1"/>
  <c r="P3927" i="1"/>
  <c r="O3927" i="1"/>
  <c r="N3927" i="1"/>
  <c r="S3926" i="1"/>
  <c r="R3926" i="1"/>
  <c r="Q3926" i="1"/>
  <c r="P3926" i="1"/>
  <c r="O3926" i="1"/>
  <c r="N3926" i="1"/>
  <c r="S3925" i="1"/>
  <c r="R3925" i="1"/>
  <c r="Q3925" i="1"/>
  <c r="P3925" i="1"/>
  <c r="O3925" i="1"/>
  <c r="N3925" i="1"/>
  <c r="S3924" i="1"/>
  <c r="R3924" i="1"/>
  <c r="Q3924" i="1"/>
  <c r="P3924" i="1"/>
  <c r="O3924" i="1"/>
  <c r="N3924" i="1"/>
  <c r="S3923" i="1"/>
  <c r="R3923" i="1"/>
  <c r="Q3923" i="1"/>
  <c r="P3923" i="1"/>
  <c r="O3923" i="1"/>
  <c r="N3923" i="1"/>
  <c r="S3922" i="1"/>
  <c r="R3922" i="1"/>
  <c r="Q3922" i="1"/>
  <c r="P3922" i="1"/>
  <c r="O3922" i="1"/>
  <c r="N3922" i="1"/>
  <c r="S3921" i="1"/>
  <c r="R3921" i="1"/>
  <c r="Q3921" i="1"/>
  <c r="P3921" i="1"/>
  <c r="O3921" i="1"/>
  <c r="N3921" i="1"/>
  <c r="S3920" i="1"/>
  <c r="R3920" i="1"/>
  <c r="Q3920" i="1"/>
  <c r="P3920" i="1"/>
  <c r="O3920" i="1"/>
  <c r="N3920" i="1"/>
  <c r="S3919" i="1"/>
  <c r="R3919" i="1"/>
  <c r="Q3919" i="1"/>
  <c r="P3919" i="1"/>
  <c r="O3919" i="1"/>
  <c r="N3919" i="1"/>
  <c r="S3918" i="1"/>
  <c r="R3918" i="1"/>
  <c r="Q3918" i="1"/>
  <c r="P3918" i="1"/>
  <c r="O3918" i="1"/>
  <c r="N3918" i="1"/>
  <c r="S3917" i="1"/>
  <c r="R3917" i="1"/>
  <c r="Q3917" i="1"/>
  <c r="P3917" i="1"/>
  <c r="O3917" i="1"/>
  <c r="N3917" i="1"/>
  <c r="S3916" i="1"/>
  <c r="R3916" i="1"/>
  <c r="Q3916" i="1"/>
  <c r="P3916" i="1"/>
  <c r="O3916" i="1"/>
  <c r="N3916" i="1"/>
  <c r="S3915" i="1"/>
  <c r="R3915" i="1"/>
  <c r="Q3915" i="1"/>
  <c r="P3915" i="1"/>
  <c r="O3915" i="1"/>
  <c r="N3915" i="1"/>
  <c r="S3914" i="1"/>
  <c r="R3914" i="1"/>
  <c r="Q3914" i="1"/>
  <c r="P3914" i="1"/>
  <c r="O3914" i="1"/>
  <c r="N3914" i="1"/>
  <c r="S3913" i="1"/>
  <c r="R3913" i="1"/>
  <c r="Q3913" i="1"/>
  <c r="P3913" i="1"/>
  <c r="O3913" i="1"/>
  <c r="N3913" i="1"/>
  <c r="S3912" i="1"/>
  <c r="R3912" i="1"/>
  <c r="Q3912" i="1"/>
  <c r="P3912" i="1"/>
  <c r="O3912" i="1"/>
  <c r="N3912" i="1"/>
  <c r="S3911" i="1"/>
  <c r="R3911" i="1"/>
  <c r="Q3911" i="1"/>
  <c r="P3911" i="1"/>
  <c r="O3911" i="1"/>
  <c r="N3911" i="1"/>
  <c r="S3910" i="1"/>
  <c r="R3910" i="1"/>
  <c r="Q3910" i="1"/>
  <c r="P3910" i="1"/>
  <c r="O3910" i="1"/>
  <c r="N3910" i="1"/>
  <c r="S3909" i="1"/>
  <c r="R3909" i="1"/>
  <c r="Q3909" i="1"/>
  <c r="P3909" i="1"/>
  <c r="O3909" i="1"/>
  <c r="N3909" i="1"/>
  <c r="S3908" i="1"/>
  <c r="R3908" i="1"/>
  <c r="Q3908" i="1"/>
  <c r="P3908" i="1"/>
  <c r="O3908" i="1"/>
  <c r="N3908" i="1"/>
  <c r="S3907" i="1"/>
  <c r="R3907" i="1"/>
  <c r="Q3907" i="1"/>
  <c r="P3907" i="1"/>
  <c r="O3907" i="1"/>
  <c r="N3907" i="1"/>
  <c r="S3906" i="1"/>
  <c r="R3906" i="1"/>
  <c r="Q3906" i="1"/>
  <c r="P3906" i="1"/>
  <c r="O3906" i="1"/>
  <c r="N3906" i="1"/>
  <c r="S3905" i="1"/>
  <c r="R3905" i="1"/>
  <c r="Q3905" i="1"/>
  <c r="P3905" i="1"/>
  <c r="O3905" i="1"/>
  <c r="N3905" i="1"/>
  <c r="S3904" i="1"/>
  <c r="R3904" i="1"/>
  <c r="Q3904" i="1"/>
  <c r="P3904" i="1"/>
  <c r="O3904" i="1"/>
  <c r="N3904" i="1"/>
  <c r="S3903" i="1"/>
  <c r="R3903" i="1"/>
  <c r="Q3903" i="1"/>
  <c r="P3903" i="1"/>
  <c r="O3903" i="1"/>
  <c r="N3903" i="1"/>
  <c r="S3902" i="1"/>
  <c r="R3902" i="1"/>
  <c r="Q3902" i="1"/>
  <c r="P3902" i="1"/>
  <c r="O3902" i="1"/>
  <c r="N3902" i="1"/>
  <c r="S3901" i="1"/>
  <c r="R3901" i="1"/>
  <c r="Q3901" i="1"/>
  <c r="P3901" i="1"/>
  <c r="O3901" i="1"/>
  <c r="N3901" i="1"/>
  <c r="S3900" i="1"/>
  <c r="R3900" i="1"/>
  <c r="Q3900" i="1"/>
  <c r="P3900" i="1"/>
  <c r="O3900" i="1"/>
  <c r="N3900" i="1"/>
  <c r="S3899" i="1"/>
  <c r="R3899" i="1"/>
  <c r="Q3899" i="1"/>
  <c r="P3899" i="1"/>
  <c r="O3899" i="1"/>
  <c r="N3899" i="1"/>
  <c r="S3898" i="1"/>
  <c r="R3898" i="1"/>
  <c r="Q3898" i="1"/>
  <c r="P3898" i="1"/>
  <c r="O3898" i="1"/>
  <c r="N3898" i="1"/>
  <c r="S3897" i="1"/>
  <c r="R3897" i="1"/>
  <c r="Q3897" i="1"/>
  <c r="P3897" i="1"/>
  <c r="O3897" i="1"/>
  <c r="N3897" i="1"/>
  <c r="S3896" i="1"/>
  <c r="R3896" i="1"/>
  <c r="Q3896" i="1"/>
  <c r="P3896" i="1"/>
  <c r="O3896" i="1"/>
  <c r="N3896" i="1"/>
  <c r="S3895" i="1"/>
  <c r="R3895" i="1"/>
  <c r="Q3895" i="1"/>
  <c r="P3895" i="1"/>
  <c r="O3895" i="1"/>
  <c r="N3895" i="1"/>
  <c r="S3894" i="1"/>
  <c r="R3894" i="1"/>
  <c r="Q3894" i="1"/>
  <c r="P3894" i="1"/>
  <c r="O3894" i="1"/>
  <c r="N3894" i="1"/>
  <c r="S3893" i="1"/>
  <c r="R3893" i="1"/>
  <c r="Q3893" i="1"/>
  <c r="P3893" i="1"/>
  <c r="O3893" i="1"/>
  <c r="N3893" i="1"/>
  <c r="S3892" i="1"/>
  <c r="R3892" i="1"/>
  <c r="Q3892" i="1"/>
  <c r="P3892" i="1"/>
  <c r="O3892" i="1"/>
  <c r="N3892" i="1"/>
  <c r="S3891" i="1"/>
  <c r="R3891" i="1"/>
  <c r="Q3891" i="1"/>
  <c r="P3891" i="1"/>
  <c r="O3891" i="1"/>
  <c r="N3891" i="1"/>
  <c r="S3890" i="1"/>
  <c r="R3890" i="1"/>
  <c r="Q3890" i="1"/>
  <c r="P3890" i="1"/>
  <c r="O3890" i="1"/>
  <c r="N3890" i="1"/>
  <c r="S3889" i="1"/>
  <c r="R3889" i="1"/>
  <c r="Q3889" i="1"/>
  <c r="P3889" i="1"/>
  <c r="O3889" i="1"/>
  <c r="N3889" i="1"/>
  <c r="S3888" i="1"/>
  <c r="R3888" i="1"/>
  <c r="Q3888" i="1"/>
  <c r="P3888" i="1"/>
  <c r="O3888" i="1"/>
  <c r="N3888" i="1"/>
  <c r="S3887" i="1"/>
  <c r="R3887" i="1"/>
  <c r="Q3887" i="1"/>
  <c r="P3887" i="1"/>
  <c r="O3887" i="1"/>
  <c r="N3887" i="1"/>
  <c r="S3886" i="1"/>
  <c r="R3886" i="1"/>
  <c r="Q3886" i="1"/>
  <c r="P3886" i="1"/>
  <c r="O3886" i="1"/>
  <c r="N3886" i="1"/>
  <c r="S3885" i="1"/>
  <c r="R3885" i="1"/>
  <c r="Q3885" i="1"/>
  <c r="P3885" i="1"/>
  <c r="O3885" i="1"/>
  <c r="N3885" i="1"/>
  <c r="S3884" i="1"/>
  <c r="R3884" i="1"/>
  <c r="Q3884" i="1"/>
  <c r="P3884" i="1"/>
  <c r="O3884" i="1"/>
  <c r="N3884" i="1"/>
  <c r="S3883" i="1"/>
  <c r="R3883" i="1"/>
  <c r="Q3883" i="1"/>
  <c r="P3883" i="1"/>
  <c r="O3883" i="1"/>
  <c r="N3883" i="1"/>
  <c r="S3882" i="1"/>
  <c r="R3882" i="1"/>
  <c r="Q3882" i="1"/>
  <c r="P3882" i="1"/>
  <c r="O3882" i="1"/>
  <c r="N3882" i="1"/>
  <c r="S3881" i="1"/>
  <c r="R3881" i="1"/>
  <c r="Q3881" i="1"/>
  <c r="P3881" i="1"/>
  <c r="O3881" i="1"/>
  <c r="N3881" i="1"/>
  <c r="S3880" i="1"/>
  <c r="R3880" i="1"/>
  <c r="Q3880" i="1"/>
  <c r="P3880" i="1"/>
  <c r="O3880" i="1"/>
  <c r="N3880" i="1"/>
  <c r="S3879" i="1"/>
  <c r="R3879" i="1"/>
  <c r="Q3879" i="1"/>
  <c r="P3879" i="1"/>
  <c r="O3879" i="1"/>
  <c r="N3879" i="1"/>
  <c r="S3878" i="1"/>
  <c r="R3878" i="1"/>
  <c r="Q3878" i="1"/>
  <c r="P3878" i="1"/>
  <c r="O3878" i="1"/>
  <c r="N3878" i="1"/>
  <c r="S3877" i="1"/>
  <c r="R3877" i="1"/>
  <c r="Q3877" i="1"/>
  <c r="P3877" i="1"/>
  <c r="O3877" i="1"/>
  <c r="N3877" i="1"/>
  <c r="S3876" i="1"/>
  <c r="R3876" i="1"/>
  <c r="Q3876" i="1"/>
  <c r="P3876" i="1"/>
  <c r="O3876" i="1"/>
  <c r="N3876" i="1"/>
  <c r="S3875" i="1"/>
  <c r="R3875" i="1"/>
  <c r="Q3875" i="1"/>
  <c r="P3875" i="1"/>
  <c r="O3875" i="1"/>
  <c r="N3875" i="1"/>
  <c r="S3874" i="1"/>
  <c r="R3874" i="1"/>
  <c r="Q3874" i="1"/>
  <c r="P3874" i="1"/>
  <c r="O3874" i="1"/>
  <c r="N3874" i="1"/>
  <c r="S3873" i="1"/>
  <c r="R3873" i="1"/>
  <c r="Q3873" i="1"/>
  <c r="P3873" i="1"/>
  <c r="O3873" i="1"/>
  <c r="N3873" i="1"/>
  <c r="S3872" i="1"/>
  <c r="R3872" i="1"/>
  <c r="Q3872" i="1"/>
  <c r="P3872" i="1"/>
  <c r="O3872" i="1"/>
  <c r="N3872" i="1"/>
  <c r="S3871" i="1"/>
  <c r="R3871" i="1"/>
  <c r="Q3871" i="1"/>
  <c r="P3871" i="1"/>
  <c r="O3871" i="1"/>
  <c r="N3871" i="1"/>
  <c r="S3870" i="1"/>
  <c r="R3870" i="1"/>
  <c r="Q3870" i="1"/>
  <c r="P3870" i="1"/>
  <c r="O3870" i="1"/>
  <c r="N3870" i="1"/>
  <c r="S3869" i="1"/>
  <c r="R3869" i="1"/>
  <c r="Q3869" i="1"/>
  <c r="P3869" i="1"/>
  <c r="O3869" i="1"/>
  <c r="N3869" i="1"/>
  <c r="S3868" i="1"/>
  <c r="R3868" i="1"/>
  <c r="Q3868" i="1"/>
  <c r="P3868" i="1"/>
  <c r="O3868" i="1"/>
  <c r="N3868" i="1"/>
  <c r="S3867" i="1"/>
  <c r="R3867" i="1"/>
  <c r="Q3867" i="1"/>
  <c r="P3867" i="1"/>
  <c r="O3867" i="1"/>
  <c r="N3867" i="1"/>
  <c r="S3866" i="1"/>
  <c r="R3866" i="1"/>
  <c r="Q3866" i="1"/>
  <c r="P3866" i="1"/>
  <c r="O3866" i="1"/>
  <c r="N3866" i="1"/>
  <c r="S3865" i="1"/>
  <c r="R3865" i="1"/>
  <c r="Q3865" i="1"/>
  <c r="P3865" i="1"/>
  <c r="O3865" i="1"/>
  <c r="N3865" i="1"/>
  <c r="S3864" i="1"/>
  <c r="R3864" i="1"/>
  <c r="Q3864" i="1"/>
  <c r="P3864" i="1"/>
  <c r="O3864" i="1"/>
  <c r="N3864" i="1"/>
  <c r="S3863" i="1"/>
  <c r="R3863" i="1"/>
  <c r="Q3863" i="1"/>
  <c r="P3863" i="1"/>
  <c r="O3863" i="1"/>
  <c r="N3863" i="1"/>
  <c r="S3862" i="1"/>
  <c r="R3862" i="1"/>
  <c r="Q3862" i="1"/>
  <c r="P3862" i="1"/>
  <c r="O3862" i="1"/>
  <c r="N3862" i="1"/>
  <c r="S3861" i="1"/>
  <c r="R3861" i="1"/>
  <c r="Q3861" i="1"/>
  <c r="P3861" i="1"/>
  <c r="O3861" i="1"/>
  <c r="N3861" i="1"/>
  <c r="S3860" i="1"/>
  <c r="R3860" i="1"/>
  <c r="Q3860" i="1"/>
  <c r="P3860" i="1"/>
  <c r="O3860" i="1"/>
  <c r="N3860" i="1"/>
  <c r="S3859" i="1"/>
  <c r="R3859" i="1"/>
  <c r="Q3859" i="1"/>
  <c r="P3859" i="1"/>
  <c r="O3859" i="1"/>
  <c r="N3859" i="1"/>
  <c r="S3858" i="1"/>
  <c r="R3858" i="1"/>
  <c r="Q3858" i="1"/>
  <c r="P3858" i="1"/>
  <c r="O3858" i="1"/>
  <c r="N3858" i="1"/>
  <c r="S3857" i="1"/>
  <c r="R3857" i="1"/>
  <c r="Q3857" i="1"/>
  <c r="P3857" i="1"/>
  <c r="O3857" i="1"/>
  <c r="N3857" i="1"/>
  <c r="S3856" i="1"/>
  <c r="R3856" i="1"/>
  <c r="Q3856" i="1"/>
  <c r="P3856" i="1"/>
  <c r="O3856" i="1"/>
  <c r="N3856" i="1"/>
  <c r="S3855" i="1"/>
  <c r="R3855" i="1"/>
  <c r="Q3855" i="1"/>
  <c r="P3855" i="1"/>
  <c r="O3855" i="1"/>
  <c r="N3855" i="1"/>
  <c r="S3854" i="1"/>
  <c r="R3854" i="1"/>
  <c r="Q3854" i="1"/>
  <c r="P3854" i="1"/>
  <c r="O3854" i="1"/>
  <c r="N3854" i="1"/>
  <c r="S3853" i="1"/>
  <c r="R3853" i="1"/>
  <c r="Q3853" i="1"/>
  <c r="P3853" i="1"/>
  <c r="O3853" i="1"/>
  <c r="N3853" i="1"/>
  <c r="S3852" i="1"/>
  <c r="R3852" i="1"/>
  <c r="Q3852" i="1"/>
  <c r="P3852" i="1"/>
  <c r="O3852" i="1"/>
  <c r="N3852" i="1"/>
  <c r="S3851" i="1"/>
  <c r="R3851" i="1"/>
  <c r="Q3851" i="1"/>
  <c r="P3851" i="1"/>
  <c r="O3851" i="1"/>
  <c r="N3851" i="1"/>
  <c r="S3850" i="1"/>
  <c r="R3850" i="1"/>
  <c r="Q3850" i="1"/>
  <c r="P3850" i="1"/>
  <c r="O3850" i="1"/>
  <c r="N3850" i="1"/>
  <c r="S3849" i="1"/>
  <c r="R3849" i="1"/>
  <c r="Q3849" i="1"/>
  <c r="P3849" i="1"/>
  <c r="O3849" i="1"/>
  <c r="N3849" i="1"/>
  <c r="S3848" i="1"/>
  <c r="R3848" i="1"/>
  <c r="Q3848" i="1"/>
  <c r="P3848" i="1"/>
  <c r="O3848" i="1"/>
  <c r="N3848" i="1"/>
  <c r="S3847" i="1"/>
  <c r="R3847" i="1"/>
  <c r="Q3847" i="1"/>
  <c r="P3847" i="1"/>
  <c r="O3847" i="1"/>
  <c r="N3847" i="1"/>
  <c r="S3846" i="1"/>
  <c r="R3846" i="1"/>
  <c r="Q3846" i="1"/>
  <c r="P3846" i="1"/>
  <c r="O3846" i="1"/>
  <c r="N3846" i="1"/>
  <c r="S3845" i="1"/>
  <c r="R3845" i="1"/>
  <c r="Q3845" i="1"/>
  <c r="P3845" i="1"/>
  <c r="O3845" i="1"/>
  <c r="N3845" i="1"/>
  <c r="S3844" i="1"/>
  <c r="R3844" i="1"/>
  <c r="Q3844" i="1"/>
  <c r="P3844" i="1"/>
  <c r="O3844" i="1"/>
  <c r="N3844" i="1"/>
  <c r="S3843" i="1"/>
  <c r="R3843" i="1"/>
  <c r="Q3843" i="1"/>
  <c r="P3843" i="1"/>
  <c r="O3843" i="1"/>
  <c r="N3843" i="1"/>
  <c r="S3842" i="1"/>
  <c r="R3842" i="1"/>
  <c r="Q3842" i="1"/>
  <c r="P3842" i="1"/>
  <c r="O3842" i="1"/>
  <c r="N3842" i="1"/>
  <c r="S3841" i="1"/>
  <c r="R3841" i="1"/>
  <c r="Q3841" i="1"/>
  <c r="P3841" i="1"/>
  <c r="O3841" i="1"/>
  <c r="N3841" i="1"/>
  <c r="S3840" i="1"/>
  <c r="R3840" i="1"/>
  <c r="Q3840" i="1"/>
  <c r="P3840" i="1"/>
  <c r="O3840" i="1"/>
  <c r="N3840" i="1"/>
  <c r="S3839" i="1"/>
  <c r="R3839" i="1"/>
  <c r="Q3839" i="1"/>
  <c r="P3839" i="1"/>
  <c r="O3839" i="1"/>
  <c r="N3839" i="1"/>
  <c r="S3838" i="1"/>
  <c r="R3838" i="1"/>
  <c r="Q3838" i="1"/>
  <c r="P3838" i="1"/>
  <c r="O3838" i="1"/>
  <c r="N3838" i="1"/>
  <c r="S3837" i="1"/>
  <c r="R3837" i="1"/>
  <c r="Q3837" i="1"/>
  <c r="P3837" i="1"/>
  <c r="O3837" i="1"/>
  <c r="N3837" i="1"/>
  <c r="S3836" i="1"/>
  <c r="R3836" i="1"/>
  <c r="Q3836" i="1"/>
  <c r="P3836" i="1"/>
  <c r="O3836" i="1"/>
  <c r="N3836" i="1"/>
  <c r="S3835" i="1"/>
  <c r="R3835" i="1"/>
  <c r="Q3835" i="1"/>
  <c r="P3835" i="1"/>
  <c r="O3835" i="1"/>
  <c r="N3835" i="1"/>
  <c r="S3834" i="1"/>
  <c r="R3834" i="1"/>
  <c r="Q3834" i="1"/>
  <c r="P3834" i="1"/>
  <c r="O3834" i="1"/>
  <c r="N3834" i="1"/>
  <c r="S3833" i="1"/>
  <c r="R3833" i="1"/>
  <c r="Q3833" i="1"/>
  <c r="P3833" i="1"/>
  <c r="O3833" i="1"/>
  <c r="N3833" i="1"/>
  <c r="S3832" i="1"/>
  <c r="R3832" i="1"/>
  <c r="Q3832" i="1"/>
  <c r="P3832" i="1"/>
  <c r="O3832" i="1"/>
  <c r="N3832" i="1"/>
  <c r="S3831" i="1"/>
  <c r="R3831" i="1"/>
  <c r="Q3831" i="1"/>
  <c r="P3831" i="1"/>
  <c r="O3831" i="1"/>
  <c r="N3831" i="1"/>
  <c r="S3830" i="1"/>
  <c r="R3830" i="1"/>
  <c r="Q3830" i="1"/>
  <c r="P3830" i="1"/>
  <c r="O3830" i="1"/>
  <c r="N3830" i="1"/>
  <c r="S3829" i="1"/>
  <c r="R3829" i="1"/>
  <c r="Q3829" i="1"/>
  <c r="P3829" i="1"/>
  <c r="O3829" i="1"/>
  <c r="N3829" i="1"/>
  <c r="S3828" i="1"/>
  <c r="R3828" i="1"/>
  <c r="Q3828" i="1"/>
  <c r="P3828" i="1"/>
  <c r="O3828" i="1"/>
  <c r="N3828" i="1"/>
  <c r="S3827" i="1"/>
  <c r="R3827" i="1"/>
  <c r="Q3827" i="1"/>
  <c r="P3827" i="1"/>
  <c r="O3827" i="1"/>
  <c r="N3827" i="1"/>
  <c r="S3826" i="1"/>
  <c r="R3826" i="1"/>
  <c r="Q3826" i="1"/>
  <c r="P3826" i="1"/>
  <c r="O3826" i="1"/>
  <c r="N3826" i="1"/>
  <c r="S3825" i="1"/>
  <c r="R3825" i="1"/>
  <c r="Q3825" i="1"/>
  <c r="P3825" i="1"/>
  <c r="O3825" i="1"/>
  <c r="N3825" i="1"/>
  <c r="S3824" i="1"/>
  <c r="R3824" i="1"/>
  <c r="Q3824" i="1"/>
  <c r="P3824" i="1"/>
  <c r="O3824" i="1"/>
  <c r="N3824" i="1"/>
  <c r="S3823" i="1"/>
  <c r="R3823" i="1"/>
  <c r="Q3823" i="1"/>
  <c r="P3823" i="1"/>
  <c r="O3823" i="1"/>
  <c r="N3823" i="1"/>
  <c r="S3822" i="1"/>
  <c r="R3822" i="1"/>
  <c r="Q3822" i="1"/>
  <c r="P3822" i="1"/>
  <c r="O3822" i="1"/>
  <c r="N3822" i="1"/>
  <c r="S3821" i="1"/>
  <c r="R3821" i="1"/>
  <c r="Q3821" i="1"/>
  <c r="P3821" i="1"/>
  <c r="O3821" i="1"/>
  <c r="N3821" i="1"/>
  <c r="S3820" i="1"/>
  <c r="R3820" i="1"/>
  <c r="Q3820" i="1"/>
  <c r="P3820" i="1"/>
  <c r="O3820" i="1"/>
  <c r="N3820" i="1"/>
  <c r="S3819" i="1"/>
  <c r="R3819" i="1"/>
  <c r="Q3819" i="1"/>
  <c r="P3819" i="1"/>
  <c r="O3819" i="1"/>
  <c r="N3819" i="1"/>
  <c r="S3818" i="1"/>
  <c r="R3818" i="1"/>
  <c r="Q3818" i="1"/>
  <c r="P3818" i="1"/>
  <c r="O3818" i="1"/>
  <c r="N3818" i="1"/>
  <c r="S3817" i="1"/>
  <c r="R3817" i="1"/>
  <c r="Q3817" i="1"/>
  <c r="P3817" i="1"/>
  <c r="O3817" i="1"/>
  <c r="N3817" i="1"/>
  <c r="S3816" i="1"/>
  <c r="R3816" i="1"/>
  <c r="Q3816" i="1"/>
  <c r="P3816" i="1"/>
  <c r="O3816" i="1"/>
  <c r="N3816" i="1"/>
  <c r="S3815" i="1"/>
  <c r="R3815" i="1"/>
  <c r="Q3815" i="1"/>
  <c r="P3815" i="1"/>
  <c r="O3815" i="1"/>
  <c r="N3815" i="1"/>
  <c r="S3814" i="1"/>
  <c r="R3814" i="1"/>
  <c r="Q3814" i="1"/>
  <c r="P3814" i="1"/>
  <c r="O3814" i="1"/>
  <c r="N3814" i="1"/>
  <c r="S3813" i="1"/>
  <c r="R3813" i="1"/>
  <c r="Q3813" i="1"/>
  <c r="P3813" i="1"/>
  <c r="O3813" i="1"/>
  <c r="N3813" i="1"/>
  <c r="S3812" i="1"/>
  <c r="R3812" i="1"/>
  <c r="Q3812" i="1"/>
  <c r="P3812" i="1"/>
  <c r="O3812" i="1"/>
  <c r="N3812" i="1"/>
  <c r="S3811" i="1"/>
  <c r="R3811" i="1"/>
  <c r="Q3811" i="1"/>
  <c r="P3811" i="1"/>
  <c r="O3811" i="1"/>
  <c r="N3811" i="1"/>
  <c r="S3810" i="1"/>
  <c r="R3810" i="1"/>
  <c r="Q3810" i="1"/>
  <c r="P3810" i="1"/>
  <c r="O3810" i="1"/>
  <c r="N3810" i="1"/>
  <c r="S3809" i="1"/>
  <c r="R3809" i="1"/>
  <c r="Q3809" i="1"/>
  <c r="P3809" i="1"/>
  <c r="O3809" i="1"/>
  <c r="N3809" i="1"/>
  <c r="S3808" i="1"/>
  <c r="R3808" i="1"/>
  <c r="Q3808" i="1"/>
  <c r="P3808" i="1"/>
  <c r="O3808" i="1"/>
  <c r="N3808" i="1"/>
  <c r="S3807" i="1"/>
  <c r="R3807" i="1"/>
  <c r="Q3807" i="1"/>
  <c r="P3807" i="1"/>
  <c r="O3807" i="1"/>
  <c r="N3807" i="1"/>
  <c r="S3806" i="1"/>
  <c r="R3806" i="1"/>
  <c r="Q3806" i="1"/>
  <c r="P3806" i="1"/>
  <c r="O3806" i="1"/>
  <c r="N3806" i="1"/>
  <c r="S3805" i="1"/>
  <c r="R3805" i="1"/>
  <c r="Q3805" i="1"/>
  <c r="P3805" i="1"/>
  <c r="O3805" i="1"/>
  <c r="N3805" i="1"/>
  <c r="S3804" i="1"/>
  <c r="R3804" i="1"/>
  <c r="Q3804" i="1"/>
  <c r="P3804" i="1"/>
  <c r="O3804" i="1"/>
  <c r="N3804" i="1"/>
  <c r="S3803" i="1"/>
  <c r="R3803" i="1"/>
  <c r="Q3803" i="1"/>
  <c r="P3803" i="1"/>
  <c r="O3803" i="1"/>
  <c r="N3803" i="1"/>
  <c r="S3802" i="1"/>
  <c r="R3802" i="1"/>
  <c r="Q3802" i="1"/>
  <c r="P3802" i="1"/>
  <c r="O3802" i="1"/>
  <c r="N3802" i="1"/>
  <c r="S3801" i="1"/>
  <c r="R3801" i="1"/>
  <c r="Q3801" i="1"/>
  <c r="P3801" i="1"/>
  <c r="O3801" i="1"/>
  <c r="N3801" i="1"/>
  <c r="S3800" i="1"/>
  <c r="R3800" i="1"/>
  <c r="Q3800" i="1"/>
  <c r="P3800" i="1"/>
  <c r="O3800" i="1"/>
  <c r="N3800" i="1"/>
  <c r="S3799" i="1"/>
  <c r="R3799" i="1"/>
  <c r="Q3799" i="1"/>
  <c r="P3799" i="1"/>
  <c r="O3799" i="1"/>
  <c r="N3799" i="1"/>
  <c r="S3798" i="1"/>
  <c r="R3798" i="1"/>
  <c r="Q3798" i="1"/>
  <c r="P3798" i="1"/>
  <c r="O3798" i="1"/>
  <c r="N3798" i="1"/>
  <c r="S3797" i="1"/>
  <c r="R3797" i="1"/>
  <c r="Q3797" i="1"/>
  <c r="P3797" i="1"/>
  <c r="O3797" i="1"/>
  <c r="N3797" i="1"/>
  <c r="S3796" i="1"/>
  <c r="R3796" i="1"/>
  <c r="Q3796" i="1"/>
  <c r="P3796" i="1"/>
  <c r="O3796" i="1"/>
  <c r="N3796" i="1"/>
  <c r="S3795" i="1"/>
  <c r="R3795" i="1"/>
  <c r="Q3795" i="1"/>
  <c r="P3795" i="1"/>
  <c r="O3795" i="1"/>
  <c r="N3795" i="1"/>
  <c r="S3794" i="1"/>
  <c r="R3794" i="1"/>
  <c r="Q3794" i="1"/>
  <c r="P3794" i="1"/>
  <c r="O3794" i="1"/>
  <c r="N3794" i="1"/>
  <c r="S3793" i="1"/>
  <c r="R3793" i="1"/>
  <c r="Q3793" i="1"/>
  <c r="P3793" i="1"/>
  <c r="O3793" i="1"/>
  <c r="N3793" i="1"/>
  <c r="S3792" i="1"/>
  <c r="R3792" i="1"/>
  <c r="Q3792" i="1"/>
  <c r="P3792" i="1"/>
  <c r="O3792" i="1"/>
  <c r="N3792" i="1"/>
  <c r="S3791" i="1"/>
  <c r="R3791" i="1"/>
  <c r="Q3791" i="1"/>
  <c r="P3791" i="1"/>
  <c r="O3791" i="1"/>
  <c r="N3791" i="1"/>
  <c r="S3790" i="1"/>
  <c r="R3790" i="1"/>
  <c r="Q3790" i="1"/>
  <c r="P3790" i="1"/>
  <c r="O3790" i="1"/>
  <c r="N3790" i="1"/>
  <c r="S3789" i="1"/>
  <c r="R3789" i="1"/>
  <c r="Q3789" i="1"/>
  <c r="P3789" i="1"/>
  <c r="O3789" i="1"/>
  <c r="N3789" i="1"/>
  <c r="S3788" i="1"/>
  <c r="R3788" i="1"/>
  <c r="Q3788" i="1"/>
  <c r="P3788" i="1"/>
  <c r="O3788" i="1"/>
  <c r="N3788" i="1"/>
  <c r="S3787" i="1"/>
  <c r="R3787" i="1"/>
  <c r="Q3787" i="1"/>
  <c r="P3787" i="1"/>
  <c r="O3787" i="1"/>
  <c r="N3787" i="1"/>
  <c r="S3786" i="1"/>
  <c r="R3786" i="1"/>
  <c r="Q3786" i="1"/>
  <c r="P3786" i="1"/>
  <c r="O3786" i="1"/>
  <c r="N3786" i="1"/>
  <c r="S3785" i="1"/>
  <c r="R3785" i="1"/>
  <c r="Q3785" i="1"/>
  <c r="P3785" i="1"/>
  <c r="O3785" i="1"/>
  <c r="N3785" i="1"/>
  <c r="S3784" i="1"/>
  <c r="R3784" i="1"/>
  <c r="Q3784" i="1"/>
  <c r="P3784" i="1"/>
  <c r="O3784" i="1"/>
  <c r="N3784" i="1"/>
  <c r="S3783" i="1"/>
  <c r="R3783" i="1"/>
  <c r="Q3783" i="1"/>
  <c r="P3783" i="1"/>
  <c r="O3783" i="1"/>
  <c r="N3783" i="1"/>
  <c r="S3782" i="1"/>
  <c r="R3782" i="1"/>
  <c r="Q3782" i="1"/>
  <c r="P3782" i="1"/>
  <c r="O3782" i="1"/>
  <c r="N3782" i="1"/>
  <c r="S3781" i="1"/>
  <c r="R3781" i="1"/>
  <c r="Q3781" i="1"/>
  <c r="P3781" i="1"/>
  <c r="O3781" i="1"/>
  <c r="N3781" i="1"/>
  <c r="S3780" i="1"/>
  <c r="R3780" i="1"/>
  <c r="Q3780" i="1"/>
  <c r="P3780" i="1"/>
  <c r="O3780" i="1"/>
  <c r="N3780" i="1"/>
  <c r="S3779" i="1"/>
  <c r="R3779" i="1"/>
  <c r="Q3779" i="1"/>
  <c r="P3779" i="1"/>
  <c r="O3779" i="1"/>
  <c r="N3779" i="1"/>
  <c r="S3778" i="1"/>
  <c r="R3778" i="1"/>
  <c r="Q3778" i="1"/>
  <c r="P3778" i="1"/>
  <c r="O3778" i="1"/>
  <c r="N3778" i="1"/>
  <c r="S3777" i="1"/>
  <c r="R3777" i="1"/>
  <c r="Q3777" i="1"/>
  <c r="P3777" i="1"/>
  <c r="O3777" i="1"/>
  <c r="N3777" i="1"/>
  <c r="S3776" i="1"/>
  <c r="R3776" i="1"/>
  <c r="Q3776" i="1"/>
  <c r="P3776" i="1"/>
  <c r="O3776" i="1"/>
  <c r="N3776" i="1"/>
  <c r="S3775" i="1"/>
  <c r="R3775" i="1"/>
  <c r="Q3775" i="1"/>
  <c r="P3775" i="1"/>
  <c r="O3775" i="1"/>
  <c r="N3775" i="1"/>
  <c r="S3774" i="1"/>
  <c r="R3774" i="1"/>
  <c r="Q3774" i="1"/>
  <c r="P3774" i="1"/>
  <c r="O3774" i="1"/>
  <c r="N3774" i="1"/>
  <c r="S3773" i="1"/>
  <c r="R3773" i="1"/>
  <c r="Q3773" i="1"/>
  <c r="P3773" i="1"/>
  <c r="O3773" i="1"/>
  <c r="N3773" i="1"/>
  <c r="S3772" i="1"/>
  <c r="R3772" i="1"/>
  <c r="Q3772" i="1"/>
  <c r="P3772" i="1"/>
  <c r="O3772" i="1"/>
  <c r="N3772" i="1"/>
  <c r="S3771" i="1"/>
  <c r="R3771" i="1"/>
  <c r="Q3771" i="1"/>
  <c r="P3771" i="1"/>
  <c r="O3771" i="1"/>
  <c r="N3771" i="1"/>
  <c r="S3770" i="1"/>
  <c r="R3770" i="1"/>
  <c r="Q3770" i="1"/>
  <c r="P3770" i="1"/>
  <c r="O3770" i="1"/>
  <c r="N3770" i="1"/>
  <c r="S3769" i="1"/>
  <c r="R3769" i="1"/>
  <c r="Q3769" i="1"/>
  <c r="P3769" i="1"/>
  <c r="O3769" i="1"/>
  <c r="N3769" i="1"/>
  <c r="S3768" i="1"/>
  <c r="R3768" i="1"/>
  <c r="Q3768" i="1"/>
  <c r="P3768" i="1"/>
  <c r="O3768" i="1"/>
  <c r="N3768" i="1"/>
  <c r="S3767" i="1"/>
  <c r="R3767" i="1"/>
  <c r="Q3767" i="1"/>
  <c r="P3767" i="1"/>
  <c r="O3767" i="1"/>
  <c r="N3767" i="1"/>
  <c r="S3766" i="1"/>
  <c r="R3766" i="1"/>
  <c r="Q3766" i="1"/>
  <c r="P3766" i="1"/>
  <c r="O3766" i="1"/>
  <c r="N3766" i="1"/>
  <c r="S3765" i="1"/>
  <c r="R3765" i="1"/>
  <c r="Q3765" i="1"/>
  <c r="P3765" i="1"/>
  <c r="O3765" i="1"/>
  <c r="N3765" i="1"/>
  <c r="S3764" i="1"/>
  <c r="R3764" i="1"/>
  <c r="Q3764" i="1"/>
  <c r="P3764" i="1"/>
  <c r="O3764" i="1"/>
  <c r="N3764" i="1"/>
  <c r="S3763" i="1"/>
  <c r="R3763" i="1"/>
  <c r="Q3763" i="1"/>
  <c r="P3763" i="1"/>
  <c r="O3763" i="1"/>
  <c r="N3763" i="1"/>
  <c r="S3762" i="1"/>
  <c r="R3762" i="1"/>
  <c r="Q3762" i="1"/>
  <c r="P3762" i="1"/>
  <c r="O3762" i="1"/>
  <c r="N3762" i="1"/>
  <c r="S3761" i="1"/>
  <c r="R3761" i="1"/>
  <c r="Q3761" i="1"/>
  <c r="P3761" i="1"/>
  <c r="O3761" i="1"/>
  <c r="N3761" i="1"/>
  <c r="S3760" i="1"/>
  <c r="R3760" i="1"/>
  <c r="Q3760" i="1"/>
  <c r="P3760" i="1"/>
  <c r="O3760" i="1"/>
  <c r="N3760" i="1"/>
  <c r="S3759" i="1"/>
  <c r="R3759" i="1"/>
  <c r="Q3759" i="1"/>
  <c r="P3759" i="1"/>
  <c r="O3759" i="1"/>
  <c r="N3759" i="1"/>
  <c r="S3758" i="1"/>
  <c r="R3758" i="1"/>
  <c r="Q3758" i="1"/>
  <c r="P3758" i="1"/>
  <c r="O3758" i="1"/>
  <c r="N3758" i="1"/>
  <c r="S3757" i="1"/>
  <c r="R3757" i="1"/>
  <c r="Q3757" i="1"/>
  <c r="P3757" i="1"/>
  <c r="O3757" i="1"/>
  <c r="N3757" i="1"/>
  <c r="S3756" i="1"/>
  <c r="R3756" i="1"/>
  <c r="Q3756" i="1"/>
  <c r="P3756" i="1"/>
  <c r="O3756" i="1"/>
  <c r="N3756" i="1"/>
  <c r="S3755" i="1"/>
  <c r="R3755" i="1"/>
  <c r="Q3755" i="1"/>
  <c r="P3755" i="1"/>
  <c r="O3755" i="1"/>
  <c r="N3755" i="1"/>
  <c r="S3754" i="1"/>
  <c r="R3754" i="1"/>
  <c r="Q3754" i="1"/>
  <c r="P3754" i="1"/>
  <c r="O3754" i="1"/>
  <c r="N3754" i="1"/>
  <c r="S3753" i="1"/>
  <c r="R3753" i="1"/>
  <c r="Q3753" i="1"/>
  <c r="P3753" i="1"/>
  <c r="O3753" i="1"/>
  <c r="N3753" i="1"/>
  <c r="S3752" i="1"/>
  <c r="R3752" i="1"/>
  <c r="Q3752" i="1"/>
  <c r="P3752" i="1"/>
  <c r="O3752" i="1"/>
  <c r="N3752" i="1"/>
  <c r="S3751" i="1"/>
  <c r="R3751" i="1"/>
  <c r="Q3751" i="1"/>
  <c r="P3751" i="1"/>
  <c r="O3751" i="1"/>
  <c r="N3751" i="1"/>
  <c r="S3750" i="1"/>
  <c r="R3750" i="1"/>
  <c r="Q3750" i="1"/>
  <c r="P3750" i="1"/>
  <c r="O3750" i="1"/>
  <c r="N3750" i="1"/>
  <c r="S3749" i="1"/>
  <c r="R3749" i="1"/>
  <c r="Q3749" i="1"/>
  <c r="P3749" i="1"/>
  <c r="O3749" i="1"/>
  <c r="N3749" i="1"/>
  <c r="S3748" i="1"/>
  <c r="R3748" i="1"/>
  <c r="Q3748" i="1"/>
  <c r="P3748" i="1"/>
  <c r="O3748" i="1"/>
  <c r="N3748" i="1"/>
  <c r="S3747" i="1"/>
  <c r="R3747" i="1"/>
  <c r="Q3747" i="1"/>
  <c r="P3747" i="1"/>
  <c r="O3747" i="1"/>
  <c r="N3747" i="1"/>
  <c r="S3746" i="1"/>
  <c r="R3746" i="1"/>
  <c r="Q3746" i="1"/>
  <c r="P3746" i="1"/>
  <c r="O3746" i="1"/>
  <c r="N3746" i="1"/>
  <c r="S3745" i="1"/>
  <c r="R3745" i="1"/>
  <c r="Q3745" i="1"/>
  <c r="P3745" i="1"/>
  <c r="O3745" i="1"/>
  <c r="N3745" i="1"/>
  <c r="S3744" i="1"/>
  <c r="R3744" i="1"/>
  <c r="Q3744" i="1"/>
  <c r="P3744" i="1"/>
  <c r="O3744" i="1"/>
  <c r="N3744" i="1"/>
  <c r="S3743" i="1"/>
  <c r="R3743" i="1"/>
  <c r="Q3743" i="1"/>
  <c r="P3743" i="1"/>
  <c r="O3743" i="1"/>
  <c r="N3743" i="1"/>
  <c r="S3742" i="1"/>
  <c r="R3742" i="1"/>
  <c r="Q3742" i="1"/>
  <c r="P3742" i="1"/>
  <c r="O3742" i="1"/>
  <c r="N3742" i="1"/>
  <c r="S3741" i="1"/>
  <c r="R3741" i="1"/>
  <c r="Q3741" i="1"/>
  <c r="P3741" i="1"/>
  <c r="O3741" i="1"/>
  <c r="N3741" i="1"/>
  <c r="S3740" i="1"/>
  <c r="R3740" i="1"/>
  <c r="Q3740" i="1"/>
  <c r="P3740" i="1"/>
  <c r="O3740" i="1"/>
  <c r="N3740" i="1"/>
  <c r="S3739" i="1"/>
  <c r="R3739" i="1"/>
  <c r="Q3739" i="1"/>
  <c r="P3739" i="1"/>
  <c r="O3739" i="1"/>
  <c r="N3739" i="1"/>
  <c r="S3738" i="1"/>
  <c r="R3738" i="1"/>
  <c r="Q3738" i="1"/>
  <c r="P3738" i="1"/>
  <c r="O3738" i="1"/>
  <c r="N3738" i="1"/>
  <c r="S3737" i="1"/>
  <c r="R3737" i="1"/>
  <c r="Q3737" i="1"/>
  <c r="P3737" i="1"/>
  <c r="O3737" i="1"/>
  <c r="N3737" i="1"/>
  <c r="S3736" i="1"/>
  <c r="R3736" i="1"/>
  <c r="Q3736" i="1"/>
  <c r="P3736" i="1"/>
  <c r="O3736" i="1"/>
  <c r="N3736" i="1"/>
  <c r="S3735" i="1"/>
  <c r="R3735" i="1"/>
  <c r="Q3735" i="1"/>
  <c r="P3735" i="1"/>
  <c r="O3735" i="1"/>
  <c r="N3735" i="1"/>
  <c r="S3734" i="1"/>
  <c r="R3734" i="1"/>
  <c r="Q3734" i="1"/>
  <c r="P3734" i="1"/>
  <c r="O3734" i="1"/>
  <c r="N3734" i="1"/>
  <c r="S3733" i="1"/>
  <c r="R3733" i="1"/>
  <c r="Q3733" i="1"/>
  <c r="P3733" i="1"/>
  <c r="O3733" i="1"/>
  <c r="N3733" i="1"/>
  <c r="S3732" i="1"/>
  <c r="R3732" i="1"/>
  <c r="Q3732" i="1"/>
  <c r="P3732" i="1"/>
  <c r="O3732" i="1"/>
  <c r="N3732" i="1"/>
  <c r="S3731" i="1"/>
  <c r="R3731" i="1"/>
  <c r="Q3731" i="1"/>
  <c r="P3731" i="1"/>
  <c r="O3731" i="1"/>
  <c r="N3731" i="1"/>
  <c r="S3730" i="1"/>
  <c r="R3730" i="1"/>
  <c r="Q3730" i="1"/>
  <c r="P3730" i="1"/>
  <c r="O3730" i="1"/>
  <c r="N3730" i="1"/>
  <c r="S3729" i="1"/>
  <c r="R3729" i="1"/>
  <c r="Q3729" i="1"/>
  <c r="P3729" i="1"/>
  <c r="O3729" i="1"/>
  <c r="N3729" i="1"/>
  <c r="S3728" i="1"/>
  <c r="R3728" i="1"/>
  <c r="Q3728" i="1"/>
  <c r="P3728" i="1"/>
  <c r="O3728" i="1"/>
  <c r="N3728" i="1"/>
  <c r="S3727" i="1"/>
  <c r="R3727" i="1"/>
  <c r="Q3727" i="1"/>
  <c r="P3727" i="1"/>
  <c r="O3727" i="1"/>
  <c r="N3727" i="1"/>
  <c r="S3726" i="1"/>
  <c r="R3726" i="1"/>
  <c r="Q3726" i="1"/>
  <c r="P3726" i="1"/>
  <c r="O3726" i="1"/>
  <c r="N3726" i="1"/>
  <c r="S3725" i="1"/>
  <c r="R3725" i="1"/>
  <c r="Q3725" i="1"/>
  <c r="P3725" i="1"/>
  <c r="O3725" i="1"/>
  <c r="N3725" i="1"/>
  <c r="S3724" i="1"/>
  <c r="R3724" i="1"/>
  <c r="Q3724" i="1"/>
  <c r="P3724" i="1"/>
  <c r="O3724" i="1"/>
  <c r="N3724" i="1"/>
  <c r="S3723" i="1"/>
  <c r="R3723" i="1"/>
  <c r="Q3723" i="1"/>
  <c r="P3723" i="1"/>
  <c r="O3723" i="1"/>
  <c r="N3723" i="1"/>
  <c r="S3722" i="1"/>
  <c r="R3722" i="1"/>
  <c r="Q3722" i="1"/>
  <c r="P3722" i="1"/>
  <c r="O3722" i="1"/>
  <c r="N3722" i="1"/>
  <c r="S3721" i="1"/>
  <c r="R3721" i="1"/>
  <c r="Q3721" i="1"/>
  <c r="P3721" i="1"/>
  <c r="O3721" i="1"/>
  <c r="N3721" i="1"/>
  <c r="S3720" i="1"/>
  <c r="R3720" i="1"/>
  <c r="Q3720" i="1"/>
  <c r="P3720" i="1"/>
  <c r="O3720" i="1"/>
  <c r="N3720" i="1"/>
  <c r="S3719" i="1"/>
  <c r="R3719" i="1"/>
  <c r="Q3719" i="1"/>
  <c r="P3719" i="1"/>
  <c r="O3719" i="1"/>
  <c r="N3719" i="1"/>
  <c r="S3718" i="1"/>
  <c r="R3718" i="1"/>
  <c r="Q3718" i="1"/>
  <c r="P3718" i="1"/>
  <c r="O3718" i="1"/>
  <c r="N3718" i="1"/>
  <c r="S3717" i="1"/>
  <c r="R3717" i="1"/>
  <c r="Q3717" i="1"/>
  <c r="P3717" i="1"/>
  <c r="O3717" i="1"/>
  <c r="N3717" i="1"/>
  <c r="S3716" i="1"/>
  <c r="R3716" i="1"/>
  <c r="Q3716" i="1"/>
  <c r="P3716" i="1"/>
  <c r="O3716" i="1"/>
  <c r="N3716" i="1"/>
  <c r="S3715" i="1"/>
  <c r="R3715" i="1"/>
  <c r="Q3715" i="1"/>
  <c r="P3715" i="1"/>
  <c r="O3715" i="1"/>
  <c r="N3715" i="1"/>
  <c r="S3714" i="1"/>
  <c r="R3714" i="1"/>
  <c r="Q3714" i="1"/>
  <c r="P3714" i="1"/>
  <c r="O3714" i="1"/>
  <c r="N3714" i="1"/>
  <c r="S3713" i="1"/>
  <c r="R3713" i="1"/>
  <c r="Q3713" i="1"/>
  <c r="P3713" i="1"/>
  <c r="O3713" i="1"/>
  <c r="N3713" i="1"/>
  <c r="S3712" i="1"/>
  <c r="R3712" i="1"/>
  <c r="Q3712" i="1"/>
  <c r="P3712" i="1"/>
  <c r="O3712" i="1"/>
  <c r="N3712" i="1"/>
  <c r="S3711" i="1"/>
  <c r="R3711" i="1"/>
  <c r="Q3711" i="1"/>
  <c r="P3711" i="1"/>
  <c r="O3711" i="1"/>
  <c r="N3711" i="1"/>
  <c r="S3710" i="1"/>
  <c r="R3710" i="1"/>
  <c r="Q3710" i="1"/>
  <c r="P3710" i="1"/>
  <c r="O3710" i="1"/>
  <c r="N3710" i="1"/>
  <c r="S3709" i="1"/>
  <c r="R3709" i="1"/>
  <c r="Q3709" i="1"/>
  <c r="P3709" i="1"/>
  <c r="O3709" i="1"/>
  <c r="N3709" i="1"/>
  <c r="S3708" i="1"/>
  <c r="R3708" i="1"/>
  <c r="Q3708" i="1"/>
  <c r="P3708" i="1"/>
  <c r="O3708" i="1"/>
  <c r="N3708" i="1"/>
  <c r="S3707" i="1"/>
  <c r="R3707" i="1"/>
  <c r="Q3707" i="1"/>
  <c r="P3707" i="1"/>
  <c r="O3707" i="1"/>
  <c r="N3707" i="1"/>
  <c r="S3706" i="1"/>
  <c r="R3706" i="1"/>
  <c r="Q3706" i="1"/>
  <c r="P3706" i="1"/>
  <c r="O3706" i="1"/>
  <c r="N3706" i="1"/>
  <c r="S3705" i="1"/>
  <c r="R3705" i="1"/>
  <c r="Q3705" i="1"/>
  <c r="P3705" i="1"/>
  <c r="O3705" i="1"/>
  <c r="N3705" i="1"/>
  <c r="S3704" i="1"/>
  <c r="R3704" i="1"/>
  <c r="Q3704" i="1"/>
  <c r="P3704" i="1"/>
  <c r="O3704" i="1"/>
  <c r="N3704" i="1"/>
  <c r="S3703" i="1"/>
  <c r="R3703" i="1"/>
  <c r="Q3703" i="1"/>
  <c r="P3703" i="1"/>
  <c r="O3703" i="1"/>
  <c r="N3703" i="1"/>
  <c r="S3702" i="1"/>
  <c r="R3702" i="1"/>
  <c r="Q3702" i="1"/>
  <c r="P3702" i="1"/>
  <c r="O3702" i="1"/>
  <c r="N3702" i="1"/>
  <c r="S3701" i="1"/>
  <c r="R3701" i="1"/>
  <c r="Q3701" i="1"/>
  <c r="P3701" i="1"/>
  <c r="O3701" i="1"/>
  <c r="N3701" i="1"/>
  <c r="S3700" i="1"/>
  <c r="R3700" i="1"/>
  <c r="Q3700" i="1"/>
  <c r="P3700" i="1"/>
  <c r="O3700" i="1"/>
  <c r="N3700" i="1"/>
  <c r="S3699" i="1"/>
  <c r="R3699" i="1"/>
  <c r="Q3699" i="1"/>
  <c r="P3699" i="1"/>
  <c r="O3699" i="1"/>
  <c r="N3699" i="1"/>
  <c r="S3698" i="1"/>
  <c r="R3698" i="1"/>
  <c r="Q3698" i="1"/>
  <c r="P3698" i="1"/>
  <c r="O3698" i="1"/>
  <c r="N3698" i="1"/>
  <c r="S3697" i="1"/>
  <c r="R3697" i="1"/>
  <c r="Q3697" i="1"/>
  <c r="P3697" i="1"/>
  <c r="O3697" i="1"/>
  <c r="N3697" i="1"/>
  <c r="S3696" i="1"/>
  <c r="R3696" i="1"/>
  <c r="Q3696" i="1"/>
  <c r="P3696" i="1"/>
  <c r="O3696" i="1"/>
  <c r="N3696" i="1"/>
  <c r="S3695" i="1"/>
  <c r="R3695" i="1"/>
  <c r="Q3695" i="1"/>
  <c r="P3695" i="1"/>
  <c r="O3695" i="1"/>
  <c r="N3695" i="1"/>
  <c r="S3694" i="1"/>
  <c r="R3694" i="1"/>
  <c r="Q3694" i="1"/>
  <c r="P3694" i="1"/>
  <c r="O3694" i="1"/>
  <c r="N3694" i="1"/>
  <c r="S3693" i="1"/>
  <c r="R3693" i="1"/>
  <c r="Q3693" i="1"/>
  <c r="P3693" i="1"/>
  <c r="O3693" i="1"/>
  <c r="N3693" i="1"/>
  <c r="S3692" i="1"/>
  <c r="R3692" i="1"/>
  <c r="Q3692" i="1"/>
  <c r="P3692" i="1"/>
  <c r="O3692" i="1"/>
  <c r="N3692" i="1"/>
  <c r="S3691" i="1"/>
  <c r="R3691" i="1"/>
  <c r="Q3691" i="1"/>
  <c r="P3691" i="1"/>
  <c r="O3691" i="1"/>
  <c r="N3691" i="1"/>
  <c r="S3690" i="1"/>
  <c r="R3690" i="1"/>
  <c r="Q3690" i="1"/>
  <c r="P3690" i="1"/>
  <c r="O3690" i="1"/>
  <c r="N3690" i="1"/>
  <c r="S3689" i="1"/>
  <c r="R3689" i="1"/>
  <c r="Q3689" i="1"/>
  <c r="P3689" i="1"/>
  <c r="O3689" i="1"/>
  <c r="N3689" i="1"/>
  <c r="S3688" i="1"/>
  <c r="R3688" i="1"/>
  <c r="Q3688" i="1"/>
  <c r="P3688" i="1"/>
  <c r="O3688" i="1"/>
  <c r="N3688" i="1"/>
  <c r="S3687" i="1"/>
  <c r="R3687" i="1"/>
  <c r="Q3687" i="1"/>
  <c r="P3687" i="1"/>
  <c r="O3687" i="1"/>
  <c r="N3687" i="1"/>
  <c r="S3686" i="1"/>
  <c r="R3686" i="1"/>
  <c r="Q3686" i="1"/>
  <c r="P3686" i="1"/>
  <c r="O3686" i="1"/>
  <c r="N3686" i="1"/>
  <c r="S3685" i="1"/>
  <c r="R3685" i="1"/>
  <c r="Q3685" i="1"/>
  <c r="P3685" i="1"/>
  <c r="O3685" i="1"/>
  <c r="N3685" i="1"/>
  <c r="S3684" i="1"/>
  <c r="R3684" i="1"/>
  <c r="Q3684" i="1"/>
  <c r="P3684" i="1"/>
  <c r="O3684" i="1"/>
  <c r="N3684" i="1"/>
  <c r="S3683" i="1"/>
  <c r="R3683" i="1"/>
  <c r="Q3683" i="1"/>
  <c r="P3683" i="1"/>
  <c r="O3683" i="1"/>
  <c r="N3683" i="1"/>
  <c r="S3682" i="1"/>
  <c r="R3682" i="1"/>
  <c r="Q3682" i="1"/>
  <c r="P3682" i="1"/>
  <c r="O3682" i="1"/>
  <c r="N3682" i="1"/>
  <c r="S3681" i="1"/>
  <c r="R3681" i="1"/>
  <c r="Q3681" i="1"/>
  <c r="P3681" i="1"/>
  <c r="O3681" i="1"/>
  <c r="N3681" i="1"/>
  <c r="S3680" i="1"/>
  <c r="R3680" i="1"/>
  <c r="Q3680" i="1"/>
  <c r="P3680" i="1"/>
  <c r="O3680" i="1"/>
  <c r="N3680" i="1"/>
  <c r="S3679" i="1"/>
  <c r="R3679" i="1"/>
  <c r="Q3679" i="1"/>
  <c r="P3679" i="1"/>
  <c r="O3679" i="1"/>
  <c r="N3679" i="1"/>
  <c r="S3678" i="1"/>
  <c r="R3678" i="1"/>
  <c r="Q3678" i="1"/>
  <c r="P3678" i="1"/>
  <c r="O3678" i="1"/>
  <c r="N3678" i="1"/>
  <c r="S3677" i="1"/>
  <c r="R3677" i="1"/>
  <c r="Q3677" i="1"/>
  <c r="P3677" i="1"/>
  <c r="O3677" i="1"/>
  <c r="N3677" i="1"/>
  <c r="S3676" i="1"/>
  <c r="R3676" i="1"/>
  <c r="Q3676" i="1"/>
  <c r="P3676" i="1"/>
  <c r="O3676" i="1"/>
  <c r="N3676" i="1"/>
  <c r="S3675" i="1"/>
  <c r="R3675" i="1"/>
  <c r="Q3675" i="1"/>
  <c r="P3675" i="1"/>
  <c r="O3675" i="1"/>
  <c r="N3675" i="1"/>
  <c r="S3674" i="1"/>
  <c r="R3674" i="1"/>
  <c r="Q3674" i="1"/>
  <c r="P3674" i="1"/>
  <c r="O3674" i="1"/>
  <c r="N3674" i="1"/>
  <c r="S3673" i="1"/>
  <c r="R3673" i="1"/>
  <c r="Q3673" i="1"/>
  <c r="P3673" i="1"/>
  <c r="O3673" i="1"/>
  <c r="N3673" i="1"/>
  <c r="S3672" i="1"/>
  <c r="R3672" i="1"/>
  <c r="Q3672" i="1"/>
  <c r="P3672" i="1"/>
  <c r="O3672" i="1"/>
  <c r="N3672" i="1"/>
  <c r="S3671" i="1"/>
  <c r="R3671" i="1"/>
  <c r="Q3671" i="1"/>
  <c r="P3671" i="1"/>
  <c r="O3671" i="1"/>
  <c r="N3671" i="1"/>
  <c r="S3670" i="1"/>
  <c r="R3670" i="1"/>
  <c r="Q3670" i="1"/>
  <c r="P3670" i="1"/>
  <c r="O3670" i="1"/>
  <c r="N3670" i="1"/>
  <c r="S3669" i="1"/>
  <c r="R3669" i="1"/>
  <c r="Q3669" i="1"/>
  <c r="P3669" i="1"/>
  <c r="O3669" i="1"/>
  <c r="N3669" i="1"/>
  <c r="S3668" i="1"/>
  <c r="R3668" i="1"/>
  <c r="Q3668" i="1"/>
  <c r="P3668" i="1"/>
  <c r="O3668" i="1"/>
  <c r="N3668" i="1"/>
  <c r="S3667" i="1"/>
  <c r="R3667" i="1"/>
  <c r="Q3667" i="1"/>
  <c r="P3667" i="1"/>
  <c r="O3667" i="1"/>
  <c r="N3667" i="1"/>
  <c r="S3666" i="1"/>
  <c r="R3666" i="1"/>
  <c r="Q3666" i="1"/>
  <c r="P3666" i="1"/>
  <c r="O3666" i="1"/>
  <c r="N3666" i="1"/>
  <c r="S3665" i="1"/>
  <c r="R3665" i="1"/>
  <c r="Q3665" i="1"/>
  <c r="P3665" i="1"/>
  <c r="O3665" i="1"/>
  <c r="N3665" i="1"/>
  <c r="S3664" i="1"/>
  <c r="R3664" i="1"/>
  <c r="Q3664" i="1"/>
  <c r="P3664" i="1"/>
  <c r="O3664" i="1"/>
  <c r="N3664" i="1"/>
  <c r="S3663" i="1"/>
  <c r="R3663" i="1"/>
  <c r="Q3663" i="1"/>
  <c r="P3663" i="1"/>
  <c r="O3663" i="1"/>
  <c r="N3663" i="1"/>
  <c r="S3662" i="1"/>
  <c r="R3662" i="1"/>
  <c r="Q3662" i="1"/>
  <c r="P3662" i="1"/>
  <c r="O3662" i="1"/>
  <c r="N3662" i="1"/>
  <c r="S3661" i="1"/>
  <c r="R3661" i="1"/>
  <c r="Q3661" i="1"/>
  <c r="P3661" i="1"/>
  <c r="O3661" i="1"/>
  <c r="N3661" i="1"/>
  <c r="S3660" i="1"/>
  <c r="R3660" i="1"/>
  <c r="Q3660" i="1"/>
  <c r="P3660" i="1"/>
  <c r="O3660" i="1"/>
  <c r="N3660" i="1"/>
  <c r="S3659" i="1"/>
  <c r="R3659" i="1"/>
  <c r="Q3659" i="1"/>
  <c r="P3659" i="1"/>
  <c r="O3659" i="1"/>
  <c r="N3659" i="1"/>
  <c r="S3658" i="1"/>
  <c r="R3658" i="1"/>
  <c r="Q3658" i="1"/>
  <c r="P3658" i="1"/>
  <c r="O3658" i="1"/>
  <c r="N3658" i="1"/>
  <c r="S3657" i="1"/>
  <c r="R3657" i="1"/>
  <c r="Q3657" i="1"/>
  <c r="P3657" i="1"/>
  <c r="O3657" i="1"/>
  <c r="N3657" i="1"/>
  <c r="S3656" i="1"/>
  <c r="R3656" i="1"/>
  <c r="Q3656" i="1"/>
  <c r="P3656" i="1"/>
  <c r="O3656" i="1"/>
  <c r="N3656" i="1"/>
  <c r="S3655" i="1"/>
  <c r="R3655" i="1"/>
  <c r="Q3655" i="1"/>
  <c r="P3655" i="1"/>
  <c r="O3655" i="1"/>
  <c r="N3655" i="1"/>
  <c r="S3654" i="1"/>
  <c r="R3654" i="1"/>
  <c r="Q3654" i="1"/>
  <c r="P3654" i="1"/>
  <c r="O3654" i="1"/>
  <c r="N3654" i="1"/>
  <c r="S3653" i="1"/>
  <c r="R3653" i="1"/>
  <c r="Q3653" i="1"/>
  <c r="P3653" i="1"/>
  <c r="O3653" i="1"/>
  <c r="N3653" i="1"/>
  <c r="S3652" i="1"/>
  <c r="R3652" i="1"/>
  <c r="Q3652" i="1"/>
  <c r="P3652" i="1"/>
  <c r="O3652" i="1"/>
  <c r="N3652" i="1"/>
  <c r="S3651" i="1"/>
  <c r="R3651" i="1"/>
  <c r="Q3651" i="1"/>
  <c r="P3651" i="1"/>
  <c r="O3651" i="1"/>
  <c r="N3651" i="1"/>
  <c r="S3650" i="1"/>
  <c r="R3650" i="1"/>
  <c r="Q3650" i="1"/>
  <c r="P3650" i="1"/>
  <c r="O3650" i="1"/>
  <c r="N3650" i="1"/>
  <c r="S3649" i="1"/>
  <c r="R3649" i="1"/>
  <c r="Q3649" i="1"/>
  <c r="P3649" i="1"/>
  <c r="O3649" i="1"/>
  <c r="N3649" i="1"/>
  <c r="S3648" i="1"/>
  <c r="R3648" i="1"/>
  <c r="Q3648" i="1"/>
  <c r="P3648" i="1"/>
  <c r="O3648" i="1"/>
  <c r="N3648" i="1"/>
  <c r="S3647" i="1"/>
  <c r="R3647" i="1"/>
  <c r="Q3647" i="1"/>
  <c r="P3647" i="1"/>
  <c r="O3647" i="1"/>
  <c r="N3647" i="1"/>
  <c r="S3646" i="1"/>
  <c r="R3646" i="1"/>
  <c r="Q3646" i="1"/>
  <c r="P3646" i="1"/>
  <c r="O3646" i="1"/>
  <c r="N3646" i="1"/>
  <c r="S3645" i="1"/>
  <c r="R3645" i="1"/>
  <c r="Q3645" i="1"/>
  <c r="P3645" i="1"/>
  <c r="O3645" i="1"/>
  <c r="N3645" i="1"/>
  <c r="S3644" i="1"/>
  <c r="R3644" i="1"/>
  <c r="Q3644" i="1"/>
  <c r="P3644" i="1"/>
  <c r="O3644" i="1"/>
  <c r="N3644" i="1"/>
  <c r="S3643" i="1"/>
  <c r="R3643" i="1"/>
  <c r="Q3643" i="1"/>
  <c r="P3643" i="1"/>
  <c r="O3643" i="1"/>
  <c r="N3643" i="1"/>
  <c r="S3642" i="1"/>
  <c r="R3642" i="1"/>
  <c r="Q3642" i="1"/>
  <c r="P3642" i="1"/>
  <c r="O3642" i="1"/>
  <c r="N3642" i="1"/>
  <c r="S3641" i="1"/>
  <c r="R3641" i="1"/>
  <c r="Q3641" i="1"/>
  <c r="P3641" i="1"/>
  <c r="O3641" i="1"/>
  <c r="N3641" i="1"/>
  <c r="S3640" i="1"/>
  <c r="R3640" i="1"/>
  <c r="Q3640" i="1"/>
  <c r="P3640" i="1"/>
  <c r="O3640" i="1"/>
  <c r="N3640" i="1"/>
  <c r="S3639" i="1"/>
  <c r="R3639" i="1"/>
  <c r="Q3639" i="1"/>
  <c r="P3639" i="1"/>
  <c r="O3639" i="1"/>
  <c r="N3639" i="1"/>
  <c r="S3638" i="1"/>
  <c r="R3638" i="1"/>
  <c r="Q3638" i="1"/>
  <c r="P3638" i="1"/>
  <c r="O3638" i="1"/>
  <c r="N3638" i="1"/>
  <c r="S3637" i="1"/>
  <c r="R3637" i="1"/>
  <c r="Q3637" i="1"/>
  <c r="P3637" i="1"/>
  <c r="O3637" i="1"/>
  <c r="N3637" i="1"/>
  <c r="S3636" i="1"/>
  <c r="R3636" i="1"/>
  <c r="Q3636" i="1"/>
  <c r="P3636" i="1"/>
  <c r="O3636" i="1"/>
  <c r="N3636" i="1"/>
  <c r="S3635" i="1"/>
  <c r="R3635" i="1"/>
  <c r="Q3635" i="1"/>
  <c r="P3635" i="1"/>
  <c r="O3635" i="1"/>
  <c r="N3635" i="1"/>
  <c r="S3634" i="1"/>
  <c r="R3634" i="1"/>
  <c r="Q3634" i="1"/>
  <c r="P3634" i="1"/>
  <c r="O3634" i="1"/>
  <c r="N3634" i="1"/>
  <c r="S3633" i="1"/>
  <c r="R3633" i="1"/>
  <c r="Q3633" i="1"/>
  <c r="P3633" i="1"/>
  <c r="O3633" i="1"/>
  <c r="N3633" i="1"/>
  <c r="S3632" i="1"/>
  <c r="R3632" i="1"/>
  <c r="Q3632" i="1"/>
  <c r="P3632" i="1"/>
  <c r="O3632" i="1"/>
  <c r="N3632" i="1"/>
  <c r="S3631" i="1"/>
  <c r="R3631" i="1"/>
  <c r="Q3631" i="1"/>
  <c r="P3631" i="1"/>
  <c r="O3631" i="1"/>
  <c r="N3631" i="1"/>
  <c r="S3630" i="1"/>
  <c r="R3630" i="1"/>
  <c r="Q3630" i="1"/>
  <c r="P3630" i="1"/>
  <c r="O3630" i="1"/>
  <c r="N3630" i="1"/>
  <c r="S3629" i="1"/>
  <c r="R3629" i="1"/>
  <c r="Q3629" i="1"/>
  <c r="P3629" i="1"/>
  <c r="O3629" i="1"/>
  <c r="N3629" i="1"/>
  <c r="S3628" i="1"/>
  <c r="R3628" i="1"/>
  <c r="Q3628" i="1"/>
  <c r="P3628" i="1"/>
  <c r="O3628" i="1"/>
  <c r="N3628" i="1"/>
  <c r="S3627" i="1"/>
  <c r="R3627" i="1"/>
  <c r="Q3627" i="1"/>
  <c r="P3627" i="1"/>
  <c r="O3627" i="1"/>
  <c r="N3627" i="1"/>
  <c r="S3626" i="1"/>
  <c r="R3626" i="1"/>
  <c r="Q3626" i="1"/>
  <c r="P3626" i="1"/>
  <c r="O3626" i="1"/>
  <c r="N3626" i="1"/>
  <c r="S3625" i="1"/>
  <c r="R3625" i="1"/>
  <c r="Q3625" i="1"/>
  <c r="P3625" i="1"/>
  <c r="O3625" i="1"/>
  <c r="N3625" i="1"/>
  <c r="S3624" i="1"/>
  <c r="R3624" i="1"/>
  <c r="Q3624" i="1"/>
  <c r="P3624" i="1"/>
  <c r="O3624" i="1"/>
  <c r="N3624" i="1"/>
  <c r="S3623" i="1"/>
  <c r="R3623" i="1"/>
  <c r="Q3623" i="1"/>
  <c r="P3623" i="1"/>
  <c r="O3623" i="1"/>
  <c r="N3623" i="1"/>
  <c r="S3622" i="1"/>
  <c r="R3622" i="1"/>
  <c r="Q3622" i="1"/>
  <c r="P3622" i="1"/>
  <c r="O3622" i="1"/>
  <c r="N3622" i="1"/>
  <c r="S3621" i="1"/>
  <c r="R3621" i="1"/>
  <c r="Q3621" i="1"/>
  <c r="P3621" i="1"/>
  <c r="O3621" i="1"/>
  <c r="N3621" i="1"/>
  <c r="S3620" i="1"/>
  <c r="R3620" i="1"/>
  <c r="Q3620" i="1"/>
  <c r="P3620" i="1"/>
  <c r="O3620" i="1"/>
  <c r="N3620" i="1"/>
  <c r="S3619" i="1"/>
  <c r="R3619" i="1"/>
  <c r="Q3619" i="1"/>
  <c r="P3619" i="1"/>
  <c r="O3619" i="1"/>
  <c r="N3619" i="1"/>
  <c r="S3618" i="1"/>
  <c r="R3618" i="1"/>
  <c r="Q3618" i="1"/>
  <c r="P3618" i="1"/>
  <c r="O3618" i="1"/>
  <c r="N3618" i="1"/>
  <c r="S3617" i="1"/>
  <c r="R3617" i="1"/>
  <c r="Q3617" i="1"/>
  <c r="P3617" i="1"/>
  <c r="O3617" i="1"/>
  <c r="N3617" i="1"/>
  <c r="S3616" i="1"/>
  <c r="R3616" i="1"/>
  <c r="Q3616" i="1"/>
  <c r="P3616" i="1"/>
  <c r="O3616" i="1"/>
  <c r="N3616" i="1"/>
  <c r="S3615" i="1"/>
  <c r="R3615" i="1"/>
  <c r="Q3615" i="1"/>
  <c r="P3615" i="1"/>
  <c r="O3615" i="1"/>
  <c r="N3615" i="1"/>
  <c r="S3614" i="1"/>
  <c r="R3614" i="1"/>
  <c r="Q3614" i="1"/>
  <c r="P3614" i="1"/>
  <c r="O3614" i="1"/>
  <c r="N3614" i="1"/>
  <c r="S3613" i="1"/>
  <c r="R3613" i="1"/>
  <c r="Q3613" i="1"/>
  <c r="P3613" i="1"/>
  <c r="O3613" i="1"/>
  <c r="N3613" i="1"/>
  <c r="S3612" i="1"/>
  <c r="R3612" i="1"/>
  <c r="Q3612" i="1"/>
  <c r="P3612" i="1"/>
  <c r="O3612" i="1"/>
  <c r="N3612" i="1"/>
  <c r="S3611" i="1"/>
  <c r="R3611" i="1"/>
  <c r="Q3611" i="1"/>
  <c r="P3611" i="1"/>
  <c r="O3611" i="1"/>
  <c r="N3611" i="1"/>
  <c r="S3610" i="1"/>
  <c r="R3610" i="1"/>
  <c r="Q3610" i="1"/>
  <c r="P3610" i="1"/>
  <c r="O3610" i="1"/>
  <c r="N3610" i="1"/>
  <c r="S3609" i="1"/>
  <c r="R3609" i="1"/>
  <c r="Q3609" i="1"/>
  <c r="P3609" i="1"/>
  <c r="O3609" i="1"/>
  <c r="N3609" i="1"/>
  <c r="S3608" i="1"/>
  <c r="R3608" i="1"/>
  <c r="Q3608" i="1"/>
  <c r="P3608" i="1"/>
  <c r="O3608" i="1"/>
  <c r="N3608" i="1"/>
  <c r="S3607" i="1"/>
  <c r="R3607" i="1"/>
  <c r="Q3607" i="1"/>
  <c r="P3607" i="1"/>
  <c r="O3607" i="1"/>
  <c r="N3607" i="1"/>
  <c r="S3606" i="1"/>
  <c r="R3606" i="1"/>
  <c r="Q3606" i="1"/>
  <c r="P3606" i="1"/>
  <c r="O3606" i="1"/>
  <c r="N3606" i="1"/>
  <c r="S3605" i="1"/>
  <c r="R3605" i="1"/>
  <c r="Q3605" i="1"/>
  <c r="P3605" i="1"/>
  <c r="O3605" i="1"/>
  <c r="N3605" i="1"/>
  <c r="S3604" i="1"/>
  <c r="R3604" i="1"/>
  <c r="Q3604" i="1"/>
  <c r="P3604" i="1"/>
  <c r="O3604" i="1"/>
  <c r="N3604" i="1"/>
  <c r="S3603" i="1"/>
  <c r="R3603" i="1"/>
  <c r="Q3603" i="1"/>
  <c r="P3603" i="1"/>
  <c r="O3603" i="1"/>
  <c r="N3603" i="1"/>
  <c r="S3602" i="1"/>
  <c r="R3602" i="1"/>
  <c r="Q3602" i="1"/>
  <c r="P3602" i="1"/>
  <c r="O3602" i="1"/>
  <c r="N3602" i="1"/>
  <c r="S3601" i="1"/>
  <c r="R3601" i="1"/>
  <c r="Q3601" i="1"/>
  <c r="P3601" i="1"/>
  <c r="O3601" i="1"/>
  <c r="N3601" i="1"/>
  <c r="S3600" i="1"/>
  <c r="R3600" i="1"/>
  <c r="Q3600" i="1"/>
  <c r="P3600" i="1"/>
  <c r="O3600" i="1"/>
  <c r="N3600" i="1"/>
  <c r="S3599" i="1"/>
  <c r="R3599" i="1"/>
  <c r="Q3599" i="1"/>
  <c r="P3599" i="1"/>
  <c r="O3599" i="1"/>
  <c r="N3599" i="1"/>
  <c r="S3598" i="1"/>
  <c r="R3598" i="1"/>
  <c r="Q3598" i="1"/>
  <c r="P3598" i="1"/>
  <c r="O3598" i="1"/>
  <c r="N3598" i="1"/>
  <c r="S3597" i="1"/>
  <c r="R3597" i="1"/>
  <c r="Q3597" i="1"/>
  <c r="P3597" i="1"/>
  <c r="O3597" i="1"/>
  <c r="N3597" i="1"/>
  <c r="S3596" i="1"/>
  <c r="R3596" i="1"/>
  <c r="Q3596" i="1"/>
  <c r="P3596" i="1"/>
  <c r="O3596" i="1"/>
  <c r="N3596" i="1"/>
  <c r="S3595" i="1"/>
  <c r="R3595" i="1"/>
  <c r="Q3595" i="1"/>
  <c r="P3595" i="1"/>
  <c r="O3595" i="1"/>
  <c r="N3595" i="1"/>
  <c r="S3594" i="1"/>
  <c r="R3594" i="1"/>
  <c r="Q3594" i="1"/>
  <c r="P3594" i="1"/>
  <c r="O3594" i="1"/>
  <c r="N3594" i="1"/>
  <c r="S3593" i="1"/>
  <c r="R3593" i="1"/>
  <c r="Q3593" i="1"/>
  <c r="P3593" i="1"/>
  <c r="O3593" i="1"/>
  <c r="N3593" i="1"/>
  <c r="S3592" i="1"/>
  <c r="R3592" i="1"/>
  <c r="Q3592" i="1"/>
  <c r="P3592" i="1"/>
  <c r="O3592" i="1"/>
  <c r="N3592" i="1"/>
  <c r="S3591" i="1"/>
  <c r="R3591" i="1"/>
  <c r="Q3591" i="1"/>
  <c r="P3591" i="1"/>
  <c r="O3591" i="1"/>
  <c r="N3591" i="1"/>
  <c r="S3590" i="1"/>
  <c r="R3590" i="1"/>
  <c r="Q3590" i="1"/>
  <c r="P3590" i="1"/>
  <c r="O3590" i="1"/>
  <c r="N3590" i="1"/>
  <c r="S3589" i="1"/>
  <c r="R3589" i="1"/>
  <c r="Q3589" i="1"/>
  <c r="P3589" i="1"/>
  <c r="O3589" i="1"/>
  <c r="N3589" i="1"/>
  <c r="S3588" i="1"/>
  <c r="R3588" i="1"/>
  <c r="Q3588" i="1"/>
  <c r="P3588" i="1"/>
  <c r="O3588" i="1"/>
  <c r="N3588" i="1"/>
  <c r="S3587" i="1"/>
  <c r="R3587" i="1"/>
  <c r="Q3587" i="1"/>
  <c r="P3587" i="1"/>
  <c r="O3587" i="1"/>
  <c r="N3587" i="1"/>
  <c r="S3586" i="1"/>
  <c r="R3586" i="1"/>
  <c r="Q3586" i="1"/>
  <c r="P3586" i="1"/>
  <c r="O3586" i="1"/>
  <c r="N3586" i="1"/>
  <c r="S3585" i="1"/>
  <c r="R3585" i="1"/>
  <c r="Q3585" i="1"/>
  <c r="P3585" i="1"/>
  <c r="O3585" i="1"/>
  <c r="N3585" i="1"/>
  <c r="S3584" i="1"/>
  <c r="R3584" i="1"/>
  <c r="Q3584" i="1"/>
  <c r="P3584" i="1"/>
  <c r="O3584" i="1"/>
  <c r="N3584" i="1"/>
  <c r="S3583" i="1"/>
  <c r="R3583" i="1"/>
  <c r="Q3583" i="1"/>
  <c r="P3583" i="1"/>
  <c r="O3583" i="1"/>
  <c r="N3583" i="1"/>
  <c r="S3582" i="1"/>
  <c r="R3582" i="1"/>
  <c r="Q3582" i="1"/>
  <c r="P3582" i="1"/>
  <c r="O3582" i="1"/>
  <c r="N3582" i="1"/>
  <c r="S3581" i="1"/>
  <c r="R3581" i="1"/>
  <c r="Q3581" i="1"/>
  <c r="P3581" i="1"/>
  <c r="O3581" i="1"/>
  <c r="N3581" i="1"/>
  <c r="S3580" i="1"/>
  <c r="R3580" i="1"/>
  <c r="Q3580" i="1"/>
  <c r="P3580" i="1"/>
  <c r="O3580" i="1"/>
  <c r="N3580" i="1"/>
  <c r="S3579" i="1"/>
  <c r="R3579" i="1"/>
  <c r="Q3579" i="1"/>
  <c r="P3579" i="1"/>
  <c r="O3579" i="1"/>
  <c r="N3579" i="1"/>
  <c r="S3578" i="1"/>
  <c r="R3578" i="1"/>
  <c r="Q3578" i="1"/>
  <c r="P3578" i="1"/>
  <c r="O3578" i="1"/>
  <c r="N3578" i="1"/>
  <c r="S3577" i="1"/>
  <c r="R3577" i="1"/>
  <c r="Q3577" i="1"/>
  <c r="P3577" i="1"/>
  <c r="O3577" i="1"/>
  <c r="N3577" i="1"/>
  <c r="S3576" i="1"/>
  <c r="R3576" i="1"/>
  <c r="Q3576" i="1"/>
  <c r="P3576" i="1"/>
  <c r="O3576" i="1"/>
  <c r="N3576" i="1"/>
  <c r="S3575" i="1"/>
  <c r="R3575" i="1"/>
  <c r="Q3575" i="1"/>
  <c r="P3575" i="1"/>
  <c r="O3575" i="1"/>
  <c r="N3575" i="1"/>
  <c r="S3574" i="1"/>
  <c r="R3574" i="1"/>
  <c r="Q3574" i="1"/>
  <c r="P3574" i="1"/>
  <c r="O3574" i="1"/>
  <c r="N3574" i="1"/>
  <c r="S3573" i="1"/>
  <c r="R3573" i="1"/>
  <c r="Q3573" i="1"/>
  <c r="P3573" i="1"/>
  <c r="O3573" i="1"/>
  <c r="N3573" i="1"/>
  <c r="S3572" i="1"/>
  <c r="R3572" i="1"/>
  <c r="Q3572" i="1"/>
  <c r="P3572" i="1"/>
  <c r="O3572" i="1"/>
  <c r="N3572" i="1"/>
  <c r="S3571" i="1"/>
  <c r="R3571" i="1"/>
  <c r="Q3571" i="1"/>
  <c r="P3571" i="1"/>
  <c r="O3571" i="1"/>
  <c r="N3571" i="1"/>
  <c r="S3570" i="1"/>
  <c r="R3570" i="1"/>
  <c r="Q3570" i="1"/>
  <c r="P3570" i="1"/>
  <c r="O3570" i="1"/>
  <c r="N3570" i="1"/>
  <c r="S3569" i="1"/>
  <c r="R3569" i="1"/>
  <c r="Q3569" i="1"/>
  <c r="P3569" i="1"/>
  <c r="O3569" i="1"/>
  <c r="N3569" i="1"/>
  <c r="S3568" i="1"/>
  <c r="R3568" i="1"/>
  <c r="Q3568" i="1"/>
  <c r="P3568" i="1"/>
  <c r="O3568" i="1"/>
  <c r="N3568" i="1"/>
  <c r="S3567" i="1"/>
  <c r="R3567" i="1"/>
  <c r="Q3567" i="1"/>
  <c r="P3567" i="1"/>
  <c r="O3567" i="1"/>
  <c r="N3567" i="1"/>
  <c r="S3566" i="1"/>
  <c r="R3566" i="1"/>
  <c r="Q3566" i="1"/>
  <c r="P3566" i="1"/>
  <c r="O3566" i="1"/>
  <c r="N3566" i="1"/>
  <c r="S3565" i="1"/>
  <c r="R3565" i="1"/>
  <c r="Q3565" i="1"/>
  <c r="P3565" i="1"/>
  <c r="O3565" i="1"/>
  <c r="N3565" i="1"/>
  <c r="S3564" i="1"/>
  <c r="R3564" i="1"/>
  <c r="Q3564" i="1"/>
  <c r="P3564" i="1"/>
  <c r="O3564" i="1"/>
  <c r="N3564" i="1"/>
  <c r="S3563" i="1"/>
  <c r="R3563" i="1"/>
  <c r="Q3563" i="1"/>
  <c r="P3563" i="1"/>
  <c r="O3563" i="1"/>
  <c r="N3563" i="1"/>
  <c r="S3562" i="1"/>
  <c r="R3562" i="1"/>
  <c r="Q3562" i="1"/>
  <c r="P3562" i="1"/>
  <c r="O3562" i="1"/>
  <c r="N3562" i="1"/>
  <c r="S3561" i="1"/>
  <c r="R3561" i="1"/>
  <c r="Q3561" i="1"/>
  <c r="P3561" i="1"/>
  <c r="O3561" i="1"/>
  <c r="N3561" i="1"/>
  <c r="S3560" i="1"/>
  <c r="R3560" i="1"/>
  <c r="Q3560" i="1"/>
  <c r="P3560" i="1"/>
  <c r="O3560" i="1"/>
  <c r="N3560" i="1"/>
  <c r="S3559" i="1"/>
  <c r="R3559" i="1"/>
  <c r="Q3559" i="1"/>
  <c r="P3559" i="1"/>
  <c r="O3559" i="1"/>
  <c r="N3559" i="1"/>
  <c r="S3558" i="1"/>
  <c r="R3558" i="1"/>
  <c r="Q3558" i="1"/>
  <c r="P3558" i="1"/>
  <c r="O3558" i="1"/>
  <c r="N3558" i="1"/>
  <c r="S3557" i="1"/>
  <c r="R3557" i="1"/>
  <c r="Q3557" i="1"/>
  <c r="P3557" i="1"/>
  <c r="O3557" i="1"/>
  <c r="N3557" i="1"/>
  <c r="S3556" i="1"/>
  <c r="R3556" i="1"/>
  <c r="Q3556" i="1"/>
  <c r="P3556" i="1"/>
  <c r="O3556" i="1"/>
  <c r="N3556" i="1"/>
  <c r="S3555" i="1"/>
  <c r="R3555" i="1"/>
  <c r="Q3555" i="1"/>
  <c r="P3555" i="1"/>
  <c r="O3555" i="1"/>
  <c r="N3555" i="1"/>
  <c r="S3554" i="1"/>
  <c r="R3554" i="1"/>
  <c r="Q3554" i="1"/>
  <c r="P3554" i="1"/>
  <c r="O3554" i="1"/>
  <c r="N3554" i="1"/>
  <c r="S3553" i="1"/>
  <c r="R3553" i="1"/>
  <c r="Q3553" i="1"/>
  <c r="P3553" i="1"/>
  <c r="O3553" i="1"/>
  <c r="N3553" i="1"/>
  <c r="S3552" i="1"/>
  <c r="R3552" i="1"/>
  <c r="Q3552" i="1"/>
  <c r="P3552" i="1"/>
  <c r="O3552" i="1"/>
  <c r="N3552" i="1"/>
  <c r="S3551" i="1"/>
  <c r="R3551" i="1"/>
  <c r="Q3551" i="1"/>
  <c r="P3551" i="1"/>
  <c r="O3551" i="1"/>
  <c r="N3551" i="1"/>
  <c r="S3550" i="1"/>
  <c r="R3550" i="1"/>
  <c r="Q3550" i="1"/>
  <c r="P3550" i="1"/>
  <c r="O3550" i="1"/>
  <c r="N3550" i="1"/>
  <c r="S3549" i="1"/>
  <c r="R3549" i="1"/>
  <c r="Q3549" i="1"/>
  <c r="P3549" i="1"/>
  <c r="O3549" i="1"/>
  <c r="N3549" i="1"/>
  <c r="S3548" i="1"/>
  <c r="R3548" i="1"/>
  <c r="Q3548" i="1"/>
  <c r="P3548" i="1"/>
  <c r="O3548" i="1"/>
  <c r="N3548" i="1"/>
  <c r="S3547" i="1"/>
  <c r="R3547" i="1"/>
  <c r="Q3547" i="1"/>
  <c r="P3547" i="1"/>
  <c r="O3547" i="1"/>
  <c r="N3547" i="1"/>
  <c r="S3546" i="1"/>
  <c r="R3546" i="1"/>
  <c r="Q3546" i="1"/>
  <c r="P3546" i="1"/>
  <c r="O3546" i="1"/>
  <c r="N3546" i="1"/>
  <c r="S3545" i="1"/>
  <c r="R3545" i="1"/>
  <c r="Q3545" i="1"/>
  <c r="P3545" i="1"/>
  <c r="O3545" i="1"/>
  <c r="N3545" i="1"/>
  <c r="S3544" i="1"/>
  <c r="R3544" i="1"/>
  <c r="Q3544" i="1"/>
  <c r="P3544" i="1"/>
  <c r="O3544" i="1"/>
  <c r="N3544" i="1"/>
  <c r="S3543" i="1"/>
  <c r="R3543" i="1"/>
  <c r="Q3543" i="1"/>
  <c r="P3543" i="1"/>
  <c r="O3543" i="1"/>
  <c r="N3543" i="1"/>
  <c r="S3542" i="1"/>
  <c r="R3542" i="1"/>
  <c r="Q3542" i="1"/>
  <c r="P3542" i="1"/>
  <c r="O3542" i="1"/>
  <c r="N3542" i="1"/>
  <c r="S3541" i="1"/>
  <c r="R3541" i="1"/>
  <c r="Q3541" i="1"/>
  <c r="P3541" i="1"/>
  <c r="O3541" i="1"/>
  <c r="N3541" i="1"/>
  <c r="S3540" i="1"/>
  <c r="R3540" i="1"/>
  <c r="Q3540" i="1"/>
  <c r="P3540" i="1"/>
  <c r="O3540" i="1"/>
  <c r="N3540" i="1"/>
  <c r="S3539" i="1"/>
  <c r="R3539" i="1"/>
  <c r="Q3539" i="1"/>
  <c r="P3539" i="1"/>
  <c r="O3539" i="1"/>
  <c r="N3539" i="1"/>
  <c r="S3538" i="1"/>
  <c r="R3538" i="1"/>
  <c r="Q3538" i="1"/>
  <c r="P3538" i="1"/>
  <c r="O3538" i="1"/>
  <c r="N3538" i="1"/>
  <c r="S3537" i="1"/>
  <c r="R3537" i="1"/>
  <c r="Q3537" i="1"/>
  <c r="P3537" i="1"/>
  <c r="O3537" i="1"/>
  <c r="N3537" i="1"/>
  <c r="S3536" i="1"/>
  <c r="R3536" i="1"/>
  <c r="Q3536" i="1"/>
  <c r="P3536" i="1"/>
  <c r="O3536" i="1"/>
  <c r="N3536" i="1"/>
  <c r="S3535" i="1"/>
  <c r="R3535" i="1"/>
  <c r="Q3535" i="1"/>
  <c r="P3535" i="1"/>
  <c r="O3535" i="1"/>
  <c r="N3535" i="1"/>
  <c r="S3534" i="1"/>
  <c r="R3534" i="1"/>
  <c r="Q3534" i="1"/>
  <c r="P3534" i="1"/>
  <c r="O3534" i="1"/>
  <c r="N3534" i="1"/>
  <c r="S3533" i="1"/>
  <c r="R3533" i="1"/>
  <c r="Q3533" i="1"/>
  <c r="P3533" i="1"/>
  <c r="O3533" i="1"/>
  <c r="N3533" i="1"/>
  <c r="S3532" i="1"/>
  <c r="R3532" i="1"/>
  <c r="Q3532" i="1"/>
  <c r="P3532" i="1"/>
  <c r="O3532" i="1"/>
  <c r="N3532" i="1"/>
  <c r="S3531" i="1"/>
  <c r="R3531" i="1"/>
  <c r="Q3531" i="1"/>
  <c r="P3531" i="1"/>
  <c r="O3531" i="1"/>
  <c r="N3531" i="1"/>
  <c r="S3530" i="1"/>
  <c r="R3530" i="1"/>
  <c r="Q3530" i="1"/>
  <c r="P3530" i="1"/>
  <c r="O3530" i="1"/>
  <c r="N3530" i="1"/>
  <c r="S3529" i="1"/>
  <c r="R3529" i="1"/>
  <c r="Q3529" i="1"/>
  <c r="P3529" i="1"/>
  <c r="O3529" i="1"/>
  <c r="N3529" i="1"/>
  <c r="S3528" i="1"/>
  <c r="R3528" i="1"/>
  <c r="Q3528" i="1"/>
  <c r="P3528" i="1"/>
  <c r="O3528" i="1"/>
  <c r="N3528" i="1"/>
  <c r="S3527" i="1"/>
  <c r="R3527" i="1"/>
  <c r="Q3527" i="1"/>
  <c r="P3527" i="1"/>
  <c r="O3527" i="1"/>
  <c r="N3527" i="1"/>
  <c r="S3526" i="1"/>
  <c r="R3526" i="1"/>
  <c r="Q3526" i="1"/>
  <c r="P3526" i="1"/>
  <c r="O3526" i="1"/>
  <c r="N3526" i="1"/>
  <c r="S3525" i="1"/>
  <c r="R3525" i="1"/>
  <c r="Q3525" i="1"/>
  <c r="P3525" i="1"/>
  <c r="O3525" i="1"/>
  <c r="N3525" i="1"/>
  <c r="S3524" i="1"/>
  <c r="R3524" i="1"/>
  <c r="Q3524" i="1"/>
  <c r="P3524" i="1"/>
  <c r="O3524" i="1"/>
  <c r="N3524" i="1"/>
  <c r="S3523" i="1"/>
  <c r="R3523" i="1"/>
  <c r="Q3523" i="1"/>
  <c r="P3523" i="1"/>
  <c r="O3523" i="1"/>
  <c r="N3523" i="1"/>
  <c r="S3522" i="1"/>
  <c r="R3522" i="1"/>
  <c r="Q3522" i="1"/>
  <c r="P3522" i="1"/>
  <c r="O3522" i="1"/>
  <c r="N3522" i="1"/>
  <c r="S3521" i="1"/>
  <c r="R3521" i="1"/>
  <c r="Q3521" i="1"/>
  <c r="P3521" i="1"/>
  <c r="O3521" i="1"/>
  <c r="N3521" i="1"/>
  <c r="S3520" i="1"/>
  <c r="R3520" i="1"/>
  <c r="Q3520" i="1"/>
  <c r="P3520" i="1"/>
  <c r="O3520" i="1"/>
  <c r="N3520" i="1"/>
  <c r="S3519" i="1"/>
  <c r="R3519" i="1"/>
  <c r="Q3519" i="1"/>
  <c r="P3519" i="1"/>
  <c r="O3519" i="1"/>
  <c r="N3519" i="1"/>
  <c r="S3518" i="1"/>
  <c r="R3518" i="1"/>
  <c r="Q3518" i="1"/>
  <c r="P3518" i="1"/>
  <c r="O3518" i="1"/>
  <c r="N3518" i="1"/>
  <c r="S3517" i="1"/>
  <c r="R3517" i="1"/>
  <c r="Q3517" i="1"/>
  <c r="P3517" i="1"/>
  <c r="O3517" i="1"/>
  <c r="N3517" i="1"/>
  <c r="S3516" i="1"/>
  <c r="R3516" i="1"/>
  <c r="Q3516" i="1"/>
  <c r="P3516" i="1"/>
  <c r="O3516" i="1"/>
  <c r="N3516" i="1"/>
  <c r="S3515" i="1"/>
  <c r="R3515" i="1"/>
  <c r="Q3515" i="1"/>
  <c r="P3515" i="1"/>
  <c r="O3515" i="1"/>
  <c r="N3515" i="1"/>
  <c r="S3514" i="1"/>
  <c r="R3514" i="1"/>
  <c r="Q3514" i="1"/>
  <c r="P3514" i="1"/>
  <c r="O3514" i="1"/>
  <c r="N3514" i="1"/>
  <c r="S3513" i="1"/>
  <c r="R3513" i="1"/>
  <c r="Q3513" i="1"/>
  <c r="P3513" i="1"/>
  <c r="O3513" i="1"/>
  <c r="N3513" i="1"/>
  <c r="S3512" i="1"/>
  <c r="R3512" i="1"/>
  <c r="Q3512" i="1"/>
  <c r="P3512" i="1"/>
  <c r="O3512" i="1"/>
  <c r="N3512" i="1"/>
  <c r="S3511" i="1"/>
  <c r="R3511" i="1"/>
  <c r="Q3511" i="1"/>
  <c r="P3511" i="1"/>
  <c r="O3511" i="1"/>
  <c r="N3511" i="1"/>
  <c r="S3510" i="1"/>
  <c r="R3510" i="1"/>
  <c r="Q3510" i="1"/>
  <c r="P3510" i="1"/>
  <c r="O3510" i="1"/>
  <c r="N3510" i="1"/>
  <c r="S3509" i="1"/>
  <c r="R3509" i="1"/>
  <c r="Q3509" i="1"/>
  <c r="P3509" i="1"/>
  <c r="O3509" i="1"/>
  <c r="N3509" i="1"/>
  <c r="S3508" i="1"/>
  <c r="R3508" i="1"/>
  <c r="Q3508" i="1"/>
  <c r="P3508" i="1"/>
  <c r="O3508" i="1"/>
  <c r="N3508" i="1"/>
  <c r="S3507" i="1"/>
  <c r="R3507" i="1"/>
  <c r="Q3507" i="1"/>
  <c r="P3507" i="1"/>
  <c r="O3507" i="1"/>
  <c r="N3507" i="1"/>
  <c r="S3506" i="1"/>
  <c r="R3506" i="1"/>
  <c r="Q3506" i="1"/>
  <c r="P3506" i="1"/>
  <c r="O3506" i="1"/>
  <c r="N3506" i="1"/>
  <c r="S3505" i="1"/>
  <c r="R3505" i="1"/>
  <c r="Q3505" i="1"/>
  <c r="P3505" i="1"/>
  <c r="O3505" i="1"/>
  <c r="N3505" i="1"/>
  <c r="S3504" i="1"/>
  <c r="R3504" i="1"/>
  <c r="Q3504" i="1"/>
  <c r="P3504" i="1"/>
  <c r="O3504" i="1"/>
  <c r="N3504" i="1"/>
  <c r="S3503" i="1"/>
  <c r="R3503" i="1"/>
  <c r="Q3503" i="1"/>
  <c r="P3503" i="1"/>
  <c r="O3503" i="1"/>
  <c r="N3503" i="1"/>
  <c r="S3502" i="1"/>
  <c r="R3502" i="1"/>
  <c r="Q3502" i="1"/>
  <c r="P3502" i="1"/>
  <c r="O3502" i="1"/>
  <c r="N3502" i="1"/>
  <c r="S3501" i="1"/>
  <c r="R3501" i="1"/>
  <c r="Q3501" i="1"/>
  <c r="P3501" i="1"/>
  <c r="O3501" i="1"/>
  <c r="N3501" i="1"/>
  <c r="S3500" i="1"/>
  <c r="R3500" i="1"/>
  <c r="Q3500" i="1"/>
  <c r="P3500" i="1"/>
  <c r="O3500" i="1"/>
  <c r="N3500" i="1"/>
  <c r="S3499" i="1"/>
  <c r="R3499" i="1"/>
  <c r="Q3499" i="1"/>
  <c r="P3499" i="1"/>
  <c r="O3499" i="1"/>
  <c r="N3499" i="1"/>
  <c r="S3498" i="1"/>
  <c r="R3498" i="1"/>
  <c r="Q3498" i="1"/>
  <c r="P3498" i="1"/>
  <c r="O3498" i="1"/>
  <c r="N3498" i="1"/>
  <c r="S3497" i="1"/>
  <c r="R3497" i="1"/>
  <c r="Q3497" i="1"/>
  <c r="P3497" i="1"/>
  <c r="O3497" i="1"/>
  <c r="N3497" i="1"/>
  <c r="S3496" i="1"/>
  <c r="R3496" i="1"/>
  <c r="Q3496" i="1"/>
  <c r="P3496" i="1"/>
  <c r="O3496" i="1"/>
  <c r="N3496" i="1"/>
  <c r="S3495" i="1"/>
  <c r="R3495" i="1"/>
  <c r="Q3495" i="1"/>
  <c r="P3495" i="1"/>
  <c r="O3495" i="1"/>
  <c r="N3495" i="1"/>
  <c r="S3494" i="1"/>
  <c r="R3494" i="1"/>
  <c r="Q3494" i="1"/>
  <c r="P3494" i="1"/>
  <c r="O3494" i="1"/>
  <c r="N3494" i="1"/>
  <c r="S3493" i="1"/>
  <c r="R3493" i="1"/>
  <c r="Q3493" i="1"/>
  <c r="P3493" i="1"/>
  <c r="O3493" i="1"/>
  <c r="N3493" i="1"/>
  <c r="S3492" i="1"/>
  <c r="R3492" i="1"/>
  <c r="Q3492" i="1"/>
  <c r="P3492" i="1"/>
  <c r="O3492" i="1"/>
  <c r="N3492" i="1"/>
  <c r="S3491" i="1"/>
  <c r="R3491" i="1"/>
  <c r="Q3491" i="1"/>
  <c r="P3491" i="1"/>
  <c r="O3491" i="1"/>
  <c r="N3491" i="1"/>
  <c r="S3490" i="1"/>
  <c r="R3490" i="1"/>
  <c r="Q3490" i="1"/>
  <c r="P3490" i="1"/>
  <c r="O3490" i="1"/>
  <c r="N3490" i="1"/>
  <c r="S3489" i="1"/>
  <c r="R3489" i="1"/>
  <c r="Q3489" i="1"/>
  <c r="P3489" i="1"/>
  <c r="O3489" i="1"/>
  <c r="N3489" i="1"/>
  <c r="S3488" i="1"/>
  <c r="R3488" i="1"/>
  <c r="Q3488" i="1"/>
  <c r="P3488" i="1"/>
  <c r="O3488" i="1"/>
  <c r="N3488" i="1"/>
  <c r="S3487" i="1"/>
  <c r="R3487" i="1"/>
  <c r="Q3487" i="1"/>
  <c r="P3487" i="1"/>
  <c r="O3487" i="1"/>
  <c r="N3487" i="1"/>
  <c r="S3486" i="1"/>
  <c r="R3486" i="1"/>
  <c r="Q3486" i="1"/>
  <c r="P3486" i="1"/>
  <c r="O3486" i="1"/>
  <c r="N3486" i="1"/>
  <c r="S3485" i="1"/>
  <c r="R3485" i="1"/>
  <c r="Q3485" i="1"/>
  <c r="P3485" i="1"/>
  <c r="O3485" i="1"/>
  <c r="N3485" i="1"/>
  <c r="S3484" i="1"/>
  <c r="R3484" i="1"/>
  <c r="Q3484" i="1"/>
  <c r="P3484" i="1"/>
  <c r="O3484" i="1"/>
  <c r="N3484" i="1"/>
  <c r="S3483" i="1"/>
  <c r="R3483" i="1"/>
  <c r="Q3483" i="1"/>
  <c r="P3483" i="1"/>
  <c r="O3483" i="1"/>
  <c r="N3483" i="1"/>
  <c r="S3482" i="1"/>
  <c r="R3482" i="1"/>
  <c r="Q3482" i="1"/>
  <c r="P3482" i="1"/>
  <c r="O3482" i="1"/>
  <c r="N3482" i="1"/>
  <c r="S3481" i="1"/>
  <c r="R3481" i="1"/>
  <c r="Q3481" i="1"/>
  <c r="P3481" i="1"/>
  <c r="O3481" i="1"/>
  <c r="N3481" i="1"/>
  <c r="S3480" i="1"/>
  <c r="R3480" i="1"/>
  <c r="Q3480" i="1"/>
  <c r="P3480" i="1"/>
  <c r="O3480" i="1"/>
  <c r="N3480" i="1"/>
  <c r="S3479" i="1"/>
  <c r="R3479" i="1"/>
  <c r="Q3479" i="1"/>
  <c r="P3479" i="1"/>
  <c r="O3479" i="1"/>
  <c r="N3479" i="1"/>
  <c r="S3478" i="1"/>
  <c r="R3478" i="1"/>
  <c r="Q3478" i="1"/>
  <c r="P3478" i="1"/>
  <c r="O3478" i="1"/>
  <c r="N3478" i="1"/>
  <c r="S3477" i="1"/>
  <c r="R3477" i="1"/>
  <c r="Q3477" i="1"/>
  <c r="P3477" i="1"/>
  <c r="O3477" i="1"/>
  <c r="N3477" i="1"/>
  <c r="S3476" i="1"/>
  <c r="R3476" i="1"/>
  <c r="Q3476" i="1"/>
  <c r="P3476" i="1"/>
  <c r="O3476" i="1"/>
  <c r="N3476" i="1"/>
  <c r="S3475" i="1"/>
  <c r="R3475" i="1"/>
  <c r="Q3475" i="1"/>
  <c r="P3475" i="1"/>
  <c r="O3475" i="1"/>
  <c r="N3475" i="1"/>
  <c r="S3474" i="1"/>
  <c r="R3474" i="1"/>
  <c r="Q3474" i="1"/>
  <c r="P3474" i="1"/>
  <c r="O3474" i="1"/>
  <c r="N3474" i="1"/>
  <c r="S3473" i="1"/>
  <c r="R3473" i="1"/>
  <c r="Q3473" i="1"/>
  <c r="P3473" i="1"/>
  <c r="O3473" i="1"/>
  <c r="N3473" i="1"/>
  <c r="S3472" i="1"/>
  <c r="R3472" i="1"/>
  <c r="Q3472" i="1"/>
  <c r="P3472" i="1"/>
  <c r="O3472" i="1"/>
  <c r="N3472" i="1"/>
  <c r="S3471" i="1"/>
  <c r="R3471" i="1"/>
  <c r="Q3471" i="1"/>
  <c r="P3471" i="1"/>
  <c r="O3471" i="1"/>
  <c r="N3471" i="1"/>
  <c r="S3470" i="1"/>
  <c r="R3470" i="1"/>
  <c r="Q3470" i="1"/>
  <c r="P3470" i="1"/>
  <c r="O3470" i="1"/>
  <c r="N3470" i="1"/>
  <c r="S3469" i="1"/>
  <c r="R3469" i="1"/>
  <c r="Q3469" i="1"/>
  <c r="P3469" i="1"/>
  <c r="O3469" i="1"/>
  <c r="N3469" i="1"/>
  <c r="S3468" i="1"/>
  <c r="R3468" i="1"/>
  <c r="Q3468" i="1"/>
  <c r="P3468" i="1"/>
  <c r="O3468" i="1"/>
  <c r="N3468" i="1"/>
  <c r="S3467" i="1"/>
  <c r="R3467" i="1"/>
  <c r="Q3467" i="1"/>
  <c r="P3467" i="1"/>
  <c r="O3467" i="1"/>
  <c r="N3467" i="1"/>
  <c r="S3466" i="1"/>
  <c r="R3466" i="1"/>
  <c r="Q3466" i="1"/>
  <c r="P3466" i="1"/>
  <c r="O3466" i="1"/>
  <c r="N3466" i="1"/>
  <c r="S3465" i="1"/>
  <c r="R3465" i="1"/>
  <c r="Q3465" i="1"/>
  <c r="P3465" i="1"/>
  <c r="O3465" i="1"/>
  <c r="N3465" i="1"/>
  <c r="S3464" i="1"/>
  <c r="R3464" i="1"/>
  <c r="Q3464" i="1"/>
  <c r="P3464" i="1"/>
  <c r="O3464" i="1"/>
  <c r="N3464" i="1"/>
  <c r="S3463" i="1"/>
  <c r="R3463" i="1"/>
  <c r="Q3463" i="1"/>
  <c r="P3463" i="1"/>
  <c r="O3463" i="1"/>
  <c r="N3463" i="1"/>
  <c r="S3462" i="1"/>
  <c r="R3462" i="1"/>
  <c r="Q3462" i="1"/>
  <c r="P3462" i="1"/>
  <c r="O3462" i="1"/>
  <c r="N3462" i="1"/>
  <c r="S3461" i="1"/>
  <c r="R3461" i="1"/>
  <c r="Q3461" i="1"/>
  <c r="P3461" i="1"/>
  <c r="O3461" i="1"/>
  <c r="N3461" i="1"/>
  <c r="S3460" i="1"/>
  <c r="R3460" i="1"/>
  <c r="Q3460" i="1"/>
  <c r="P3460" i="1"/>
  <c r="O3460" i="1"/>
  <c r="N3460" i="1"/>
  <c r="S3459" i="1"/>
  <c r="R3459" i="1"/>
  <c r="Q3459" i="1"/>
  <c r="P3459" i="1"/>
  <c r="O3459" i="1"/>
  <c r="N3459" i="1"/>
  <c r="S3458" i="1"/>
  <c r="R3458" i="1"/>
  <c r="Q3458" i="1"/>
  <c r="P3458" i="1"/>
  <c r="O3458" i="1"/>
  <c r="N3458" i="1"/>
  <c r="S3457" i="1"/>
  <c r="R3457" i="1"/>
  <c r="Q3457" i="1"/>
  <c r="P3457" i="1"/>
  <c r="O3457" i="1"/>
  <c r="N3457" i="1"/>
  <c r="S3456" i="1"/>
  <c r="R3456" i="1"/>
  <c r="Q3456" i="1"/>
  <c r="P3456" i="1"/>
  <c r="O3456" i="1"/>
  <c r="N3456" i="1"/>
  <c r="S3455" i="1"/>
  <c r="R3455" i="1"/>
  <c r="Q3455" i="1"/>
  <c r="P3455" i="1"/>
  <c r="O3455" i="1"/>
  <c r="N3455" i="1"/>
  <c r="S3454" i="1"/>
  <c r="R3454" i="1"/>
  <c r="Q3454" i="1"/>
  <c r="P3454" i="1"/>
  <c r="O3454" i="1"/>
  <c r="N3454" i="1"/>
  <c r="S3453" i="1"/>
  <c r="R3453" i="1"/>
  <c r="Q3453" i="1"/>
  <c r="P3453" i="1"/>
  <c r="O3453" i="1"/>
  <c r="N3453" i="1"/>
  <c r="S3452" i="1"/>
  <c r="R3452" i="1"/>
  <c r="Q3452" i="1"/>
  <c r="P3452" i="1"/>
  <c r="O3452" i="1"/>
  <c r="N3452" i="1"/>
  <c r="S3451" i="1"/>
  <c r="R3451" i="1"/>
  <c r="Q3451" i="1"/>
  <c r="P3451" i="1"/>
  <c r="O3451" i="1"/>
  <c r="N3451" i="1"/>
  <c r="S3450" i="1"/>
  <c r="R3450" i="1"/>
  <c r="Q3450" i="1"/>
  <c r="P3450" i="1"/>
  <c r="O3450" i="1"/>
  <c r="N3450" i="1"/>
  <c r="S3449" i="1"/>
  <c r="R3449" i="1"/>
  <c r="Q3449" i="1"/>
  <c r="P3449" i="1"/>
  <c r="O3449" i="1"/>
  <c r="N3449" i="1"/>
  <c r="S3448" i="1"/>
  <c r="R3448" i="1"/>
  <c r="Q3448" i="1"/>
  <c r="P3448" i="1"/>
  <c r="O3448" i="1"/>
  <c r="N3448" i="1"/>
  <c r="S3447" i="1"/>
  <c r="R3447" i="1"/>
  <c r="Q3447" i="1"/>
  <c r="P3447" i="1"/>
  <c r="O3447" i="1"/>
  <c r="N3447" i="1"/>
  <c r="S3446" i="1"/>
  <c r="R3446" i="1"/>
  <c r="Q3446" i="1"/>
  <c r="P3446" i="1"/>
  <c r="O3446" i="1"/>
  <c r="N3446" i="1"/>
  <c r="S3445" i="1"/>
  <c r="R3445" i="1"/>
  <c r="Q3445" i="1"/>
  <c r="P3445" i="1"/>
  <c r="O3445" i="1"/>
  <c r="N3445" i="1"/>
  <c r="S3444" i="1"/>
  <c r="R3444" i="1"/>
  <c r="Q3444" i="1"/>
  <c r="P3444" i="1"/>
  <c r="O3444" i="1"/>
  <c r="N3444" i="1"/>
  <c r="S3443" i="1"/>
  <c r="R3443" i="1"/>
  <c r="Q3443" i="1"/>
  <c r="P3443" i="1"/>
  <c r="O3443" i="1"/>
  <c r="N3443" i="1"/>
  <c r="S3442" i="1"/>
  <c r="R3442" i="1"/>
  <c r="Q3442" i="1"/>
  <c r="P3442" i="1"/>
  <c r="O3442" i="1"/>
  <c r="N3442" i="1"/>
  <c r="S3441" i="1"/>
  <c r="R3441" i="1"/>
  <c r="Q3441" i="1"/>
  <c r="P3441" i="1"/>
  <c r="O3441" i="1"/>
  <c r="N3441" i="1"/>
  <c r="S3440" i="1"/>
  <c r="R3440" i="1"/>
  <c r="Q3440" i="1"/>
  <c r="P3440" i="1"/>
  <c r="O3440" i="1"/>
  <c r="N3440" i="1"/>
  <c r="S3439" i="1"/>
  <c r="R3439" i="1"/>
  <c r="Q3439" i="1"/>
  <c r="P3439" i="1"/>
  <c r="O3439" i="1"/>
  <c r="N3439" i="1"/>
  <c r="S3438" i="1"/>
  <c r="R3438" i="1"/>
  <c r="Q3438" i="1"/>
  <c r="P3438" i="1"/>
  <c r="O3438" i="1"/>
  <c r="N3438" i="1"/>
  <c r="S3437" i="1"/>
  <c r="R3437" i="1"/>
  <c r="Q3437" i="1"/>
  <c r="P3437" i="1"/>
  <c r="O3437" i="1"/>
  <c r="N3437" i="1"/>
  <c r="S3436" i="1"/>
  <c r="R3436" i="1"/>
  <c r="Q3436" i="1"/>
  <c r="P3436" i="1"/>
  <c r="O3436" i="1"/>
  <c r="N3436" i="1"/>
  <c r="S3435" i="1"/>
  <c r="R3435" i="1"/>
  <c r="Q3435" i="1"/>
  <c r="P3435" i="1"/>
  <c r="O3435" i="1"/>
  <c r="N3435" i="1"/>
  <c r="S3434" i="1"/>
  <c r="R3434" i="1"/>
  <c r="Q3434" i="1"/>
  <c r="P3434" i="1"/>
  <c r="O3434" i="1"/>
  <c r="N3434" i="1"/>
  <c r="S3433" i="1"/>
  <c r="R3433" i="1"/>
  <c r="Q3433" i="1"/>
  <c r="P3433" i="1"/>
  <c r="O3433" i="1"/>
  <c r="N3433" i="1"/>
  <c r="S3432" i="1"/>
  <c r="R3432" i="1"/>
  <c r="Q3432" i="1"/>
  <c r="P3432" i="1"/>
  <c r="O3432" i="1"/>
  <c r="N3432" i="1"/>
  <c r="S3431" i="1"/>
  <c r="R3431" i="1"/>
  <c r="Q3431" i="1"/>
  <c r="P3431" i="1"/>
  <c r="O3431" i="1"/>
  <c r="N3431" i="1"/>
  <c r="S3430" i="1"/>
  <c r="R3430" i="1"/>
  <c r="Q3430" i="1"/>
  <c r="P3430" i="1"/>
  <c r="O3430" i="1"/>
  <c r="N3430" i="1"/>
  <c r="S3429" i="1"/>
  <c r="R3429" i="1"/>
  <c r="Q3429" i="1"/>
  <c r="P3429" i="1"/>
  <c r="O3429" i="1"/>
  <c r="N3429" i="1"/>
  <c r="S3428" i="1"/>
  <c r="R3428" i="1"/>
  <c r="Q3428" i="1"/>
  <c r="P3428" i="1"/>
  <c r="O3428" i="1"/>
  <c r="N3428" i="1"/>
  <c r="S3427" i="1"/>
  <c r="R3427" i="1"/>
  <c r="Q3427" i="1"/>
  <c r="P3427" i="1"/>
  <c r="O3427" i="1"/>
  <c r="N3427" i="1"/>
  <c r="S3426" i="1"/>
  <c r="R3426" i="1"/>
  <c r="Q3426" i="1"/>
  <c r="P3426" i="1"/>
  <c r="O3426" i="1"/>
  <c r="N3426" i="1"/>
  <c r="S3425" i="1"/>
  <c r="R3425" i="1"/>
  <c r="Q3425" i="1"/>
  <c r="P3425" i="1"/>
  <c r="O3425" i="1"/>
  <c r="N3425" i="1"/>
  <c r="S3424" i="1"/>
  <c r="R3424" i="1"/>
  <c r="Q3424" i="1"/>
  <c r="P3424" i="1"/>
  <c r="O3424" i="1"/>
  <c r="N3424" i="1"/>
  <c r="S3423" i="1"/>
  <c r="R3423" i="1"/>
  <c r="Q3423" i="1"/>
  <c r="P3423" i="1"/>
  <c r="O3423" i="1"/>
  <c r="N3423" i="1"/>
  <c r="S3422" i="1"/>
  <c r="R3422" i="1"/>
  <c r="Q3422" i="1"/>
  <c r="P3422" i="1"/>
  <c r="O3422" i="1"/>
  <c r="N3422" i="1"/>
  <c r="S3421" i="1"/>
  <c r="R3421" i="1"/>
  <c r="Q3421" i="1"/>
  <c r="P3421" i="1"/>
  <c r="O3421" i="1"/>
  <c r="N3421" i="1"/>
  <c r="S3420" i="1"/>
  <c r="R3420" i="1"/>
  <c r="Q3420" i="1"/>
  <c r="P3420" i="1"/>
  <c r="O3420" i="1"/>
  <c r="N3420" i="1"/>
  <c r="S3419" i="1"/>
  <c r="R3419" i="1"/>
  <c r="Q3419" i="1"/>
  <c r="P3419" i="1"/>
  <c r="O3419" i="1"/>
  <c r="N3419" i="1"/>
  <c r="S3418" i="1"/>
  <c r="R3418" i="1"/>
  <c r="Q3418" i="1"/>
  <c r="P3418" i="1"/>
  <c r="O3418" i="1"/>
  <c r="N3418" i="1"/>
  <c r="S3417" i="1"/>
  <c r="R3417" i="1"/>
  <c r="Q3417" i="1"/>
  <c r="P3417" i="1"/>
  <c r="O3417" i="1"/>
  <c r="N3417" i="1"/>
  <c r="S3416" i="1"/>
  <c r="R3416" i="1"/>
  <c r="Q3416" i="1"/>
  <c r="P3416" i="1"/>
  <c r="O3416" i="1"/>
  <c r="N3416" i="1"/>
  <c r="S3415" i="1"/>
  <c r="R3415" i="1"/>
  <c r="Q3415" i="1"/>
  <c r="P3415" i="1"/>
  <c r="O3415" i="1"/>
  <c r="N3415" i="1"/>
  <c r="S3414" i="1"/>
  <c r="R3414" i="1"/>
  <c r="Q3414" i="1"/>
  <c r="P3414" i="1"/>
  <c r="O3414" i="1"/>
  <c r="N3414" i="1"/>
  <c r="S3413" i="1"/>
  <c r="R3413" i="1"/>
  <c r="Q3413" i="1"/>
  <c r="P3413" i="1"/>
  <c r="O3413" i="1"/>
  <c r="N3413" i="1"/>
  <c r="S3412" i="1"/>
  <c r="R3412" i="1"/>
  <c r="Q3412" i="1"/>
  <c r="P3412" i="1"/>
  <c r="O3412" i="1"/>
  <c r="N3412" i="1"/>
  <c r="S3411" i="1"/>
  <c r="R3411" i="1"/>
  <c r="Q3411" i="1"/>
  <c r="P3411" i="1"/>
  <c r="O3411" i="1"/>
  <c r="N3411" i="1"/>
  <c r="S3410" i="1"/>
  <c r="R3410" i="1"/>
  <c r="Q3410" i="1"/>
  <c r="P3410" i="1"/>
  <c r="O3410" i="1"/>
  <c r="N3410" i="1"/>
  <c r="S3409" i="1"/>
  <c r="R3409" i="1"/>
  <c r="Q3409" i="1"/>
  <c r="P3409" i="1"/>
  <c r="O3409" i="1"/>
  <c r="N3409" i="1"/>
  <c r="S3408" i="1"/>
  <c r="R3408" i="1"/>
  <c r="Q3408" i="1"/>
  <c r="P3408" i="1"/>
  <c r="O3408" i="1"/>
  <c r="N3408" i="1"/>
  <c r="S3407" i="1"/>
  <c r="R3407" i="1"/>
  <c r="Q3407" i="1"/>
  <c r="P3407" i="1"/>
  <c r="O3407" i="1"/>
  <c r="N3407" i="1"/>
  <c r="S3406" i="1"/>
  <c r="R3406" i="1"/>
  <c r="Q3406" i="1"/>
  <c r="P3406" i="1"/>
  <c r="O3406" i="1"/>
  <c r="N3406" i="1"/>
  <c r="S3405" i="1"/>
  <c r="R3405" i="1"/>
  <c r="Q3405" i="1"/>
  <c r="P3405" i="1"/>
  <c r="O3405" i="1"/>
  <c r="N3405" i="1"/>
  <c r="S3404" i="1"/>
  <c r="R3404" i="1"/>
  <c r="Q3404" i="1"/>
  <c r="P3404" i="1"/>
  <c r="O3404" i="1"/>
  <c r="N3404" i="1"/>
  <c r="S3403" i="1"/>
  <c r="R3403" i="1"/>
  <c r="Q3403" i="1"/>
  <c r="P3403" i="1"/>
  <c r="O3403" i="1"/>
  <c r="N3403" i="1"/>
  <c r="S3402" i="1"/>
  <c r="R3402" i="1"/>
  <c r="Q3402" i="1"/>
  <c r="P3402" i="1"/>
  <c r="O3402" i="1"/>
  <c r="N3402" i="1"/>
  <c r="S3401" i="1"/>
  <c r="R3401" i="1"/>
  <c r="Q3401" i="1"/>
  <c r="P3401" i="1"/>
  <c r="O3401" i="1"/>
  <c r="N3401" i="1"/>
  <c r="S3400" i="1"/>
  <c r="R3400" i="1"/>
  <c r="Q3400" i="1"/>
  <c r="P3400" i="1"/>
  <c r="O3400" i="1"/>
  <c r="N3400" i="1"/>
  <c r="S3399" i="1"/>
  <c r="R3399" i="1"/>
  <c r="Q3399" i="1"/>
  <c r="P3399" i="1"/>
  <c r="O3399" i="1"/>
  <c r="N3399" i="1"/>
  <c r="S3398" i="1"/>
  <c r="R3398" i="1"/>
  <c r="Q3398" i="1"/>
  <c r="P3398" i="1"/>
  <c r="O3398" i="1"/>
  <c r="N3398" i="1"/>
  <c r="S3397" i="1"/>
  <c r="R3397" i="1"/>
  <c r="Q3397" i="1"/>
  <c r="P3397" i="1"/>
  <c r="O3397" i="1"/>
  <c r="N3397" i="1"/>
  <c r="S3396" i="1"/>
  <c r="R3396" i="1"/>
  <c r="Q3396" i="1"/>
  <c r="P3396" i="1"/>
  <c r="O3396" i="1"/>
  <c r="N3396" i="1"/>
  <c r="S3395" i="1"/>
  <c r="R3395" i="1"/>
  <c r="Q3395" i="1"/>
  <c r="P3395" i="1"/>
  <c r="O3395" i="1"/>
  <c r="N3395" i="1"/>
  <c r="S3394" i="1"/>
  <c r="R3394" i="1"/>
  <c r="Q3394" i="1"/>
  <c r="P3394" i="1"/>
  <c r="O3394" i="1"/>
  <c r="N3394" i="1"/>
  <c r="S3393" i="1"/>
  <c r="R3393" i="1"/>
  <c r="Q3393" i="1"/>
  <c r="P3393" i="1"/>
  <c r="O3393" i="1"/>
  <c r="N3393" i="1"/>
  <c r="S3392" i="1"/>
  <c r="R3392" i="1"/>
  <c r="Q3392" i="1"/>
  <c r="P3392" i="1"/>
  <c r="O3392" i="1"/>
  <c r="N3392" i="1"/>
  <c r="S3391" i="1"/>
  <c r="R3391" i="1"/>
  <c r="Q3391" i="1"/>
  <c r="P3391" i="1"/>
  <c r="O3391" i="1"/>
  <c r="N3391" i="1"/>
  <c r="S3390" i="1"/>
  <c r="R3390" i="1"/>
  <c r="Q3390" i="1"/>
  <c r="P3390" i="1"/>
  <c r="O3390" i="1"/>
  <c r="N3390" i="1"/>
  <c r="S3389" i="1"/>
  <c r="R3389" i="1"/>
  <c r="Q3389" i="1"/>
  <c r="P3389" i="1"/>
  <c r="O3389" i="1"/>
  <c r="N3389" i="1"/>
  <c r="S3388" i="1"/>
  <c r="R3388" i="1"/>
  <c r="Q3388" i="1"/>
  <c r="P3388" i="1"/>
  <c r="O3388" i="1"/>
  <c r="N3388" i="1"/>
  <c r="S3387" i="1"/>
  <c r="R3387" i="1"/>
  <c r="Q3387" i="1"/>
  <c r="P3387" i="1"/>
  <c r="O3387" i="1"/>
  <c r="N3387" i="1"/>
  <c r="S3386" i="1"/>
  <c r="R3386" i="1"/>
  <c r="Q3386" i="1"/>
  <c r="P3386" i="1"/>
  <c r="O3386" i="1"/>
  <c r="N3386" i="1"/>
  <c r="S3385" i="1"/>
  <c r="R3385" i="1"/>
  <c r="Q3385" i="1"/>
  <c r="P3385" i="1"/>
  <c r="O3385" i="1"/>
  <c r="N3385" i="1"/>
  <c r="S3384" i="1"/>
  <c r="R3384" i="1"/>
  <c r="Q3384" i="1"/>
  <c r="P3384" i="1"/>
  <c r="O3384" i="1"/>
  <c r="N3384" i="1"/>
  <c r="S3383" i="1"/>
  <c r="R3383" i="1"/>
  <c r="Q3383" i="1"/>
  <c r="P3383" i="1"/>
  <c r="O3383" i="1"/>
  <c r="N3383" i="1"/>
  <c r="S3382" i="1"/>
  <c r="R3382" i="1"/>
  <c r="Q3382" i="1"/>
  <c r="P3382" i="1"/>
  <c r="O3382" i="1"/>
  <c r="N3382" i="1"/>
  <c r="S3381" i="1"/>
  <c r="R3381" i="1"/>
  <c r="Q3381" i="1"/>
  <c r="P3381" i="1"/>
  <c r="O3381" i="1"/>
  <c r="N3381" i="1"/>
  <c r="S3380" i="1"/>
  <c r="R3380" i="1"/>
  <c r="Q3380" i="1"/>
  <c r="P3380" i="1"/>
  <c r="O3380" i="1"/>
  <c r="N3380" i="1"/>
  <c r="S3379" i="1"/>
  <c r="R3379" i="1"/>
  <c r="Q3379" i="1"/>
  <c r="P3379" i="1"/>
  <c r="O3379" i="1"/>
  <c r="N3379" i="1"/>
  <c r="S3378" i="1"/>
  <c r="R3378" i="1"/>
  <c r="Q3378" i="1"/>
  <c r="P3378" i="1"/>
  <c r="O3378" i="1"/>
  <c r="N3378" i="1"/>
  <c r="S3377" i="1"/>
  <c r="R3377" i="1"/>
  <c r="Q3377" i="1"/>
  <c r="P3377" i="1"/>
  <c r="O3377" i="1"/>
  <c r="N3377" i="1"/>
  <c r="S3376" i="1"/>
  <c r="R3376" i="1"/>
  <c r="Q3376" i="1"/>
  <c r="P3376" i="1"/>
  <c r="O3376" i="1"/>
  <c r="N3376" i="1"/>
  <c r="S3375" i="1"/>
  <c r="R3375" i="1"/>
  <c r="Q3375" i="1"/>
  <c r="P3375" i="1"/>
  <c r="O3375" i="1"/>
  <c r="N3375" i="1"/>
  <c r="S3374" i="1"/>
  <c r="R3374" i="1"/>
  <c r="Q3374" i="1"/>
  <c r="P3374" i="1"/>
  <c r="O3374" i="1"/>
  <c r="N3374" i="1"/>
  <c r="S3373" i="1"/>
  <c r="R3373" i="1"/>
  <c r="Q3373" i="1"/>
  <c r="P3373" i="1"/>
  <c r="O3373" i="1"/>
  <c r="N3373" i="1"/>
  <c r="S3372" i="1"/>
  <c r="R3372" i="1"/>
  <c r="Q3372" i="1"/>
  <c r="P3372" i="1"/>
  <c r="O3372" i="1"/>
  <c r="N3372" i="1"/>
  <c r="S3371" i="1"/>
  <c r="R3371" i="1"/>
  <c r="Q3371" i="1"/>
  <c r="P3371" i="1"/>
  <c r="O3371" i="1"/>
  <c r="N3371" i="1"/>
  <c r="S3370" i="1"/>
  <c r="R3370" i="1"/>
  <c r="Q3370" i="1"/>
  <c r="P3370" i="1"/>
  <c r="O3370" i="1"/>
  <c r="N3370" i="1"/>
  <c r="S3369" i="1"/>
  <c r="R3369" i="1"/>
  <c r="Q3369" i="1"/>
  <c r="P3369" i="1"/>
  <c r="O3369" i="1"/>
  <c r="N3369" i="1"/>
  <c r="S3368" i="1"/>
  <c r="R3368" i="1"/>
  <c r="Q3368" i="1"/>
  <c r="P3368" i="1"/>
  <c r="O3368" i="1"/>
  <c r="N3368" i="1"/>
  <c r="S3367" i="1"/>
  <c r="R3367" i="1"/>
  <c r="Q3367" i="1"/>
  <c r="P3367" i="1"/>
  <c r="O3367" i="1"/>
  <c r="N3367" i="1"/>
  <c r="S3366" i="1"/>
  <c r="R3366" i="1"/>
  <c r="Q3366" i="1"/>
  <c r="P3366" i="1"/>
  <c r="O3366" i="1"/>
  <c r="N3366" i="1"/>
  <c r="S3365" i="1"/>
  <c r="R3365" i="1"/>
  <c r="Q3365" i="1"/>
  <c r="P3365" i="1"/>
  <c r="O3365" i="1"/>
  <c r="N3365" i="1"/>
  <c r="S3364" i="1"/>
  <c r="R3364" i="1"/>
  <c r="Q3364" i="1"/>
  <c r="P3364" i="1"/>
  <c r="O3364" i="1"/>
  <c r="N3364" i="1"/>
  <c r="S3363" i="1"/>
  <c r="R3363" i="1"/>
  <c r="Q3363" i="1"/>
  <c r="P3363" i="1"/>
  <c r="O3363" i="1"/>
  <c r="N3363" i="1"/>
  <c r="S3362" i="1"/>
  <c r="R3362" i="1"/>
  <c r="Q3362" i="1"/>
  <c r="P3362" i="1"/>
  <c r="O3362" i="1"/>
  <c r="N3362" i="1"/>
  <c r="S3361" i="1"/>
  <c r="R3361" i="1"/>
  <c r="Q3361" i="1"/>
  <c r="P3361" i="1"/>
  <c r="O3361" i="1"/>
  <c r="N3361" i="1"/>
  <c r="S3360" i="1"/>
  <c r="R3360" i="1"/>
  <c r="Q3360" i="1"/>
  <c r="P3360" i="1"/>
  <c r="O3360" i="1"/>
  <c r="N3360" i="1"/>
  <c r="S3359" i="1"/>
  <c r="R3359" i="1"/>
  <c r="Q3359" i="1"/>
  <c r="P3359" i="1"/>
  <c r="O3359" i="1"/>
  <c r="N3359" i="1"/>
  <c r="S3358" i="1"/>
  <c r="R3358" i="1"/>
  <c r="Q3358" i="1"/>
  <c r="P3358" i="1"/>
  <c r="O3358" i="1"/>
  <c r="N3358" i="1"/>
  <c r="S3357" i="1"/>
  <c r="R3357" i="1"/>
  <c r="Q3357" i="1"/>
  <c r="P3357" i="1"/>
  <c r="O3357" i="1"/>
  <c r="N3357" i="1"/>
  <c r="S3356" i="1"/>
  <c r="R3356" i="1"/>
  <c r="Q3356" i="1"/>
  <c r="P3356" i="1"/>
  <c r="O3356" i="1"/>
  <c r="N3356" i="1"/>
  <c r="S3355" i="1"/>
  <c r="R3355" i="1"/>
  <c r="Q3355" i="1"/>
  <c r="P3355" i="1"/>
  <c r="O3355" i="1"/>
  <c r="N3355" i="1"/>
  <c r="S3354" i="1"/>
  <c r="R3354" i="1"/>
  <c r="Q3354" i="1"/>
  <c r="P3354" i="1"/>
  <c r="O3354" i="1"/>
  <c r="N3354" i="1"/>
  <c r="S3353" i="1"/>
  <c r="R3353" i="1"/>
  <c r="Q3353" i="1"/>
  <c r="P3353" i="1"/>
  <c r="O3353" i="1"/>
  <c r="N3353" i="1"/>
  <c r="S3352" i="1"/>
  <c r="R3352" i="1"/>
  <c r="Q3352" i="1"/>
  <c r="P3352" i="1"/>
  <c r="O3352" i="1"/>
  <c r="N3352" i="1"/>
  <c r="S3351" i="1"/>
  <c r="R3351" i="1"/>
  <c r="Q3351" i="1"/>
  <c r="P3351" i="1"/>
  <c r="O3351" i="1"/>
  <c r="N3351" i="1"/>
  <c r="S3350" i="1"/>
  <c r="R3350" i="1"/>
  <c r="Q3350" i="1"/>
  <c r="P3350" i="1"/>
  <c r="O3350" i="1"/>
  <c r="N3350" i="1"/>
  <c r="S3349" i="1"/>
  <c r="R3349" i="1"/>
  <c r="Q3349" i="1"/>
  <c r="P3349" i="1"/>
  <c r="O3349" i="1"/>
  <c r="N3349" i="1"/>
  <c r="S3348" i="1"/>
  <c r="R3348" i="1"/>
  <c r="Q3348" i="1"/>
  <c r="P3348" i="1"/>
  <c r="O3348" i="1"/>
  <c r="N3348" i="1"/>
  <c r="S3347" i="1"/>
  <c r="R3347" i="1"/>
  <c r="Q3347" i="1"/>
  <c r="P3347" i="1"/>
  <c r="O3347" i="1"/>
  <c r="N3347" i="1"/>
  <c r="S3346" i="1"/>
  <c r="R3346" i="1"/>
  <c r="Q3346" i="1"/>
  <c r="P3346" i="1"/>
  <c r="O3346" i="1"/>
  <c r="N3346" i="1"/>
  <c r="S3345" i="1"/>
  <c r="R3345" i="1"/>
  <c r="Q3345" i="1"/>
  <c r="P3345" i="1"/>
  <c r="O3345" i="1"/>
  <c r="N3345" i="1"/>
  <c r="S3344" i="1"/>
  <c r="R3344" i="1"/>
  <c r="Q3344" i="1"/>
  <c r="P3344" i="1"/>
  <c r="O3344" i="1"/>
  <c r="N3344" i="1"/>
  <c r="S3343" i="1"/>
  <c r="R3343" i="1"/>
  <c r="Q3343" i="1"/>
  <c r="P3343" i="1"/>
  <c r="O3343" i="1"/>
  <c r="N3343" i="1"/>
  <c r="S3342" i="1"/>
  <c r="R3342" i="1"/>
  <c r="Q3342" i="1"/>
  <c r="P3342" i="1"/>
  <c r="O3342" i="1"/>
  <c r="N3342" i="1"/>
  <c r="S3341" i="1"/>
  <c r="R3341" i="1"/>
  <c r="Q3341" i="1"/>
  <c r="P3341" i="1"/>
  <c r="O3341" i="1"/>
  <c r="N3341" i="1"/>
  <c r="S3340" i="1"/>
  <c r="R3340" i="1"/>
  <c r="Q3340" i="1"/>
  <c r="P3340" i="1"/>
  <c r="O3340" i="1"/>
  <c r="N3340" i="1"/>
  <c r="S3339" i="1"/>
  <c r="R3339" i="1"/>
  <c r="Q3339" i="1"/>
  <c r="P3339" i="1"/>
  <c r="O3339" i="1"/>
  <c r="N3339" i="1"/>
  <c r="S3338" i="1"/>
  <c r="R3338" i="1"/>
  <c r="Q3338" i="1"/>
  <c r="P3338" i="1"/>
  <c r="O3338" i="1"/>
  <c r="N3338" i="1"/>
  <c r="S3337" i="1"/>
  <c r="R3337" i="1"/>
  <c r="Q3337" i="1"/>
  <c r="P3337" i="1"/>
  <c r="O3337" i="1"/>
  <c r="N3337" i="1"/>
  <c r="S3336" i="1"/>
  <c r="R3336" i="1"/>
  <c r="Q3336" i="1"/>
  <c r="P3336" i="1"/>
  <c r="O3336" i="1"/>
  <c r="N3336" i="1"/>
  <c r="S3335" i="1"/>
  <c r="R3335" i="1"/>
  <c r="Q3335" i="1"/>
  <c r="P3335" i="1"/>
  <c r="O3335" i="1"/>
  <c r="N3335" i="1"/>
  <c r="S3334" i="1"/>
  <c r="R3334" i="1"/>
  <c r="Q3334" i="1"/>
  <c r="P3334" i="1"/>
  <c r="O3334" i="1"/>
  <c r="N3334" i="1"/>
  <c r="S3333" i="1"/>
  <c r="R3333" i="1"/>
  <c r="Q3333" i="1"/>
  <c r="P3333" i="1"/>
  <c r="O3333" i="1"/>
  <c r="N3333" i="1"/>
  <c r="S3332" i="1"/>
  <c r="R3332" i="1"/>
  <c r="Q3332" i="1"/>
  <c r="P3332" i="1"/>
  <c r="O3332" i="1"/>
  <c r="N3332" i="1"/>
  <c r="S3331" i="1"/>
  <c r="R3331" i="1"/>
  <c r="Q3331" i="1"/>
  <c r="P3331" i="1"/>
  <c r="O3331" i="1"/>
  <c r="N3331" i="1"/>
  <c r="S3330" i="1"/>
  <c r="R3330" i="1"/>
  <c r="Q3330" i="1"/>
  <c r="P3330" i="1"/>
  <c r="O3330" i="1"/>
  <c r="N3330" i="1"/>
  <c r="S3329" i="1"/>
  <c r="R3329" i="1"/>
  <c r="Q3329" i="1"/>
  <c r="P3329" i="1"/>
  <c r="O3329" i="1"/>
  <c r="N3329" i="1"/>
  <c r="S3328" i="1"/>
  <c r="R3328" i="1"/>
  <c r="Q3328" i="1"/>
  <c r="P3328" i="1"/>
  <c r="O3328" i="1"/>
  <c r="N3328" i="1"/>
  <c r="S3327" i="1"/>
  <c r="R3327" i="1"/>
  <c r="Q3327" i="1"/>
  <c r="P3327" i="1"/>
  <c r="O3327" i="1"/>
  <c r="N3327" i="1"/>
  <c r="S3326" i="1"/>
  <c r="R3326" i="1"/>
  <c r="Q3326" i="1"/>
  <c r="P3326" i="1"/>
  <c r="O3326" i="1"/>
  <c r="N3326" i="1"/>
  <c r="S3325" i="1"/>
  <c r="R3325" i="1"/>
  <c r="Q3325" i="1"/>
  <c r="P3325" i="1"/>
  <c r="O3325" i="1"/>
  <c r="N3325" i="1"/>
  <c r="S3324" i="1"/>
  <c r="R3324" i="1"/>
  <c r="Q3324" i="1"/>
  <c r="P3324" i="1"/>
  <c r="O3324" i="1"/>
  <c r="N3324" i="1"/>
  <c r="S3323" i="1"/>
  <c r="R3323" i="1"/>
  <c r="Q3323" i="1"/>
  <c r="P3323" i="1"/>
  <c r="O3323" i="1"/>
  <c r="N3323" i="1"/>
  <c r="S3322" i="1"/>
  <c r="R3322" i="1"/>
  <c r="Q3322" i="1"/>
  <c r="P3322" i="1"/>
  <c r="O3322" i="1"/>
  <c r="N3322" i="1"/>
  <c r="S3321" i="1"/>
  <c r="R3321" i="1"/>
  <c r="Q3321" i="1"/>
  <c r="P3321" i="1"/>
  <c r="O3321" i="1"/>
  <c r="N3321" i="1"/>
  <c r="S3320" i="1"/>
  <c r="R3320" i="1"/>
  <c r="Q3320" i="1"/>
  <c r="P3320" i="1"/>
  <c r="O3320" i="1"/>
  <c r="N3320" i="1"/>
  <c r="S3319" i="1"/>
  <c r="R3319" i="1"/>
  <c r="Q3319" i="1"/>
  <c r="P3319" i="1"/>
  <c r="O3319" i="1"/>
  <c r="N3319" i="1"/>
  <c r="S3318" i="1"/>
  <c r="R3318" i="1"/>
  <c r="Q3318" i="1"/>
  <c r="P3318" i="1"/>
  <c r="O3318" i="1"/>
  <c r="N3318" i="1"/>
  <c r="S3317" i="1"/>
  <c r="R3317" i="1"/>
  <c r="Q3317" i="1"/>
  <c r="P3317" i="1"/>
  <c r="O3317" i="1"/>
  <c r="N3317" i="1"/>
  <c r="S3316" i="1"/>
  <c r="R3316" i="1"/>
  <c r="Q3316" i="1"/>
  <c r="P3316" i="1"/>
  <c r="O3316" i="1"/>
  <c r="N3316" i="1"/>
  <c r="S3315" i="1"/>
  <c r="R3315" i="1"/>
  <c r="Q3315" i="1"/>
  <c r="P3315" i="1"/>
  <c r="O3315" i="1"/>
  <c r="N3315" i="1"/>
  <c r="S3314" i="1"/>
  <c r="R3314" i="1"/>
  <c r="Q3314" i="1"/>
  <c r="P3314" i="1"/>
  <c r="O3314" i="1"/>
  <c r="N3314" i="1"/>
  <c r="S3313" i="1"/>
  <c r="R3313" i="1"/>
  <c r="Q3313" i="1"/>
  <c r="P3313" i="1"/>
  <c r="O3313" i="1"/>
  <c r="N3313" i="1"/>
  <c r="S3312" i="1"/>
  <c r="R3312" i="1"/>
  <c r="Q3312" i="1"/>
  <c r="P3312" i="1"/>
  <c r="O3312" i="1"/>
  <c r="N3312" i="1"/>
  <c r="S3311" i="1"/>
  <c r="R3311" i="1"/>
  <c r="Q3311" i="1"/>
  <c r="P3311" i="1"/>
  <c r="O3311" i="1"/>
  <c r="N3311" i="1"/>
  <c r="S3310" i="1"/>
  <c r="R3310" i="1"/>
  <c r="Q3310" i="1"/>
  <c r="P3310" i="1"/>
  <c r="O3310" i="1"/>
  <c r="N3310" i="1"/>
  <c r="S3309" i="1"/>
  <c r="R3309" i="1"/>
  <c r="Q3309" i="1"/>
  <c r="P3309" i="1"/>
  <c r="O3309" i="1"/>
  <c r="N3309" i="1"/>
  <c r="S3308" i="1"/>
  <c r="R3308" i="1"/>
  <c r="Q3308" i="1"/>
  <c r="P3308" i="1"/>
  <c r="O3308" i="1"/>
  <c r="N3308" i="1"/>
  <c r="S3307" i="1"/>
  <c r="R3307" i="1"/>
  <c r="Q3307" i="1"/>
  <c r="P3307" i="1"/>
  <c r="O3307" i="1"/>
  <c r="N3307" i="1"/>
  <c r="S3306" i="1"/>
  <c r="R3306" i="1"/>
  <c r="Q3306" i="1"/>
  <c r="P3306" i="1"/>
  <c r="O3306" i="1"/>
  <c r="N3306" i="1"/>
  <c r="S3305" i="1"/>
  <c r="R3305" i="1"/>
  <c r="Q3305" i="1"/>
  <c r="P3305" i="1"/>
  <c r="O3305" i="1"/>
  <c r="N3305" i="1"/>
  <c r="S3304" i="1"/>
  <c r="R3304" i="1"/>
  <c r="Q3304" i="1"/>
  <c r="P3304" i="1"/>
  <c r="O3304" i="1"/>
  <c r="N3304" i="1"/>
  <c r="S3303" i="1"/>
  <c r="R3303" i="1"/>
  <c r="Q3303" i="1"/>
  <c r="P3303" i="1"/>
  <c r="O3303" i="1"/>
  <c r="N3303" i="1"/>
  <c r="S3302" i="1"/>
  <c r="R3302" i="1"/>
  <c r="Q3302" i="1"/>
  <c r="P3302" i="1"/>
  <c r="O3302" i="1"/>
  <c r="N3302" i="1"/>
  <c r="S3301" i="1"/>
  <c r="R3301" i="1"/>
  <c r="Q3301" i="1"/>
  <c r="P3301" i="1"/>
  <c r="O3301" i="1"/>
  <c r="N3301" i="1"/>
  <c r="S3300" i="1"/>
  <c r="R3300" i="1"/>
  <c r="Q3300" i="1"/>
  <c r="P3300" i="1"/>
  <c r="O3300" i="1"/>
  <c r="N3300" i="1"/>
  <c r="S3299" i="1"/>
  <c r="R3299" i="1"/>
  <c r="Q3299" i="1"/>
  <c r="P3299" i="1"/>
  <c r="O3299" i="1"/>
  <c r="N3299" i="1"/>
  <c r="S3298" i="1"/>
  <c r="R3298" i="1"/>
  <c r="Q3298" i="1"/>
  <c r="P3298" i="1"/>
  <c r="O3298" i="1"/>
  <c r="N3298" i="1"/>
  <c r="S3297" i="1"/>
  <c r="R3297" i="1"/>
  <c r="Q3297" i="1"/>
  <c r="P3297" i="1"/>
  <c r="O3297" i="1"/>
  <c r="N3297" i="1"/>
  <c r="S3296" i="1"/>
  <c r="R3296" i="1"/>
  <c r="Q3296" i="1"/>
  <c r="P3296" i="1"/>
  <c r="O3296" i="1"/>
  <c r="N3296" i="1"/>
  <c r="S3295" i="1"/>
  <c r="R3295" i="1"/>
  <c r="Q3295" i="1"/>
  <c r="P3295" i="1"/>
  <c r="O3295" i="1"/>
  <c r="N3295" i="1"/>
  <c r="S3294" i="1"/>
  <c r="R3294" i="1"/>
  <c r="Q3294" i="1"/>
  <c r="P3294" i="1"/>
  <c r="O3294" i="1"/>
  <c r="N3294" i="1"/>
  <c r="S3293" i="1"/>
  <c r="R3293" i="1"/>
  <c r="Q3293" i="1"/>
  <c r="P3293" i="1"/>
  <c r="O3293" i="1"/>
  <c r="N3293" i="1"/>
  <c r="S3292" i="1"/>
  <c r="R3292" i="1"/>
  <c r="Q3292" i="1"/>
  <c r="P3292" i="1"/>
  <c r="O3292" i="1"/>
  <c r="N3292" i="1"/>
  <c r="S3291" i="1"/>
  <c r="R3291" i="1"/>
  <c r="Q3291" i="1"/>
  <c r="P3291" i="1"/>
  <c r="O3291" i="1"/>
  <c r="N3291" i="1"/>
  <c r="S3290" i="1"/>
  <c r="R3290" i="1"/>
  <c r="Q3290" i="1"/>
  <c r="P3290" i="1"/>
  <c r="O3290" i="1"/>
  <c r="N3290" i="1"/>
  <c r="S3289" i="1"/>
  <c r="R3289" i="1"/>
  <c r="Q3289" i="1"/>
  <c r="P3289" i="1"/>
  <c r="O3289" i="1"/>
  <c r="N3289" i="1"/>
  <c r="S3288" i="1"/>
  <c r="R3288" i="1"/>
  <c r="Q3288" i="1"/>
  <c r="P3288" i="1"/>
  <c r="O3288" i="1"/>
  <c r="N3288" i="1"/>
  <c r="S3287" i="1"/>
  <c r="R3287" i="1"/>
  <c r="Q3287" i="1"/>
  <c r="P3287" i="1"/>
  <c r="O3287" i="1"/>
  <c r="N3287" i="1"/>
  <c r="S3286" i="1"/>
  <c r="R3286" i="1"/>
  <c r="Q3286" i="1"/>
  <c r="P3286" i="1"/>
  <c r="O3286" i="1"/>
  <c r="N3286" i="1"/>
  <c r="S3285" i="1"/>
  <c r="R3285" i="1"/>
  <c r="Q3285" i="1"/>
  <c r="P3285" i="1"/>
  <c r="O3285" i="1"/>
  <c r="N3285" i="1"/>
  <c r="S3284" i="1"/>
  <c r="R3284" i="1"/>
  <c r="Q3284" i="1"/>
  <c r="P3284" i="1"/>
  <c r="O3284" i="1"/>
  <c r="N3284" i="1"/>
  <c r="S3283" i="1"/>
  <c r="R3283" i="1"/>
  <c r="Q3283" i="1"/>
  <c r="P3283" i="1"/>
  <c r="O3283" i="1"/>
  <c r="N3283" i="1"/>
  <c r="S3282" i="1"/>
  <c r="R3282" i="1"/>
  <c r="Q3282" i="1"/>
  <c r="P3282" i="1"/>
  <c r="O3282" i="1"/>
  <c r="N3282" i="1"/>
  <c r="S3281" i="1"/>
  <c r="R3281" i="1"/>
  <c r="Q3281" i="1"/>
  <c r="P3281" i="1"/>
  <c r="O3281" i="1"/>
  <c r="N3281" i="1"/>
  <c r="S3280" i="1"/>
  <c r="R3280" i="1"/>
  <c r="Q3280" i="1"/>
  <c r="P3280" i="1"/>
  <c r="O3280" i="1"/>
  <c r="N3280" i="1"/>
  <c r="S3279" i="1"/>
  <c r="R3279" i="1"/>
  <c r="Q3279" i="1"/>
  <c r="P3279" i="1"/>
  <c r="O3279" i="1"/>
  <c r="N3279" i="1"/>
  <c r="S3278" i="1"/>
  <c r="R3278" i="1"/>
  <c r="Q3278" i="1"/>
  <c r="P3278" i="1"/>
  <c r="O3278" i="1"/>
  <c r="N3278" i="1"/>
  <c r="S3277" i="1"/>
  <c r="R3277" i="1"/>
  <c r="Q3277" i="1"/>
  <c r="P3277" i="1"/>
  <c r="O3277" i="1"/>
  <c r="N3277" i="1"/>
  <c r="S3276" i="1"/>
  <c r="R3276" i="1"/>
  <c r="Q3276" i="1"/>
  <c r="P3276" i="1"/>
  <c r="O3276" i="1"/>
  <c r="N3276" i="1"/>
  <c r="S3275" i="1"/>
  <c r="R3275" i="1"/>
  <c r="Q3275" i="1"/>
  <c r="P3275" i="1"/>
  <c r="O3275" i="1"/>
  <c r="N3275" i="1"/>
  <c r="S3274" i="1"/>
  <c r="R3274" i="1"/>
  <c r="Q3274" i="1"/>
  <c r="P3274" i="1"/>
  <c r="O3274" i="1"/>
  <c r="N3274" i="1"/>
  <c r="S3273" i="1"/>
  <c r="R3273" i="1"/>
  <c r="Q3273" i="1"/>
  <c r="P3273" i="1"/>
  <c r="O3273" i="1"/>
  <c r="N3273" i="1"/>
  <c r="S3272" i="1"/>
  <c r="R3272" i="1"/>
  <c r="Q3272" i="1"/>
  <c r="P3272" i="1"/>
  <c r="O3272" i="1"/>
  <c r="N3272" i="1"/>
  <c r="S3271" i="1"/>
  <c r="R3271" i="1"/>
  <c r="Q3271" i="1"/>
  <c r="P3271" i="1"/>
  <c r="O3271" i="1"/>
  <c r="N3271" i="1"/>
  <c r="S3270" i="1"/>
  <c r="R3270" i="1"/>
  <c r="Q3270" i="1"/>
  <c r="P3270" i="1"/>
  <c r="O3270" i="1"/>
  <c r="N3270" i="1"/>
  <c r="S3269" i="1"/>
  <c r="R3269" i="1"/>
  <c r="Q3269" i="1"/>
  <c r="P3269" i="1"/>
  <c r="O3269" i="1"/>
  <c r="N3269" i="1"/>
  <c r="S3268" i="1"/>
  <c r="R3268" i="1"/>
  <c r="Q3268" i="1"/>
  <c r="P3268" i="1"/>
  <c r="O3268" i="1"/>
  <c r="N3268" i="1"/>
  <c r="S3267" i="1"/>
  <c r="R3267" i="1"/>
  <c r="Q3267" i="1"/>
  <c r="P3267" i="1"/>
  <c r="O3267" i="1"/>
  <c r="N3267" i="1"/>
  <c r="S3266" i="1"/>
  <c r="R3266" i="1"/>
  <c r="Q3266" i="1"/>
  <c r="P3266" i="1"/>
  <c r="O3266" i="1"/>
  <c r="N3266" i="1"/>
  <c r="S3265" i="1"/>
  <c r="R3265" i="1"/>
  <c r="Q3265" i="1"/>
  <c r="P3265" i="1"/>
  <c r="O3265" i="1"/>
  <c r="N3265" i="1"/>
  <c r="S3264" i="1"/>
  <c r="R3264" i="1"/>
  <c r="Q3264" i="1"/>
  <c r="P3264" i="1"/>
  <c r="O3264" i="1"/>
  <c r="N3264" i="1"/>
  <c r="S3263" i="1"/>
  <c r="R3263" i="1"/>
  <c r="Q3263" i="1"/>
  <c r="P3263" i="1"/>
  <c r="O3263" i="1"/>
  <c r="N3263" i="1"/>
  <c r="S3262" i="1"/>
  <c r="R3262" i="1"/>
  <c r="Q3262" i="1"/>
  <c r="P3262" i="1"/>
  <c r="O3262" i="1"/>
  <c r="N3262" i="1"/>
  <c r="S3261" i="1"/>
  <c r="R3261" i="1"/>
  <c r="Q3261" i="1"/>
  <c r="P3261" i="1"/>
  <c r="O3261" i="1"/>
  <c r="N3261" i="1"/>
  <c r="S3260" i="1"/>
  <c r="R3260" i="1"/>
  <c r="Q3260" i="1"/>
  <c r="P3260" i="1"/>
  <c r="O3260" i="1"/>
  <c r="N3260" i="1"/>
  <c r="S3259" i="1"/>
  <c r="R3259" i="1"/>
  <c r="Q3259" i="1"/>
  <c r="P3259" i="1"/>
  <c r="O3259" i="1"/>
  <c r="N3259" i="1"/>
  <c r="S3258" i="1"/>
  <c r="R3258" i="1"/>
  <c r="Q3258" i="1"/>
  <c r="P3258" i="1"/>
  <c r="O3258" i="1"/>
  <c r="N3258" i="1"/>
  <c r="S3257" i="1"/>
  <c r="R3257" i="1"/>
  <c r="Q3257" i="1"/>
  <c r="P3257" i="1"/>
  <c r="O3257" i="1"/>
  <c r="N3257" i="1"/>
  <c r="S3256" i="1"/>
  <c r="R3256" i="1"/>
  <c r="Q3256" i="1"/>
  <c r="P3256" i="1"/>
  <c r="O3256" i="1"/>
  <c r="N3256" i="1"/>
  <c r="S3255" i="1"/>
  <c r="R3255" i="1"/>
  <c r="Q3255" i="1"/>
  <c r="P3255" i="1"/>
  <c r="O3255" i="1"/>
  <c r="N3255" i="1"/>
  <c r="S3254" i="1"/>
  <c r="R3254" i="1"/>
  <c r="Q3254" i="1"/>
  <c r="P3254" i="1"/>
  <c r="O3254" i="1"/>
  <c r="N3254" i="1"/>
  <c r="S3253" i="1"/>
  <c r="R3253" i="1"/>
  <c r="Q3253" i="1"/>
  <c r="P3253" i="1"/>
  <c r="O3253" i="1"/>
  <c r="N3253" i="1"/>
  <c r="S3252" i="1"/>
  <c r="R3252" i="1"/>
  <c r="Q3252" i="1"/>
  <c r="P3252" i="1"/>
  <c r="O3252" i="1"/>
  <c r="N3252" i="1"/>
  <c r="S3251" i="1"/>
  <c r="R3251" i="1"/>
  <c r="Q3251" i="1"/>
  <c r="P3251" i="1"/>
  <c r="O3251" i="1"/>
  <c r="N3251" i="1"/>
  <c r="S3250" i="1"/>
  <c r="R3250" i="1"/>
  <c r="Q3250" i="1"/>
  <c r="P3250" i="1"/>
  <c r="O3250" i="1"/>
  <c r="N3250" i="1"/>
  <c r="S3249" i="1"/>
  <c r="R3249" i="1"/>
  <c r="Q3249" i="1"/>
  <c r="P3249" i="1"/>
  <c r="O3249" i="1"/>
  <c r="N3249" i="1"/>
  <c r="S3248" i="1"/>
  <c r="R3248" i="1"/>
  <c r="Q3248" i="1"/>
  <c r="P3248" i="1"/>
  <c r="O3248" i="1"/>
  <c r="N3248" i="1"/>
  <c r="S3247" i="1"/>
  <c r="R3247" i="1"/>
  <c r="Q3247" i="1"/>
  <c r="P3247" i="1"/>
  <c r="O3247" i="1"/>
  <c r="N3247" i="1"/>
  <c r="S3246" i="1"/>
  <c r="R3246" i="1"/>
  <c r="Q3246" i="1"/>
  <c r="P3246" i="1"/>
  <c r="O3246" i="1"/>
  <c r="N3246" i="1"/>
  <c r="S3245" i="1"/>
  <c r="R3245" i="1"/>
  <c r="Q3245" i="1"/>
  <c r="P3245" i="1"/>
  <c r="O3245" i="1"/>
  <c r="N3245" i="1"/>
  <c r="S3244" i="1"/>
  <c r="R3244" i="1"/>
  <c r="Q3244" i="1"/>
  <c r="P3244" i="1"/>
  <c r="O3244" i="1"/>
  <c r="N3244" i="1"/>
  <c r="S3243" i="1"/>
  <c r="R3243" i="1"/>
  <c r="Q3243" i="1"/>
  <c r="P3243" i="1"/>
  <c r="O3243" i="1"/>
  <c r="N3243" i="1"/>
  <c r="S3242" i="1"/>
  <c r="R3242" i="1"/>
  <c r="Q3242" i="1"/>
  <c r="P3242" i="1"/>
  <c r="O3242" i="1"/>
  <c r="N3242" i="1"/>
  <c r="S3241" i="1"/>
  <c r="R3241" i="1"/>
  <c r="Q3241" i="1"/>
  <c r="P3241" i="1"/>
  <c r="O3241" i="1"/>
  <c r="N3241" i="1"/>
  <c r="S3240" i="1"/>
  <c r="R3240" i="1"/>
  <c r="Q3240" i="1"/>
  <c r="P3240" i="1"/>
  <c r="O3240" i="1"/>
  <c r="N3240" i="1"/>
  <c r="S3239" i="1"/>
  <c r="R3239" i="1"/>
  <c r="Q3239" i="1"/>
  <c r="P3239" i="1"/>
  <c r="O3239" i="1"/>
  <c r="N3239" i="1"/>
  <c r="S3238" i="1"/>
  <c r="R3238" i="1"/>
  <c r="Q3238" i="1"/>
  <c r="P3238" i="1"/>
  <c r="O3238" i="1"/>
  <c r="N3238" i="1"/>
  <c r="S3237" i="1"/>
  <c r="R3237" i="1"/>
  <c r="Q3237" i="1"/>
  <c r="P3237" i="1"/>
  <c r="O3237" i="1"/>
  <c r="N3237" i="1"/>
  <c r="S3236" i="1"/>
  <c r="R3236" i="1"/>
  <c r="Q3236" i="1"/>
  <c r="P3236" i="1"/>
  <c r="O3236" i="1"/>
  <c r="N3236" i="1"/>
  <c r="S3235" i="1"/>
  <c r="R3235" i="1"/>
  <c r="Q3235" i="1"/>
  <c r="P3235" i="1"/>
  <c r="O3235" i="1"/>
  <c r="N3235" i="1"/>
  <c r="S3234" i="1"/>
  <c r="R3234" i="1"/>
  <c r="Q3234" i="1"/>
  <c r="P3234" i="1"/>
  <c r="O3234" i="1"/>
  <c r="N3234" i="1"/>
  <c r="S3233" i="1"/>
  <c r="R3233" i="1"/>
  <c r="Q3233" i="1"/>
  <c r="P3233" i="1"/>
  <c r="O3233" i="1"/>
  <c r="N3233" i="1"/>
  <c r="S3232" i="1"/>
  <c r="R3232" i="1"/>
  <c r="Q3232" i="1"/>
  <c r="P3232" i="1"/>
  <c r="O3232" i="1"/>
  <c r="N3232" i="1"/>
  <c r="S3231" i="1"/>
  <c r="R3231" i="1"/>
  <c r="Q3231" i="1"/>
  <c r="P3231" i="1"/>
  <c r="O3231" i="1"/>
  <c r="N3231" i="1"/>
  <c r="S3230" i="1"/>
  <c r="R3230" i="1"/>
  <c r="Q3230" i="1"/>
  <c r="P3230" i="1"/>
  <c r="O3230" i="1"/>
  <c r="N3230" i="1"/>
  <c r="S3229" i="1"/>
  <c r="R3229" i="1"/>
  <c r="Q3229" i="1"/>
  <c r="P3229" i="1"/>
  <c r="O3229" i="1"/>
  <c r="N3229" i="1"/>
  <c r="S3228" i="1"/>
  <c r="R3228" i="1"/>
  <c r="Q3228" i="1"/>
  <c r="P3228" i="1"/>
  <c r="O3228" i="1"/>
  <c r="N3228" i="1"/>
  <c r="S3227" i="1"/>
  <c r="R3227" i="1"/>
  <c r="Q3227" i="1"/>
  <c r="P3227" i="1"/>
  <c r="O3227" i="1"/>
  <c r="N3227" i="1"/>
  <c r="S3226" i="1"/>
  <c r="R3226" i="1"/>
  <c r="Q3226" i="1"/>
  <c r="P3226" i="1"/>
  <c r="O3226" i="1"/>
  <c r="N3226" i="1"/>
  <c r="S3225" i="1"/>
  <c r="R3225" i="1"/>
  <c r="Q3225" i="1"/>
  <c r="P3225" i="1"/>
  <c r="O3225" i="1"/>
  <c r="N3225" i="1"/>
  <c r="S3224" i="1"/>
  <c r="R3224" i="1"/>
  <c r="Q3224" i="1"/>
  <c r="P3224" i="1"/>
  <c r="O3224" i="1"/>
  <c r="N3224" i="1"/>
  <c r="S3223" i="1"/>
  <c r="R3223" i="1"/>
  <c r="Q3223" i="1"/>
  <c r="P3223" i="1"/>
  <c r="O3223" i="1"/>
  <c r="N3223" i="1"/>
  <c r="S3222" i="1"/>
  <c r="R3222" i="1"/>
  <c r="Q3222" i="1"/>
  <c r="P3222" i="1"/>
  <c r="O3222" i="1"/>
  <c r="N3222" i="1"/>
  <c r="S3221" i="1"/>
  <c r="R3221" i="1"/>
  <c r="Q3221" i="1"/>
  <c r="P3221" i="1"/>
  <c r="O3221" i="1"/>
  <c r="N3221" i="1"/>
  <c r="S3220" i="1"/>
  <c r="R3220" i="1"/>
  <c r="Q3220" i="1"/>
  <c r="P3220" i="1"/>
  <c r="O3220" i="1"/>
  <c r="N3220" i="1"/>
  <c r="S3219" i="1"/>
  <c r="R3219" i="1"/>
  <c r="Q3219" i="1"/>
  <c r="P3219" i="1"/>
  <c r="O3219" i="1"/>
  <c r="N3219" i="1"/>
  <c r="S3218" i="1"/>
  <c r="R3218" i="1"/>
  <c r="Q3218" i="1"/>
  <c r="P3218" i="1"/>
  <c r="O3218" i="1"/>
  <c r="N3218" i="1"/>
  <c r="S3217" i="1"/>
  <c r="R3217" i="1"/>
  <c r="Q3217" i="1"/>
  <c r="P3217" i="1"/>
  <c r="O3217" i="1"/>
  <c r="N3217" i="1"/>
  <c r="S3216" i="1"/>
  <c r="R3216" i="1"/>
  <c r="Q3216" i="1"/>
  <c r="P3216" i="1"/>
  <c r="O3216" i="1"/>
  <c r="N3216" i="1"/>
  <c r="S3215" i="1"/>
  <c r="R3215" i="1"/>
  <c r="Q3215" i="1"/>
  <c r="P3215" i="1"/>
  <c r="O3215" i="1"/>
  <c r="N3215" i="1"/>
  <c r="S3214" i="1"/>
  <c r="R3214" i="1"/>
  <c r="Q3214" i="1"/>
  <c r="P3214" i="1"/>
  <c r="O3214" i="1"/>
  <c r="N3214" i="1"/>
  <c r="S3213" i="1"/>
  <c r="R3213" i="1"/>
  <c r="Q3213" i="1"/>
  <c r="P3213" i="1"/>
  <c r="O3213" i="1"/>
  <c r="N3213" i="1"/>
  <c r="S3212" i="1"/>
  <c r="R3212" i="1"/>
  <c r="Q3212" i="1"/>
  <c r="P3212" i="1"/>
  <c r="O3212" i="1"/>
  <c r="N3212" i="1"/>
  <c r="S3211" i="1"/>
  <c r="R3211" i="1"/>
  <c r="Q3211" i="1"/>
  <c r="P3211" i="1"/>
  <c r="O3211" i="1"/>
  <c r="N3211" i="1"/>
  <c r="S3210" i="1"/>
  <c r="R3210" i="1"/>
  <c r="Q3210" i="1"/>
  <c r="P3210" i="1"/>
  <c r="O3210" i="1"/>
  <c r="N3210" i="1"/>
  <c r="S3209" i="1"/>
  <c r="R3209" i="1"/>
  <c r="Q3209" i="1"/>
  <c r="P3209" i="1"/>
  <c r="O3209" i="1"/>
  <c r="N3209" i="1"/>
  <c r="S3208" i="1"/>
  <c r="R3208" i="1"/>
  <c r="Q3208" i="1"/>
  <c r="P3208" i="1"/>
  <c r="O3208" i="1"/>
  <c r="N3208" i="1"/>
  <c r="S3207" i="1"/>
  <c r="R3207" i="1"/>
  <c r="Q3207" i="1"/>
  <c r="P3207" i="1"/>
  <c r="O3207" i="1"/>
  <c r="N3207" i="1"/>
  <c r="S3206" i="1"/>
  <c r="R3206" i="1"/>
  <c r="Q3206" i="1"/>
  <c r="P3206" i="1"/>
  <c r="O3206" i="1"/>
  <c r="N3206" i="1"/>
  <c r="S3205" i="1"/>
  <c r="R3205" i="1"/>
  <c r="Q3205" i="1"/>
  <c r="P3205" i="1"/>
  <c r="O3205" i="1"/>
  <c r="N3205" i="1"/>
  <c r="S3204" i="1"/>
  <c r="R3204" i="1"/>
  <c r="Q3204" i="1"/>
  <c r="P3204" i="1"/>
  <c r="O3204" i="1"/>
  <c r="N3204" i="1"/>
  <c r="S3203" i="1"/>
  <c r="R3203" i="1"/>
  <c r="Q3203" i="1"/>
  <c r="P3203" i="1"/>
  <c r="O3203" i="1"/>
  <c r="N3203" i="1"/>
  <c r="S3202" i="1"/>
  <c r="R3202" i="1"/>
  <c r="Q3202" i="1"/>
  <c r="P3202" i="1"/>
  <c r="O3202" i="1"/>
  <c r="N3202" i="1"/>
  <c r="S3201" i="1"/>
  <c r="R3201" i="1"/>
  <c r="Q3201" i="1"/>
  <c r="P3201" i="1"/>
  <c r="O3201" i="1"/>
  <c r="N3201" i="1"/>
  <c r="S3200" i="1"/>
  <c r="R3200" i="1"/>
  <c r="Q3200" i="1"/>
  <c r="P3200" i="1"/>
  <c r="O3200" i="1"/>
  <c r="N3200" i="1"/>
  <c r="S3199" i="1"/>
  <c r="R3199" i="1"/>
  <c r="Q3199" i="1"/>
  <c r="P3199" i="1"/>
  <c r="O3199" i="1"/>
  <c r="N3199" i="1"/>
  <c r="S3198" i="1"/>
  <c r="R3198" i="1"/>
  <c r="Q3198" i="1"/>
  <c r="P3198" i="1"/>
  <c r="O3198" i="1"/>
  <c r="N3198" i="1"/>
  <c r="S3197" i="1"/>
  <c r="R3197" i="1"/>
  <c r="Q3197" i="1"/>
  <c r="P3197" i="1"/>
  <c r="O3197" i="1"/>
  <c r="N3197" i="1"/>
  <c r="S3196" i="1"/>
  <c r="R3196" i="1"/>
  <c r="Q3196" i="1"/>
  <c r="P3196" i="1"/>
  <c r="O3196" i="1"/>
  <c r="N3196" i="1"/>
  <c r="S3195" i="1"/>
  <c r="R3195" i="1"/>
  <c r="Q3195" i="1"/>
  <c r="P3195" i="1"/>
  <c r="O3195" i="1"/>
  <c r="N3195" i="1"/>
  <c r="S3194" i="1"/>
  <c r="R3194" i="1"/>
  <c r="Q3194" i="1"/>
  <c r="P3194" i="1"/>
  <c r="O3194" i="1"/>
  <c r="N3194" i="1"/>
  <c r="S3193" i="1"/>
  <c r="R3193" i="1"/>
  <c r="Q3193" i="1"/>
  <c r="P3193" i="1"/>
  <c r="O3193" i="1"/>
  <c r="N3193" i="1"/>
  <c r="S3192" i="1"/>
  <c r="R3192" i="1"/>
  <c r="Q3192" i="1"/>
  <c r="P3192" i="1"/>
  <c r="O3192" i="1"/>
  <c r="N3192" i="1"/>
  <c r="S3191" i="1"/>
  <c r="R3191" i="1"/>
  <c r="Q3191" i="1"/>
  <c r="P3191" i="1"/>
  <c r="O3191" i="1"/>
  <c r="N3191" i="1"/>
  <c r="S3190" i="1"/>
  <c r="R3190" i="1"/>
  <c r="Q3190" i="1"/>
  <c r="P3190" i="1"/>
  <c r="O3190" i="1"/>
  <c r="N3190" i="1"/>
  <c r="S3189" i="1"/>
  <c r="R3189" i="1"/>
  <c r="Q3189" i="1"/>
  <c r="P3189" i="1"/>
  <c r="O3189" i="1"/>
  <c r="N3189" i="1"/>
  <c r="S3188" i="1"/>
  <c r="R3188" i="1"/>
  <c r="Q3188" i="1"/>
  <c r="P3188" i="1"/>
  <c r="O3188" i="1"/>
  <c r="N3188" i="1"/>
  <c r="S3187" i="1"/>
  <c r="R3187" i="1"/>
  <c r="Q3187" i="1"/>
  <c r="P3187" i="1"/>
  <c r="O3187" i="1"/>
  <c r="N3187" i="1"/>
  <c r="S3186" i="1"/>
  <c r="R3186" i="1"/>
  <c r="Q3186" i="1"/>
  <c r="P3186" i="1"/>
  <c r="O3186" i="1"/>
  <c r="N3186" i="1"/>
  <c r="S3185" i="1"/>
  <c r="R3185" i="1"/>
  <c r="Q3185" i="1"/>
  <c r="P3185" i="1"/>
  <c r="O3185" i="1"/>
  <c r="N3185" i="1"/>
  <c r="S3184" i="1"/>
  <c r="R3184" i="1"/>
  <c r="Q3184" i="1"/>
  <c r="P3184" i="1"/>
  <c r="O3184" i="1"/>
  <c r="N3184" i="1"/>
  <c r="S3183" i="1"/>
  <c r="R3183" i="1"/>
  <c r="Q3183" i="1"/>
  <c r="P3183" i="1"/>
  <c r="O3183" i="1"/>
  <c r="N3183" i="1"/>
  <c r="S3182" i="1"/>
  <c r="R3182" i="1"/>
  <c r="Q3182" i="1"/>
  <c r="P3182" i="1"/>
  <c r="O3182" i="1"/>
  <c r="N3182" i="1"/>
  <c r="S3181" i="1"/>
  <c r="R3181" i="1"/>
  <c r="Q3181" i="1"/>
  <c r="P3181" i="1"/>
  <c r="O3181" i="1"/>
  <c r="N3181" i="1"/>
  <c r="S3180" i="1"/>
  <c r="R3180" i="1"/>
  <c r="Q3180" i="1"/>
  <c r="P3180" i="1"/>
  <c r="O3180" i="1"/>
  <c r="N3180" i="1"/>
  <c r="S3179" i="1"/>
  <c r="R3179" i="1"/>
  <c r="Q3179" i="1"/>
  <c r="P3179" i="1"/>
  <c r="O3179" i="1"/>
  <c r="N3179" i="1"/>
  <c r="S3178" i="1"/>
  <c r="R3178" i="1"/>
  <c r="Q3178" i="1"/>
  <c r="P3178" i="1"/>
  <c r="O3178" i="1"/>
  <c r="N3178" i="1"/>
  <c r="S3177" i="1"/>
  <c r="R3177" i="1"/>
  <c r="Q3177" i="1"/>
  <c r="P3177" i="1"/>
  <c r="O3177" i="1"/>
  <c r="N3177" i="1"/>
  <c r="S3176" i="1"/>
  <c r="R3176" i="1"/>
  <c r="Q3176" i="1"/>
  <c r="P3176" i="1"/>
  <c r="O3176" i="1"/>
  <c r="N3176" i="1"/>
  <c r="S3175" i="1"/>
  <c r="R3175" i="1"/>
  <c r="Q3175" i="1"/>
  <c r="P3175" i="1"/>
  <c r="O3175" i="1"/>
  <c r="N3175" i="1"/>
  <c r="S3174" i="1"/>
  <c r="R3174" i="1"/>
  <c r="Q3174" i="1"/>
  <c r="P3174" i="1"/>
  <c r="O3174" i="1"/>
  <c r="N3174" i="1"/>
  <c r="S3173" i="1"/>
  <c r="R3173" i="1"/>
  <c r="Q3173" i="1"/>
  <c r="P3173" i="1"/>
  <c r="O3173" i="1"/>
  <c r="N3173" i="1"/>
  <c r="S3172" i="1"/>
  <c r="R3172" i="1"/>
  <c r="Q3172" i="1"/>
  <c r="P3172" i="1"/>
  <c r="O3172" i="1"/>
  <c r="N3172" i="1"/>
  <c r="S3171" i="1"/>
  <c r="R3171" i="1"/>
  <c r="Q3171" i="1"/>
  <c r="P3171" i="1"/>
  <c r="O3171" i="1"/>
  <c r="N3171" i="1"/>
  <c r="S3170" i="1"/>
  <c r="R3170" i="1"/>
  <c r="Q3170" i="1"/>
  <c r="P3170" i="1"/>
  <c r="O3170" i="1"/>
  <c r="N3170" i="1"/>
  <c r="S3169" i="1"/>
  <c r="R3169" i="1"/>
  <c r="Q3169" i="1"/>
  <c r="P3169" i="1"/>
  <c r="O3169" i="1"/>
  <c r="N3169" i="1"/>
  <c r="S3168" i="1"/>
  <c r="R3168" i="1"/>
  <c r="Q3168" i="1"/>
  <c r="P3168" i="1"/>
  <c r="O3168" i="1"/>
  <c r="N3168" i="1"/>
  <c r="S3167" i="1"/>
  <c r="R3167" i="1"/>
  <c r="Q3167" i="1"/>
  <c r="P3167" i="1"/>
  <c r="O3167" i="1"/>
  <c r="N3167" i="1"/>
  <c r="S3166" i="1"/>
  <c r="R3166" i="1"/>
  <c r="Q3166" i="1"/>
  <c r="P3166" i="1"/>
  <c r="O3166" i="1"/>
  <c r="N3166" i="1"/>
  <c r="S3165" i="1"/>
  <c r="R3165" i="1"/>
  <c r="Q3165" i="1"/>
  <c r="P3165" i="1"/>
  <c r="O3165" i="1"/>
  <c r="N3165" i="1"/>
  <c r="S3164" i="1"/>
  <c r="R3164" i="1"/>
  <c r="Q3164" i="1"/>
  <c r="P3164" i="1"/>
  <c r="O3164" i="1"/>
  <c r="N3164" i="1"/>
  <c r="S3163" i="1"/>
  <c r="R3163" i="1"/>
  <c r="Q3163" i="1"/>
  <c r="P3163" i="1"/>
  <c r="O3163" i="1"/>
  <c r="N3163" i="1"/>
  <c r="S3162" i="1"/>
  <c r="R3162" i="1"/>
  <c r="Q3162" i="1"/>
  <c r="P3162" i="1"/>
  <c r="O3162" i="1"/>
  <c r="N3162" i="1"/>
  <c r="S3161" i="1"/>
  <c r="R3161" i="1"/>
  <c r="Q3161" i="1"/>
  <c r="P3161" i="1"/>
  <c r="O3161" i="1"/>
  <c r="N3161" i="1"/>
  <c r="S3160" i="1"/>
  <c r="R3160" i="1"/>
  <c r="Q3160" i="1"/>
  <c r="P3160" i="1"/>
  <c r="O3160" i="1"/>
  <c r="N3160" i="1"/>
  <c r="S3159" i="1"/>
  <c r="R3159" i="1"/>
  <c r="Q3159" i="1"/>
  <c r="P3159" i="1"/>
  <c r="O3159" i="1"/>
  <c r="N3159" i="1"/>
  <c r="S3158" i="1"/>
  <c r="R3158" i="1"/>
  <c r="Q3158" i="1"/>
  <c r="P3158" i="1"/>
  <c r="O3158" i="1"/>
  <c r="N3158" i="1"/>
  <c r="S3157" i="1"/>
  <c r="R3157" i="1"/>
  <c r="Q3157" i="1"/>
  <c r="P3157" i="1"/>
  <c r="O3157" i="1"/>
  <c r="N3157" i="1"/>
  <c r="S3156" i="1"/>
  <c r="R3156" i="1"/>
  <c r="Q3156" i="1"/>
  <c r="P3156" i="1"/>
  <c r="O3156" i="1"/>
  <c r="N3156" i="1"/>
  <c r="S3155" i="1"/>
  <c r="R3155" i="1"/>
  <c r="Q3155" i="1"/>
  <c r="P3155" i="1"/>
  <c r="O3155" i="1"/>
  <c r="N3155" i="1"/>
  <c r="S3154" i="1"/>
  <c r="R3154" i="1"/>
  <c r="Q3154" i="1"/>
  <c r="P3154" i="1"/>
  <c r="O3154" i="1"/>
  <c r="N3154" i="1"/>
  <c r="S3153" i="1"/>
  <c r="R3153" i="1"/>
  <c r="Q3153" i="1"/>
  <c r="P3153" i="1"/>
  <c r="O3153" i="1"/>
  <c r="N3153" i="1"/>
  <c r="S3152" i="1"/>
  <c r="R3152" i="1"/>
  <c r="Q3152" i="1"/>
  <c r="P3152" i="1"/>
  <c r="O3152" i="1"/>
  <c r="N3152" i="1"/>
  <c r="S3151" i="1"/>
  <c r="R3151" i="1"/>
  <c r="Q3151" i="1"/>
  <c r="P3151" i="1"/>
  <c r="O3151" i="1"/>
  <c r="N3151" i="1"/>
  <c r="S3150" i="1"/>
  <c r="R3150" i="1"/>
  <c r="Q3150" i="1"/>
  <c r="P3150" i="1"/>
  <c r="O3150" i="1"/>
  <c r="N3150" i="1"/>
  <c r="S3149" i="1"/>
  <c r="R3149" i="1"/>
  <c r="Q3149" i="1"/>
  <c r="P3149" i="1"/>
  <c r="O3149" i="1"/>
  <c r="N3149" i="1"/>
  <c r="S3148" i="1"/>
  <c r="R3148" i="1"/>
  <c r="Q3148" i="1"/>
  <c r="P3148" i="1"/>
  <c r="O3148" i="1"/>
  <c r="N3148" i="1"/>
  <c r="S3147" i="1"/>
  <c r="R3147" i="1"/>
  <c r="Q3147" i="1"/>
  <c r="P3147" i="1"/>
  <c r="O3147" i="1"/>
  <c r="N3147" i="1"/>
  <c r="S3146" i="1"/>
  <c r="R3146" i="1"/>
  <c r="Q3146" i="1"/>
  <c r="P3146" i="1"/>
  <c r="O3146" i="1"/>
  <c r="N3146" i="1"/>
  <c r="S3145" i="1"/>
  <c r="R3145" i="1"/>
  <c r="Q3145" i="1"/>
  <c r="P3145" i="1"/>
  <c r="O3145" i="1"/>
  <c r="N3145" i="1"/>
  <c r="S3144" i="1"/>
  <c r="R3144" i="1"/>
  <c r="Q3144" i="1"/>
  <c r="P3144" i="1"/>
  <c r="O3144" i="1"/>
  <c r="N3144" i="1"/>
  <c r="S3143" i="1"/>
  <c r="R3143" i="1"/>
  <c r="Q3143" i="1"/>
  <c r="P3143" i="1"/>
  <c r="O3143" i="1"/>
  <c r="N3143" i="1"/>
  <c r="S3142" i="1"/>
  <c r="R3142" i="1"/>
  <c r="Q3142" i="1"/>
  <c r="P3142" i="1"/>
  <c r="O3142" i="1"/>
  <c r="N3142" i="1"/>
  <c r="S3141" i="1"/>
  <c r="R3141" i="1"/>
  <c r="Q3141" i="1"/>
  <c r="P3141" i="1"/>
  <c r="O3141" i="1"/>
  <c r="N3141" i="1"/>
  <c r="S3140" i="1"/>
  <c r="R3140" i="1"/>
  <c r="Q3140" i="1"/>
  <c r="P3140" i="1"/>
  <c r="O3140" i="1"/>
  <c r="N3140" i="1"/>
  <c r="S3139" i="1"/>
  <c r="R3139" i="1"/>
  <c r="Q3139" i="1"/>
  <c r="P3139" i="1"/>
  <c r="O3139" i="1"/>
  <c r="N3139" i="1"/>
  <c r="S3138" i="1"/>
  <c r="R3138" i="1"/>
  <c r="Q3138" i="1"/>
  <c r="P3138" i="1"/>
  <c r="O3138" i="1"/>
  <c r="N3138" i="1"/>
  <c r="S3137" i="1"/>
  <c r="R3137" i="1"/>
  <c r="Q3137" i="1"/>
  <c r="P3137" i="1"/>
  <c r="O3137" i="1"/>
  <c r="N3137" i="1"/>
  <c r="S3136" i="1"/>
  <c r="R3136" i="1"/>
  <c r="Q3136" i="1"/>
  <c r="P3136" i="1"/>
  <c r="O3136" i="1"/>
  <c r="N3136" i="1"/>
  <c r="S3135" i="1"/>
  <c r="R3135" i="1"/>
  <c r="Q3135" i="1"/>
  <c r="P3135" i="1"/>
  <c r="O3135" i="1"/>
  <c r="N3135" i="1"/>
  <c r="S3134" i="1"/>
  <c r="R3134" i="1"/>
  <c r="Q3134" i="1"/>
  <c r="P3134" i="1"/>
  <c r="O3134" i="1"/>
  <c r="N3134" i="1"/>
  <c r="S3133" i="1"/>
  <c r="R3133" i="1"/>
  <c r="Q3133" i="1"/>
  <c r="P3133" i="1"/>
  <c r="O3133" i="1"/>
  <c r="N3133" i="1"/>
  <c r="S3132" i="1"/>
  <c r="R3132" i="1"/>
  <c r="Q3132" i="1"/>
  <c r="P3132" i="1"/>
  <c r="O3132" i="1"/>
  <c r="N3132" i="1"/>
  <c r="S3131" i="1"/>
  <c r="R3131" i="1"/>
  <c r="Q3131" i="1"/>
  <c r="P3131" i="1"/>
  <c r="O3131" i="1"/>
  <c r="N3131" i="1"/>
  <c r="S3130" i="1"/>
  <c r="R3130" i="1"/>
  <c r="Q3130" i="1"/>
  <c r="P3130" i="1"/>
  <c r="O3130" i="1"/>
  <c r="N3130" i="1"/>
  <c r="S3129" i="1"/>
  <c r="R3129" i="1"/>
  <c r="Q3129" i="1"/>
  <c r="P3129" i="1"/>
  <c r="O3129" i="1"/>
  <c r="N3129" i="1"/>
  <c r="S3128" i="1"/>
  <c r="R3128" i="1"/>
  <c r="Q3128" i="1"/>
  <c r="P3128" i="1"/>
  <c r="O3128" i="1"/>
  <c r="N3128" i="1"/>
  <c r="S3127" i="1"/>
  <c r="R3127" i="1"/>
  <c r="Q3127" i="1"/>
  <c r="P3127" i="1"/>
  <c r="O3127" i="1"/>
  <c r="N3127" i="1"/>
  <c r="S3126" i="1"/>
  <c r="R3126" i="1"/>
  <c r="Q3126" i="1"/>
  <c r="P3126" i="1"/>
  <c r="O3126" i="1"/>
  <c r="N3126" i="1"/>
  <c r="S3125" i="1"/>
  <c r="R3125" i="1"/>
  <c r="Q3125" i="1"/>
  <c r="P3125" i="1"/>
  <c r="O3125" i="1"/>
  <c r="N3125" i="1"/>
  <c r="S3124" i="1"/>
  <c r="R3124" i="1"/>
  <c r="Q3124" i="1"/>
  <c r="P3124" i="1"/>
  <c r="O3124" i="1"/>
  <c r="N3124" i="1"/>
  <c r="S3123" i="1"/>
  <c r="R3123" i="1"/>
  <c r="Q3123" i="1"/>
  <c r="P3123" i="1"/>
  <c r="O3123" i="1"/>
  <c r="N3123" i="1"/>
  <c r="S3122" i="1"/>
  <c r="R3122" i="1"/>
  <c r="Q3122" i="1"/>
  <c r="P3122" i="1"/>
  <c r="O3122" i="1"/>
  <c r="N3122" i="1"/>
  <c r="S3121" i="1"/>
  <c r="R3121" i="1"/>
  <c r="Q3121" i="1"/>
  <c r="P3121" i="1"/>
  <c r="O3121" i="1"/>
  <c r="N3121" i="1"/>
  <c r="S3120" i="1"/>
  <c r="R3120" i="1"/>
  <c r="Q3120" i="1"/>
  <c r="P3120" i="1"/>
  <c r="O3120" i="1"/>
  <c r="N3120" i="1"/>
  <c r="S3119" i="1"/>
  <c r="R3119" i="1"/>
  <c r="Q3119" i="1"/>
  <c r="P3119" i="1"/>
  <c r="O3119" i="1"/>
  <c r="N3119" i="1"/>
  <c r="S3118" i="1"/>
  <c r="R3118" i="1"/>
  <c r="Q3118" i="1"/>
  <c r="P3118" i="1"/>
  <c r="O3118" i="1"/>
  <c r="N3118" i="1"/>
  <c r="S3117" i="1"/>
  <c r="R3117" i="1"/>
  <c r="Q3117" i="1"/>
  <c r="P3117" i="1"/>
  <c r="O3117" i="1"/>
  <c r="N3117" i="1"/>
  <c r="S3116" i="1"/>
  <c r="R3116" i="1"/>
  <c r="Q3116" i="1"/>
  <c r="P3116" i="1"/>
  <c r="O3116" i="1"/>
  <c r="N3116" i="1"/>
  <c r="S3115" i="1"/>
  <c r="R3115" i="1"/>
  <c r="Q3115" i="1"/>
  <c r="P3115" i="1"/>
  <c r="O3115" i="1"/>
  <c r="N3115" i="1"/>
  <c r="S3114" i="1"/>
  <c r="R3114" i="1"/>
  <c r="Q3114" i="1"/>
  <c r="P3114" i="1"/>
  <c r="O3114" i="1"/>
  <c r="N3114" i="1"/>
  <c r="S3113" i="1"/>
  <c r="R3113" i="1"/>
  <c r="Q3113" i="1"/>
  <c r="P3113" i="1"/>
  <c r="O3113" i="1"/>
  <c r="N3113" i="1"/>
  <c r="S3112" i="1"/>
  <c r="R3112" i="1"/>
  <c r="Q3112" i="1"/>
  <c r="P3112" i="1"/>
  <c r="O3112" i="1"/>
  <c r="N3112" i="1"/>
  <c r="S3111" i="1"/>
  <c r="R3111" i="1"/>
  <c r="Q3111" i="1"/>
  <c r="P3111" i="1"/>
  <c r="O3111" i="1"/>
  <c r="N3111" i="1"/>
  <c r="S3110" i="1"/>
  <c r="R3110" i="1"/>
  <c r="Q3110" i="1"/>
  <c r="P3110" i="1"/>
  <c r="O3110" i="1"/>
  <c r="N3110" i="1"/>
  <c r="S3109" i="1"/>
  <c r="R3109" i="1"/>
  <c r="Q3109" i="1"/>
  <c r="P3109" i="1"/>
  <c r="O3109" i="1"/>
  <c r="N3109" i="1"/>
  <c r="S3108" i="1"/>
  <c r="R3108" i="1"/>
  <c r="Q3108" i="1"/>
  <c r="P3108" i="1"/>
  <c r="O3108" i="1"/>
  <c r="N3108" i="1"/>
  <c r="S3107" i="1"/>
  <c r="R3107" i="1"/>
  <c r="Q3107" i="1"/>
  <c r="P3107" i="1"/>
  <c r="O3107" i="1"/>
  <c r="N3107" i="1"/>
  <c r="S3106" i="1"/>
  <c r="R3106" i="1"/>
  <c r="Q3106" i="1"/>
  <c r="P3106" i="1"/>
  <c r="O3106" i="1"/>
  <c r="N3106" i="1"/>
  <c r="S3105" i="1"/>
  <c r="R3105" i="1"/>
  <c r="Q3105" i="1"/>
  <c r="P3105" i="1"/>
  <c r="O3105" i="1"/>
  <c r="N3105" i="1"/>
  <c r="S3104" i="1"/>
  <c r="R3104" i="1"/>
  <c r="Q3104" i="1"/>
  <c r="P3104" i="1"/>
  <c r="O3104" i="1"/>
  <c r="N3104" i="1"/>
  <c r="S3103" i="1"/>
  <c r="R3103" i="1"/>
  <c r="Q3103" i="1"/>
  <c r="P3103" i="1"/>
  <c r="O3103" i="1"/>
  <c r="N3103" i="1"/>
  <c r="S3102" i="1"/>
  <c r="R3102" i="1"/>
  <c r="Q3102" i="1"/>
  <c r="P3102" i="1"/>
  <c r="O3102" i="1"/>
  <c r="N3102" i="1"/>
  <c r="S3101" i="1"/>
  <c r="R3101" i="1"/>
  <c r="Q3101" i="1"/>
  <c r="P3101" i="1"/>
  <c r="O3101" i="1"/>
  <c r="N3101" i="1"/>
  <c r="S3100" i="1"/>
  <c r="R3100" i="1"/>
  <c r="Q3100" i="1"/>
  <c r="P3100" i="1"/>
  <c r="O3100" i="1"/>
  <c r="N3100" i="1"/>
  <c r="S3099" i="1"/>
  <c r="R3099" i="1"/>
  <c r="Q3099" i="1"/>
  <c r="P3099" i="1"/>
  <c r="O3099" i="1"/>
  <c r="N3099" i="1"/>
  <c r="S3098" i="1"/>
  <c r="R3098" i="1"/>
  <c r="Q3098" i="1"/>
  <c r="P3098" i="1"/>
  <c r="O3098" i="1"/>
  <c r="N3098" i="1"/>
  <c r="S3097" i="1"/>
  <c r="R3097" i="1"/>
  <c r="Q3097" i="1"/>
  <c r="P3097" i="1"/>
  <c r="O3097" i="1"/>
  <c r="N3097" i="1"/>
  <c r="S3096" i="1"/>
  <c r="R3096" i="1"/>
  <c r="Q3096" i="1"/>
  <c r="P3096" i="1"/>
  <c r="O3096" i="1"/>
  <c r="N3096" i="1"/>
  <c r="S3095" i="1"/>
  <c r="R3095" i="1"/>
  <c r="Q3095" i="1"/>
  <c r="P3095" i="1"/>
  <c r="O3095" i="1"/>
  <c r="N3095" i="1"/>
  <c r="S3094" i="1"/>
  <c r="R3094" i="1"/>
  <c r="Q3094" i="1"/>
  <c r="P3094" i="1"/>
  <c r="O3094" i="1"/>
  <c r="N3094" i="1"/>
  <c r="S3093" i="1"/>
  <c r="R3093" i="1"/>
  <c r="Q3093" i="1"/>
  <c r="P3093" i="1"/>
  <c r="O3093" i="1"/>
  <c r="N3093" i="1"/>
  <c r="S3092" i="1"/>
  <c r="R3092" i="1"/>
  <c r="Q3092" i="1"/>
  <c r="P3092" i="1"/>
  <c r="O3092" i="1"/>
  <c r="N3092" i="1"/>
  <c r="S3091" i="1"/>
  <c r="R3091" i="1"/>
  <c r="Q3091" i="1"/>
  <c r="P3091" i="1"/>
  <c r="O3091" i="1"/>
  <c r="N3091" i="1"/>
  <c r="S3090" i="1"/>
  <c r="R3090" i="1"/>
  <c r="Q3090" i="1"/>
  <c r="P3090" i="1"/>
  <c r="O3090" i="1"/>
  <c r="N3090" i="1"/>
  <c r="S3089" i="1"/>
  <c r="R3089" i="1"/>
  <c r="Q3089" i="1"/>
  <c r="P3089" i="1"/>
  <c r="O3089" i="1"/>
  <c r="N3089" i="1"/>
  <c r="S3088" i="1"/>
  <c r="R3088" i="1"/>
  <c r="Q3088" i="1"/>
  <c r="P3088" i="1"/>
  <c r="O3088" i="1"/>
  <c r="N3088" i="1"/>
  <c r="S3087" i="1"/>
  <c r="R3087" i="1"/>
  <c r="Q3087" i="1"/>
  <c r="P3087" i="1"/>
  <c r="O3087" i="1"/>
  <c r="N3087" i="1"/>
  <c r="S3086" i="1"/>
  <c r="R3086" i="1"/>
  <c r="Q3086" i="1"/>
  <c r="P3086" i="1"/>
  <c r="O3086" i="1"/>
  <c r="N3086" i="1"/>
  <c r="S3085" i="1"/>
  <c r="R3085" i="1"/>
  <c r="Q3085" i="1"/>
  <c r="P3085" i="1"/>
  <c r="O3085" i="1"/>
  <c r="N3085" i="1"/>
  <c r="S3084" i="1"/>
  <c r="R3084" i="1"/>
  <c r="Q3084" i="1"/>
  <c r="P3084" i="1"/>
  <c r="O3084" i="1"/>
  <c r="N3084" i="1"/>
  <c r="S3083" i="1"/>
  <c r="R3083" i="1"/>
  <c r="Q3083" i="1"/>
  <c r="P3083" i="1"/>
  <c r="O3083" i="1"/>
  <c r="N3083" i="1"/>
  <c r="S3082" i="1"/>
  <c r="R3082" i="1"/>
  <c r="Q3082" i="1"/>
  <c r="P3082" i="1"/>
  <c r="O3082" i="1"/>
  <c r="N3082" i="1"/>
  <c r="S3081" i="1"/>
  <c r="R3081" i="1"/>
  <c r="Q3081" i="1"/>
  <c r="P3081" i="1"/>
  <c r="O3081" i="1"/>
  <c r="N3081" i="1"/>
  <c r="S3080" i="1"/>
  <c r="R3080" i="1"/>
  <c r="Q3080" i="1"/>
  <c r="P3080" i="1"/>
  <c r="O3080" i="1"/>
  <c r="N3080" i="1"/>
  <c r="S3079" i="1"/>
  <c r="R3079" i="1"/>
  <c r="Q3079" i="1"/>
  <c r="P3079" i="1"/>
  <c r="O3079" i="1"/>
  <c r="N3079" i="1"/>
  <c r="S3078" i="1"/>
  <c r="R3078" i="1"/>
  <c r="Q3078" i="1"/>
  <c r="P3078" i="1"/>
  <c r="O3078" i="1"/>
  <c r="N3078" i="1"/>
  <c r="S3077" i="1"/>
  <c r="R3077" i="1"/>
  <c r="Q3077" i="1"/>
  <c r="P3077" i="1"/>
  <c r="O3077" i="1"/>
  <c r="N3077" i="1"/>
  <c r="S3076" i="1"/>
  <c r="R3076" i="1"/>
  <c r="Q3076" i="1"/>
  <c r="P3076" i="1"/>
  <c r="O3076" i="1"/>
  <c r="N3076" i="1"/>
  <c r="S3075" i="1"/>
  <c r="R3075" i="1"/>
  <c r="Q3075" i="1"/>
  <c r="P3075" i="1"/>
  <c r="O3075" i="1"/>
  <c r="N3075" i="1"/>
  <c r="S3074" i="1"/>
  <c r="R3074" i="1"/>
  <c r="Q3074" i="1"/>
  <c r="P3074" i="1"/>
  <c r="O3074" i="1"/>
  <c r="N3074" i="1"/>
  <c r="S3073" i="1"/>
  <c r="R3073" i="1"/>
  <c r="Q3073" i="1"/>
  <c r="P3073" i="1"/>
  <c r="O3073" i="1"/>
  <c r="N3073" i="1"/>
  <c r="S3072" i="1"/>
  <c r="R3072" i="1"/>
  <c r="Q3072" i="1"/>
  <c r="P3072" i="1"/>
  <c r="O3072" i="1"/>
  <c r="N3072" i="1"/>
  <c r="S3071" i="1"/>
  <c r="R3071" i="1"/>
  <c r="Q3071" i="1"/>
  <c r="P3071" i="1"/>
  <c r="O3071" i="1"/>
  <c r="N3071" i="1"/>
  <c r="S3070" i="1"/>
  <c r="R3070" i="1"/>
  <c r="Q3070" i="1"/>
  <c r="P3070" i="1"/>
  <c r="O3070" i="1"/>
  <c r="N3070" i="1"/>
  <c r="S3069" i="1"/>
  <c r="R3069" i="1"/>
  <c r="Q3069" i="1"/>
  <c r="P3069" i="1"/>
  <c r="O3069" i="1"/>
  <c r="N3069" i="1"/>
  <c r="S3068" i="1"/>
  <c r="R3068" i="1"/>
  <c r="Q3068" i="1"/>
  <c r="P3068" i="1"/>
  <c r="O3068" i="1"/>
  <c r="N3068" i="1"/>
  <c r="S3067" i="1"/>
  <c r="R3067" i="1"/>
  <c r="Q3067" i="1"/>
  <c r="P3067" i="1"/>
  <c r="O3067" i="1"/>
  <c r="N3067" i="1"/>
  <c r="S3066" i="1"/>
  <c r="R3066" i="1"/>
  <c r="Q3066" i="1"/>
  <c r="P3066" i="1"/>
  <c r="O3066" i="1"/>
  <c r="N3066" i="1"/>
  <c r="S3065" i="1"/>
  <c r="R3065" i="1"/>
  <c r="Q3065" i="1"/>
  <c r="P3065" i="1"/>
  <c r="O3065" i="1"/>
  <c r="N3065" i="1"/>
  <c r="S3064" i="1"/>
  <c r="R3064" i="1"/>
  <c r="Q3064" i="1"/>
  <c r="P3064" i="1"/>
  <c r="O3064" i="1"/>
  <c r="N3064" i="1"/>
  <c r="S3063" i="1"/>
  <c r="R3063" i="1"/>
  <c r="Q3063" i="1"/>
  <c r="P3063" i="1"/>
  <c r="O3063" i="1"/>
  <c r="N3063" i="1"/>
  <c r="S3062" i="1"/>
  <c r="R3062" i="1"/>
  <c r="Q3062" i="1"/>
  <c r="P3062" i="1"/>
  <c r="O3062" i="1"/>
  <c r="N3062" i="1"/>
  <c r="S3061" i="1"/>
  <c r="R3061" i="1"/>
  <c r="Q3061" i="1"/>
  <c r="P3061" i="1"/>
  <c r="O3061" i="1"/>
  <c r="N3061" i="1"/>
  <c r="S3060" i="1"/>
  <c r="R3060" i="1"/>
  <c r="Q3060" i="1"/>
  <c r="P3060" i="1"/>
  <c r="O3060" i="1"/>
  <c r="N3060" i="1"/>
  <c r="S3059" i="1"/>
  <c r="R3059" i="1"/>
  <c r="Q3059" i="1"/>
  <c r="P3059" i="1"/>
  <c r="O3059" i="1"/>
  <c r="N3059" i="1"/>
  <c r="S3058" i="1"/>
  <c r="R3058" i="1"/>
  <c r="Q3058" i="1"/>
  <c r="P3058" i="1"/>
  <c r="O3058" i="1"/>
  <c r="N3058" i="1"/>
  <c r="S3057" i="1"/>
  <c r="R3057" i="1"/>
  <c r="Q3057" i="1"/>
  <c r="P3057" i="1"/>
  <c r="O3057" i="1"/>
  <c r="N3057" i="1"/>
  <c r="S3056" i="1"/>
  <c r="R3056" i="1"/>
  <c r="Q3056" i="1"/>
  <c r="P3056" i="1"/>
  <c r="O3056" i="1"/>
  <c r="N3056" i="1"/>
  <c r="S3055" i="1"/>
  <c r="R3055" i="1"/>
  <c r="Q3055" i="1"/>
  <c r="P3055" i="1"/>
  <c r="O3055" i="1"/>
  <c r="N3055" i="1"/>
  <c r="S3054" i="1"/>
  <c r="R3054" i="1"/>
  <c r="Q3054" i="1"/>
  <c r="P3054" i="1"/>
  <c r="O3054" i="1"/>
  <c r="N3054" i="1"/>
  <c r="S3053" i="1"/>
  <c r="R3053" i="1"/>
  <c r="Q3053" i="1"/>
  <c r="P3053" i="1"/>
  <c r="O3053" i="1"/>
  <c r="N3053" i="1"/>
  <c r="S3052" i="1"/>
  <c r="R3052" i="1"/>
  <c r="Q3052" i="1"/>
  <c r="P3052" i="1"/>
  <c r="O3052" i="1"/>
  <c r="N3052" i="1"/>
  <c r="S3051" i="1"/>
  <c r="R3051" i="1"/>
  <c r="Q3051" i="1"/>
  <c r="P3051" i="1"/>
  <c r="O3051" i="1"/>
  <c r="N3051" i="1"/>
  <c r="S3050" i="1"/>
  <c r="R3050" i="1"/>
  <c r="Q3050" i="1"/>
  <c r="P3050" i="1"/>
  <c r="O3050" i="1"/>
  <c r="N3050" i="1"/>
  <c r="S3049" i="1"/>
  <c r="R3049" i="1"/>
  <c r="Q3049" i="1"/>
  <c r="P3049" i="1"/>
  <c r="O3049" i="1"/>
  <c r="N3049" i="1"/>
  <c r="S3048" i="1"/>
  <c r="R3048" i="1"/>
  <c r="Q3048" i="1"/>
  <c r="P3048" i="1"/>
  <c r="O3048" i="1"/>
  <c r="N3048" i="1"/>
  <c r="S3047" i="1"/>
  <c r="R3047" i="1"/>
  <c r="Q3047" i="1"/>
  <c r="P3047" i="1"/>
  <c r="O3047" i="1"/>
  <c r="N3047" i="1"/>
  <c r="S3046" i="1"/>
  <c r="R3046" i="1"/>
  <c r="Q3046" i="1"/>
  <c r="P3046" i="1"/>
  <c r="O3046" i="1"/>
  <c r="N3046" i="1"/>
  <c r="S3045" i="1"/>
  <c r="R3045" i="1"/>
  <c r="Q3045" i="1"/>
  <c r="P3045" i="1"/>
  <c r="O3045" i="1"/>
  <c r="N3045" i="1"/>
  <c r="S3044" i="1"/>
  <c r="R3044" i="1"/>
  <c r="Q3044" i="1"/>
  <c r="P3044" i="1"/>
  <c r="O3044" i="1"/>
  <c r="N3044" i="1"/>
  <c r="S3043" i="1"/>
  <c r="R3043" i="1"/>
  <c r="Q3043" i="1"/>
  <c r="P3043" i="1"/>
  <c r="O3043" i="1"/>
  <c r="N3043" i="1"/>
  <c r="S3042" i="1"/>
  <c r="R3042" i="1"/>
  <c r="Q3042" i="1"/>
  <c r="P3042" i="1"/>
  <c r="O3042" i="1"/>
  <c r="N3042" i="1"/>
  <c r="S3041" i="1"/>
  <c r="R3041" i="1"/>
  <c r="Q3041" i="1"/>
  <c r="P3041" i="1"/>
  <c r="O3041" i="1"/>
  <c r="N3041" i="1"/>
  <c r="S3040" i="1"/>
  <c r="R3040" i="1"/>
  <c r="Q3040" i="1"/>
  <c r="P3040" i="1"/>
  <c r="O3040" i="1"/>
  <c r="N3040" i="1"/>
  <c r="S3039" i="1"/>
  <c r="R3039" i="1"/>
  <c r="Q3039" i="1"/>
  <c r="P3039" i="1"/>
  <c r="O3039" i="1"/>
  <c r="N3039" i="1"/>
  <c r="S3038" i="1"/>
  <c r="R3038" i="1"/>
  <c r="Q3038" i="1"/>
  <c r="P3038" i="1"/>
  <c r="O3038" i="1"/>
  <c r="N3038" i="1"/>
  <c r="S3037" i="1"/>
  <c r="R3037" i="1"/>
  <c r="Q3037" i="1"/>
  <c r="P3037" i="1"/>
  <c r="O3037" i="1"/>
  <c r="N3037" i="1"/>
  <c r="S3036" i="1"/>
  <c r="R3036" i="1"/>
  <c r="Q3036" i="1"/>
  <c r="P3036" i="1"/>
  <c r="O3036" i="1"/>
  <c r="N3036" i="1"/>
  <c r="S3035" i="1"/>
  <c r="R3035" i="1"/>
  <c r="Q3035" i="1"/>
  <c r="P3035" i="1"/>
  <c r="O3035" i="1"/>
  <c r="N3035" i="1"/>
  <c r="S3034" i="1"/>
  <c r="R3034" i="1"/>
  <c r="Q3034" i="1"/>
  <c r="P3034" i="1"/>
  <c r="O3034" i="1"/>
  <c r="N3034" i="1"/>
  <c r="S3033" i="1"/>
  <c r="R3033" i="1"/>
  <c r="Q3033" i="1"/>
  <c r="P3033" i="1"/>
  <c r="O3033" i="1"/>
  <c r="N3033" i="1"/>
  <c r="S3032" i="1"/>
  <c r="R3032" i="1"/>
  <c r="Q3032" i="1"/>
  <c r="P3032" i="1"/>
  <c r="O3032" i="1"/>
  <c r="N3032" i="1"/>
  <c r="S3031" i="1"/>
  <c r="R3031" i="1"/>
  <c r="Q3031" i="1"/>
  <c r="P3031" i="1"/>
  <c r="O3031" i="1"/>
  <c r="N3031" i="1"/>
  <c r="S3030" i="1"/>
  <c r="R3030" i="1"/>
  <c r="Q3030" i="1"/>
  <c r="P3030" i="1"/>
  <c r="O3030" i="1"/>
  <c r="N3030" i="1"/>
  <c r="S3029" i="1"/>
  <c r="R3029" i="1"/>
  <c r="Q3029" i="1"/>
  <c r="P3029" i="1"/>
  <c r="O3029" i="1"/>
  <c r="N3029" i="1"/>
  <c r="S3028" i="1"/>
  <c r="R3028" i="1"/>
  <c r="Q3028" i="1"/>
  <c r="P3028" i="1"/>
  <c r="O3028" i="1"/>
  <c r="N3028" i="1"/>
  <c r="S3027" i="1"/>
  <c r="R3027" i="1"/>
  <c r="Q3027" i="1"/>
  <c r="P3027" i="1"/>
  <c r="O3027" i="1"/>
  <c r="N3027" i="1"/>
  <c r="S3026" i="1"/>
  <c r="R3026" i="1"/>
  <c r="Q3026" i="1"/>
  <c r="P3026" i="1"/>
  <c r="O3026" i="1"/>
  <c r="N3026" i="1"/>
  <c r="S3025" i="1"/>
  <c r="R3025" i="1"/>
  <c r="Q3025" i="1"/>
  <c r="P3025" i="1"/>
  <c r="O3025" i="1"/>
  <c r="N3025" i="1"/>
  <c r="S3024" i="1"/>
  <c r="R3024" i="1"/>
  <c r="Q3024" i="1"/>
  <c r="P3024" i="1"/>
  <c r="O3024" i="1"/>
  <c r="N3024" i="1"/>
  <c r="S3023" i="1"/>
  <c r="R3023" i="1"/>
  <c r="Q3023" i="1"/>
  <c r="P3023" i="1"/>
  <c r="O3023" i="1"/>
  <c r="N3023" i="1"/>
  <c r="S3022" i="1"/>
  <c r="R3022" i="1"/>
  <c r="Q3022" i="1"/>
  <c r="P3022" i="1"/>
  <c r="O3022" i="1"/>
  <c r="N3022" i="1"/>
  <c r="S3021" i="1"/>
  <c r="R3021" i="1"/>
  <c r="Q3021" i="1"/>
  <c r="P3021" i="1"/>
  <c r="O3021" i="1"/>
  <c r="N3021" i="1"/>
  <c r="S3020" i="1"/>
  <c r="R3020" i="1"/>
  <c r="Q3020" i="1"/>
  <c r="P3020" i="1"/>
  <c r="O3020" i="1"/>
  <c r="N3020" i="1"/>
  <c r="S3019" i="1"/>
  <c r="R3019" i="1"/>
  <c r="Q3019" i="1"/>
  <c r="P3019" i="1"/>
  <c r="O3019" i="1"/>
  <c r="N3019" i="1"/>
  <c r="S3018" i="1"/>
  <c r="R3018" i="1"/>
  <c r="Q3018" i="1"/>
  <c r="P3018" i="1"/>
  <c r="O3018" i="1"/>
  <c r="N3018" i="1"/>
  <c r="S3017" i="1"/>
  <c r="R3017" i="1"/>
  <c r="Q3017" i="1"/>
  <c r="P3017" i="1"/>
  <c r="O3017" i="1"/>
  <c r="N3017" i="1"/>
  <c r="S3016" i="1"/>
  <c r="R3016" i="1"/>
  <c r="Q3016" i="1"/>
  <c r="P3016" i="1"/>
  <c r="O3016" i="1"/>
  <c r="N3016" i="1"/>
  <c r="S3015" i="1"/>
  <c r="R3015" i="1"/>
  <c r="Q3015" i="1"/>
  <c r="P3015" i="1"/>
  <c r="O3015" i="1"/>
  <c r="N3015" i="1"/>
  <c r="S3014" i="1"/>
  <c r="R3014" i="1"/>
  <c r="Q3014" i="1"/>
  <c r="P3014" i="1"/>
  <c r="O3014" i="1"/>
  <c r="N3014" i="1"/>
  <c r="S3013" i="1"/>
  <c r="R3013" i="1"/>
  <c r="Q3013" i="1"/>
  <c r="P3013" i="1"/>
  <c r="O3013" i="1"/>
  <c r="N3013" i="1"/>
  <c r="S3012" i="1"/>
  <c r="R3012" i="1"/>
  <c r="Q3012" i="1"/>
  <c r="P3012" i="1"/>
  <c r="O3012" i="1"/>
  <c r="N3012" i="1"/>
  <c r="S3011" i="1"/>
  <c r="R3011" i="1"/>
  <c r="Q3011" i="1"/>
  <c r="P3011" i="1"/>
  <c r="O3011" i="1"/>
  <c r="N3011" i="1"/>
  <c r="S3010" i="1"/>
  <c r="R3010" i="1"/>
  <c r="Q3010" i="1"/>
  <c r="P3010" i="1"/>
  <c r="O3010" i="1"/>
  <c r="N3010" i="1"/>
  <c r="S3009" i="1"/>
  <c r="R3009" i="1"/>
  <c r="Q3009" i="1"/>
  <c r="P3009" i="1"/>
  <c r="O3009" i="1"/>
  <c r="N3009" i="1"/>
  <c r="S3008" i="1"/>
  <c r="R3008" i="1"/>
  <c r="Q3008" i="1"/>
  <c r="P3008" i="1"/>
  <c r="O3008" i="1"/>
  <c r="N3008" i="1"/>
  <c r="S3007" i="1"/>
  <c r="R3007" i="1"/>
  <c r="Q3007" i="1"/>
  <c r="P3007" i="1"/>
  <c r="O3007" i="1"/>
  <c r="N3007" i="1"/>
  <c r="S3006" i="1"/>
  <c r="R3006" i="1"/>
  <c r="Q3006" i="1"/>
  <c r="P3006" i="1"/>
  <c r="O3006" i="1"/>
  <c r="N3006" i="1"/>
  <c r="S3005" i="1"/>
  <c r="R3005" i="1"/>
  <c r="Q3005" i="1"/>
  <c r="P3005" i="1"/>
  <c r="O3005" i="1"/>
  <c r="N3005" i="1"/>
  <c r="S3004" i="1"/>
  <c r="R3004" i="1"/>
  <c r="Q3004" i="1"/>
  <c r="P3004" i="1"/>
  <c r="O3004" i="1"/>
  <c r="N3004" i="1"/>
  <c r="S3003" i="1"/>
  <c r="R3003" i="1"/>
  <c r="Q3003" i="1"/>
  <c r="P3003" i="1"/>
  <c r="O3003" i="1"/>
  <c r="N3003" i="1"/>
  <c r="S3002" i="1"/>
  <c r="R3002" i="1"/>
  <c r="Q3002" i="1"/>
  <c r="P3002" i="1"/>
  <c r="O3002" i="1"/>
  <c r="N3002" i="1"/>
  <c r="S3001" i="1"/>
  <c r="R3001" i="1"/>
  <c r="Q3001" i="1"/>
  <c r="P3001" i="1"/>
  <c r="O3001" i="1"/>
  <c r="N3001" i="1"/>
  <c r="S3000" i="1"/>
  <c r="R3000" i="1"/>
  <c r="Q3000" i="1"/>
  <c r="P3000" i="1"/>
  <c r="O3000" i="1"/>
  <c r="N3000" i="1"/>
  <c r="S2999" i="1"/>
  <c r="R2999" i="1"/>
  <c r="Q2999" i="1"/>
  <c r="P2999" i="1"/>
  <c r="O2999" i="1"/>
  <c r="N2999" i="1"/>
  <c r="S2998" i="1"/>
  <c r="R2998" i="1"/>
  <c r="Q2998" i="1"/>
  <c r="P2998" i="1"/>
  <c r="O2998" i="1"/>
  <c r="N2998" i="1"/>
  <c r="S2997" i="1"/>
  <c r="R2997" i="1"/>
  <c r="Q2997" i="1"/>
  <c r="P2997" i="1"/>
  <c r="O2997" i="1"/>
  <c r="N2997" i="1"/>
  <c r="S2996" i="1"/>
  <c r="R2996" i="1"/>
  <c r="Q2996" i="1"/>
  <c r="P2996" i="1"/>
  <c r="O2996" i="1"/>
  <c r="N2996" i="1"/>
  <c r="S2995" i="1"/>
  <c r="R2995" i="1"/>
  <c r="Q2995" i="1"/>
  <c r="P2995" i="1"/>
  <c r="O2995" i="1"/>
  <c r="N2995" i="1"/>
  <c r="S2994" i="1"/>
  <c r="R2994" i="1"/>
  <c r="Q2994" i="1"/>
  <c r="P2994" i="1"/>
  <c r="O2994" i="1"/>
  <c r="N2994" i="1"/>
  <c r="S2993" i="1"/>
  <c r="R2993" i="1"/>
  <c r="Q2993" i="1"/>
  <c r="P2993" i="1"/>
  <c r="O2993" i="1"/>
  <c r="N2993" i="1"/>
  <c r="S2992" i="1"/>
  <c r="R2992" i="1"/>
  <c r="Q2992" i="1"/>
  <c r="P2992" i="1"/>
  <c r="O2992" i="1"/>
  <c r="N2992" i="1"/>
  <c r="S2991" i="1"/>
  <c r="R2991" i="1"/>
  <c r="Q2991" i="1"/>
  <c r="P2991" i="1"/>
  <c r="O2991" i="1"/>
  <c r="N2991" i="1"/>
  <c r="S2990" i="1"/>
  <c r="R2990" i="1"/>
  <c r="Q2990" i="1"/>
  <c r="P2990" i="1"/>
  <c r="O2990" i="1"/>
  <c r="N2990" i="1"/>
  <c r="S2989" i="1"/>
  <c r="R2989" i="1"/>
  <c r="Q2989" i="1"/>
  <c r="P2989" i="1"/>
  <c r="O2989" i="1"/>
  <c r="N2989" i="1"/>
  <c r="S2988" i="1"/>
  <c r="R2988" i="1"/>
  <c r="Q2988" i="1"/>
  <c r="P2988" i="1"/>
  <c r="O2988" i="1"/>
  <c r="N2988" i="1"/>
  <c r="S2987" i="1"/>
  <c r="R2987" i="1"/>
  <c r="Q2987" i="1"/>
  <c r="P2987" i="1"/>
  <c r="O2987" i="1"/>
  <c r="N2987" i="1"/>
  <c r="S2986" i="1"/>
  <c r="R2986" i="1"/>
  <c r="Q2986" i="1"/>
  <c r="P2986" i="1"/>
  <c r="O2986" i="1"/>
  <c r="N2986" i="1"/>
  <c r="S2985" i="1"/>
  <c r="R2985" i="1"/>
  <c r="Q2985" i="1"/>
  <c r="P2985" i="1"/>
  <c r="O2985" i="1"/>
  <c r="N2985" i="1"/>
  <c r="S2984" i="1"/>
  <c r="R2984" i="1"/>
  <c r="Q2984" i="1"/>
  <c r="P2984" i="1"/>
  <c r="O2984" i="1"/>
  <c r="N2984" i="1"/>
  <c r="S2983" i="1"/>
  <c r="R2983" i="1"/>
  <c r="Q2983" i="1"/>
  <c r="P2983" i="1"/>
  <c r="O2983" i="1"/>
  <c r="N2983" i="1"/>
  <c r="S2982" i="1"/>
  <c r="R2982" i="1"/>
  <c r="Q2982" i="1"/>
  <c r="P2982" i="1"/>
  <c r="O2982" i="1"/>
  <c r="N2982" i="1"/>
  <c r="S2981" i="1"/>
  <c r="R2981" i="1"/>
  <c r="Q2981" i="1"/>
  <c r="P2981" i="1"/>
  <c r="O2981" i="1"/>
  <c r="N2981" i="1"/>
  <c r="S2980" i="1"/>
  <c r="R2980" i="1"/>
  <c r="Q2980" i="1"/>
  <c r="P2980" i="1"/>
  <c r="O2980" i="1"/>
  <c r="N2980" i="1"/>
  <c r="S2979" i="1"/>
  <c r="R2979" i="1"/>
  <c r="Q2979" i="1"/>
  <c r="P2979" i="1"/>
  <c r="O2979" i="1"/>
  <c r="N2979" i="1"/>
  <c r="S2978" i="1"/>
  <c r="R2978" i="1"/>
  <c r="Q2978" i="1"/>
  <c r="P2978" i="1"/>
  <c r="O2978" i="1"/>
  <c r="N2978" i="1"/>
  <c r="S2977" i="1"/>
  <c r="R2977" i="1"/>
  <c r="Q2977" i="1"/>
  <c r="P2977" i="1"/>
  <c r="O2977" i="1"/>
  <c r="N2977" i="1"/>
  <c r="S2976" i="1"/>
  <c r="R2976" i="1"/>
  <c r="Q2976" i="1"/>
  <c r="P2976" i="1"/>
  <c r="O2976" i="1"/>
  <c r="N2976" i="1"/>
  <c r="S2975" i="1"/>
  <c r="R2975" i="1"/>
  <c r="Q2975" i="1"/>
  <c r="P2975" i="1"/>
  <c r="O2975" i="1"/>
  <c r="N2975" i="1"/>
  <c r="S2974" i="1"/>
  <c r="R2974" i="1"/>
  <c r="Q2974" i="1"/>
  <c r="P2974" i="1"/>
  <c r="O2974" i="1"/>
  <c r="N2974" i="1"/>
  <c r="S2973" i="1"/>
  <c r="R2973" i="1"/>
  <c r="Q2973" i="1"/>
  <c r="P2973" i="1"/>
  <c r="O2973" i="1"/>
  <c r="N2973" i="1"/>
  <c r="S2972" i="1"/>
  <c r="R2972" i="1"/>
  <c r="Q2972" i="1"/>
  <c r="P2972" i="1"/>
  <c r="O2972" i="1"/>
  <c r="N2972" i="1"/>
  <c r="S2971" i="1"/>
  <c r="R2971" i="1"/>
  <c r="Q2971" i="1"/>
  <c r="P2971" i="1"/>
  <c r="O2971" i="1"/>
  <c r="N2971" i="1"/>
  <c r="S2970" i="1"/>
  <c r="R2970" i="1"/>
  <c r="Q2970" i="1"/>
  <c r="P2970" i="1"/>
  <c r="O2970" i="1"/>
  <c r="N2970" i="1"/>
  <c r="S2969" i="1"/>
  <c r="R2969" i="1"/>
  <c r="Q2969" i="1"/>
  <c r="P2969" i="1"/>
  <c r="O2969" i="1"/>
  <c r="N2969" i="1"/>
  <c r="S2968" i="1"/>
  <c r="R2968" i="1"/>
  <c r="Q2968" i="1"/>
  <c r="P2968" i="1"/>
  <c r="O2968" i="1"/>
  <c r="N2968" i="1"/>
  <c r="S2967" i="1"/>
  <c r="R2967" i="1"/>
  <c r="Q2967" i="1"/>
  <c r="P2967" i="1"/>
  <c r="O2967" i="1"/>
  <c r="N2967" i="1"/>
  <c r="S2966" i="1"/>
  <c r="R2966" i="1"/>
  <c r="Q2966" i="1"/>
  <c r="P2966" i="1"/>
  <c r="O2966" i="1"/>
  <c r="N2966" i="1"/>
  <c r="S2965" i="1"/>
  <c r="R2965" i="1"/>
  <c r="Q2965" i="1"/>
  <c r="P2965" i="1"/>
  <c r="O2965" i="1"/>
  <c r="N2965" i="1"/>
  <c r="S2964" i="1"/>
  <c r="R2964" i="1"/>
  <c r="Q2964" i="1"/>
  <c r="P2964" i="1"/>
  <c r="O2964" i="1"/>
  <c r="N2964" i="1"/>
  <c r="S2963" i="1"/>
  <c r="R2963" i="1"/>
  <c r="Q2963" i="1"/>
  <c r="P2963" i="1"/>
  <c r="O2963" i="1"/>
  <c r="N2963" i="1"/>
  <c r="S2962" i="1"/>
  <c r="R2962" i="1"/>
  <c r="Q2962" i="1"/>
  <c r="P2962" i="1"/>
  <c r="O2962" i="1"/>
  <c r="N2962" i="1"/>
  <c r="S2961" i="1"/>
  <c r="R2961" i="1"/>
  <c r="Q2961" i="1"/>
  <c r="P2961" i="1"/>
  <c r="O2961" i="1"/>
  <c r="N2961" i="1"/>
  <c r="S2960" i="1"/>
  <c r="R2960" i="1"/>
  <c r="Q2960" i="1"/>
  <c r="P2960" i="1"/>
  <c r="O2960" i="1"/>
  <c r="N2960" i="1"/>
  <c r="S2959" i="1"/>
  <c r="R2959" i="1"/>
  <c r="Q2959" i="1"/>
  <c r="P2959" i="1"/>
  <c r="O2959" i="1"/>
  <c r="N2959" i="1"/>
  <c r="S2958" i="1"/>
  <c r="R2958" i="1"/>
  <c r="Q2958" i="1"/>
  <c r="P2958" i="1"/>
  <c r="O2958" i="1"/>
  <c r="N2958" i="1"/>
  <c r="S2957" i="1"/>
  <c r="R2957" i="1"/>
  <c r="Q2957" i="1"/>
  <c r="P2957" i="1"/>
  <c r="O2957" i="1"/>
  <c r="N2957" i="1"/>
  <c r="S2956" i="1"/>
  <c r="R2956" i="1"/>
  <c r="Q2956" i="1"/>
  <c r="P2956" i="1"/>
  <c r="O2956" i="1"/>
  <c r="N2956" i="1"/>
  <c r="S2955" i="1"/>
  <c r="R2955" i="1"/>
  <c r="Q2955" i="1"/>
  <c r="P2955" i="1"/>
  <c r="O2955" i="1"/>
  <c r="N2955" i="1"/>
  <c r="S2954" i="1"/>
  <c r="R2954" i="1"/>
  <c r="Q2954" i="1"/>
  <c r="P2954" i="1"/>
  <c r="O2954" i="1"/>
  <c r="N2954" i="1"/>
  <c r="S2953" i="1"/>
  <c r="R2953" i="1"/>
  <c r="Q2953" i="1"/>
  <c r="P2953" i="1"/>
  <c r="O2953" i="1"/>
  <c r="N2953" i="1"/>
  <c r="S2952" i="1"/>
  <c r="R2952" i="1"/>
  <c r="Q2952" i="1"/>
  <c r="P2952" i="1"/>
  <c r="O2952" i="1"/>
  <c r="N2952" i="1"/>
  <c r="S2951" i="1"/>
  <c r="R2951" i="1"/>
  <c r="Q2951" i="1"/>
  <c r="P2951" i="1"/>
  <c r="O2951" i="1"/>
  <c r="N2951" i="1"/>
  <c r="S2950" i="1"/>
  <c r="R2950" i="1"/>
  <c r="Q2950" i="1"/>
  <c r="P2950" i="1"/>
  <c r="O2950" i="1"/>
  <c r="N2950" i="1"/>
  <c r="S2949" i="1"/>
  <c r="R2949" i="1"/>
  <c r="Q2949" i="1"/>
  <c r="P2949" i="1"/>
  <c r="O2949" i="1"/>
  <c r="N2949" i="1"/>
  <c r="S2948" i="1"/>
  <c r="R2948" i="1"/>
  <c r="Q2948" i="1"/>
  <c r="P2948" i="1"/>
  <c r="O2948" i="1"/>
  <c r="N2948" i="1"/>
  <c r="S2947" i="1"/>
  <c r="R2947" i="1"/>
  <c r="Q2947" i="1"/>
  <c r="P2947" i="1"/>
  <c r="O2947" i="1"/>
  <c r="N2947" i="1"/>
  <c r="S2946" i="1"/>
  <c r="R2946" i="1"/>
  <c r="Q2946" i="1"/>
  <c r="P2946" i="1"/>
  <c r="O2946" i="1"/>
  <c r="N2946" i="1"/>
  <c r="S2945" i="1"/>
  <c r="R2945" i="1"/>
  <c r="Q2945" i="1"/>
  <c r="P2945" i="1"/>
  <c r="O2945" i="1"/>
  <c r="N2945" i="1"/>
  <c r="S2944" i="1"/>
  <c r="R2944" i="1"/>
  <c r="Q2944" i="1"/>
  <c r="P2944" i="1"/>
  <c r="O2944" i="1"/>
  <c r="N2944" i="1"/>
  <c r="S2943" i="1"/>
  <c r="R2943" i="1"/>
  <c r="Q2943" i="1"/>
  <c r="P2943" i="1"/>
  <c r="O2943" i="1"/>
  <c r="N2943" i="1"/>
  <c r="S2942" i="1"/>
  <c r="R2942" i="1"/>
  <c r="Q2942" i="1"/>
  <c r="P2942" i="1"/>
  <c r="O2942" i="1"/>
  <c r="N2942" i="1"/>
  <c r="S2941" i="1"/>
  <c r="R2941" i="1"/>
  <c r="Q2941" i="1"/>
  <c r="P2941" i="1"/>
  <c r="O2941" i="1"/>
  <c r="N2941" i="1"/>
  <c r="S2940" i="1"/>
  <c r="R2940" i="1"/>
  <c r="Q2940" i="1"/>
  <c r="P2940" i="1"/>
  <c r="O2940" i="1"/>
  <c r="N2940" i="1"/>
  <c r="S2939" i="1"/>
  <c r="R2939" i="1"/>
  <c r="Q2939" i="1"/>
  <c r="P2939" i="1"/>
  <c r="O2939" i="1"/>
  <c r="N2939" i="1"/>
  <c r="S2938" i="1"/>
  <c r="R2938" i="1"/>
  <c r="Q2938" i="1"/>
  <c r="P2938" i="1"/>
  <c r="O2938" i="1"/>
  <c r="N2938" i="1"/>
  <c r="S2937" i="1"/>
  <c r="R2937" i="1"/>
  <c r="Q2937" i="1"/>
  <c r="P2937" i="1"/>
  <c r="O2937" i="1"/>
  <c r="N2937" i="1"/>
  <c r="S2936" i="1"/>
  <c r="R2936" i="1"/>
  <c r="Q2936" i="1"/>
  <c r="P2936" i="1"/>
  <c r="O2936" i="1"/>
  <c r="N2936" i="1"/>
  <c r="S2935" i="1"/>
  <c r="R2935" i="1"/>
  <c r="Q2935" i="1"/>
  <c r="P2935" i="1"/>
  <c r="O2935" i="1"/>
  <c r="N2935" i="1"/>
  <c r="S2934" i="1"/>
  <c r="R2934" i="1"/>
  <c r="Q2934" i="1"/>
  <c r="P2934" i="1"/>
  <c r="O2934" i="1"/>
  <c r="N2934" i="1"/>
  <c r="S2933" i="1"/>
  <c r="R2933" i="1"/>
  <c r="Q2933" i="1"/>
  <c r="P2933" i="1"/>
  <c r="O2933" i="1"/>
  <c r="N2933" i="1"/>
  <c r="S2932" i="1"/>
  <c r="R2932" i="1"/>
  <c r="Q2932" i="1"/>
  <c r="P2932" i="1"/>
  <c r="O2932" i="1"/>
  <c r="N2932" i="1"/>
  <c r="S2931" i="1"/>
  <c r="R2931" i="1"/>
  <c r="Q2931" i="1"/>
  <c r="P2931" i="1"/>
  <c r="O2931" i="1"/>
  <c r="N2931" i="1"/>
  <c r="S2930" i="1"/>
  <c r="R2930" i="1"/>
  <c r="Q2930" i="1"/>
  <c r="P2930" i="1"/>
  <c r="O2930" i="1"/>
  <c r="N2930" i="1"/>
  <c r="S2929" i="1"/>
  <c r="R2929" i="1"/>
  <c r="Q2929" i="1"/>
  <c r="P2929" i="1"/>
  <c r="O2929" i="1"/>
  <c r="N2929" i="1"/>
  <c r="S2928" i="1"/>
  <c r="R2928" i="1"/>
  <c r="Q2928" i="1"/>
  <c r="P2928" i="1"/>
  <c r="O2928" i="1"/>
  <c r="N2928" i="1"/>
  <c r="S2927" i="1"/>
  <c r="R2927" i="1"/>
  <c r="Q2927" i="1"/>
  <c r="P2927" i="1"/>
  <c r="O2927" i="1"/>
  <c r="N2927" i="1"/>
  <c r="S2926" i="1"/>
  <c r="R2926" i="1"/>
  <c r="Q2926" i="1"/>
  <c r="P2926" i="1"/>
  <c r="O2926" i="1"/>
  <c r="N2926" i="1"/>
  <c r="S2925" i="1"/>
  <c r="R2925" i="1"/>
  <c r="Q2925" i="1"/>
  <c r="P2925" i="1"/>
  <c r="O2925" i="1"/>
  <c r="N2925" i="1"/>
  <c r="S2924" i="1"/>
  <c r="R2924" i="1"/>
  <c r="Q2924" i="1"/>
  <c r="P2924" i="1"/>
  <c r="O2924" i="1"/>
  <c r="N2924" i="1"/>
  <c r="S2923" i="1"/>
  <c r="R2923" i="1"/>
  <c r="Q2923" i="1"/>
  <c r="P2923" i="1"/>
  <c r="O2923" i="1"/>
  <c r="N2923" i="1"/>
  <c r="S2922" i="1"/>
  <c r="R2922" i="1"/>
  <c r="Q2922" i="1"/>
  <c r="P2922" i="1"/>
  <c r="O2922" i="1"/>
  <c r="N2922" i="1"/>
  <c r="S2921" i="1"/>
  <c r="R2921" i="1"/>
  <c r="Q2921" i="1"/>
  <c r="P2921" i="1"/>
  <c r="O2921" i="1"/>
  <c r="N2921" i="1"/>
  <c r="S2920" i="1"/>
  <c r="R2920" i="1"/>
  <c r="Q2920" i="1"/>
  <c r="P2920" i="1"/>
  <c r="O2920" i="1"/>
  <c r="N2920" i="1"/>
  <c r="S2919" i="1"/>
  <c r="R2919" i="1"/>
  <c r="Q2919" i="1"/>
  <c r="P2919" i="1"/>
  <c r="O2919" i="1"/>
  <c r="N2919" i="1"/>
  <c r="S2918" i="1"/>
  <c r="R2918" i="1"/>
  <c r="Q2918" i="1"/>
  <c r="P2918" i="1"/>
  <c r="O2918" i="1"/>
  <c r="N2918" i="1"/>
  <c r="S2917" i="1"/>
  <c r="R2917" i="1"/>
  <c r="Q2917" i="1"/>
  <c r="P2917" i="1"/>
  <c r="O2917" i="1"/>
  <c r="N2917" i="1"/>
  <c r="S2916" i="1"/>
  <c r="R2916" i="1"/>
  <c r="Q2916" i="1"/>
  <c r="P2916" i="1"/>
  <c r="O2916" i="1"/>
  <c r="N2916" i="1"/>
  <c r="S2915" i="1"/>
  <c r="R2915" i="1"/>
  <c r="Q2915" i="1"/>
  <c r="P2915" i="1"/>
  <c r="O2915" i="1"/>
  <c r="N2915" i="1"/>
  <c r="S2914" i="1"/>
  <c r="R2914" i="1"/>
  <c r="Q2914" i="1"/>
  <c r="P2914" i="1"/>
  <c r="O2914" i="1"/>
  <c r="N2914" i="1"/>
  <c r="S2913" i="1"/>
  <c r="R2913" i="1"/>
  <c r="Q2913" i="1"/>
  <c r="P2913" i="1"/>
  <c r="O2913" i="1"/>
  <c r="N2913" i="1"/>
  <c r="S2912" i="1"/>
  <c r="R2912" i="1"/>
  <c r="Q2912" i="1"/>
  <c r="P2912" i="1"/>
  <c r="O2912" i="1"/>
  <c r="N2912" i="1"/>
  <c r="S2911" i="1"/>
  <c r="R2911" i="1"/>
  <c r="Q2911" i="1"/>
  <c r="P2911" i="1"/>
  <c r="O2911" i="1"/>
  <c r="N2911" i="1"/>
  <c r="S2910" i="1"/>
  <c r="R2910" i="1"/>
  <c r="Q2910" i="1"/>
  <c r="P2910" i="1"/>
  <c r="O2910" i="1"/>
  <c r="N2910" i="1"/>
  <c r="S2909" i="1"/>
  <c r="R2909" i="1"/>
  <c r="Q2909" i="1"/>
  <c r="P2909" i="1"/>
  <c r="O2909" i="1"/>
  <c r="N2909" i="1"/>
  <c r="S2908" i="1"/>
  <c r="R2908" i="1"/>
  <c r="Q2908" i="1"/>
  <c r="P2908" i="1"/>
  <c r="O2908" i="1"/>
  <c r="N2908" i="1"/>
  <c r="S2907" i="1"/>
  <c r="R2907" i="1"/>
  <c r="Q2907" i="1"/>
  <c r="P2907" i="1"/>
  <c r="O2907" i="1"/>
  <c r="N2907" i="1"/>
  <c r="S2906" i="1"/>
  <c r="R2906" i="1"/>
  <c r="Q2906" i="1"/>
  <c r="P2906" i="1"/>
  <c r="O2906" i="1"/>
  <c r="N2906" i="1"/>
  <c r="S2905" i="1"/>
  <c r="R2905" i="1"/>
  <c r="Q2905" i="1"/>
  <c r="P2905" i="1"/>
  <c r="O2905" i="1"/>
  <c r="N2905" i="1"/>
  <c r="S2904" i="1"/>
  <c r="R2904" i="1"/>
  <c r="Q2904" i="1"/>
  <c r="P2904" i="1"/>
  <c r="O2904" i="1"/>
  <c r="N2904" i="1"/>
  <c r="S2903" i="1"/>
  <c r="R2903" i="1"/>
  <c r="Q2903" i="1"/>
  <c r="P2903" i="1"/>
  <c r="O2903" i="1"/>
  <c r="N2903" i="1"/>
  <c r="S2902" i="1"/>
  <c r="R2902" i="1"/>
  <c r="Q2902" i="1"/>
  <c r="P2902" i="1"/>
  <c r="O2902" i="1"/>
  <c r="N2902" i="1"/>
  <c r="S2901" i="1"/>
  <c r="R2901" i="1"/>
  <c r="Q2901" i="1"/>
  <c r="P2901" i="1"/>
  <c r="O2901" i="1"/>
  <c r="N2901" i="1"/>
  <c r="S2900" i="1"/>
  <c r="R2900" i="1"/>
  <c r="Q2900" i="1"/>
  <c r="P2900" i="1"/>
  <c r="O2900" i="1"/>
  <c r="N2900" i="1"/>
  <c r="S2899" i="1"/>
  <c r="R2899" i="1"/>
  <c r="Q2899" i="1"/>
  <c r="P2899" i="1"/>
  <c r="O2899" i="1"/>
  <c r="N2899" i="1"/>
  <c r="S2898" i="1"/>
  <c r="R2898" i="1"/>
  <c r="Q2898" i="1"/>
  <c r="P2898" i="1"/>
  <c r="O2898" i="1"/>
  <c r="N2898" i="1"/>
  <c r="S2897" i="1"/>
  <c r="R2897" i="1"/>
  <c r="Q2897" i="1"/>
  <c r="P2897" i="1"/>
  <c r="O2897" i="1"/>
  <c r="N2897" i="1"/>
  <c r="S2896" i="1"/>
  <c r="R2896" i="1"/>
  <c r="Q2896" i="1"/>
  <c r="P2896" i="1"/>
  <c r="O2896" i="1"/>
  <c r="N2896" i="1"/>
  <c r="S2895" i="1"/>
  <c r="R2895" i="1"/>
  <c r="Q2895" i="1"/>
  <c r="P2895" i="1"/>
  <c r="O2895" i="1"/>
  <c r="N2895" i="1"/>
  <c r="S2894" i="1"/>
  <c r="R2894" i="1"/>
  <c r="Q2894" i="1"/>
  <c r="P2894" i="1"/>
  <c r="O2894" i="1"/>
  <c r="N2894" i="1"/>
  <c r="S2893" i="1"/>
  <c r="R2893" i="1"/>
  <c r="Q2893" i="1"/>
  <c r="P2893" i="1"/>
  <c r="O2893" i="1"/>
  <c r="N2893" i="1"/>
  <c r="S2892" i="1"/>
  <c r="R2892" i="1"/>
  <c r="Q2892" i="1"/>
  <c r="P2892" i="1"/>
  <c r="O2892" i="1"/>
  <c r="N2892" i="1"/>
  <c r="S2891" i="1"/>
  <c r="R2891" i="1"/>
  <c r="Q2891" i="1"/>
  <c r="P2891" i="1"/>
  <c r="O2891" i="1"/>
  <c r="N2891" i="1"/>
  <c r="S2890" i="1"/>
  <c r="R2890" i="1"/>
  <c r="Q2890" i="1"/>
  <c r="P2890" i="1"/>
  <c r="O2890" i="1"/>
  <c r="N2890" i="1"/>
  <c r="S2889" i="1"/>
  <c r="R2889" i="1"/>
  <c r="Q2889" i="1"/>
  <c r="P2889" i="1"/>
  <c r="O2889" i="1"/>
  <c r="N2889" i="1"/>
  <c r="S2888" i="1"/>
  <c r="R2888" i="1"/>
  <c r="Q2888" i="1"/>
  <c r="P2888" i="1"/>
  <c r="O2888" i="1"/>
  <c r="N2888" i="1"/>
  <c r="S2887" i="1"/>
  <c r="R2887" i="1"/>
  <c r="Q2887" i="1"/>
  <c r="P2887" i="1"/>
  <c r="O2887" i="1"/>
  <c r="N2887" i="1"/>
  <c r="S2886" i="1"/>
  <c r="R2886" i="1"/>
  <c r="Q2886" i="1"/>
  <c r="P2886" i="1"/>
  <c r="O2886" i="1"/>
  <c r="N2886" i="1"/>
  <c r="S2885" i="1"/>
  <c r="R2885" i="1"/>
  <c r="Q2885" i="1"/>
  <c r="P2885" i="1"/>
  <c r="O2885" i="1"/>
  <c r="N2885" i="1"/>
  <c r="S2884" i="1"/>
  <c r="R2884" i="1"/>
  <c r="Q2884" i="1"/>
  <c r="P2884" i="1"/>
  <c r="O2884" i="1"/>
  <c r="N2884" i="1"/>
  <c r="S2883" i="1"/>
  <c r="R2883" i="1"/>
  <c r="Q2883" i="1"/>
  <c r="P2883" i="1"/>
  <c r="O2883" i="1"/>
  <c r="N2883" i="1"/>
  <c r="S2882" i="1"/>
  <c r="R2882" i="1"/>
  <c r="Q2882" i="1"/>
  <c r="P2882" i="1"/>
  <c r="O2882" i="1"/>
  <c r="N2882" i="1"/>
  <c r="S2881" i="1"/>
  <c r="R2881" i="1"/>
  <c r="Q2881" i="1"/>
  <c r="P2881" i="1"/>
  <c r="O2881" i="1"/>
  <c r="N2881" i="1"/>
  <c r="S2880" i="1"/>
  <c r="R2880" i="1"/>
  <c r="Q2880" i="1"/>
  <c r="P2880" i="1"/>
  <c r="O2880" i="1"/>
  <c r="N2880" i="1"/>
  <c r="S2879" i="1"/>
  <c r="R2879" i="1"/>
  <c r="Q2879" i="1"/>
  <c r="P2879" i="1"/>
  <c r="O2879" i="1"/>
  <c r="N2879" i="1"/>
  <c r="S2878" i="1"/>
  <c r="R2878" i="1"/>
  <c r="Q2878" i="1"/>
  <c r="P2878" i="1"/>
  <c r="O2878" i="1"/>
  <c r="N2878" i="1"/>
  <c r="S2877" i="1"/>
  <c r="R2877" i="1"/>
  <c r="Q2877" i="1"/>
  <c r="P2877" i="1"/>
  <c r="O2877" i="1"/>
  <c r="N2877" i="1"/>
  <c r="S2876" i="1"/>
  <c r="R2876" i="1"/>
  <c r="Q2876" i="1"/>
  <c r="P2876" i="1"/>
  <c r="O2876" i="1"/>
  <c r="N2876" i="1"/>
  <c r="S2875" i="1"/>
  <c r="R2875" i="1"/>
  <c r="Q2875" i="1"/>
  <c r="P2875" i="1"/>
  <c r="O2875" i="1"/>
  <c r="N2875" i="1"/>
  <c r="S2874" i="1"/>
  <c r="R2874" i="1"/>
  <c r="Q2874" i="1"/>
  <c r="P2874" i="1"/>
  <c r="O2874" i="1"/>
  <c r="N2874" i="1"/>
  <c r="S2873" i="1"/>
  <c r="R2873" i="1"/>
  <c r="Q2873" i="1"/>
  <c r="P2873" i="1"/>
  <c r="O2873" i="1"/>
  <c r="N2873" i="1"/>
  <c r="S2872" i="1"/>
  <c r="R2872" i="1"/>
  <c r="Q2872" i="1"/>
  <c r="P2872" i="1"/>
  <c r="O2872" i="1"/>
  <c r="N2872" i="1"/>
  <c r="S2871" i="1"/>
  <c r="R2871" i="1"/>
  <c r="Q2871" i="1"/>
  <c r="P2871" i="1"/>
  <c r="O2871" i="1"/>
  <c r="N2871" i="1"/>
  <c r="S2870" i="1"/>
  <c r="R2870" i="1"/>
  <c r="Q2870" i="1"/>
  <c r="P2870" i="1"/>
  <c r="O2870" i="1"/>
  <c r="N2870" i="1"/>
  <c r="S2869" i="1"/>
  <c r="R2869" i="1"/>
  <c r="Q2869" i="1"/>
  <c r="P2869" i="1"/>
  <c r="O2869" i="1"/>
  <c r="N2869" i="1"/>
  <c r="S2868" i="1"/>
  <c r="R2868" i="1"/>
  <c r="Q2868" i="1"/>
  <c r="P2868" i="1"/>
  <c r="O2868" i="1"/>
  <c r="N2868" i="1"/>
  <c r="S2867" i="1"/>
  <c r="R2867" i="1"/>
  <c r="Q2867" i="1"/>
  <c r="P2867" i="1"/>
  <c r="O2867" i="1"/>
  <c r="N2867" i="1"/>
  <c r="S2866" i="1"/>
  <c r="R2866" i="1"/>
  <c r="Q2866" i="1"/>
  <c r="P2866" i="1"/>
  <c r="O2866" i="1"/>
  <c r="N2866" i="1"/>
  <c r="S2865" i="1"/>
  <c r="R2865" i="1"/>
  <c r="Q2865" i="1"/>
  <c r="P2865" i="1"/>
  <c r="O2865" i="1"/>
  <c r="N2865" i="1"/>
  <c r="S2864" i="1"/>
  <c r="R2864" i="1"/>
  <c r="Q2864" i="1"/>
  <c r="P2864" i="1"/>
  <c r="O2864" i="1"/>
  <c r="N2864" i="1"/>
  <c r="S2863" i="1"/>
  <c r="R2863" i="1"/>
  <c r="Q2863" i="1"/>
  <c r="P2863" i="1"/>
  <c r="O2863" i="1"/>
  <c r="N2863" i="1"/>
  <c r="S2862" i="1"/>
  <c r="R2862" i="1"/>
  <c r="Q2862" i="1"/>
  <c r="P2862" i="1"/>
  <c r="O2862" i="1"/>
  <c r="N2862" i="1"/>
  <c r="S2861" i="1"/>
  <c r="R2861" i="1"/>
  <c r="Q2861" i="1"/>
  <c r="P2861" i="1"/>
  <c r="O2861" i="1"/>
  <c r="N2861" i="1"/>
  <c r="S2860" i="1"/>
  <c r="R2860" i="1"/>
  <c r="Q2860" i="1"/>
  <c r="P2860" i="1"/>
  <c r="O2860" i="1"/>
  <c r="N2860" i="1"/>
  <c r="S2859" i="1"/>
  <c r="R2859" i="1"/>
  <c r="Q2859" i="1"/>
  <c r="P2859" i="1"/>
  <c r="O2859" i="1"/>
  <c r="N2859" i="1"/>
  <c r="S2858" i="1"/>
  <c r="R2858" i="1"/>
  <c r="Q2858" i="1"/>
  <c r="P2858" i="1"/>
  <c r="O2858" i="1"/>
  <c r="N2858" i="1"/>
  <c r="S2857" i="1"/>
  <c r="R2857" i="1"/>
  <c r="Q2857" i="1"/>
  <c r="P2857" i="1"/>
  <c r="O2857" i="1"/>
  <c r="N2857" i="1"/>
  <c r="S2856" i="1"/>
  <c r="R2856" i="1"/>
  <c r="Q2856" i="1"/>
  <c r="P2856" i="1"/>
  <c r="O2856" i="1"/>
  <c r="N2856" i="1"/>
  <c r="S2855" i="1"/>
  <c r="R2855" i="1"/>
  <c r="Q2855" i="1"/>
  <c r="P2855" i="1"/>
  <c r="O2855" i="1"/>
  <c r="N2855" i="1"/>
  <c r="S2854" i="1"/>
  <c r="R2854" i="1"/>
  <c r="Q2854" i="1"/>
  <c r="P2854" i="1"/>
  <c r="O2854" i="1"/>
  <c r="N2854" i="1"/>
  <c r="S2853" i="1"/>
  <c r="R2853" i="1"/>
  <c r="Q2853" i="1"/>
  <c r="P2853" i="1"/>
  <c r="O2853" i="1"/>
  <c r="N2853" i="1"/>
  <c r="S2852" i="1"/>
  <c r="R2852" i="1"/>
  <c r="Q2852" i="1"/>
  <c r="P2852" i="1"/>
  <c r="O2852" i="1"/>
  <c r="N2852" i="1"/>
  <c r="S2851" i="1"/>
  <c r="R2851" i="1"/>
  <c r="Q2851" i="1"/>
  <c r="P2851" i="1"/>
  <c r="O2851" i="1"/>
  <c r="N2851" i="1"/>
  <c r="S2850" i="1"/>
  <c r="R2850" i="1"/>
  <c r="Q2850" i="1"/>
  <c r="P2850" i="1"/>
  <c r="O2850" i="1"/>
  <c r="N2850" i="1"/>
  <c r="S2849" i="1"/>
  <c r="R2849" i="1"/>
  <c r="Q2849" i="1"/>
  <c r="P2849" i="1"/>
  <c r="O2849" i="1"/>
  <c r="N2849" i="1"/>
  <c r="S2848" i="1"/>
  <c r="R2848" i="1"/>
  <c r="Q2848" i="1"/>
  <c r="P2848" i="1"/>
  <c r="O2848" i="1"/>
  <c r="N2848" i="1"/>
  <c r="S2847" i="1"/>
  <c r="R2847" i="1"/>
  <c r="Q2847" i="1"/>
  <c r="P2847" i="1"/>
  <c r="O2847" i="1"/>
  <c r="N2847" i="1"/>
  <c r="S2846" i="1"/>
  <c r="R2846" i="1"/>
  <c r="Q2846" i="1"/>
  <c r="P2846" i="1"/>
  <c r="O2846" i="1"/>
  <c r="N2846" i="1"/>
  <c r="S2845" i="1"/>
  <c r="R2845" i="1"/>
  <c r="Q2845" i="1"/>
  <c r="P2845" i="1"/>
  <c r="O2845" i="1"/>
  <c r="N2845" i="1"/>
  <c r="S2844" i="1"/>
  <c r="R2844" i="1"/>
  <c r="Q2844" i="1"/>
  <c r="P2844" i="1"/>
  <c r="O2844" i="1"/>
  <c r="N2844" i="1"/>
  <c r="S2843" i="1"/>
  <c r="R2843" i="1"/>
  <c r="Q2843" i="1"/>
  <c r="P2843" i="1"/>
  <c r="O2843" i="1"/>
  <c r="N2843" i="1"/>
  <c r="S2842" i="1"/>
  <c r="R2842" i="1"/>
  <c r="Q2842" i="1"/>
  <c r="P2842" i="1"/>
  <c r="O2842" i="1"/>
  <c r="N2842" i="1"/>
  <c r="S2841" i="1"/>
  <c r="R2841" i="1"/>
  <c r="Q2841" i="1"/>
  <c r="P2841" i="1"/>
  <c r="O2841" i="1"/>
  <c r="N2841" i="1"/>
  <c r="S2840" i="1"/>
  <c r="R2840" i="1"/>
  <c r="Q2840" i="1"/>
  <c r="P2840" i="1"/>
  <c r="O2840" i="1"/>
  <c r="N2840" i="1"/>
  <c r="S2839" i="1"/>
  <c r="R2839" i="1"/>
  <c r="Q2839" i="1"/>
  <c r="P2839" i="1"/>
  <c r="O2839" i="1"/>
  <c r="N2839" i="1"/>
  <c r="S2838" i="1"/>
  <c r="R2838" i="1"/>
  <c r="Q2838" i="1"/>
  <c r="P2838" i="1"/>
  <c r="O2838" i="1"/>
  <c r="N2838" i="1"/>
  <c r="S2837" i="1"/>
  <c r="R2837" i="1"/>
  <c r="Q2837" i="1"/>
  <c r="P2837" i="1"/>
  <c r="O2837" i="1"/>
  <c r="N2837" i="1"/>
  <c r="S2836" i="1"/>
  <c r="R2836" i="1"/>
  <c r="Q2836" i="1"/>
  <c r="P2836" i="1"/>
  <c r="O2836" i="1"/>
  <c r="N2836" i="1"/>
  <c r="S2835" i="1"/>
  <c r="R2835" i="1"/>
  <c r="Q2835" i="1"/>
  <c r="P2835" i="1"/>
  <c r="O2835" i="1"/>
  <c r="N2835" i="1"/>
  <c r="S2834" i="1"/>
  <c r="R2834" i="1"/>
  <c r="Q2834" i="1"/>
  <c r="P2834" i="1"/>
  <c r="O2834" i="1"/>
  <c r="N2834" i="1"/>
  <c r="S2833" i="1"/>
  <c r="R2833" i="1"/>
  <c r="Q2833" i="1"/>
  <c r="P2833" i="1"/>
  <c r="O2833" i="1"/>
  <c r="N2833" i="1"/>
  <c r="S2832" i="1"/>
  <c r="R2832" i="1"/>
  <c r="Q2832" i="1"/>
  <c r="P2832" i="1"/>
  <c r="O2832" i="1"/>
  <c r="N2832" i="1"/>
  <c r="S2831" i="1"/>
  <c r="R2831" i="1"/>
  <c r="Q2831" i="1"/>
  <c r="P2831" i="1"/>
  <c r="O2831" i="1"/>
  <c r="N2831" i="1"/>
  <c r="S2830" i="1"/>
  <c r="R2830" i="1"/>
  <c r="Q2830" i="1"/>
  <c r="P2830" i="1"/>
  <c r="O2830" i="1"/>
  <c r="N2830" i="1"/>
  <c r="S2829" i="1"/>
  <c r="R2829" i="1"/>
  <c r="Q2829" i="1"/>
  <c r="P2829" i="1"/>
  <c r="O2829" i="1"/>
  <c r="N2829" i="1"/>
  <c r="S2828" i="1"/>
  <c r="R2828" i="1"/>
  <c r="Q2828" i="1"/>
  <c r="P2828" i="1"/>
  <c r="O2828" i="1"/>
  <c r="N2828" i="1"/>
  <c r="S2827" i="1"/>
  <c r="R2827" i="1"/>
  <c r="Q2827" i="1"/>
  <c r="P2827" i="1"/>
  <c r="O2827" i="1"/>
  <c r="N2827" i="1"/>
  <c r="S2826" i="1"/>
  <c r="R2826" i="1"/>
  <c r="Q2826" i="1"/>
  <c r="P2826" i="1"/>
  <c r="O2826" i="1"/>
  <c r="N2826" i="1"/>
  <c r="S2825" i="1"/>
  <c r="R2825" i="1"/>
  <c r="Q2825" i="1"/>
  <c r="P2825" i="1"/>
  <c r="O2825" i="1"/>
  <c r="N2825" i="1"/>
  <c r="S2824" i="1"/>
  <c r="R2824" i="1"/>
  <c r="Q2824" i="1"/>
  <c r="P2824" i="1"/>
  <c r="O2824" i="1"/>
  <c r="N2824" i="1"/>
  <c r="S2823" i="1"/>
  <c r="R2823" i="1"/>
  <c r="Q2823" i="1"/>
  <c r="P2823" i="1"/>
  <c r="O2823" i="1"/>
  <c r="N2823" i="1"/>
  <c r="S2822" i="1"/>
  <c r="R2822" i="1"/>
  <c r="Q2822" i="1"/>
  <c r="P2822" i="1"/>
  <c r="O2822" i="1"/>
  <c r="N2822" i="1"/>
  <c r="S2821" i="1"/>
  <c r="R2821" i="1"/>
  <c r="Q2821" i="1"/>
  <c r="P2821" i="1"/>
  <c r="O2821" i="1"/>
  <c r="N2821" i="1"/>
  <c r="S2820" i="1"/>
  <c r="R2820" i="1"/>
  <c r="Q2820" i="1"/>
  <c r="P2820" i="1"/>
  <c r="O2820" i="1"/>
  <c r="N2820" i="1"/>
  <c r="S2819" i="1"/>
  <c r="R2819" i="1"/>
  <c r="Q2819" i="1"/>
  <c r="P2819" i="1"/>
  <c r="O2819" i="1"/>
  <c r="N2819" i="1"/>
  <c r="S2818" i="1"/>
  <c r="R2818" i="1"/>
  <c r="Q2818" i="1"/>
  <c r="P2818" i="1"/>
  <c r="O2818" i="1"/>
  <c r="N2818" i="1"/>
  <c r="S2817" i="1"/>
  <c r="R2817" i="1"/>
  <c r="Q2817" i="1"/>
  <c r="P2817" i="1"/>
  <c r="O2817" i="1"/>
  <c r="N2817" i="1"/>
  <c r="S2816" i="1"/>
  <c r="R2816" i="1"/>
  <c r="Q2816" i="1"/>
  <c r="P2816" i="1"/>
  <c r="O2816" i="1"/>
  <c r="N2816" i="1"/>
  <c r="S2815" i="1"/>
  <c r="R2815" i="1"/>
  <c r="Q2815" i="1"/>
  <c r="P2815" i="1"/>
  <c r="O2815" i="1"/>
  <c r="N2815" i="1"/>
  <c r="S2814" i="1"/>
  <c r="R2814" i="1"/>
  <c r="Q2814" i="1"/>
  <c r="P2814" i="1"/>
  <c r="O2814" i="1"/>
  <c r="N2814" i="1"/>
  <c r="S2813" i="1"/>
  <c r="R2813" i="1"/>
  <c r="Q2813" i="1"/>
  <c r="P2813" i="1"/>
  <c r="O2813" i="1"/>
  <c r="N2813" i="1"/>
  <c r="S2812" i="1"/>
  <c r="R2812" i="1"/>
  <c r="Q2812" i="1"/>
  <c r="P2812" i="1"/>
  <c r="O2812" i="1"/>
  <c r="N2812" i="1"/>
  <c r="S2811" i="1"/>
  <c r="R2811" i="1"/>
  <c r="Q2811" i="1"/>
  <c r="P2811" i="1"/>
  <c r="O2811" i="1"/>
  <c r="N2811" i="1"/>
  <c r="S2810" i="1"/>
  <c r="R2810" i="1"/>
  <c r="Q2810" i="1"/>
  <c r="P2810" i="1"/>
  <c r="O2810" i="1"/>
  <c r="N2810" i="1"/>
  <c r="S2809" i="1"/>
  <c r="R2809" i="1"/>
  <c r="Q2809" i="1"/>
  <c r="P2809" i="1"/>
  <c r="O2809" i="1"/>
  <c r="N2809" i="1"/>
  <c r="S2808" i="1"/>
  <c r="R2808" i="1"/>
  <c r="Q2808" i="1"/>
  <c r="P2808" i="1"/>
  <c r="O2808" i="1"/>
  <c r="N2808" i="1"/>
  <c r="S2807" i="1"/>
  <c r="R2807" i="1"/>
  <c r="Q2807" i="1"/>
  <c r="P2807" i="1"/>
  <c r="O2807" i="1"/>
  <c r="N2807" i="1"/>
  <c r="S2806" i="1"/>
  <c r="R2806" i="1"/>
  <c r="Q2806" i="1"/>
  <c r="P2806" i="1"/>
  <c r="O2806" i="1"/>
  <c r="N2806" i="1"/>
  <c r="S2805" i="1"/>
  <c r="R2805" i="1"/>
  <c r="Q2805" i="1"/>
  <c r="P2805" i="1"/>
  <c r="O2805" i="1"/>
  <c r="N2805" i="1"/>
  <c r="S2804" i="1"/>
  <c r="R2804" i="1"/>
  <c r="Q2804" i="1"/>
  <c r="P2804" i="1"/>
  <c r="O2804" i="1"/>
  <c r="N2804" i="1"/>
  <c r="S2803" i="1"/>
  <c r="R2803" i="1"/>
  <c r="Q2803" i="1"/>
  <c r="P2803" i="1"/>
  <c r="O2803" i="1"/>
  <c r="N2803" i="1"/>
  <c r="S2802" i="1"/>
  <c r="R2802" i="1"/>
  <c r="Q2802" i="1"/>
  <c r="P2802" i="1"/>
  <c r="O2802" i="1"/>
  <c r="N2802" i="1"/>
  <c r="S2801" i="1"/>
  <c r="R2801" i="1"/>
  <c r="Q2801" i="1"/>
  <c r="P2801" i="1"/>
  <c r="O2801" i="1"/>
  <c r="N2801" i="1"/>
  <c r="S2800" i="1"/>
  <c r="R2800" i="1"/>
  <c r="Q2800" i="1"/>
  <c r="P2800" i="1"/>
  <c r="O2800" i="1"/>
  <c r="N2800" i="1"/>
  <c r="S2799" i="1"/>
  <c r="R2799" i="1"/>
  <c r="Q2799" i="1"/>
  <c r="P2799" i="1"/>
  <c r="O2799" i="1"/>
  <c r="N2799" i="1"/>
  <c r="S2798" i="1"/>
  <c r="R2798" i="1"/>
  <c r="Q2798" i="1"/>
  <c r="P2798" i="1"/>
  <c r="O2798" i="1"/>
  <c r="N2798" i="1"/>
  <c r="S2797" i="1"/>
  <c r="R2797" i="1"/>
  <c r="Q2797" i="1"/>
  <c r="P2797" i="1"/>
  <c r="O2797" i="1"/>
  <c r="N2797" i="1"/>
  <c r="S2796" i="1"/>
  <c r="R2796" i="1"/>
  <c r="Q2796" i="1"/>
  <c r="P2796" i="1"/>
  <c r="O2796" i="1"/>
  <c r="N2796" i="1"/>
  <c r="S2795" i="1"/>
  <c r="R2795" i="1"/>
  <c r="Q2795" i="1"/>
  <c r="P2795" i="1"/>
  <c r="O2795" i="1"/>
  <c r="N2795" i="1"/>
  <c r="S2794" i="1"/>
  <c r="R2794" i="1"/>
  <c r="Q2794" i="1"/>
  <c r="P2794" i="1"/>
  <c r="O2794" i="1"/>
  <c r="N2794" i="1"/>
  <c r="S2793" i="1"/>
  <c r="R2793" i="1"/>
  <c r="Q2793" i="1"/>
  <c r="P2793" i="1"/>
  <c r="O2793" i="1"/>
  <c r="N2793" i="1"/>
  <c r="S2792" i="1"/>
  <c r="R2792" i="1"/>
  <c r="Q2792" i="1"/>
  <c r="P2792" i="1"/>
  <c r="O2792" i="1"/>
  <c r="N2792" i="1"/>
  <c r="S2791" i="1"/>
  <c r="R2791" i="1"/>
  <c r="Q2791" i="1"/>
  <c r="P2791" i="1"/>
  <c r="O2791" i="1"/>
  <c r="N2791" i="1"/>
  <c r="S2790" i="1"/>
  <c r="R2790" i="1"/>
  <c r="Q2790" i="1"/>
  <c r="P2790" i="1"/>
  <c r="O2790" i="1"/>
  <c r="N2790" i="1"/>
  <c r="S2789" i="1"/>
  <c r="R2789" i="1"/>
  <c r="Q2789" i="1"/>
  <c r="P2789" i="1"/>
  <c r="O2789" i="1"/>
  <c r="N2789" i="1"/>
  <c r="S2788" i="1"/>
  <c r="R2788" i="1"/>
  <c r="Q2788" i="1"/>
  <c r="P2788" i="1"/>
  <c r="O2788" i="1"/>
  <c r="N2788" i="1"/>
  <c r="S2787" i="1"/>
  <c r="R2787" i="1"/>
  <c r="Q2787" i="1"/>
  <c r="P2787" i="1"/>
  <c r="O2787" i="1"/>
  <c r="N2787" i="1"/>
  <c r="S2786" i="1"/>
  <c r="R2786" i="1"/>
  <c r="Q2786" i="1"/>
  <c r="P2786" i="1"/>
  <c r="O2786" i="1"/>
  <c r="N2786" i="1"/>
  <c r="S2785" i="1"/>
  <c r="R2785" i="1"/>
  <c r="Q2785" i="1"/>
  <c r="P2785" i="1"/>
  <c r="O2785" i="1"/>
  <c r="N2785" i="1"/>
  <c r="S2784" i="1"/>
  <c r="R2784" i="1"/>
  <c r="Q2784" i="1"/>
  <c r="P2784" i="1"/>
  <c r="O2784" i="1"/>
  <c r="N2784" i="1"/>
  <c r="S2783" i="1"/>
  <c r="R2783" i="1"/>
  <c r="Q2783" i="1"/>
  <c r="P2783" i="1"/>
  <c r="O2783" i="1"/>
  <c r="N2783" i="1"/>
  <c r="S2782" i="1"/>
  <c r="R2782" i="1"/>
  <c r="Q2782" i="1"/>
  <c r="P2782" i="1"/>
  <c r="O2782" i="1"/>
  <c r="N2782" i="1"/>
  <c r="S2781" i="1"/>
  <c r="R2781" i="1"/>
  <c r="Q2781" i="1"/>
  <c r="P2781" i="1"/>
  <c r="O2781" i="1"/>
  <c r="N2781" i="1"/>
  <c r="S2780" i="1"/>
  <c r="R2780" i="1"/>
  <c r="Q2780" i="1"/>
  <c r="P2780" i="1"/>
  <c r="O2780" i="1"/>
  <c r="N2780" i="1"/>
  <c r="S2779" i="1"/>
  <c r="R2779" i="1"/>
  <c r="Q2779" i="1"/>
  <c r="P2779" i="1"/>
  <c r="O2779" i="1"/>
  <c r="N2779" i="1"/>
  <c r="S2778" i="1"/>
  <c r="R2778" i="1"/>
  <c r="Q2778" i="1"/>
  <c r="P2778" i="1"/>
  <c r="O2778" i="1"/>
  <c r="N2778" i="1"/>
  <c r="S2777" i="1"/>
  <c r="R2777" i="1"/>
  <c r="Q2777" i="1"/>
  <c r="P2777" i="1"/>
  <c r="O2777" i="1"/>
  <c r="N2777" i="1"/>
  <c r="S2776" i="1"/>
  <c r="R2776" i="1"/>
  <c r="Q2776" i="1"/>
  <c r="P2776" i="1"/>
  <c r="O2776" i="1"/>
  <c r="N2776" i="1"/>
  <c r="S2775" i="1"/>
  <c r="R2775" i="1"/>
  <c r="Q2775" i="1"/>
  <c r="P2775" i="1"/>
  <c r="O2775" i="1"/>
  <c r="N2775" i="1"/>
  <c r="S2774" i="1"/>
  <c r="R2774" i="1"/>
  <c r="Q2774" i="1"/>
  <c r="P2774" i="1"/>
  <c r="O2774" i="1"/>
  <c r="N2774" i="1"/>
  <c r="S2773" i="1"/>
  <c r="R2773" i="1"/>
  <c r="Q2773" i="1"/>
  <c r="P2773" i="1"/>
  <c r="O2773" i="1"/>
  <c r="N2773" i="1"/>
  <c r="S2772" i="1"/>
  <c r="R2772" i="1"/>
  <c r="Q2772" i="1"/>
  <c r="P2772" i="1"/>
  <c r="O2772" i="1"/>
  <c r="N2772" i="1"/>
  <c r="S2771" i="1"/>
  <c r="R2771" i="1"/>
  <c r="Q2771" i="1"/>
  <c r="P2771" i="1"/>
  <c r="O2771" i="1"/>
  <c r="N2771" i="1"/>
  <c r="S2770" i="1"/>
  <c r="R2770" i="1"/>
  <c r="Q2770" i="1"/>
  <c r="P2770" i="1"/>
  <c r="O2770" i="1"/>
  <c r="N2770" i="1"/>
  <c r="S2769" i="1"/>
  <c r="R2769" i="1"/>
  <c r="Q2769" i="1"/>
  <c r="P2769" i="1"/>
  <c r="O2769" i="1"/>
  <c r="N2769" i="1"/>
  <c r="S2768" i="1"/>
  <c r="R2768" i="1"/>
  <c r="Q2768" i="1"/>
  <c r="P2768" i="1"/>
  <c r="O2768" i="1"/>
  <c r="N2768" i="1"/>
  <c r="S2767" i="1"/>
  <c r="R2767" i="1"/>
  <c r="Q2767" i="1"/>
  <c r="P2767" i="1"/>
  <c r="O2767" i="1"/>
  <c r="N2767" i="1"/>
  <c r="S2766" i="1"/>
  <c r="R2766" i="1"/>
  <c r="Q2766" i="1"/>
  <c r="P2766" i="1"/>
  <c r="O2766" i="1"/>
  <c r="N2766" i="1"/>
  <c r="S2765" i="1"/>
  <c r="R2765" i="1"/>
  <c r="Q2765" i="1"/>
  <c r="P2765" i="1"/>
  <c r="O2765" i="1"/>
  <c r="N2765" i="1"/>
  <c r="S2764" i="1"/>
  <c r="R2764" i="1"/>
  <c r="Q2764" i="1"/>
  <c r="P2764" i="1"/>
  <c r="O2764" i="1"/>
  <c r="N2764" i="1"/>
  <c r="S2763" i="1"/>
  <c r="R2763" i="1"/>
  <c r="Q2763" i="1"/>
  <c r="P2763" i="1"/>
  <c r="O2763" i="1"/>
  <c r="N2763" i="1"/>
  <c r="S2762" i="1"/>
  <c r="R2762" i="1"/>
  <c r="Q2762" i="1"/>
  <c r="P2762" i="1"/>
  <c r="O2762" i="1"/>
  <c r="N2762" i="1"/>
  <c r="S2761" i="1"/>
  <c r="R2761" i="1"/>
  <c r="Q2761" i="1"/>
  <c r="P2761" i="1"/>
  <c r="O2761" i="1"/>
  <c r="N2761" i="1"/>
  <c r="S2760" i="1"/>
  <c r="R2760" i="1"/>
  <c r="Q2760" i="1"/>
  <c r="P2760" i="1"/>
  <c r="O2760" i="1"/>
  <c r="N2760" i="1"/>
  <c r="S2759" i="1"/>
  <c r="R2759" i="1"/>
  <c r="Q2759" i="1"/>
  <c r="P2759" i="1"/>
  <c r="O2759" i="1"/>
  <c r="N2759" i="1"/>
  <c r="S2758" i="1"/>
  <c r="R2758" i="1"/>
  <c r="Q2758" i="1"/>
  <c r="P2758" i="1"/>
  <c r="O2758" i="1"/>
  <c r="N2758" i="1"/>
  <c r="S2757" i="1"/>
  <c r="R2757" i="1"/>
  <c r="Q2757" i="1"/>
  <c r="P2757" i="1"/>
  <c r="O2757" i="1"/>
  <c r="N2757" i="1"/>
  <c r="S2756" i="1"/>
  <c r="R2756" i="1"/>
  <c r="Q2756" i="1"/>
  <c r="P2756" i="1"/>
  <c r="O2756" i="1"/>
  <c r="N2756" i="1"/>
  <c r="S2755" i="1"/>
  <c r="R2755" i="1"/>
  <c r="Q2755" i="1"/>
  <c r="P2755" i="1"/>
  <c r="O2755" i="1"/>
  <c r="N2755" i="1"/>
  <c r="S2754" i="1"/>
  <c r="R2754" i="1"/>
  <c r="Q2754" i="1"/>
  <c r="P2754" i="1"/>
  <c r="O2754" i="1"/>
  <c r="N2754" i="1"/>
  <c r="S2753" i="1"/>
  <c r="R2753" i="1"/>
  <c r="Q2753" i="1"/>
  <c r="P2753" i="1"/>
  <c r="O2753" i="1"/>
  <c r="N2753" i="1"/>
  <c r="S2752" i="1"/>
  <c r="R2752" i="1"/>
  <c r="Q2752" i="1"/>
  <c r="P2752" i="1"/>
  <c r="O2752" i="1"/>
  <c r="N2752" i="1"/>
  <c r="S2751" i="1"/>
  <c r="R2751" i="1"/>
  <c r="Q2751" i="1"/>
  <c r="P2751" i="1"/>
  <c r="O2751" i="1"/>
  <c r="N2751" i="1"/>
  <c r="S2750" i="1"/>
  <c r="R2750" i="1"/>
  <c r="Q2750" i="1"/>
  <c r="P2750" i="1"/>
  <c r="O2750" i="1"/>
  <c r="N2750" i="1"/>
  <c r="S2749" i="1"/>
  <c r="R2749" i="1"/>
  <c r="Q2749" i="1"/>
  <c r="P2749" i="1"/>
  <c r="O2749" i="1"/>
  <c r="N2749" i="1"/>
  <c r="S2748" i="1"/>
  <c r="R2748" i="1"/>
  <c r="Q2748" i="1"/>
  <c r="P2748" i="1"/>
  <c r="O2748" i="1"/>
  <c r="N2748" i="1"/>
  <c r="S2747" i="1"/>
  <c r="R2747" i="1"/>
  <c r="Q2747" i="1"/>
  <c r="P2747" i="1"/>
  <c r="O2747" i="1"/>
  <c r="N2747" i="1"/>
  <c r="S2746" i="1"/>
  <c r="R2746" i="1"/>
  <c r="Q2746" i="1"/>
  <c r="P2746" i="1"/>
  <c r="O2746" i="1"/>
  <c r="N2746" i="1"/>
  <c r="S2745" i="1"/>
  <c r="R2745" i="1"/>
  <c r="Q2745" i="1"/>
  <c r="P2745" i="1"/>
  <c r="O2745" i="1"/>
  <c r="N2745" i="1"/>
  <c r="S2744" i="1"/>
  <c r="R2744" i="1"/>
  <c r="Q2744" i="1"/>
  <c r="P2744" i="1"/>
  <c r="O2744" i="1"/>
  <c r="N2744" i="1"/>
  <c r="S2743" i="1"/>
  <c r="R2743" i="1"/>
  <c r="Q2743" i="1"/>
  <c r="P2743" i="1"/>
  <c r="O2743" i="1"/>
  <c r="N2743" i="1"/>
  <c r="S2742" i="1"/>
  <c r="R2742" i="1"/>
  <c r="Q2742" i="1"/>
  <c r="P2742" i="1"/>
  <c r="O2742" i="1"/>
  <c r="N2742" i="1"/>
  <c r="S2741" i="1"/>
  <c r="R2741" i="1"/>
  <c r="Q2741" i="1"/>
  <c r="P2741" i="1"/>
  <c r="O2741" i="1"/>
  <c r="N2741" i="1"/>
  <c r="S2740" i="1"/>
  <c r="R2740" i="1"/>
  <c r="Q2740" i="1"/>
  <c r="P2740" i="1"/>
  <c r="O2740" i="1"/>
  <c r="N2740" i="1"/>
  <c r="S2739" i="1"/>
  <c r="R2739" i="1"/>
  <c r="Q2739" i="1"/>
  <c r="P2739" i="1"/>
  <c r="O2739" i="1"/>
  <c r="N2739" i="1"/>
  <c r="S2738" i="1"/>
  <c r="R2738" i="1"/>
  <c r="Q2738" i="1"/>
  <c r="P2738" i="1"/>
  <c r="O2738" i="1"/>
  <c r="N2738" i="1"/>
  <c r="S2737" i="1"/>
  <c r="R2737" i="1"/>
  <c r="Q2737" i="1"/>
  <c r="P2737" i="1"/>
  <c r="O2737" i="1"/>
  <c r="N2737" i="1"/>
  <c r="S2736" i="1"/>
  <c r="R2736" i="1"/>
  <c r="Q2736" i="1"/>
  <c r="P2736" i="1"/>
  <c r="O2736" i="1"/>
  <c r="N2736" i="1"/>
  <c r="S2735" i="1"/>
  <c r="R2735" i="1"/>
  <c r="Q2735" i="1"/>
  <c r="P2735" i="1"/>
  <c r="O2735" i="1"/>
  <c r="N2735" i="1"/>
  <c r="S2734" i="1"/>
  <c r="R2734" i="1"/>
  <c r="Q2734" i="1"/>
  <c r="P2734" i="1"/>
  <c r="O2734" i="1"/>
  <c r="N2734" i="1"/>
  <c r="S2733" i="1"/>
  <c r="R2733" i="1"/>
  <c r="Q2733" i="1"/>
  <c r="P2733" i="1"/>
  <c r="O2733" i="1"/>
  <c r="N2733" i="1"/>
  <c r="S2732" i="1"/>
  <c r="R2732" i="1"/>
  <c r="Q2732" i="1"/>
  <c r="P2732" i="1"/>
  <c r="O2732" i="1"/>
  <c r="N2732" i="1"/>
  <c r="S2731" i="1"/>
  <c r="R2731" i="1"/>
  <c r="Q2731" i="1"/>
  <c r="P2731" i="1"/>
  <c r="O2731" i="1"/>
  <c r="N2731" i="1"/>
  <c r="S2730" i="1"/>
  <c r="R2730" i="1"/>
  <c r="Q2730" i="1"/>
  <c r="P2730" i="1"/>
  <c r="O2730" i="1"/>
  <c r="N2730" i="1"/>
  <c r="S2729" i="1"/>
  <c r="R2729" i="1"/>
  <c r="Q2729" i="1"/>
  <c r="P2729" i="1"/>
  <c r="O2729" i="1"/>
  <c r="N2729" i="1"/>
  <c r="S2728" i="1"/>
  <c r="R2728" i="1"/>
  <c r="Q2728" i="1"/>
  <c r="P2728" i="1"/>
  <c r="O2728" i="1"/>
  <c r="N2728" i="1"/>
  <c r="S2727" i="1"/>
  <c r="R2727" i="1"/>
  <c r="Q2727" i="1"/>
  <c r="P2727" i="1"/>
  <c r="O2727" i="1"/>
  <c r="N2727" i="1"/>
  <c r="S2726" i="1"/>
  <c r="R2726" i="1"/>
  <c r="Q2726" i="1"/>
  <c r="P2726" i="1"/>
  <c r="O2726" i="1"/>
  <c r="N2726" i="1"/>
  <c r="S2725" i="1"/>
  <c r="R2725" i="1"/>
  <c r="Q2725" i="1"/>
  <c r="P2725" i="1"/>
  <c r="O2725" i="1"/>
  <c r="N2725" i="1"/>
  <c r="S2724" i="1"/>
  <c r="R2724" i="1"/>
  <c r="Q2724" i="1"/>
  <c r="P2724" i="1"/>
  <c r="O2724" i="1"/>
  <c r="N2724" i="1"/>
  <c r="S2723" i="1"/>
  <c r="R2723" i="1"/>
  <c r="Q2723" i="1"/>
  <c r="P2723" i="1"/>
  <c r="O2723" i="1"/>
  <c r="N2723" i="1"/>
  <c r="S2722" i="1"/>
  <c r="R2722" i="1"/>
  <c r="Q2722" i="1"/>
  <c r="P2722" i="1"/>
  <c r="O2722" i="1"/>
  <c r="N2722" i="1"/>
  <c r="S2721" i="1"/>
  <c r="R2721" i="1"/>
  <c r="Q2721" i="1"/>
  <c r="P2721" i="1"/>
  <c r="O2721" i="1"/>
  <c r="N2721" i="1"/>
  <c r="S2720" i="1"/>
  <c r="R2720" i="1"/>
  <c r="Q2720" i="1"/>
  <c r="P2720" i="1"/>
  <c r="O2720" i="1"/>
  <c r="N2720" i="1"/>
  <c r="S2719" i="1"/>
  <c r="R2719" i="1"/>
  <c r="Q2719" i="1"/>
  <c r="P2719" i="1"/>
  <c r="O2719" i="1"/>
  <c r="N2719" i="1"/>
  <c r="S2718" i="1"/>
  <c r="R2718" i="1"/>
  <c r="Q2718" i="1"/>
  <c r="P2718" i="1"/>
  <c r="O2718" i="1"/>
  <c r="N2718" i="1"/>
  <c r="S2717" i="1"/>
  <c r="R2717" i="1"/>
  <c r="Q2717" i="1"/>
  <c r="P2717" i="1"/>
  <c r="O2717" i="1"/>
  <c r="N2717" i="1"/>
  <c r="S2716" i="1"/>
  <c r="R2716" i="1"/>
  <c r="Q2716" i="1"/>
  <c r="P2716" i="1"/>
  <c r="O2716" i="1"/>
  <c r="N2716" i="1"/>
  <c r="S2715" i="1"/>
  <c r="R2715" i="1"/>
  <c r="Q2715" i="1"/>
  <c r="P2715" i="1"/>
  <c r="O2715" i="1"/>
  <c r="N2715" i="1"/>
  <c r="S2714" i="1"/>
  <c r="R2714" i="1"/>
  <c r="Q2714" i="1"/>
  <c r="P2714" i="1"/>
  <c r="O2714" i="1"/>
  <c r="N2714" i="1"/>
  <c r="S2713" i="1"/>
  <c r="R2713" i="1"/>
  <c r="Q2713" i="1"/>
  <c r="P2713" i="1"/>
  <c r="O2713" i="1"/>
  <c r="N2713" i="1"/>
  <c r="S2712" i="1"/>
  <c r="R2712" i="1"/>
  <c r="Q2712" i="1"/>
  <c r="P2712" i="1"/>
  <c r="O2712" i="1"/>
  <c r="N2712" i="1"/>
  <c r="S2711" i="1"/>
  <c r="R2711" i="1"/>
  <c r="Q2711" i="1"/>
  <c r="P2711" i="1"/>
  <c r="O2711" i="1"/>
  <c r="N2711" i="1"/>
  <c r="S2710" i="1"/>
  <c r="R2710" i="1"/>
  <c r="Q2710" i="1"/>
  <c r="P2710" i="1"/>
  <c r="O2710" i="1"/>
  <c r="N2710" i="1"/>
  <c r="S2709" i="1"/>
  <c r="R2709" i="1"/>
  <c r="Q2709" i="1"/>
  <c r="P2709" i="1"/>
  <c r="O2709" i="1"/>
  <c r="N2709" i="1"/>
  <c r="S2708" i="1"/>
  <c r="R2708" i="1"/>
  <c r="Q2708" i="1"/>
  <c r="P2708" i="1"/>
  <c r="O2708" i="1"/>
  <c r="N2708" i="1"/>
  <c r="S2707" i="1"/>
  <c r="R2707" i="1"/>
  <c r="Q2707" i="1"/>
  <c r="P2707" i="1"/>
  <c r="O2707" i="1"/>
  <c r="N2707" i="1"/>
  <c r="S2706" i="1"/>
  <c r="R2706" i="1"/>
  <c r="Q2706" i="1"/>
  <c r="P2706" i="1"/>
  <c r="O2706" i="1"/>
  <c r="N2706" i="1"/>
  <c r="S2705" i="1"/>
  <c r="R2705" i="1"/>
  <c r="Q2705" i="1"/>
  <c r="P2705" i="1"/>
  <c r="O2705" i="1"/>
  <c r="N2705" i="1"/>
  <c r="S2704" i="1"/>
  <c r="R2704" i="1"/>
  <c r="Q2704" i="1"/>
  <c r="P2704" i="1"/>
  <c r="O2704" i="1"/>
  <c r="N2704" i="1"/>
  <c r="S2703" i="1"/>
  <c r="R2703" i="1"/>
  <c r="Q2703" i="1"/>
  <c r="P2703" i="1"/>
  <c r="O2703" i="1"/>
  <c r="N2703" i="1"/>
  <c r="S2702" i="1"/>
  <c r="R2702" i="1"/>
  <c r="Q2702" i="1"/>
  <c r="P2702" i="1"/>
  <c r="O2702" i="1"/>
  <c r="N2702" i="1"/>
  <c r="S2701" i="1"/>
  <c r="R2701" i="1"/>
  <c r="Q2701" i="1"/>
  <c r="P2701" i="1"/>
  <c r="O2701" i="1"/>
  <c r="N2701" i="1"/>
  <c r="S2700" i="1"/>
  <c r="R2700" i="1"/>
  <c r="Q2700" i="1"/>
  <c r="P2700" i="1"/>
  <c r="O2700" i="1"/>
  <c r="N2700" i="1"/>
  <c r="S2699" i="1"/>
  <c r="R2699" i="1"/>
  <c r="Q2699" i="1"/>
  <c r="P2699" i="1"/>
  <c r="O2699" i="1"/>
  <c r="N2699" i="1"/>
  <c r="S2698" i="1"/>
  <c r="R2698" i="1"/>
  <c r="Q2698" i="1"/>
  <c r="P2698" i="1"/>
  <c r="O2698" i="1"/>
  <c r="N2698" i="1"/>
  <c r="S2697" i="1"/>
  <c r="R2697" i="1"/>
  <c r="Q2697" i="1"/>
  <c r="P2697" i="1"/>
  <c r="O2697" i="1"/>
  <c r="N2697" i="1"/>
  <c r="S2696" i="1"/>
  <c r="R2696" i="1"/>
  <c r="Q2696" i="1"/>
  <c r="P2696" i="1"/>
  <c r="O2696" i="1"/>
  <c r="N2696" i="1"/>
  <c r="S2695" i="1"/>
  <c r="R2695" i="1"/>
  <c r="Q2695" i="1"/>
  <c r="P2695" i="1"/>
  <c r="O2695" i="1"/>
  <c r="N2695" i="1"/>
  <c r="S2694" i="1"/>
  <c r="R2694" i="1"/>
  <c r="Q2694" i="1"/>
  <c r="P2694" i="1"/>
  <c r="O2694" i="1"/>
  <c r="N2694" i="1"/>
  <c r="S2693" i="1"/>
  <c r="R2693" i="1"/>
  <c r="Q2693" i="1"/>
  <c r="P2693" i="1"/>
  <c r="O2693" i="1"/>
  <c r="N2693" i="1"/>
  <c r="S2692" i="1"/>
  <c r="R2692" i="1"/>
  <c r="Q2692" i="1"/>
  <c r="P2692" i="1"/>
  <c r="O2692" i="1"/>
  <c r="N2692" i="1"/>
  <c r="S2691" i="1"/>
  <c r="R2691" i="1"/>
  <c r="Q2691" i="1"/>
  <c r="P2691" i="1"/>
  <c r="O2691" i="1"/>
  <c r="N2691" i="1"/>
  <c r="S2690" i="1"/>
  <c r="R2690" i="1"/>
  <c r="Q2690" i="1"/>
  <c r="P2690" i="1"/>
  <c r="O2690" i="1"/>
  <c r="N2690" i="1"/>
  <c r="S2689" i="1"/>
  <c r="R2689" i="1"/>
  <c r="Q2689" i="1"/>
  <c r="P2689" i="1"/>
  <c r="O2689" i="1"/>
  <c r="N2689" i="1"/>
  <c r="S2688" i="1"/>
  <c r="R2688" i="1"/>
  <c r="Q2688" i="1"/>
  <c r="P2688" i="1"/>
  <c r="O2688" i="1"/>
  <c r="N2688" i="1"/>
  <c r="S2687" i="1"/>
  <c r="R2687" i="1"/>
  <c r="Q2687" i="1"/>
  <c r="P2687" i="1"/>
  <c r="O2687" i="1"/>
  <c r="N2687" i="1"/>
  <c r="S2686" i="1"/>
  <c r="R2686" i="1"/>
  <c r="Q2686" i="1"/>
  <c r="P2686" i="1"/>
  <c r="O2686" i="1"/>
  <c r="N2686" i="1"/>
  <c r="S2685" i="1"/>
  <c r="R2685" i="1"/>
  <c r="Q2685" i="1"/>
  <c r="P2685" i="1"/>
  <c r="O2685" i="1"/>
  <c r="N2685" i="1"/>
  <c r="S2684" i="1"/>
  <c r="R2684" i="1"/>
  <c r="Q2684" i="1"/>
  <c r="P2684" i="1"/>
  <c r="O2684" i="1"/>
  <c r="N2684" i="1"/>
  <c r="S2683" i="1"/>
  <c r="R2683" i="1"/>
  <c r="Q2683" i="1"/>
  <c r="P2683" i="1"/>
  <c r="O2683" i="1"/>
  <c r="N2683" i="1"/>
  <c r="S2682" i="1"/>
  <c r="R2682" i="1"/>
  <c r="Q2682" i="1"/>
  <c r="P2682" i="1"/>
  <c r="O2682" i="1"/>
  <c r="N2682" i="1"/>
  <c r="S2681" i="1"/>
  <c r="R2681" i="1"/>
  <c r="Q2681" i="1"/>
  <c r="P2681" i="1"/>
  <c r="O2681" i="1"/>
  <c r="N2681" i="1"/>
  <c r="S2680" i="1"/>
  <c r="R2680" i="1"/>
  <c r="Q2680" i="1"/>
  <c r="P2680" i="1"/>
  <c r="O2680" i="1"/>
  <c r="N2680" i="1"/>
  <c r="S2679" i="1"/>
  <c r="R2679" i="1"/>
  <c r="Q2679" i="1"/>
  <c r="P2679" i="1"/>
  <c r="O2679" i="1"/>
  <c r="N2679" i="1"/>
  <c r="S2678" i="1"/>
  <c r="R2678" i="1"/>
  <c r="Q2678" i="1"/>
  <c r="P2678" i="1"/>
  <c r="O2678" i="1"/>
  <c r="N2678" i="1"/>
  <c r="S2677" i="1"/>
  <c r="R2677" i="1"/>
  <c r="Q2677" i="1"/>
  <c r="P2677" i="1"/>
  <c r="O2677" i="1"/>
  <c r="N2677" i="1"/>
  <c r="S2676" i="1"/>
  <c r="R2676" i="1"/>
  <c r="Q2676" i="1"/>
  <c r="P2676" i="1"/>
  <c r="O2676" i="1"/>
  <c r="N2676" i="1"/>
  <c r="S2675" i="1"/>
  <c r="R2675" i="1"/>
  <c r="Q2675" i="1"/>
  <c r="P2675" i="1"/>
  <c r="O2675" i="1"/>
  <c r="N2675" i="1"/>
  <c r="S2674" i="1"/>
  <c r="R2674" i="1"/>
  <c r="Q2674" i="1"/>
  <c r="P2674" i="1"/>
  <c r="O2674" i="1"/>
  <c r="N2674" i="1"/>
  <c r="S2673" i="1"/>
  <c r="R2673" i="1"/>
  <c r="Q2673" i="1"/>
  <c r="P2673" i="1"/>
  <c r="O2673" i="1"/>
  <c r="N2673" i="1"/>
  <c r="S2672" i="1"/>
  <c r="R2672" i="1"/>
  <c r="Q2672" i="1"/>
  <c r="P2672" i="1"/>
  <c r="O2672" i="1"/>
  <c r="N2672" i="1"/>
  <c r="S2671" i="1"/>
  <c r="R2671" i="1"/>
  <c r="Q2671" i="1"/>
  <c r="P2671" i="1"/>
  <c r="O2671" i="1"/>
  <c r="N2671" i="1"/>
  <c r="S2670" i="1"/>
  <c r="R2670" i="1"/>
  <c r="Q2670" i="1"/>
  <c r="P2670" i="1"/>
  <c r="O2670" i="1"/>
  <c r="N2670" i="1"/>
  <c r="S2669" i="1"/>
  <c r="R2669" i="1"/>
  <c r="Q2669" i="1"/>
  <c r="P2669" i="1"/>
  <c r="O2669" i="1"/>
  <c r="N2669" i="1"/>
  <c r="S2668" i="1"/>
  <c r="R2668" i="1"/>
  <c r="Q2668" i="1"/>
  <c r="P2668" i="1"/>
  <c r="O2668" i="1"/>
  <c r="N2668" i="1"/>
  <c r="S2667" i="1"/>
  <c r="R2667" i="1"/>
  <c r="Q2667" i="1"/>
  <c r="P2667" i="1"/>
  <c r="O2667" i="1"/>
  <c r="N2667" i="1"/>
  <c r="S2666" i="1"/>
  <c r="R2666" i="1"/>
  <c r="Q2666" i="1"/>
  <c r="P2666" i="1"/>
  <c r="O2666" i="1"/>
  <c r="N2666" i="1"/>
  <c r="S2665" i="1"/>
  <c r="R2665" i="1"/>
  <c r="Q2665" i="1"/>
  <c r="P2665" i="1"/>
  <c r="O2665" i="1"/>
  <c r="N2665" i="1"/>
  <c r="S2664" i="1"/>
  <c r="R2664" i="1"/>
  <c r="Q2664" i="1"/>
  <c r="P2664" i="1"/>
  <c r="O2664" i="1"/>
  <c r="N2664" i="1"/>
  <c r="S2663" i="1"/>
  <c r="R2663" i="1"/>
  <c r="Q2663" i="1"/>
  <c r="P2663" i="1"/>
  <c r="O2663" i="1"/>
  <c r="N2663" i="1"/>
  <c r="S2662" i="1"/>
  <c r="R2662" i="1"/>
  <c r="Q2662" i="1"/>
  <c r="P2662" i="1"/>
  <c r="O2662" i="1"/>
  <c r="N2662" i="1"/>
  <c r="S2661" i="1"/>
  <c r="R2661" i="1"/>
  <c r="Q2661" i="1"/>
  <c r="P2661" i="1"/>
  <c r="O2661" i="1"/>
  <c r="N2661" i="1"/>
  <c r="S2660" i="1"/>
  <c r="R2660" i="1"/>
  <c r="Q2660" i="1"/>
  <c r="P2660" i="1"/>
  <c r="O2660" i="1"/>
  <c r="N2660" i="1"/>
  <c r="S2659" i="1"/>
  <c r="R2659" i="1"/>
  <c r="Q2659" i="1"/>
  <c r="P2659" i="1"/>
  <c r="O2659" i="1"/>
  <c r="N2659" i="1"/>
  <c r="S2658" i="1"/>
  <c r="R2658" i="1"/>
  <c r="Q2658" i="1"/>
  <c r="P2658" i="1"/>
  <c r="O2658" i="1"/>
  <c r="N2658" i="1"/>
  <c r="S2657" i="1"/>
  <c r="R2657" i="1"/>
  <c r="Q2657" i="1"/>
  <c r="P2657" i="1"/>
  <c r="O2657" i="1"/>
  <c r="N2657" i="1"/>
  <c r="S2656" i="1"/>
  <c r="R2656" i="1"/>
  <c r="Q2656" i="1"/>
  <c r="P2656" i="1"/>
  <c r="O2656" i="1"/>
  <c r="N2656" i="1"/>
  <c r="S2655" i="1"/>
  <c r="R2655" i="1"/>
  <c r="Q2655" i="1"/>
  <c r="P2655" i="1"/>
  <c r="O2655" i="1"/>
  <c r="N2655" i="1"/>
  <c r="S2654" i="1"/>
  <c r="R2654" i="1"/>
  <c r="Q2654" i="1"/>
  <c r="P2654" i="1"/>
  <c r="O2654" i="1"/>
  <c r="N2654" i="1"/>
  <c r="S2653" i="1"/>
  <c r="R2653" i="1"/>
  <c r="Q2653" i="1"/>
  <c r="P2653" i="1"/>
  <c r="O2653" i="1"/>
  <c r="N2653" i="1"/>
  <c r="S2652" i="1"/>
  <c r="R2652" i="1"/>
  <c r="Q2652" i="1"/>
  <c r="P2652" i="1"/>
  <c r="O2652" i="1"/>
  <c r="N2652" i="1"/>
  <c r="S2651" i="1"/>
  <c r="R2651" i="1"/>
  <c r="Q2651" i="1"/>
  <c r="P2651" i="1"/>
  <c r="O2651" i="1"/>
  <c r="N2651" i="1"/>
  <c r="S2650" i="1"/>
  <c r="R2650" i="1"/>
  <c r="Q2650" i="1"/>
  <c r="P2650" i="1"/>
  <c r="O2650" i="1"/>
  <c r="N2650" i="1"/>
  <c r="S2649" i="1"/>
  <c r="R2649" i="1"/>
  <c r="Q2649" i="1"/>
  <c r="P2649" i="1"/>
  <c r="O2649" i="1"/>
  <c r="N2649" i="1"/>
  <c r="S2648" i="1"/>
  <c r="R2648" i="1"/>
  <c r="Q2648" i="1"/>
  <c r="P2648" i="1"/>
  <c r="O2648" i="1"/>
  <c r="N2648" i="1"/>
  <c r="S2647" i="1"/>
  <c r="R2647" i="1"/>
  <c r="Q2647" i="1"/>
  <c r="P2647" i="1"/>
  <c r="O2647" i="1"/>
  <c r="N2647" i="1"/>
  <c r="S2646" i="1"/>
  <c r="R2646" i="1"/>
  <c r="Q2646" i="1"/>
  <c r="P2646" i="1"/>
  <c r="O2646" i="1"/>
  <c r="N2646" i="1"/>
  <c r="S2645" i="1"/>
  <c r="R2645" i="1"/>
  <c r="Q2645" i="1"/>
  <c r="P2645" i="1"/>
  <c r="O2645" i="1"/>
  <c r="N2645" i="1"/>
  <c r="S2644" i="1"/>
  <c r="R2644" i="1"/>
  <c r="Q2644" i="1"/>
  <c r="P2644" i="1"/>
  <c r="O2644" i="1"/>
  <c r="N2644" i="1"/>
  <c r="S2643" i="1"/>
  <c r="R2643" i="1"/>
  <c r="Q2643" i="1"/>
  <c r="P2643" i="1"/>
  <c r="O2643" i="1"/>
  <c r="N2643" i="1"/>
  <c r="S2642" i="1"/>
  <c r="R2642" i="1"/>
  <c r="Q2642" i="1"/>
  <c r="P2642" i="1"/>
  <c r="O2642" i="1"/>
  <c r="N2642" i="1"/>
  <c r="S2641" i="1"/>
  <c r="R2641" i="1"/>
  <c r="Q2641" i="1"/>
  <c r="P2641" i="1"/>
  <c r="O2641" i="1"/>
  <c r="N2641" i="1"/>
  <c r="S2640" i="1"/>
  <c r="R2640" i="1"/>
  <c r="Q2640" i="1"/>
  <c r="P2640" i="1"/>
  <c r="O2640" i="1"/>
  <c r="N2640" i="1"/>
  <c r="S2639" i="1"/>
  <c r="R2639" i="1"/>
  <c r="Q2639" i="1"/>
  <c r="P2639" i="1"/>
  <c r="O2639" i="1"/>
  <c r="N2639" i="1"/>
  <c r="S2638" i="1"/>
  <c r="R2638" i="1"/>
  <c r="Q2638" i="1"/>
  <c r="P2638" i="1"/>
  <c r="O2638" i="1"/>
  <c r="N2638" i="1"/>
  <c r="S2637" i="1"/>
  <c r="R2637" i="1"/>
  <c r="Q2637" i="1"/>
  <c r="P2637" i="1"/>
  <c r="O2637" i="1"/>
  <c r="N2637" i="1"/>
  <c r="S2636" i="1"/>
  <c r="R2636" i="1"/>
  <c r="Q2636" i="1"/>
  <c r="P2636" i="1"/>
  <c r="O2636" i="1"/>
  <c r="N2636" i="1"/>
  <c r="S2635" i="1"/>
  <c r="R2635" i="1"/>
  <c r="Q2635" i="1"/>
  <c r="P2635" i="1"/>
  <c r="O2635" i="1"/>
  <c r="N2635" i="1"/>
  <c r="S2634" i="1"/>
  <c r="R2634" i="1"/>
  <c r="Q2634" i="1"/>
  <c r="P2634" i="1"/>
  <c r="O2634" i="1"/>
  <c r="N2634" i="1"/>
  <c r="S2633" i="1"/>
  <c r="R2633" i="1"/>
  <c r="Q2633" i="1"/>
  <c r="P2633" i="1"/>
  <c r="O2633" i="1"/>
  <c r="N2633" i="1"/>
  <c r="S2632" i="1"/>
  <c r="R2632" i="1"/>
  <c r="Q2632" i="1"/>
  <c r="P2632" i="1"/>
  <c r="O2632" i="1"/>
  <c r="N2632" i="1"/>
  <c r="S2631" i="1"/>
  <c r="R2631" i="1"/>
  <c r="Q2631" i="1"/>
  <c r="P2631" i="1"/>
  <c r="O2631" i="1"/>
  <c r="N2631" i="1"/>
  <c r="S2630" i="1"/>
  <c r="R2630" i="1"/>
  <c r="Q2630" i="1"/>
  <c r="P2630" i="1"/>
  <c r="O2630" i="1"/>
  <c r="N2630" i="1"/>
  <c r="S2629" i="1"/>
  <c r="R2629" i="1"/>
  <c r="Q2629" i="1"/>
  <c r="P2629" i="1"/>
  <c r="O2629" i="1"/>
  <c r="N2629" i="1"/>
  <c r="S2628" i="1"/>
  <c r="R2628" i="1"/>
  <c r="Q2628" i="1"/>
  <c r="P2628" i="1"/>
  <c r="O2628" i="1"/>
  <c r="N2628" i="1"/>
  <c r="S2627" i="1"/>
  <c r="R2627" i="1"/>
  <c r="Q2627" i="1"/>
  <c r="P2627" i="1"/>
  <c r="O2627" i="1"/>
  <c r="N2627" i="1"/>
  <c r="S2626" i="1"/>
  <c r="R2626" i="1"/>
  <c r="Q2626" i="1"/>
  <c r="P2626" i="1"/>
  <c r="O2626" i="1"/>
  <c r="N2626" i="1"/>
  <c r="S2625" i="1"/>
  <c r="R2625" i="1"/>
  <c r="Q2625" i="1"/>
  <c r="P2625" i="1"/>
  <c r="O2625" i="1"/>
  <c r="N2625" i="1"/>
  <c r="S2624" i="1"/>
  <c r="R2624" i="1"/>
  <c r="Q2624" i="1"/>
  <c r="P2624" i="1"/>
  <c r="O2624" i="1"/>
  <c r="N2624" i="1"/>
  <c r="S2623" i="1"/>
  <c r="R2623" i="1"/>
  <c r="Q2623" i="1"/>
  <c r="P2623" i="1"/>
  <c r="O2623" i="1"/>
  <c r="N2623" i="1"/>
  <c r="S2622" i="1"/>
  <c r="R2622" i="1"/>
  <c r="Q2622" i="1"/>
  <c r="P2622" i="1"/>
  <c r="O2622" i="1"/>
  <c r="N2622" i="1"/>
  <c r="S2621" i="1"/>
  <c r="R2621" i="1"/>
  <c r="Q2621" i="1"/>
  <c r="P2621" i="1"/>
  <c r="O2621" i="1"/>
  <c r="N2621" i="1"/>
  <c r="S2620" i="1"/>
  <c r="R2620" i="1"/>
  <c r="Q2620" i="1"/>
  <c r="P2620" i="1"/>
  <c r="O2620" i="1"/>
  <c r="N2620" i="1"/>
  <c r="S2619" i="1"/>
  <c r="R2619" i="1"/>
  <c r="Q2619" i="1"/>
  <c r="P2619" i="1"/>
  <c r="O2619" i="1"/>
  <c r="N2619" i="1"/>
  <c r="S2618" i="1"/>
  <c r="R2618" i="1"/>
  <c r="Q2618" i="1"/>
  <c r="P2618" i="1"/>
  <c r="O2618" i="1"/>
  <c r="N2618" i="1"/>
  <c r="S2617" i="1"/>
  <c r="R2617" i="1"/>
  <c r="Q2617" i="1"/>
  <c r="P2617" i="1"/>
  <c r="O2617" i="1"/>
  <c r="N2617" i="1"/>
  <c r="S2616" i="1"/>
  <c r="R2616" i="1"/>
  <c r="Q2616" i="1"/>
  <c r="P2616" i="1"/>
  <c r="O2616" i="1"/>
  <c r="N2616" i="1"/>
  <c r="S2615" i="1"/>
  <c r="R2615" i="1"/>
  <c r="Q2615" i="1"/>
  <c r="P2615" i="1"/>
  <c r="O2615" i="1"/>
  <c r="N2615" i="1"/>
  <c r="S2614" i="1"/>
  <c r="R2614" i="1"/>
  <c r="Q2614" i="1"/>
  <c r="P2614" i="1"/>
  <c r="O2614" i="1"/>
  <c r="N2614" i="1"/>
  <c r="S2613" i="1"/>
  <c r="R2613" i="1"/>
  <c r="Q2613" i="1"/>
  <c r="P2613" i="1"/>
  <c r="O2613" i="1"/>
  <c r="N2613" i="1"/>
  <c r="S2612" i="1"/>
  <c r="R2612" i="1"/>
  <c r="Q2612" i="1"/>
  <c r="P2612" i="1"/>
  <c r="O2612" i="1"/>
  <c r="N2612" i="1"/>
  <c r="S2611" i="1"/>
  <c r="R2611" i="1"/>
  <c r="Q2611" i="1"/>
  <c r="P2611" i="1"/>
  <c r="O2611" i="1"/>
  <c r="N2611" i="1"/>
  <c r="S2610" i="1"/>
  <c r="R2610" i="1"/>
  <c r="Q2610" i="1"/>
  <c r="P2610" i="1"/>
  <c r="O2610" i="1"/>
  <c r="N2610" i="1"/>
  <c r="S2609" i="1"/>
  <c r="R2609" i="1"/>
  <c r="Q2609" i="1"/>
  <c r="P2609" i="1"/>
  <c r="O2609" i="1"/>
  <c r="N2609" i="1"/>
  <c r="S2608" i="1"/>
  <c r="R2608" i="1"/>
  <c r="Q2608" i="1"/>
  <c r="P2608" i="1"/>
  <c r="O2608" i="1"/>
  <c r="N2608" i="1"/>
  <c r="S2607" i="1"/>
  <c r="R2607" i="1"/>
  <c r="Q2607" i="1"/>
  <c r="P2607" i="1"/>
  <c r="O2607" i="1"/>
  <c r="N2607" i="1"/>
  <c r="S2606" i="1"/>
  <c r="R2606" i="1"/>
  <c r="Q2606" i="1"/>
  <c r="P2606" i="1"/>
  <c r="O2606" i="1"/>
  <c r="N2606" i="1"/>
  <c r="S2605" i="1"/>
  <c r="R2605" i="1"/>
  <c r="Q2605" i="1"/>
  <c r="P2605" i="1"/>
  <c r="O2605" i="1"/>
  <c r="N2605" i="1"/>
  <c r="S2604" i="1"/>
  <c r="R2604" i="1"/>
  <c r="Q2604" i="1"/>
  <c r="P2604" i="1"/>
  <c r="O2604" i="1"/>
  <c r="N2604" i="1"/>
  <c r="S2603" i="1"/>
  <c r="R2603" i="1"/>
  <c r="Q2603" i="1"/>
  <c r="P2603" i="1"/>
  <c r="O2603" i="1"/>
  <c r="N2603" i="1"/>
  <c r="S2602" i="1"/>
  <c r="R2602" i="1"/>
  <c r="Q2602" i="1"/>
  <c r="P2602" i="1"/>
  <c r="O2602" i="1"/>
  <c r="N2602" i="1"/>
  <c r="S2601" i="1"/>
  <c r="R2601" i="1"/>
  <c r="Q2601" i="1"/>
  <c r="P2601" i="1"/>
  <c r="O2601" i="1"/>
  <c r="N2601" i="1"/>
  <c r="S2600" i="1"/>
  <c r="R2600" i="1"/>
  <c r="Q2600" i="1"/>
  <c r="P2600" i="1"/>
  <c r="O2600" i="1"/>
  <c r="N2600" i="1"/>
  <c r="S2599" i="1"/>
  <c r="R2599" i="1"/>
  <c r="Q2599" i="1"/>
  <c r="P2599" i="1"/>
  <c r="O2599" i="1"/>
  <c r="N2599" i="1"/>
  <c r="S2598" i="1"/>
  <c r="R2598" i="1"/>
  <c r="Q2598" i="1"/>
  <c r="P2598" i="1"/>
  <c r="O2598" i="1"/>
  <c r="N2598" i="1"/>
  <c r="S2597" i="1"/>
  <c r="R2597" i="1"/>
  <c r="Q2597" i="1"/>
  <c r="P2597" i="1"/>
  <c r="O2597" i="1"/>
  <c r="N2597" i="1"/>
  <c r="S2596" i="1"/>
  <c r="R2596" i="1"/>
  <c r="Q2596" i="1"/>
  <c r="P2596" i="1"/>
  <c r="O2596" i="1"/>
  <c r="N2596" i="1"/>
  <c r="S2595" i="1"/>
  <c r="R2595" i="1"/>
  <c r="Q2595" i="1"/>
  <c r="P2595" i="1"/>
  <c r="O2595" i="1"/>
  <c r="N2595" i="1"/>
  <c r="S2594" i="1"/>
  <c r="R2594" i="1"/>
  <c r="Q2594" i="1"/>
  <c r="P2594" i="1"/>
  <c r="O2594" i="1"/>
  <c r="N2594" i="1"/>
  <c r="S2593" i="1"/>
  <c r="R2593" i="1"/>
  <c r="Q2593" i="1"/>
  <c r="P2593" i="1"/>
  <c r="O2593" i="1"/>
  <c r="N2593" i="1"/>
  <c r="S2592" i="1"/>
  <c r="R2592" i="1"/>
  <c r="Q2592" i="1"/>
  <c r="P2592" i="1"/>
  <c r="O2592" i="1"/>
  <c r="N2592" i="1"/>
  <c r="S2591" i="1"/>
  <c r="R2591" i="1"/>
  <c r="Q2591" i="1"/>
  <c r="P2591" i="1"/>
  <c r="O2591" i="1"/>
  <c r="N2591" i="1"/>
  <c r="S2590" i="1"/>
  <c r="R2590" i="1"/>
  <c r="Q2590" i="1"/>
  <c r="P2590" i="1"/>
  <c r="O2590" i="1"/>
  <c r="N2590" i="1"/>
  <c r="S2589" i="1"/>
  <c r="R2589" i="1"/>
  <c r="Q2589" i="1"/>
  <c r="P2589" i="1"/>
  <c r="O2589" i="1"/>
  <c r="N2589" i="1"/>
  <c r="S2588" i="1"/>
  <c r="R2588" i="1"/>
  <c r="Q2588" i="1"/>
  <c r="P2588" i="1"/>
  <c r="O2588" i="1"/>
  <c r="N2588" i="1"/>
  <c r="S2587" i="1"/>
  <c r="R2587" i="1"/>
  <c r="Q2587" i="1"/>
  <c r="P2587" i="1"/>
  <c r="O2587" i="1"/>
  <c r="N2587" i="1"/>
  <c r="S2586" i="1"/>
  <c r="R2586" i="1"/>
  <c r="Q2586" i="1"/>
  <c r="P2586" i="1"/>
  <c r="O2586" i="1"/>
  <c r="N2586" i="1"/>
  <c r="S2585" i="1"/>
  <c r="R2585" i="1"/>
  <c r="Q2585" i="1"/>
  <c r="P2585" i="1"/>
  <c r="O2585" i="1"/>
  <c r="N2585" i="1"/>
  <c r="S2584" i="1"/>
  <c r="R2584" i="1"/>
  <c r="Q2584" i="1"/>
  <c r="P2584" i="1"/>
  <c r="O2584" i="1"/>
  <c r="N2584" i="1"/>
  <c r="S2583" i="1"/>
  <c r="R2583" i="1"/>
  <c r="Q2583" i="1"/>
  <c r="P2583" i="1"/>
  <c r="O2583" i="1"/>
  <c r="N2583" i="1"/>
  <c r="S2582" i="1"/>
  <c r="R2582" i="1"/>
  <c r="Q2582" i="1"/>
  <c r="P2582" i="1"/>
  <c r="O2582" i="1"/>
  <c r="N2582" i="1"/>
  <c r="S2581" i="1"/>
  <c r="R2581" i="1"/>
  <c r="Q2581" i="1"/>
  <c r="P2581" i="1"/>
  <c r="O2581" i="1"/>
  <c r="N2581" i="1"/>
  <c r="S2580" i="1"/>
  <c r="R2580" i="1"/>
  <c r="Q2580" i="1"/>
  <c r="P2580" i="1"/>
  <c r="O2580" i="1"/>
  <c r="N2580" i="1"/>
  <c r="S2579" i="1"/>
  <c r="R2579" i="1"/>
  <c r="Q2579" i="1"/>
  <c r="P2579" i="1"/>
  <c r="O2579" i="1"/>
  <c r="N2579" i="1"/>
  <c r="S2578" i="1"/>
  <c r="R2578" i="1"/>
  <c r="Q2578" i="1"/>
  <c r="P2578" i="1"/>
  <c r="O2578" i="1"/>
  <c r="N2578" i="1"/>
  <c r="S2577" i="1"/>
  <c r="R2577" i="1"/>
  <c r="Q2577" i="1"/>
  <c r="P2577" i="1"/>
  <c r="O2577" i="1"/>
  <c r="N2577" i="1"/>
  <c r="S2576" i="1"/>
  <c r="R2576" i="1"/>
  <c r="Q2576" i="1"/>
  <c r="P2576" i="1"/>
  <c r="O2576" i="1"/>
  <c r="N2576" i="1"/>
  <c r="S2575" i="1"/>
  <c r="R2575" i="1"/>
  <c r="Q2575" i="1"/>
  <c r="P2575" i="1"/>
  <c r="O2575" i="1"/>
  <c r="N2575" i="1"/>
  <c r="S2574" i="1"/>
  <c r="R2574" i="1"/>
  <c r="Q2574" i="1"/>
  <c r="P2574" i="1"/>
  <c r="O2574" i="1"/>
  <c r="N2574" i="1"/>
  <c r="S2573" i="1"/>
  <c r="R2573" i="1"/>
  <c r="Q2573" i="1"/>
  <c r="P2573" i="1"/>
  <c r="O2573" i="1"/>
  <c r="N2573" i="1"/>
  <c r="S2572" i="1"/>
  <c r="R2572" i="1"/>
  <c r="Q2572" i="1"/>
  <c r="P2572" i="1"/>
  <c r="O2572" i="1"/>
  <c r="N2572" i="1"/>
  <c r="S2571" i="1"/>
  <c r="R2571" i="1"/>
  <c r="Q2571" i="1"/>
  <c r="P2571" i="1"/>
  <c r="O2571" i="1"/>
  <c r="N2571" i="1"/>
  <c r="S2570" i="1"/>
  <c r="R2570" i="1"/>
  <c r="Q2570" i="1"/>
  <c r="P2570" i="1"/>
  <c r="O2570" i="1"/>
  <c r="N2570" i="1"/>
  <c r="S2569" i="1"/>
  <c r="R2569" i="1"/>
  <c r="Q2569" i="1"/>
  <c r="P2569" i="1"/>
  <c r="O2569" i="1"/>
  <c r="N2569" i="1"/>
  <c r="S2568" i="1"/>
  <c r="R2568" i="1"/>
  <c r="Q2568" i="1"/>
  <c r="P2568" i="1"/>
  <c r="O2568" i="1"/>
  <c r="N2568" i="1"/>
  <c r="S2567" i="1"/>
  <c r="R2567" i="1"/>
  <c r="Q2567" i="1"/>
  <c r="P2567" i="1"/>
  <c r="O2567" i="1"/>
  <c r="N2567" i="1"/>
  <c r="S2566" i="1"/>
  <c r="R2566" i="1"/>
  <c r="Q2566" i="1"/>
  <c r="P2566" i="1"/>
  <c r="O2566" i="1"/>
  <c r="N2566" i="1"/>
  <c r="S2565" i="1"/>
  <c r="R2565" i="1"/>
  <c r="Q2565" i="1"/>
  <c r="P2565" i="1"/>
  <c r="O2565" i="1"/>
  <c r="N2565" i="1"/>
  <c r="S2564" i="1"/>
  <c r="R2564" i="1"/>
  <c r="Q2564" i="1"/>
  <c r="P2564" i="1"/>
  <c r="O2564" i="1"/>
  <c r="N2564" i="1"/>
  <c r="S2563" i="1"/>
  <c r="R2563" i="1"/>
  <c r="Q2563" i="1"/>
  <c r="P2563" i="1"/>
  <c r="O2563" i="1"/>
  <c r="N2563" i="1"/>
  <c r="S2562" i="1"/>
  <c r="R2562" i="1"/>
  <c r="Q2562" i="1"/>
  <c r="P2562" i="1"/>
  <c r="O2562" i="1"/>
  <c r="N2562" i="1"/>
  <c r="S2561" i="1"/>
  <c r="R2561" i="1"/>
  <c r="Q2561" i="1"/>
  <c r="P2561" i="1"/>
  <c r="O2561" i="1"/>
  <c r="N2561" i="1"/>
  <c r="S2560" i="1"/>
  <c r="R2560" i="1"/>
  <c r="Q2560" i="1"/>
  <c r="P2560" i="1"/>
  <c r="O2560" i="1"/>
  <c r="N2560" i="1"/>
  <c r="S2559" i="1"/>
  <c r="R2559" i="1"/>
  <c r="Q2559" i="1"/>
  <c r="P2559" i="1"/>
  <c r="O2559" i="1"/>
  <c r="N2559" i="1"/>
  <c r="S2558" i="1"/>
  <c r="R2558" i="1"/>
  <c r="Q2558" i="1"/>
  <c r="P2558" i="1"/>
  <c r="O2558" i="1"/>
  <c r="N2558" i="1"/>
  <c r="S2557" i="1"/>
  <c r="R2557" i="1"/>
  <c r="Q2557" i="1"/>
  <c r="P2557" i="1"/>
  <c r="O2557" i="1"/>
  <c r="N2557" i="1"/>
  <c r="S2556" i="1"/>
  <c r="R2556" i="1"/>
  <c r="Q2556" i="1"/>
  <c r="P2556" i="1"/>
  <c r="O2556" i="1"/>
  <c r="N2556" i="1"/>
  <c r="S2555" i="1"/>
  <c r="R2555" i="1"/>
  <c r="Q2555" i="1"/>
  <c r="P2555" i="1"/>
  <c r="O2555" i="1"/>
  <c r="N2555" i="1"/>
  <c r="S2554" i="1"/>
  <c r="R2554" i="1"/>
  <c r="Q2554" i="1"/>
  <c r="P2554" i="1"/>
  <c r="O2554" i="1"/>
  <c r="N2554" i="1"/>
  <c r="S2553" i="1"/>
  <c r="R2553" i="1"/>
  <c r="Q2553" i="1"/>
  <c r="P2553" i="1"/>
  <c r="O2553" i="1"/>
  <c r="N2553" i="1"/>
  <c r="S2552" i="1"/>
  <c r="R2552" i="1"/>
  <c r="Q2552" i="1"/>
  <c r="P2552" i="1"/>
  <c r="O2552" i="1"/>
  <c r="N2552" i="1"/>
  <c r="S2551" i="1"/>
  <c r="R2551" i="1"/>
  <c r="Q2551" i="1"/>
  <c r="P2551" i="1"/>
  <c r="O2551" i="1"/>
  <c r="N2551" i="1"/>
  <c r="S2550" i="1"/>
  <c r="R2550" i="1"/>
  <c r="Q2550" i="1"/>
  <c r="P2550" i="1"/>
  <c r="O2550" i="1"/>
  <c r="N2550" i="1"/>
  <c r="S2549" i="1"/>
  <c r="R2549" i="1"/>
  <c r="Q2549" i="1"/>
  <c r="P2549" i="1"/>
  <c r="O2549" i="1"/>
  <c r="N2549" i="1"/>
  <c r="S2548" i="1"/>
  <c r="R2548" i="1"/>
  <c r="Q2548" i="1"/>
  <c r="P2548" i="1"/>
  <c r="O2548" i="1"/>
  <c r="N2548" i="1"/>
  <c r="S2547" i="1"/>
  <c r="R2547" i="1"/>
  <c r="Q2547" i="1"/>
  <c r="P2547" i="1"/>
  <c r="O2547" i="1"/>
  <c r="N2547" i="1"/>
  <c r="S2546" i="1"/>
  <c r="R2546" i="1"/>
  <c r="Q2546" i="1"/>
  <c r="P2546" i="1"/>
  <c r="O2546" i="1"/>
  <c r="N2546" i="1"/>
  <c r="S2545" i="1"/>
  <c r="R2545" i="1"/>
  <c r="Q2545" i="1"/>
  <c r="P2545" i="1"/>
  <c r="O2545" i="1"/>
  <c r="N2545" i="1"/>
  <c r="S2544" i="1"/>
  <c r="R2544" i="1"/>
  <c r="Q2544" i="1"/>
  <c r="P2544" i="1"/>
  <c r="O2544" i="1"/>
  <c r="N2544" i="1"/>
  <c r="S2543" i="1"/>
  <c r="R2543" i="1"/>
  <c r="Q2543" i="1"/>
  <c r="P2543" i="1"/>
  <c r="O2543" i="1"/>
  <c r="N2543" i="1"/>
  <c r="S2542" i="1"/>
  <c r="R2542" i="1"/>
  <c r="Q2542" i="1"/>
  <c r="P2542" i="1"/>
  <c r="O2542" i="1"/>
  <c r="N2542" i="1"/>
  <c r="S2541" i="1"/>
  <c r="R2541" i="1"/>
  <c r="Q2541" i="1"/>
  <c r="P2541" i="1"/>
  <c r="O2541" i="1"/>
  <c r="N2541" i="1"/>
  <c r="S2540" i="1"/>
  <c r="R2540" i="1"/>
  <c r="Q2540" i="1"/>
  <c r="P2540" i="1"/>
  <c r="O2540" i="1"/>
  <c r="N2540" i="1"/>
  <c r="S2539" i="1"/>
  <c r="R2539" i="1"/>
  <c r="Q2539" i="1"/>
  <c r="P2539" i="1"/>
  <c r="O2539" i="1"/>
  <c r="N2539" i="1"/>
  <c r="S2538" i="1"/>
  <c r="R2538" i="1"/>
  <c r="Q2538" i="1"/>
  <c r="P2538" i="1"/>
  <c r="O2538" i="1"/>
  <c r="N2538" i="1"/>
  <c r="S2537" i="1"/>
  <c r="R2537" i="1"/>
  <c r="Q2537" i="1"/>
  <c r="P2537" i="1"/>
  <c r="O2537" i="1"/>
  <c r="N2537" i="1"/>
  <c r="S2536" i="1"/>
  <c r="R2536" i="1"/>
  <c r="Q2536" i="1"/>
  <c r="P2536" i="1"/>
  <c r="O2536" i="1"/>
  <c r="N2536" i="1"/>
  <c r="S2535" i="1"/>
  <c r="R2535" i="1"/>
  <c r="Q2535" i="1"/>
  <c r="P2535" i="1"/>
  <c r="O2535" i="1"/>
  <c r="N2535" i="1"/>
  <c r="S2534" i="1"/>
  <c r="R2534" i="1"/>
  <c r="Q2534" i="1"/>
  <c r="P2534" i="1"/>
  <c r="O2534" i="1"/>
  <c r="N2534" i="1"/>
  <c r="S2533" i="1"/>
  <c r="R2533" i="1"/>
  <c r="Q2533" i="1"/>
  <c r="P2533" i="1"/>
  <c r="O2533" i="1"/>
  <c r="N2533" i="1"/>
  <c r="S2532" i="1"/>
  <c r="R2532" i="1"/>
  <c r="Q2532" i="1"/>
  <c r="P2532" i="1"/>
  <c r="O2532" i="1"/>
  <c r="N2532" i="1"/>
  <c r="S2531" i="1"/>
  <c r="R2531" i="1"/>
  <c r="Q2531" i="1"/>
  <c r="P2531" i="1"/>
  <c r="O2531" i="1"/>
  <c r="N2531" i="1"/>
  <c r="S2530" i="1"/>
  <c r="R2530" i="1"/>
  <c r="Q2530" i="1"/>
  <c r="P2530" i="1"/>
  <c r="O2530" i="1"/>
  <c r="N2530" i="1"/>
  <c r="S2529" i="1"/>
  <c r="R2529" i="1"/>
  <c r="Q2529" i="1"/>
  <c r="P2529" i="1"/>
  <c r="O2529" i="1"/>
  <c r="N2529" i="1"/>
  <c r="S2528" i="1"/>
  <c r="R2528" i="1"/>
  <c r="Q2528" i="1"/>
  <c r="P2528" i="1"/>
  <c r="O2528" i="1"/>
  <c r="N2528" i="1"/>
  <c r="S2527" i="1"/>
  <c r="R2527" i="1"/>
  <c r="Q2527" i="1"/>
  <c r="P2527" i="1"/>
  <c r="O2527" i="1"/>
  <c r="N2527" i="1"/>
  <c r="S2526" i="1"/>
  <c r="R2526" i="1"/>
  <c r="Q2526" i="1"/>
  <c r="P2526" i="1"/>
  <c r="O2526" i="1"/>
  <c r="N2526" i="1"/>
  <c r="S2525" i="1"/>
  <c r="R2525" i="1"/>
  <c r="Q2525" i="1"/>
  <c r="P2525" i="1"/>
  <c r="O2525" i="1"/>
  <c r="N2525" i="1"/>
  <c r="S2524" i="1"/>
  <c r="R2524" i="1"/>
  <c r="Q2524" i="1"/>
  <c r="P2524" i="1"/>
  <c r="O2524" i="1"/>
  <c r="N2524" i="1"/>
  <c r="S2523" i="1"/>
  <c r="R2523" i="1"/>
  <c r="Q2523" i="1"/>
  <c r="P2523" i="1"/>
  <c r="O2523" i="1"/>
  <c r="N2523" i="1"/>
  <c r="S2522" i="1"/>
  <c r="R2522" i="1"/>
  <c r="Q2522" i="1"/>
  <c r="P2522" i="1"/>
  <c r="O2522" i="1"/>
  <c r="N2522" i="1"/>
  <c r="S2521" i="1"/>
  <c r="R2521" i="1"/>
  <c r="Q2521" i="1"/>
  <c r="P2521" i="1"/>
  <c r="O2521" i="1"/>
  <c r="N2521" i="1"/>
  <c r="S2520" i="1"/>
  <c r="R2520" i="1"/>
  <c r="Q2520" i="1"/>
  <c r="P2520" i="1"/>
  <c r="O2520" i="1"/>
  <c r="N2520" i="1"/>
  <c r="S2519" i="1"/>
  <c r="R2519" i="1"/>
  <c r="Q2519" i="1"/>
  <c r="P2519" i="1"/>
  <c r="O2519" i="1"/>
  <c r="N2519" i="1"/>
  <c r="S2518" i="1"/>
  <c r="R2518" i="1"/>
  <c r="Q2518" i="1"/>
  <c r="P2518" i="1"/>
  <c r="O2518" i="1"/>
  <c r="N2518" i="1"/>
  <c r="S2517" i="1"/>
  <c r="R2517" i="1"/>
  <c r="Q2517" i="1"/>
  <c r="P2517" i="1"/>
  <c r="O2517" i="1"/>
  <c r="N2517" i="1"/>
  <c r="S2516" i="1"/>
  <c r="R2516" i="1"/>
  <c r="Q2516" i="1"/>
  <c r="P2516" i="1"/>
  <c r="O2516" i="1"/>
  <c r="N2516" i="1"/>
  <c r="S2515" i="1"/>
  <c r="R2515" i="1"/>
  <c r="Q2515" i="1"/>
  <c r="P2515" i="1"/>
  <c r="O2515" i="1"/>
  <c r="N2515" i="1"/>
  <c r="S2514" i="1"/>
  <c r="R2514" i="1"/>
  <c r="Q2514" i="1"/>
  <c r="P2514" i="1"/>
  <c r="O2514" i="1"/>
  <c r="N2514" i="1"/>
  <c r="S2513" i="1"/>
  <c r="R2513" i="1"/>
  <c r="Q2513" i="1"/>
  <c r="P2513" i="1"/>
  <c r="O2513" i="1"/>
  <c r="N2513" i="1"/>
  <c r="S2512" i="1"/>
  <c r="R2512" i="1"/>
  <c r="Q2512" i="1"/>
  <c r="P2512" i="1"/>
  <c r="O2512" i="1"/>
  <c r="N2512" i="1"/>
  <c r="S2511" i="1"/>
  <c r="R2511" i="1"/>
  <c r="Q2511" i="1"/>
  <c r="P2511" i="1"/>
  <c r="O2511" i="1"/>
  <c r="N2511" i="1"/>
  <c r="S2510" i="1"/>
  <c r="R2510" i="1"/>
  <c r="Q2510" i="1"/>
  <c r="P2510" i="1"/>
  <c r="O2510" i="1"/>
  <c r="N2510" i="1"/>
  <c r="S2509" i="1"/>
  <c r="R2509" i="1"/>
  <c r="Q2509" i="1"/>
  <c r="P2509" i="1"/>
  <c r="O2509" i="1"/>
  <c r="N2509" i="1"/>
  <c r="S2508" i="1"/>
  <c r="R2508" i="1"/>
  <c r="Q2508" i="1"/>
  <c r="P2508" i="1"/>
  <c r="O2508" i="1"/>
  <c r="N2508" i="1"/>
  <c r="S2507" i="1"/>
  <c r="R2507" i="1"/>
  <c r="Q2507" i="1"/>
  <c r="P2507" i="1"/>
  <c r="O2507" i="1"/>
  <c r="N2507" i="1"/>
  <c r="S2506" i="1"/>
  <c r="R2506" i="1"/>
  <c r="Q2506" i="1"/>
  <c r="P2506" i="1"/>
  <c r="O2506" i="1"/>
  <c r="N2506" i="1"/>
  <c r="S2505" i="1"/>
  <c r="R2505" i="1"/>
  <c r="Q2505" i="1"/>
  <c r="P2505" i="1"/>
  <c r="O2505" i="1"/>
  <c r="N2505" i="1"/>
  <c r="S2504" i="1"/>
  <c r="R2504" i="1"/>
  <c r="Q2504" i="1"/>
  <c r="P2504" i="1"/>
  <c r="O2504" i="1"/>
  <c r="N2504" i="1"/>
  <c r="S2503" i="1"/>
  <c r="R2503" i="1"/>
  <c r="Q2503" i="1"/>
  <c r="P2503" i="1"/>
  <c r="O2503" i="1"/>
  <c r="N2503" i="1"/>
  <c r="S2502" i="1"/>
  <c r="R2502" i="1"/>
  <c r="Q2502" i="1"/>
  <c r="P2502" i="1"/>
  <c r="O2502" i="1"/>
  <c r="N2502" i="1"/>
  <c r="S2501" i="1"/>
  <c r="R2501" i="1"/>
  <c r="Q2501" i="1"/>
  <c r="P2501" i="1"/>
  <c r="O2501" i="1"/>
  <c r="N2501" i="1"/>
  <c r="S2500" i="1"/>
  <c r="R2500" i="1"/>
  <c r="Q2500" i="1"/>
  <c r="P2500" i="1"/>
  <c r="O2500" i="1"/>
  <c r="N2500" i="1"/>
  <c r="S2499" i="1"/>
  <c r="R2499" i="1"/>
  <c r="Q2499" i="1"/>
  <c r="P2499" i="1"/>
  <c r="O2499" i="1"/>
  <c r="N2499" i="1"/>
  <c r="S2498" i="1"/>
  <c r="R2498" i="1"/>
  <c r="Q2498" i="1"/>
  <c r="P2498" i="1"/>
  <c r="O2498" i="1"/>
  <c r="N2498" i="1"/>
  <c r="S2497" i="1"/>
  <c r="R2497" i="1"/>
  <c r="Q2497" i="1"/>
  <c r="P2497" i="1"/>
  <c r="O2497" i="1"/>
  <c r="N2497" i="1"/>
  <c r="S2496" i="1"/>
  <c r="R2496" i="1"/>
  <c r="Q2496" i="1"/>
  <c r="P2496" i="1"/>
  <c r="O2496" i="1"/>
  <c r="N2496" i="1"/>
  <c r="S2495" i="1"/>
  <c r="R2495" i="1"/>
  <c r="Q2495" i="1"/>
  <c r="P2495" i="1"/>
  <c r="O2495" i="1"/>
  <c r="N2495" i="1"/>
  <c r="S2494" i="1"/>
  <c r="R2494" i="1"/>
  <c r="Q2494" i="1"/>
  <c r="P2494" i="1"/>
  <c r="O2494" i="1"/>
  <c r="N2494" i="1"/>
  <c r="S2493" i="1"/>
  <c r="R2493" i="1"/>
  <c r="Q2493" i="1"/>
  <c r="P2493" i="1"/>
  <c r="O2493" i="1"/>
  <c r="N2493" i="1"/>
  <c r="S2492" i="1"/>
  <c r="R2492" i="1"/>
  <c r="Q2492" i="1"/>
  <c r="P2492" i="1"/>
  <c r="O2492" i="1"/>
  <c r="N2492" i="1"/>
  <c r="S2491" i="1"/>
  <c r="R2491" i="1"/>
  <c r="Q2491" i="1"/>
  <c r="P2491" i="1"/>
  <c r="O2491" i="1"/>
  <c r="N2491" i="1"/>
  <c r="S2490" i="1"/>
  <c r="R2490" i="1"/>
  <c r="Q2490" i="1"/>
  <c r="P2490" i="1"/>
  <c r="O2490" i="1"/>
  <c r="N2490" i="1"/>
  <c r="S2489" i="1"/>
  <c r="R2489" i="1"/>
  <c r="Q2489" i="1"/>
  <c r="P2489" i="1"/>
  <c r="O2489" i="1"/>
  <c r="N2489" i="1"/>
  <c r="S2488" i="1"/>
  <c r="R2488" i="1"/>
  <c r="Q2488" i="1"/>
  <c r="P2488" i="1"/>
  <c r="O2488" i="1"/>
  <c r="N2488" i="1"/>
  <c r="S2487" i="1"/>
  <c r="R2487" i="1"/>
  <c r="Q2487" i="1"/>
  <c r="P2487" i="1"/>
  <c r="O2487" i="1"/>
  <c r="N2487" i="1"/>
  <c r="S2486" i="1"/>
  <c r="R2486" i="1"/>
  <c r="Q2486" i="1"/>
  <c r="P2486" i="1"/>
  <c r="O2486" i="1"/>
  <c r="N2486" i="1"/>
  <c r="S2485" i="1"/>
  <c r="R2485" i="1"/>
  <c r="Q2485" i="1"/>
  <c r="P2485" i="1"/>
  <c r="O2485" i="1"/>
  <c r="N2485" i="1"/>
  <c r="S2484" i="1"/>
  <c r="R2484" i="1"/>
  <c r="Q2484" i="1"/>
  <c r="P2484" i="1"/>
  <c r="O2484" i="1"/>
  <c r="N2484" i="1"/>
  <c r="S2483" i="1"/>
  <c r="R2483" i="1"/>
  <c r="Q2483" i="1"/>
  <c r="P2483" i="1"/>
  <c r="O2483" i="1"/>
  <c r="N2483" i="1"/>
  <c r="S2482" i="1"/>
  <c r="R2482" i="1"/>
  <c r="Q2482" i="1"/>
  <c r="P2482" i="1"/>
  <c r="O2482" i="1"/>
  <c r="N2482" i="1"/>
  <c r="S2481" i="1"/>
  <c r="R2481" i="1"/>
  <c r="Q2481" i="1"/>
  <c r="P2481" i="1"/>
  <c r="O2481" i="1"/>
  <c r="N2481" i="1"/>
  <c r="S2480" i="1"/>
  <c r="R2480" i="1"/>
  <c r="Q2480" i="1"/>
  <c r="P2480" i="1"/>
  <c r="O2480" i="1"/>
  <c r="N2480" i="1"/>
  <c r="S2479" i="1"/>
  <c r="R2479" i="1"/>
  <c r="Q2479" i="1"/>
  <c r="P2479" i="1"/>
  <c r="O2479" i="1"/>
  <c r="N2479" i="1"/>
  <c r="S2478" i="1"/>
  <c r="R2478" i="1"/>
  <c r="Q2478" i="1"/>
  <c r="P2478" i="1"/>
  <c r="O2478" i="1"/>
  <c r="N2478" i="1"/>
  <c r="S2477" i="1"/>
  <c r="R2477" i="1"/>
  <c r="Q2477" i="1"/>
  <c r="P2477" i="1"/>
  <c r="O2477" i="1"/>
  <c r="N2477" i="1"/>
  <c r="S2476" i="1"/>
  <c r="R2476" i="1"/>
  <c r="Q2476" i="1"/>
  <c r="P2476" i="1"/>
  <c r="O2476" i="1"/>
  <c r="N2476" i="1"/>
  <c r="S2475" i="1"/>
  <c r="R2475" i="1"/>
  <c r="Q2475" i="1"/>
  <c r="P2475" i="1"/>
  <c r="O2475" i="1"/>
  <c r="N2475" i="1"/>
  <c r="S2474" i="1"/>
  <c r="R2474" i="1"/>
  <c r="Q2474" i="1"/>
  <c r="P2474" i="1"/>
  <c r="O2474" i="1"/>
  <c r="N2474" i="1"/>
  <c r="S2473" i="1"/>
  <c r="R2473" i="1"/>
  <c r="Q2473" i="1"/>
  <c r="P2473" i="1"/>
  <c r="O2473" i="1"/>
  <c r="N2473" i="1"/>
  <c r="S2472" i="1"/>
  <c r="R2472" i="1"/>
  <c r="Q2472" i="1"/>
  <c r="P2472" i="1"/>
  <c r="O2472" i="1"/>
  <c r="N2472" i="1"/>
  <c r="S2471" i="1"/>
  <c r="R2471" i="1"/>
  <c r="Q2471" i="1"/>
  <c r="P2471" i="1"/>
  <c r="O2471" i="1"/>
  <c r="N2471" i="1"/>
  <c r="S2470" i="1"/>
  <c r="R2470" i="1"/>
  <c r="Q2470" i="1"/>
  <c r="P2470" i="1"/>
  <c r="O2470" i="1"/>
  <c r="N2470" i="1"/>
  <c r="S2469" i="1"/>
  <c r="R2469" i="1"/>
  <c r="Q2469" i="1"/>
  <c r="P2469" i="1"/>
  <c r="O2469" i="1"/>
  <c r="N2469" i="1"/>
  <c r="S2468" i="1"/>
  <c r="R2468" i="1"/>
  <c r="Q2468" i="1"/>
  <c r="P2468" i="1"/>
  <c r="O2468" i="1"/>
  <c r="N2468" i="1"/>
  <c r="S2467" i="1"/>
  <c r="R2467" i="1"/>
  <c r="Q2467" i="1"/>
  <c r="P2467" i="1"/>
  <c r="O2467" i="1"/>
  <c r="N2467" i="1"/>
  <c r="S2466" i="1"/>
  <c r="R2466" i="1"/>
  <c r="Q2466" i="1"/>
  <c r="P2466" i="1"/>
  <c r="O2466" i="1"/>
  <c r="N2466" i="1"/>
  <c r="S2465" i="1"/>
  <c r="R2465" i="1"/>
  <c r="Q2465" i="1"/>
  <c r="P2465" i="1"/>
  <c r="O2465" i="1"/>
  <c r="N2465" i="1"/>
  <c r="S2464" i="1"/>
  <c r="R2464" i="1"/>
  <c r="Q2464" i="1"/>
  <c r="P2464" i="1"/>
  <c r="O2464" i="1"/>
  <c r="N2464" i="1"/>
  <c r="S2463" i="1"/>
  <c r="R2463" i="1"/>
  <c r="Q2463" i="1"/>
  <c r="P2463" i="1"/>
  <c r="O2463" i="1"/>
  <c r="N2463" i="1"/>
  <c r="S2462" i="1"/>
  <c r="R2462" i="1"/>
  <c r="Q2462" i="1"/>
  <c r="P2462" i="1"/>
  <c r="O2462" i="1"/>
  <c r="N2462" i="1"/>
  <c r="S2461" i="1"/>
  <c r="R2461" i="1"/>
  <c r="Q2461" i="1"/>
  <c r="P2461" i="1"/>
  <c r="O2461" i="1"/>
  <c r="N2461" i="1"/>
  <c r="S2460" i="1"/>
  <c r="R2460" i="1"/>
  <c r="Q2460" i="1"/>
  <c r="P2460" i="1"/>
  <c r="O2460" i="1"/>
  <c r="N2460" i="1"/>
  <c r="S2459" i="1"/>
  <c r="R2459" i="1"/>
  <c r="Q2459" i="1"/>
  <c r="P2459" i="1"/>
  <c r="O2459" i="1"/>
  <c r="N2459" i="1"/>
  <c r="S2458" i="1"/>
  <c r="R2458" i="1"/>
  <c r="Q2458" i="1"/>
  <c r="P2458" i="1"/>
  <c r="O2458" i="1"/>
  <c r="N2458" i="1"/>
  <c r="S2457" i="1"/>
  <c r="R2457" i="1"/>
  <c r="Q2457" i="1"/>
  <c r="P2457" i="1"/>
  <c r="O2457" i="1"/>
  <c r="N2457" i="1"/>
  <c r="S2456" i="1"/>
  <c r="R2456" i="1"/>
  <c r="Q2456" i="1"/>
  <c r="P2456" i="1"/>
  <c r="O2456" i="1"/>
  <c r="N2456" i="1"/>
  <c r="S2455" i="1"/>
  <c r="R2455" i="1"/>
  <c r="Q2455" i="1"/>
  <c r="P2455" i="1"/>
  <c r="O2455" i="1"/>
  <c r="N2455" i="1"/>
  <c r="S2454" i="1"/>
  <c r="R2454" i="1"/>
  <c r="Q2454" i="1"/>
  <c r="P2454" i="1"/>
  <c r="O2454" i="1"/>
  <c r="N2454" i="1"/>
  <c r="S2453" i="1"/>
  <c r="R2453" i="1"/>
  <c r="Q2453" i="1"/>
  <c r="P2453" i="1"/>
  <c r="O2453" i="1"/>
  <c r="N2453" i="1"/>
  <c r="S2452" i="1"/>
  <c r="R2452" i="1"/>
  <c r="Q2452" i="1"/>
  <c r="P2452" i="1"/>
  <c r="O2452" i="1"/>
  <c r="N2452" i="1"/>
  <c r="S2451" i="1"/>
  <c r="R2451" i="1"/>
  <c r="Q2451" i="1"/>
  <c r="P2451" i="1"/>
  <c r="O2451" i="1"/>
  <c r="N2451" i="1"/>
  <c r="S2450" i="1"/>
  <c r="R2450" i="1"/>
  <c r="Q2450" i="1"/>
  <c r="P2450" i="1"/>
  <c r="O2450" i="1"/>
  <c r="N2450" i="1"/>
  <c r="S2449" i="1"/>
  <c r="R2449" i="1"/>
  <c r="Q2449" i="1"/>
  <c r="P2449" i="1"/>
  <c r="O2449" i="1"/>
  <c r="N2449" i="1"/>
  <c r="S2448" i="1"/>
  <c r="R2448" i="1"/>
  <c r="Q2448" i="1"/>
  <c r="P2448" i="1"/>
  <c r="O2448" i="1"/>
  <c r="N2448" i="1"/>
  <c r="S2447" i="1"/>
  <c r="R2447" i="1"/>
  <c r="Q2447" i="1"/>
  <c r="P2447" i="1"/>
  <c r="O2447" i="1"/>
  <c r="N2447" i="1"/>
  <c r="S2446" i="1"/>
  <c r="R2446" i="1"/>
  <c r="Q2446" i="1"/>
  <c r="P2446" i="1"/>
  <c r="O2446" i="1"/>
  <c r="N2446" i="1"/>
  <c r="S2445" i="1"/>
  <c r="R2445" i="1"/>
  <c r="Q2445" i="1"/>
  <c r="P2445" i="1"/>
  <c r="O2445" i="1"/>
  <c r="N2445" i="1"/>
  <c r="S2444" i="1"/>
  <c r="R2444" i="1"/>
  <c r="Q2444" i="1"/>
  <c r="P2444" i="1"/>
  <c r="O2444" i="1"/>
  <c r="N2444" i="1"/>
  <c r="S2443" i="1"/>
  <c r="R2443" i="1"/>
  <c r="Q2443" i="1"/>
  <c r="P2443" i="1"/>
  <c r="O2443" i="1"/>
  <c r="N2443" i="1"/>
  <c r="S2442" i="1"/>
  <c r="R2442" i="1"/>
  <c r="Q2442" i="1"/>
  <c r="P2442" i="1"/>
  <c r="O2442" i="1"/>
  <c r="N2442" i="1"/>
  <c r="S2441" i="1"/>
  <c r="R2441" i="1"/>
  <c r="Q2441" i="1"/>
  <c r="P2441" i="1"/>
  <c r="O2441" i="1"/>
  <c r="N2441" i="1"/>
  <c r="S2440" i="1"/>
  <c r="R2440" i="1"/>
  <c r="Q2440" i="1"/>
  <c r="P2440" i="1"/>
  <c r="O2440" i="1"/>
  <c r="N2440" i="1"/>
  <c r="S2439" i="1"/>
  <c r="R2439" i="1"/>
  <c r="Q2439" i="1"/>
  <c r="P2439" i="1"/>
  <c r="O2439" i="1"/>
  <c r="N2439" i="1"/>
  <c r="S2438" i="1"/>
  <c r="R2438" i="1"/>
  <c r="Q2438" i="1"/>
  <c r="P2438" i="1"/>
  <c r="O2438" i="1"/>
  <c r="N2438" i="1"/>
  <c r="S2437" i="1"/>
  <c r="R2437" i="1"/>
  <c r="Q2437" i="1"/>
  <c r="P2437" i="1"/>
  <c r="O2437" i="1"/>
  <c r="N2437" i="1"/>
  <c r="S2436" i="1"/>
  <c r="R2436" i="1"/>
  <c r="Q2436" i="1"/>
  <c r="P2436" i="1"/>
  <c r="O2436" i="1"/>
  <c r="N2436" i="1"/>
  <c r="S2435" i="1"/>
  <c r="R2435" i="1"/>
  <c r="Q2435" i="1"/>
  <c r="P2435" i="1"/>
  <c r="O2435" i="1"/>
  <c r="N2435" i="1"/>
  <c r="S2434" i="1"/>
  <c r="R2434" i="1"/>
  <c r="Q2434" i="1"/>
  <c r="P2434" i="1"/>
  <c r="O2434" i="1"/>
  <c r="N2434" i="1"/>
  <c r="S2433" i="1"/>
  <c r="R2433" i="1"/>
  <c r="Q2433" i="1"/>
  <c r="P2433" i="1"/>
  <c r="O2433" i="1"/>
  <c r="N2433" i="1"/>
  <c r="S2432" i="1"/>
  <c r="R2432" i="1"/>
  <c r="Q2432" i="1"/>
  <c r="P2432" i="1"/>
  <c r="O2432" i="1"/>
  <c r="N2432" i="1"/>
  <c r="S2431" i="1"/>
  <c r="R2431" i="1"/>
  <c r="Q2431" i="1"/>
  <c r="P2431" i="1"/>
  <c r="O2431" i="1"/>
  <c r="N2431" i="1"/>
  <c r="S2430" i="1"/>
  <c r="R2430" i="1"/>
  <c r="Q2430" i="1"/>
  <c r="P2430" i="1"/>
  <c r="O2430" i="1"/>
  <c r="N2430" i="1"/>
  <c r="S2429" i="1"/>
  <c r="R2429" i="1"/>
  <c r="Q2429" i="1"/>
  <c r="P2429" i="1"/>
  <c r="O2429" i="1"/>
  <c r="N2429" i="1"/>
  <c r="S2428" i="1"/>
  <c r="R2428" i="1"/>
  <c r="Q2428" i="1"/>
  <c r="P2428" i="1"/>
  <c r="O2428" i="1"/>
  <c r="N2428" i="1"/>
  <c r="S2427" i="1"/>
  <c r="R2427" i="1"/>
  <c r="Q2427" i="1"/>
  <c r="P2427" i="1"/>
  <c r="O2427" i="1"/>
  <c r="N2427" i="1"/>
  <c r="S2426" i="1"/>
  <c r="R2426" i="1"/>
  <c r="Q2426" i="1"/>
  <c r="P2426" i="1"/>
  <c r="O2426" i="1"/>
  <c r="N2426" i="1"/>
  <c r="S2425" i="1"/>
  <c r="R2425" i="1"/>
  <c r="Q2425" i="1"/>
  <c r="P2425" i="1"/>
  <c r="O2425" i="1"/>
  <c r="N2425" i="1"/>
  <c r="S2424" i="1"/>
  <c r="R2424" i="1"/>
  <c r="Q2424" i="1"/>
  <c r="P2424" i="1"/>
  <c r="O2424" i="1"/>
  <c r="N2424" i="1"/>
  <c r="S2423" i="1"/>
  <c r="R2423" i="1"/>
  <c r="Q2423" i="1"/>
  <c r="P2423" i="1"/>
  <c r="O2423" i="1"/>
  <c r="N2423" i="1"/>
  <c r="S2422" i="1"/>
  <c r="R2422" i="1"/>
  <c r="Q2422" i="1"/>
  <c r="P2422" i="1"/>
  <c r="O2422" i="1"/>
  <c r="N2422" i="1"/>
  <c r="S2421" i="1"/>
  <c r="R2421" i="1"/>
  <c r="Q2421" i="1"/>
  <c r="P2421" i="1"/>
  <c r="O2421" i="1"/>
  <c r="N2421" i="1"/>
  <c r="S2420" i="1"/>
  <c r="R2420" i="1"/>
  <c r="Q2420" i="1"/>
  <c r="P2420" i="1"/>
  <c r="O2420" i="1"/>
  <c r="N2420" i="1"/>
  <c r="S2419" i="1"/>
  <c r="R2419" i="1"/>
  <c r="Q2419" i="1"/>
  <c r="P2419" i="1"/>
  <c r="O2419" i="1"/>
  <c r="N2419" i="1"/>
  <c r="S2418" i="1"/>
  <c r="R2418" i="1"/>
  <c r="Q2418" i="1"/>
  <c r="P2418" i="1"/>
  <c r="O2418" i="1"/>
  <c r="N2418" i="1"/>
  <c r="S2417" i="1"/>
  <c r="R2417" i="1"/>
  <c r="Q2417" i="1"/>
  <c r="P2417" i="1"/>
  <c r="O2417" i="1"/>
  <c r="N2417" i="1"/>
  <c r="S2416" i="1"/>
  <c r="R2416" i="1"/>
  <c r="Q2416" i="1"/>
  <c r="P2416" i="1"/>
  <c r="O2416" i="1"/>
  <c r="N2416" i="1"/>
  <c r="S2415" i="1"/>
  <c r="R2415" i="1"/>
  <c r="Q2415" i="1"/>
  <c r="P2415" i="1"/>
  <c r="O2415" i="1"/>
  <c r="N2415" i="1"/>
  <c r="S2414" i="1"/>
  <c r="R2414" i="1"/>
  <c r="Q2414" i="1"/>
  <c r="P2414" i="1"/>
  <c r="O2414" i="1"/>
  <c r="N2414" i="1"/>
  <c r="S2413" i="1"/>
  <c r="R2413" i="1"/>
  <c r="Q2413" i="1"/>
  <c r="P2413" i="1"/>
  <c r="O2413" i="1"/>
  <c r="N2413" i="1"/>
  <c r="S2412" i="1"/>
  <c r="R2412" i="1"/>
  <c r="Q2412" i="1"/>
  <c r="P2412" i="1"/>
  <c r="O2412" i="1"/>
  <c r="N2412" i="1"/>
  <c r="S2411" i="1"/>
  <c r="R2411" i="1"/>
  <c r="Q2411" i="1"/>
  <c r="P2411" i="1"/>
  <c r="O2411" i="1"/>
  <c r="N2411" i="1"/>
  <c r="S2410" i="1"/>
  <c r="R2410" i="1"/>
  <c r="Q2410" i="1"/>
  <c r="P2410" i="1"/>
  <c r="O2410" i="1"/>
  <c r="N2410" i="1"/>
  <c r="S2409" i="1"/>
  <c r="R2409" i="1"/>
  <c r="Q2409" i="1"/>
  <c r="P2409" i="1"/>
  <c r="O2409" i="1"/>
  <c r="N2409" i="1"/>
  <c r="S2408" i="1"/>
  <c r="R2408" i="1"/>
  <c r="Q2408" i="1"/>
  <c r="P2408" i="1"/>
  <c r="O2408" i="1"/>
  <c r="N2408" i="1"/>
  <c r="S2407" i="1"/>
  <c r="R2407" i="1"/>
  <c r="Q2407" i="1"/>
  <c r="P2407" i="1"/>
  <c r="O2407" i="1"/>
  <c r="N2407" i="1"/>
  <c r="S2406" i="1"/>
  <c r="R2406" i="1"/>
  <c r="Q2406" i="1"/>
  <c r="P2406" i="1"/>
  <c r="O2406" i="1"/>
  <c r="N2406" i="1"/>
  <c r="S2405" i="1"/>
  <c r="R2405" i="1"/>
  <c r="Q2405" i="1"/>
  <c r="P2405" i="1"/>
  <c r="O2405" i="1"/>
  <c r="N2405" i="1"/>
  <c r="S2404" i="1"/>
  <c r="R2404" i="1"/>
  <c r="Q2404" i="1"/>
  <c r="P2404" i="1"/>
  <c r="O2404" i="1"/>
  <c r="N2404" i="1"/>
  <c r="S2403" i="1"/>
  <c r="R2403" i="1"/>
  <c r="Q2403" i="1"/>
  <c r="P2403" i="1"/>
  <c r="O2403" i="1"/>
  <c r="N2403" i="1"/>
  <c r="S2402" i="1"/>
  <c r="R2402" i="1"/>
  <c r="Q2402" i="1"/>
  <c r="P2402" i="1"/>
  <c r="O2402" i="1"/>
  <c r="N2402" i="1"/>
  <c r="S2401" i="1"/>
  <c r="R2401" i="1"/>
  <c r="Q2401" i="1"/>
  <c r="P2401" i="1"/>
  <c r="O2401" i="1"/>
  <c r="N2401" i="1"/>
  <c r="S2400" i="1"/>
  <c r="R2400" i="1"/>
  <c r="Q2400" i="1"/>
  <c r="P2400" i="1"/>
  <c r="O2400" i="1"/>
  <c r="N2400" i="1"/>
  <c r="S2399" i="1"/>
  <c r="R2399" i="1"/>
  <c r="Q2399" i="1"/>
  <c r="P2399" i="1"/>
  <c r="O2399" i="1"/>
  <c r="N2399" i="1"/>
  <c r="S2398" i="1"/>
  <c r="R2398" i="1"/>
  <c r="Q2398" i="1"/>
  <c r="P2398" i="1"/>
  <c r="O2398" i="1"/>
  <c r="N2398" i="1"/>
  <c r="S2397" i="1"/>
  <c r="R2397" i="1"/>
  <c r="Q2397" i="1"/>
  <c r="P2397" i="1"/>
  <c r="O2397" i="1"/>
  <c r="N2397" i="1"/>
  <c r="S2396" i="1"/>
  <c r="R2396" i="1"/>
  <c r="Q2396" i="1"/>
  <c r="P2396" i="1"/>
  <c r="O2396" i="1"/>
  <c r="N2396" i="1"/>
  <c r="S2395" i="1"/>
  <c r="R2395" i="1"/>
  <c r="Q2395" i="1"/>
  <c r="P2395" i="1"/>
  <c r="O2395" i="1"/>
  <c r="N2395" i="1"/>
  <c r="S2394" i="1"/>
  <c r="R2394" i="1"/>
  <c r="Q2394" i="1"/>
  <c r="P2394" i="1"/>
  <c r="O2394" i="1"/>
  <c r="N2394" i="1"/>
  <c r="S2393" i="1"/>
  <c r="R2393" i="1"/>
  <c r="Q2393" i="1"/>
  <c r="P2393" i="1"/>
  <c r="O2393" i="1"/>
  <c r="N2393" i="1"/>
  <c r="S2392" i="1"/>
  <c r="R2392" i="1"/>
  <c r="Q2392" i="1"/>
  <c r="P2392" i="1"/>
  <c r="O2392" i="1"/>
  <c r="N2392" i="1"/>
  <c r="S2391" i="1"/>
  <c r="R2391" i="1"/>
  <c r="Q2391" i="1"/>
  <c r="P2391" i="1"/>
  <c r="O2391" i="1"/>
  <c r="N2391" i="1"/>
  <c r="S2390" i="1"/>
  <c r="R2390" i="1"/>
  <c r="Q2390" i="1"/>
  <c r="P2390" i="1"/>
  <c r="O2390" i="1"/>
  <c r="N2390" i="1"/>
  <c r="S2389" i="1"/>
  <c r="R2389" i="1"/>
  <c r="Q2389" i="1"/>
  <c r="P2389" i="1"/>
  <c r="O2389" i="1"/>
  <c r="N2389" i="1"/>
  <c r="S2388" i="1"/>
  <c r="R2388" i="1"/>
  <c r="Q2388" i="1"/>
  <c r="P2388" i="1"/>
  <c r="O2388" i="1"/>
  <c r="N2388" i="1"/>
  <c r="S2387" i="1"/>
  <c r="R2387" i="1"/>
  <c r="Q2387" i="1"/>
  <c r="P2387" i="1"/>
  <c r="O2387" i="1"/>
  <c r="N2387" i="1"/>
  <c r="S2386" i="1"/>
  <c r="R2386" i="1"/>
  <c r="Q2386" i="1"/>
  <c r="P2386" i="1"/>
  <c r="O2386" i="1"/>
  <c r="N2386" i="1"/>
  <c r="S2385" i="1"/>
  <c r="R2385" i="1"/>
  <c r="Q2385" i="1"/>
  <c r="P2385" i="1"/>
  <c r="O2385" i="1"/>
  <c r="N2385" i="1"/>
  <c r="S2384" i="1"/>
  <c r="R2384" i="1"/>
  <c r="Q2384" i="1"/>
  <c r="P2384" i="1"/>
  <c r="O2384" i="1"/>
  <c r="N2384" i="1"/>
  <c r="S2383" i="1"/>
  <c r="R2383" i="1"/>
  <c r="Q2383" i="1"/>
  <c r="P2383" i="1"/>
  <c r="O2383" i="1"/>
  <c r="N2383" i="1"/>
  <c r="S2382" i="1"/>
  <c r="R2382" i="1"/>
  <c r="Q2382" i="1"/>
  <c r="P2382" i="1"/>
  <c r="O2382" i="1"/>
  <c r="N2382" i="1"/>
  <c r="S2381" i="1"/>
  <c r="R2381" i="1"/>
  <c r="Q2381" i="1"/>
  <c r="P2381" i="1"/>
  <c r="O2381" i="1"/>
  <c r="N2381" i="1"/>
  <c r="S2380" i="1"/>
  <c r="R2380" i="1"/>
  <c r="Q2380" i="1"/>
  <c r="P2380" i="1"/>
  <c r="O2380" i="1"/>
  <c r="N2380" i="1"/>
  <c r="S2379" i="1"/>
  <c r="R2379" i="1"/>
  <c r="Q2379" i="1"/>
  <c r="P2379" i="1"/>
  <c r="O2379" i="1"/>
  <c r="N2379" i="1"/>
  <c r="S2378" i="1"/>
  <c r="R2378" i="1"/>
  <c r="Q2378" i="1"/>
  <c r="P2378" i="1"/>
  <c r="O2378" i="1"/>
  <c r="N2378" i="1"/>
  <c r="S2377" i="1"/>
  <c r="R2377" i="1"/>
  <c r="Q2377" i="1"/>
  <c r="P2377" i="1"/>
  <c r="O2377" i="1"/>
  <c r="N2377" i="1"/>
  <c r="S2376" i="1"/>
  <c r="R2376" i="1"/>
  <c r="Q2376" i="1"/>
  <c r="P2376" i="1"/>
  <c r="O2376" i="1"/>
  <c r="N2376" i="1"/>
  <c r="S2375" i="1"/>
  <c r="R2375" i="1"/>
  <c r="Q2375" i="1"/>
  <c r="P2375" i="1"/>
  <c r="O2375" i="1"/>
  <c r="N2375" i="1"/>
  <c r="S2374" i="1"/>
  <c r="R2374" i="1"/>
  <c r="Q2374" i="1"/>
  <c r="P2374" i="1"/>
  <c r="O2374" i="1"/>
  <c r="N2374" i="1"/>
  <c r="S2373" i="1"/>
  <c r="R2373" i="1"/>
  <c r="Q2373" i="1"/>
  <c r="P2373" i="1"/>
  <c r="O2373" i="1"/>
  <c r="N2373" i="1"/>
  <c r="S2372" i="1"/>
  <c r="R2372" i="1"/>
  <c r="Q2372" i="1"/>
  <c r="P2372" i="1"/>
  <c r="O2372" i="1"/>
  <c r="N2372" i="1"/>
  <c r="S2371" i="1"/>
  <c r="R2371" i="1"/>
  <c r="Q2371" i="1"/>
  <c r="P2371" i="1"/>
  <c r="O2371" i="1"/>
  <c r="N2371" i="1"/>
  <c r="S2370" i="1"/>
  <c r="R2370" i="1"/>
  <c r="Q2370" i="1"/>
  <c r="P2370" i="1"/>
  <c r="O2370" i="1"/>
  <c r="N2370" i="1"/>
  <c r="S2369" i="1"/>
  <c r="R2369" i="1"/>
  <c r="Q2369" i="1"/>
  <c r="P2369" i="1"/>
  <c r="O2369" i="1"/>
  <c r="N2369" i="1"/>
  <c r="S2368" i="1"/>
  <c r="R2368" i="1"/>
  <c r="Q2368" i="1"/>
  <c r="P2368" i="1"/>
  <c r="O2368" i="1"/>
  <c r="N2368" i="1"/>
  <c r="S2367" i="1"/>
  <c r="R2367" i="1"/>
  <c r="Q2367" i="1"/>
  <c r="P2367" i="1"/>
  <c r="O2367" i="1"/>
  <c r="N2367" i="1"/>
  <c r="S2366" i="1"/>
  <c r="R2366" i="1"/>
  <c r="Q2366" i="1"/>
  <c r="P2366" i="1"/>
  <c r="O2366" i="1"/>
  <c r="N2366" i="1"/>
  <c r="S2365" i="1"/>
  <c r="R2365" i="1"/>
  <c r="Q2365" i="1"/>
  <c r="P2365" i="1"/>
  <c r="O2365" i="1"/>
  <c r="N2365" i="1"/>
  <c r="S2364" i="1"/>
  <c r="R2364" i="1"/>
  <c r="Q2364" i="1"/>
  <c r="P2364" i="1"/>
  <c r="O2364" i="1"/>
  <c r="N2364" i="1"/>
  <c r="S2363" i="1"/>
  <c r="R2363" i="1"/>
  <c r="Q2363" i="1"/>
  <c r="P2363" i="1"/>
  <c r="O2363" i="1"/>
  <c r="N2363" i="1"/>
  <c r="S2362" i="1"/>
  <c r="R2362" i="1"/>
  <c r="Q2362" i="1"/>
  <c r="P2362" i="1"/>
  <c r="O2362" i="1"/>
  <c r="N2362" i="1"/>
  <c r="S2361" i="1"/>
  <c r="R2361" i="1"/>
  <c r="Q2361" i="1"/>
  <c r="P2361" i="1"/>
  <c r="O2361" i="1"/>
  <c r="N2361" i="1"/>
  <c r="S2360" i="1"/>
  <c r="R2360" i="1"/>
  <c r="Q2360" i="1"/>
  <c r="P2360" i="1"/>
  <c r="O2360" i="1"/>
  <c r="N2360" i="1"/>
  <c r="S2359" i="1"/>
  <c r="R2359" i="1"/>
  <c r="Q2359" i="1"/>
  <c r="P2359" i="1"/>
  <c r="O2359" i="1"/>
  <c r="N2359" i="1"/>
  <c r="S2358" i="1"/>
  <c r="R2358" i="1"/>
  <c r="Q2358" i="1"/>
  <c r="P2358" i="1"/>
  <c r="O2358" i="1"/>
  <c r="N2358" i="1"/>
  <c r="S2357" i="1"/>
  <c r="R2357" i="1"/>
  <c r="Q2357" i="1"/>
  <c r="P2357" i="1"/>
  <c r="O2357" i="1"/>
  <c r="N2357" i="1"/>
  <c r="S2356" i="1"/>
  <c r="R2356" i="1"/>
  <c r="Q2356" i="1"/>
  <c r="P2356" i="1"/>
  <c r="O2356" i="1"/>
  <c r="N2356" i="1"/>
  <c r="S2355" i="1"/>
  <c r="R2355" i="1"/>
  <c r="Q2355" i="1"/>
  <c r="P2355" i="1"/>
  <c r="O2355" i="1"/>
  <c r="N2355" i="1"/>
  <c r="S2354" i="1"/>
  <c r="R2354" i="1"/>
  <c r="Q2354" i="1"/>
  <c r="P2354" i="1"/>
  <c r="O2354" i="1"/>
  <c r="N2354" i="1"/>
  <c r="S2353" i="1"/>
  <c r="R2353" i="1"/>
  <c r="Q2353" i="1"/>
  <c r="P2353" i="1"/>
  <c r="O2353" i="1"/>
  <c r="N2353" i="1"/>
  <c r="S2352" i="1"/>
  <c r="R2352" i="1"/>
  <c r="Q2352" i="1"/>
  <c r="P2352" i="1"/>
  <c r="O2352" i="1"/>
  <c r="N2352" i="1"/>
  <c r="S2351" i="1"/>
  <c r="R2351" i="1"/>
  <c r="Q2351" i="1"/>
  <c r="P2351" i="1"/>
  <c r="O2351" i="1"/>
  <c r="N2351" i="1"/>
  <c r="S2350" i="1"/>
  <c r="R2350" i="1"/>
  <c r="Q2350" i="1"/>
  <c r="P2350" i="1"/>
  <c r="O2350" i="1"/>
  <c r="N2350" i="1"/>
  <c r="S2349" i="1"/>
  <c r="R2349" i="1"/>
  <c r="Q2349" i="1"/>
  <c r="P2349" i="1"/>
  <c r="O2349" i="1"/>
  <c r="N2349" i="1"/>
  <c r="S2348" i="1"/>
  <c r="R2348" i="1"/>
  <c r="Q2348" i="1"/>
  <c r="P2348" i="1"/>
  <c r="O2348" i="1"/>
  <c r="N2348" i="1"/>
  <c r="S2347" i="1"/>
  <c r="R2347" i="1"/>
  <c r="Q2347" i="1"/>
  <c r="P2347" i="1"/>
  <c r="O2347" i="1"/>
  <c r="N2347" i="1"/>
  <c r="S2346" i="1"/>
  <c r="R2346" i="1"/>
  <c r="Q2346" i="1"/>
  <c r="P2346" i="1"/>
  <c r="O2346" i="1"/>
  <c r="N2346" i="1"/>
  <c r="S2345" i="1"/>
  <c r="R2345" i="1"/>
  <c r="Q2345" i="1"/>
  <c r="P2345" i="1"/>
  <c r="O2345" i="1"/>
  <c r="N2345" i="1"/>
  <c r="S2344" i="1"/>
  <c r="R2344" i="1"/>
  <c r="Q2344" i="1"/>
  <c r="P2344" i="1"/>
  <c r="O2344" i="1"/>
  <c r="N2344" i="1"/>
  <c r="S2343" i="1"/>
  <c r="R2343" i="1"/>
  <c r="Q2343" i="1"/>
  <c r="P2343" i="1"/>
  <c r="O2343" i="1"/>
  <c r="N2343" i="1"/>
  <c r="S2342" i="1"/>
  <c r="R2342" i="1"/>
  <c r="Q2342" i="1"/>
  <c r="P2342" i="1"/>
  <c r="O2342" i="1"/>
  <c r="N2342" i="1"/>
  <c r="S2341" i="1"/>
  <c r="R2341" i="1"/>
  <c r="Q2341" i="1"/>
  <c r="P2341" i="1"/>
  <c r="O2341" i="1"/>
  <c r="N2341" i="1"/>
  <c r="S2340" i="1"/>
  <c r="R2340" i="1"/>
  <c r="Q2340" i="1"/>
  <c r="P2340" i="1"/>
  <c r="O2340" i="1"/>
  <c r="N2340" i="1"/>
  <c r="S2339" i="1"/>
  <c r="R2339" i="1"/>
  <c r="Q2339" i="1"/>
  <c r="P2339" i="1"/>
  <c r="O2339" i="1"/>
  <c r="N2339" i="1"/>
  <c r="S2338" i="1"/>
  <c r="R2338" i="1"/>
  <c r="Q2338" i="1"/>
  <c r="P2338" i="1"/>
  <c r="O2338" i="1"/>
  <c r="N2338" i="1"/>
  <c r="S2337" i="1"/>
  <c r="R2337" i="1"/>
  <c r="Q2337" i="1"/>
  <c r="P2337" i="1"/>
  <c r="O2337" i="1"/>
  <c r="N2337" i="1"/>
  <c r="S2336" i="1"/>
  <c r="R2336" i="1"/>
  <c r="Q2336" i="1"/>
  <c r="P2336" i="1"/>
  <c r="O2336" i="1"/>
  <c r="N2336" i="1"/>
  <c r="S2335" i="1"/>
  <c r="R2335" i="1"/>
  <c r="Q2335" i="1"/>
  <c r="P2335" i="1"/>
  <c r="O2335" i="1"/>
  <c r="N2335" i="1"/>
  <c r="S2334" i="1"/>
  <c r="R2334" i="1"/>
  <c r="Q2334" i="1"/>
  <c r="P2334" i="1"/>
  <c r="O2334" i="1"/>
  <c r="N2334" i="1"/>
  <c r="S2333" i="1"/>
  <c r="R2333" i="1"/>
  <c r="Q2333" i="1"/>
  <c r="P2333" i="1"/>
  <c r="O2333" i="1"/>
  <c r="N2333" i="1"/>
  <c r="S2332" i="1"/>
  <c r="R2332" i="1"/>
  <c r="Q2332" i="1"/>
  <c r="P2332" i="1"/>
  <c r="O2332" i="1"/>
  <c r="N2332" i="1"/>
  <c r="S2331" i="1"/>
  <c r="R2331" i="1"/>
  <c r="Q2331" i="1"/>
  <c r="P2331" i="1"/>
  <c r="O2331" i="1"/>
  <c r="N2331" i="1"/>
  <c r="S2330" i="1"/>
  <c r="R2330" i="1"/>
  <c r="Q2330" i="1"/>
  <c r="P2330" i="1"/>
  <c r="O2330" i="1"/>
  <c r="N2330" i="1"/>
  <c r="S2329" i="1"/>
  <c r="R2329" i="1"/>
  <c r="Q2329" i="1"/>
  <c r="P2329" i="1"/>
  <c r="O2329" i="1"/>
  <c r="N2329" i="1"/>
  <c r="S2328" i="1"/>
  <c r="R2328" i="1"/>
  <c r="Q2328" i="1"/>
  <c r="P2328" i="1"/>
  <c r="O2328" i="1"/>
  <c r="N2328" i="1"/>
  <c r="S2327" i="1"/>
  <c r="R2327" i="1"/>
  <c r="Q2327" i="1"/>
  <c r="P2327" i="1"/>
  <c r="O2327" i="1"/>
  <c r="N2327" i="1"/>
  <c r="S2326" i="1"/>
  <c r="R2326" i="1"/>
  <c r="Q2326" i="1"/>
  <c r="P2326" i="1"/>
  <c r="O2326" i="1"/>
  <c r="N2326" i="1"/>
  <c r="S2325" i="1"/>
  <c r="R2325" i="1"/>
  <c r="Q2325" i="1"/>
  <c r="P2325" i="1"/>
  <c r="O2325" i="1"/>
  <c r="N2325" i="1"/>
  <c r="S2324" i="1"/>
  <c r="R2324" i="1"/>
  <c r="Q2324" i="1"/>
  <c r="P2324" i="1"/>
  <c r="O2324" i="1"/>
  <c r="N2324" i="1"/>
  <c r="S2323" i="1"/>
  <c r="R2323" i="1"/>
  <c r="Q2323" i="1"/>
  <c r="P2323" i="1"/>
  <c r="O2323" i="1"/>
  <c r="N2323" i="1"/>
  <c r="S2322" i="1"/>
  <c r="R2322" i="1"/>
  <c r="Q2322" i="1"/>
  <c r="P2322" i="1"/>
  <c r="O2322" i="1"/>
  <c r="N2322" i="1"/>
  <c r="S2321" i="1"/>
  <c r="R2321" i="1"/>
  <c r="Q2321" i="1"/>
  <c r="P2321" i="1"/>
  <c r="O2321" i="1"/>
  <c r="N2321" i="1"/>
  <c r="S2320" i="1"/>
  <c r="R2320" i="1"/>
  <c r="Q2320" i="1"/>
  <c r="P2320" i="1"/>
  <c r="O2320" i="1"/>
  <c r="N2320" i="1"/>
  <c r="S2319" i="1"/>
  <c r="R2319" i="1"/>
  <c r="Q2319" i="1"/>
  <c r="P2319" i="1"/>
  <c r="O2319" i="1"/>
  <c r="N2319" i="1"/>
  <c r="S2318" i="1"/>
  <c r="R2318" i="1"/>
  <c r="Q2318" i="1"/>
  <c r="P2318" i="1"/>
  <c r="O2318" i="1"/>
  <c r="N2318" i="1"/>
  <c r="S2317" i="1"/>
  <c r="R2317" i="1"/>
  <c r="Q2317" i="1"/>
  <c r="P2317" i="1"/>
  <c r="O2317" i="1"/>
  <c r="N2317" i="1"/>
  <c r="S2316" i="1"/>
  <c r="R2316" i="1"/>
  <c r="Q2316" i="1"/>
  <c r="P2316" i="1"/>
  <c r="O2316" i="1"/>
  <c r="N2316" i="1"/>
  <c r="S2315" i="1"/>
  <c r="R2315" i="1"/>
  <c r="Q2315" i="1"/>
  <c r="P2315" i="1"/>
  <c r="O2315" i="1"/>
  <c r="N2315" i="1"/>
  <c r="S2314" i="1"/>
  <c r="R2314" i="1"/>
  <c r="Q2314" i="1"/>
  <c r="P2314" i="1"/>
  <c r="O2314" i="1"/>
  <c r="N2314" i="1"/>
  <c r="S2313" i="1"/>
  <c r="R2313" i="1"/>
  <c r="Q2313" i="1"/>
  <c r="P2313" i="1"/>
  <c r="O2313" i="1"/>
  <c r="N2313" i="1"/>
  <c r="S2312" i="1"/>
  <c r="R2312" i="1"/>
  <c r="Q2312" i="1"/>
  <c r="P2312" i="1"/>
  <c r="O2312" i="1"/>
  <c r="N2312" i="1"/>
  <c r="S2311" i="1"/>
  <c r="R2311" i="1"/>
  <c r="Q2311" i="1"/>
  <c r="P2311" i="1"/>
  <c r="O2311" i="1"/>
  <c r="N2311" i="1"/>
  <c r="S2310" i="1"/>
  <c r="R2310" i="1"/>
  <c r="Q2310" i="1"/>
  <c r="P2310" i="1"/>
  <c r="O2310" i="1"/>
  <c r="N2310" i="1"/>
  <c r="S2309" i="1"/>
  <c r="R2309" i="1"/>
  <c r="Q2309" i="1"/>
  <c r="P2309" i="1"/>
  <c r="O2309" i="1"/>
  <c r="N2309" i="1"/>
  <c r="S2308" i="1"/>
  <c r="R2308" i="1"/>
  <c r="Q2308" i="1"/>
  <c r="P2308" i="1"/>
  <c r="O2308" i="1"/>
  <c r="N2308" i="1"/>
  <c r="S2307" i="1"/>
  <c r="R2307" i="1"/>
  <c r="Q2307" i="1"/>
  <c r="P2307" i="1"/>
  <c r="O2307" i="1"/>
  <c r="N2307" i="1"/>
  <c r="S2306" i="1"/>
  <c r="R2306" i="1"/>
  <c r="Q2306" i="1"/>
  <c r="P2306" i="1"/>
  <c r="O2306" i="1"/>
  <c r="N2306" i="1"/>
  <c r="S2305" i="1"/>
  <c r="R2305" i="1"/>
  <c r="Q2305" i="1"/>
  <c r="P2305" i="1"/>
  <c r="O2305" i="1"/>
  <c r="N2305" i="1"/>
  <c r="S2304" i="1"/>
  <c r="R2304" i="1"/>
  <c r="Q2304" i="1"/>
  <c r="P2304" i="1"/>
  <c r="O2304" i="1"/>
  <c r="N2304" i="1"/>
  <c r="S2303" i="1"/>
  <c r="R2303" i="1"/>
  <c r="Q2303" i="1"/>
  <c r="P2303" i="1"/>
  <c r="O2303" i="1"/>
  <c r="N2303" i="1"/>
  <c r="S2302" i="1"/>
  <c r="R2302" i="1"/>
  <c r="Q2302" i="1"/>
  <c r="P2302" i="1"/>
  <c r="O2302" i="1"/>
  <c r="N2302" i="1"/>
  <c r="S2301" i="1"/>
  <c r="R2301" i="1"/>
  <c r="Q2301" i="1"/>
  <c r="P2301" i="1"/>
  <c r="O2301" i="1"/>
  <c r="N2301" i="1"/>
  <c r="S2300" i="1"/>
  <c r="R2300" i="1"/>
  <c r="Q2300" i="1"/>
  <c r="P2300" i="1"/>
  <c r="O2300" i="1"/>
  <c r="N2300" i="1"/>
  <c r="S2299" i="1"/>
  <c r="R2299" i="1"/>
  <c r="Q2299" i="1"/>
  <c r="P2299" i="1"/>
  <c r="O2299" i="1"/>
  <c r="N2299" i="1"/>
  <c r="S2298" i="1"/>
  <c r="R2298" i="1"/>
  <c r="Q2298" i="1"/>
  <c r="P2298" i="1"/>
  <c r="O2298" i="1"/>
  <c r="N2298" i="1"/>
  <c r="S2297" i="1"/>
  <c r="R2297" i="1"/>
  <c r="Q2297" i="1"/>
  <c r="P2297" i="1"/>
  <c r="O2297" i="1"/>
  <c r="N2297" i="1"/>
  <c r="S2296" i="1"/>
  <c r="R2296" i="1"/>
  <c r="Q2296" i="1"/>
  <c r="P2296" i="1"/>
  <c r="O2296" i="1"/>
  <c r="N2296" i="1"/>
  <c r="S2295" i="1"/>
  <c r="R2295" i="1"/>
  <c r="Q2295" i="1"/>
  <c r="P2295" i="1"/>
  <c r="O2295" i="1"/>
  <c r="N2295" i="1"/>
  <c r="S2294" i="1"/>
  <c r="R2294" i="1"/>
  <c r="Q2294" i="1"/>
  <c r="P2294" i="1"/>
  <c r="O2294" i="1"/>
  <c r="N2294" i="1"/>
  <c r="S2293" i="1"/>
  <c r="R2293" i="1"/>
  <c r="Q2293" i="1"/>
  <c r="P2293" i="1"/>
  <c r="O2293" i="1"/>
  <c r="N2293" i="1"/>
  <c r="S2292" i="1"/>
  <c r="R2292" i="1"/>
  <c r="Q2292" i="1"/>
  <c r="P2292" i="1"/>
  <c r="O2292" i="1"/>
  <c r="N2292" i="1"/>
  <c r="S2291" i="1"/>
  <c r="R2291" i="1"/>
  <c r="Q2291" i="1"/>
  <c r="P2291" i="1"/>
  <c r="O2291" i="1"/>
  <c r="N2291" i="1"/>
  <c r="S2290" i="1"/>
  <c r="R2290" i="1"/>
  <c r="Q2290" i="1"/>
  <c r="P2290" i="1"/>
  <c r="O2290" i="1"/>
  <c r="N2290" i="1"/>
  <c r="S2289" i="1"/>
  <c r="R2289" i="1"/>
  <c r="Q2289" i="1"/>
  <c r="P2289" i="1"/>
  <c r="O2289" i="1"/>
  <c r="N2289" i="1"/>
  <c r="S2288" i="1"/>
  <c r="R2288" i="1"/>
  <c r="Q2288" i="1"/>
  <c r="P2288" i="1"/>
  <c r="O2288" i="1"/>
  <c r="N2288" i="1"/>
  <c r="S2287" i="1"/>
  <c r="R2287" i="1"/>
  <c r="Q2287" i="1"/>
  <c r="P2287" i="1"/>
  <c r="O2287" i="1"/>
  <c r="N2287" i="1"/>
  <c r="S2286" i="1"/>
  <c r="R2286" i="1"/>
  <c r="Q2286" i="1"/>
  <c r="P2286" i="1"/>
  <c r="O2286" i="1"/>
  <c r="N2286" i="1"/>
  <c r="S2285" i="1"/>
  <c r="R2285" i="1"/>
  <c r="Q2285" i="1"/>
  <c r="P2285" i="1"/>
  <c r="O2285" i="1"/>
  <c r="N2285" i="1"/>
  <c r="S2284" i="1"/>
  <c r="R2284" i="1"/>
  <c r="Q2284" i="1"/>
  <c r="P2284" i="1"/>
  <c r="O2284" i="1"/>
  <c r="N2284" i="1"/>
  <c r="S2283" i="1"/>
  <c r="R2283" i="1"/>
  <c r="Q2283" i="1"/>
  <c r="P2283" i="1"/>
  <c r="O2283" i="1"/>
  <c r="N2283" i="1"/>
  <c r="S2282" i="1"/>
  <c r="R2282" i="1"/>
  <c r="Q2282" i="1"/>
  <c r="P2282" i="1"/>
  <c r="O2282" i="1"/>
  <c r="N2282" i="1"/>
  <c r="S2281" i="1"/>
  <c r="R2281" i="1"/>
  <c r="Q2281" i="1"/>
  <c r="P2281" i="1"/>
  <c r="O2281" i="1"/>
  <c r="N2281" i="1"/>
  <c r="S2280" i="1"/>
  <c r="R2280" i="1"/>
  <c r="Q2280" i="1"/>
  <c r="P2280" i="1"/>
  <c r="O2280" i="1"/>
  <c r="N2280" i="1"/>
  <c r="S2279" i="1"/>
  <c r="R2279" i="1"/>
  <c r="Q2279" i="1"/>
  <c r="P2279" i="1"/>
  <c r="O2279" i="1"/>
  <c r="N2279" i="1"/>
  <c r="S2278" i="1"/>
  <c r="R2278" i="1"/>
  <c r="Q2278" i="1"/>
  <c r="P2278" i="1"/>
  <c r="O2278" i="1"/>
  <c r="N2278" i="1"/>
  <c r="S2277" i="1"/>
  <c r="R2277" i="1"/>
  <c r="Q2277" i="1"/>
  <c r="P2277" i="1"/>
  <c r="O2277" i="1"/>
  <c r="N2277" i="1"/>
  <c r="S2276" i="1"/>
  <c r="R2276" i="1"/>
  <c r="Q2276" i="1"/>
  <c r="P2276" i="1"/>
  <c r="O2276" i="1"/>
  <c r="N2276" i="1"/>
  <c r="S2275" i="1"/>
  <c r="R2275" i="1"/>
  <c r="Q2275" i="1"/>
  <c r="P2275" i="1"/>
  <c r="O2275" i="1"/>
  <c r="N2275" i="1"/>
  <c r="S2274" i="1"/>
  <c r="R2274" i="1"/>
  <c r="Q2274" i="1"/>
  <c r="P2274" i="1"/>
  <c r="O2274" i="1"/>
  <c r="N2274" i="1"/>
  <c r="S2273" i="1"/>
  <c r="R2273" i="1"/>
  <c r="Q2273" i="1"/>
  <c r="P2273" i="1"/>
  <c r="O2273" i="1"/>
  <c r="N2273" i="1"/>
  <c r="S2272" i="1"/>
  <c r="R2272" i="1"/>
  <c r="Q2272" i="1"/>
  <c r="P2272" i="1"/>
  <c r="O2272" i="1"/>
  <c r="N2272" i="1"/>
  <c r="S2271" i="1"/>
  <c r="R2271" i="1"/>
  <c r="Q2271" i="1"/>
  <c r="P2271" i="1"/>
  <c r="O2271" i="1"/>
  <c r="N2271" i="1"/>
  <c r="S2270" i="1"/>
  <c r="R2270" i="1"/>
  <c r="Q2270" i="1"/>
  <c r="P2270" i="1"/>
  <c r="O2270" i="1"/>
  <c r="N2270" i="1"/>
  <c r="S2269" i="1"/>
  <c r="R2269" i="1"/>
  <c r="Q2269" i="1"/>
  <c r="P2269" i="1"/>
  <c r="O2269" i="1"/>
  <c r="N2269" i="1"/>
  <c r="S2268" i="1"/>
  <c r="R2268" i="1"/>
  <c r="Q2268" i="1"/>
  <c r="P2268" i="1"/>
  <c r="O2268" i="1"/>
  <c r="N2268" i="1"/>
  <c r="S2267" i="1"/>
  <c r="R2267" i="1"/>
  <c r="Q2267" i="1"/>
  <c r="P2267" i="1"/>
  <c r="O2267" i="1"/>
  <c r="N2267" i="1"/>
  <c r="S2266" i="1"/>
  <c r="R2266" i="1"/>
  <c r="Q2266" i="1"/>
  <c r="P2266" i="1"/>
  <c r="O2266" i="1"/>
  <c r="N2266" i="1"/>
  <c r="S2265" i="1"/>
  <c r="R2265" i="1"/>
  <c r="Q2265" i="1"/>
  <c r="P2265" i="1"/>
  <c r="O2265" i="1"/>
  <c r="N2265" i="1"/>
  <c r="S2264" i="1"/>
  <c r="R2264" i="1"/>
  <c r="Q2264" i="1"/>
  <c r="P2264" i="1"/>
  <c r="O2264" i="1"/>
  <c r="N2264" i="1"/>
  <c r="S2263" i="1"/>
  <c r="R2263" i="1"/>
  <c r="Q2263" i="1"/>
  <c r="P2263" i="1"/>
  <c r="O2263" i="1"/>
  <c r="N2263" i="1"/>
  <c r="S2262" i="1"/>
  <c r="R2262" i="1"/>
  <c r="Q2262" i="1"/>
  <c r="P2262" i="1"/>
  <c r="O2262" i="1"/>
  <c r="N2262" i="1"/>
  <c r="S2261" i="1"/>
  <c r="R2261" i="1"/>
  <c r="Q2261" i="1"/>
  <c r="P2261" i="1"/>
  <c r="O2261" i="1"/>
  <c r="N2261" i="1"/>
  <c r="S2260" i="1"/>
  <c r="R2260" i="1"/>
  <c r="Q2260" i="1"/>
  <c r="P2260" i="1"/>
  <c r="O2260" i="1"/>
  <c r="N2260" i="1"/>
  <c r="S2259" i="1"/>
  <c r="R2259" i="1"/>
  <c r="Q2259" i="1"/>
  <c r="P2259" i="1"/>
  <c r="O2259" i="1"/>
  <c r="N2259" i="1"/>
  <c r="S2258" i="1"/>
  <c r="R2258" i="1"/>
  <c r="Q2258" i="1"/>
  <c r="P2258" i="1"/>
  <c r="O2258" i="1"/>
  <c r="N2258" i="1"/>
  <c r="S2257" i="1"/>
  <c r="R2257" i="1"/>
  <c r="Q2257" i="1"/>
  <c r="P2257" i="1"/>
  <c r="O2257" i="1"/>
  <c r="N2257" i="1"/>
  <c r="S2256" i="1"/>
  <c r="R2256" i="1"/>
  <c r="Q2256" i="1"/>
  <c r="P2256" i="1"/>
  <c r="O2256" i="1"/>
  <c r="N2256" i="1"/>
  <c r="S2255" i="1"/>
  <c r="R2255" i="1"/>
  <c r="Q2255" i="1"/>
  <c r="P2255" i="1"/>
  <c r="O2255" i="1"/>
  <c r="N2255" i="1"/>
  <c r="S2254" i="1"/>
  <c r="R2254" i="1"/>
  <c r="Q2254" i="1"/>
  <c r="P2254" i="1"/>
  <c r="O2254" i="1"/>
  <c r="N2254" i="1"/>
  <c r="S2253" i="1"/>
  <c r="R2253" i="1"/>
  <c r="Q2253" i="1"/>
  <c r="P2253" i="1"/>
  <c r="O2253" i="1"/>
  <c r="N2253" i="1"/>
  <c r="S2252" i="1"/>
  <c r="R2252" i="1"/>
  <c r="Q2252" i="1"/>
  <c r="P2252" i="1"/>
  <c r="O2252" i="1"/>
  <c r="N2252" i="1"/>
  <c r="S2251" i="1"/>
  <c r="R2251" i="1"/>
  <c r="Q2251" i="1"/>
  <c r="P2251" i="1"/>
  <c r="O2251" i="1"/>
  <c r="N2251" i="1"/>
  <c r="S2250" i="1"/>
  <c r="R2250" i="1"/>
  <c r="Q2250" i="1"/>
  <c r="P2250" i="1"/>
  <c r="O2250" i="1"/>
  <c r="N2250" i="1"/>
  <c r="S2249" i="1"/>
  <c r="R2249" i="1"/>
  <c r="Q2249" i="1"/>
  <c r="P2249" i="1"/>
  <c r="O2249" i="1"/>
  <c r="N2249" i="1"/>
  <c r="S2248" i="1"/>
  <c r="R2248" i="1"/>
  <c r="Q2248" i="1"/>
  <c r="P2248" i="1"/>
  <c r="O2248" i="1"/>
  <c r="N2248" i="1"/>
  <c r="S2247" i="1"/>
  <c r="R2247" i="1"/>
  <c r="Q2247" i="1"/>
  <c r="P2247" i="1"/>
  <c r="O2247" i="1"/>
  <c r="N2247" i="1"/>
  <c r="S2246" i="1"/>
  <c r="R2246" i="1"/>
  <c r="Q2246" i="1"/>
  <c r="P2246" i="1"/>
  <c r="O2246" i="1"/>
  <c r="N2246" i="1"/>
  <c r="S2245" i="1"/>
  <c r="R2245" i="1"/>
  <c r="Q2245" i="1"/>
  <c r="P2245" i="1"/>
  <c r="O2245" i="1"/>
  <c r="N2245" i="1"/>
  <c r="S2244" i="1"/>
  <c r="R2244" i="1"/>
  <c r="Q2244" i="1"/>
  <c r="P2244" i="1"/>
  <c r="O2244" i="1"/>
  <c r="N2244" i="1"/>
  <c r="S2243" i="1"/>
  <c r="R2243" i="1"/>
  <c r="Q2243" i="1"/>
  <c r="P2243" i="1"/>
  <c r="O2243" i="1"/>
  <c r="N2243" i="1"/>
  <c r="S2242" i="1"/>
  <c r="R2242" i="1"/>
  <c r="Q2242" i="1"/>
  <c r="P2242" i="1"/>
  <c r="O2242" i="1"/>
  <c r="N2242" i="1"/>
  <c r="S2241" i="1"/>
  <c r="R2241" i="1"/>
  <c r="Q2241" i="1"/>
  <c r="P2241" i="1"/>
  <c r="O2241" i="1"/>
  <c r="N2241" i="1"/>
  <c r="S2240" i="1"/>
  <c r="R2240" i="1"/>
  <c r="Q2240" i="1"/>
  <c r="P2240" i="1"/>
  <c r="O2240" i="1"/>
  <c r="N2240" i="1"/>
  <c r="S2239" i="1"/>
  <c r="R2239" i="1"/>
  <c r="Q2239" i="1"/>
  <c r="P2239" i="1"/>
  <c r="O2239" i="1"/>
  <c r="N2239" i="1"/>
  <c r="S2238" i="1"/>
  <c r="R2238" i="1"/>
  <c r="Q2238" i="1"/>
  <c r="P2238" i="1"/>
  <c r="O2238" i="1"/>
  <c r="N2238" i="1"/>
  <c r="S2237" i="1"/>
  <c r="R2237" i="1"/>
  <c r="Q2237" i="1"/>
  <c r="P2237" i="1"/>
  <c r="O2237" i="1"/>
  <c r="N2237" i="1"/>
  <c r="S2236" i="1"/>
  <c r="R2236" i="1"/>
  <c r="Q2236" i="1"/>
  <c r="P2236" i="1"/>
  <c r="O2236" i="1"/>
  <c r="N2236" i="1"/>
  <c r="S2235" i="1"/>
  <c r="R2235" i="1"/>
  <c r="Q2235" i="1"/>
  <c r="P2235" i="1"/>
  <c r="O2235" i="1"/>
  <c r="N2235" i="1"/>
  <c r="S2234" i="1"/>
  <c r="R2234" i="1"/>
  <c r="Q2234" i="1"/>
  <c r="P2234" i="1"/>
  <c r="O2234" i="1"/>
  <c r="N2234" i="1"/>
  <c r="S2233" i="1"/>
  <c r="R2233" i="1"/>
  <c r="Q2233" i="1"/>
  <c r="P2233" i="1"/>
  <c r="O2233" i="1"/>
  <c r="N2233" i="1"/>
  <c r="S2232" i="1"/>
  <c r="R2232" i="1"/>
  <c r="Q2232" i="1"/>
  <c r="P2232" i="1"/>
  <c r="O2232" i="1"/>
  <c r="N2232" i="1"/>
  <c r="S2231" i="1"/>
  <c r="R2231" i="1"/>
  <c r="Q2231" i="1"/>
  <c r="P2231" i="1"/>
  <c r="O2231" i="1"/>
  <c r="N2231" i="1"/>
  <c r="S2230" i="1"/>
  <c r="R2230" i="1"/>
  <c r="Q2230" i="1"/>
  <c r="P2230" i="1"/>
  <c r="O2230" i="1"/>
  <c r="N2230" i="1"/>
  <c r="S2229" i="1"/>
  <c r="R2229" i="1"/>
  <c r="Q2229" i="1"/>
  <c r="P2229" i="1"/>
  <c r="O2229" i="1"/>
  <c r="N2229" i="1"/>
  <c r="S2228" i="1"/>
  <c r="R2228" i="1"/>
  <c r="Q2228" i="1"/>
  <c r="P2228" i="1"/>
  <c r="O2228" i="1"/>
  <c r="N2228" i="1"/>
  <c r="S2227" i="1"/>
  <c r="R2227" i="1"/>
  <c r="Q2227" i="1"/>
  <c r="P2227" i="1"/>
  <c r="O2227" i="1"/>
  <c r="N2227" i="1"/>
  <c r="S2226" i="1"/>
  <c r="R2226" i="1"/>
  <c r="Q2226" i="1"/>
  <c r="P2226" i="1"/>
  <c r="O2226" i="1"/>
  <c r="N2226" i="1"/>
  <c r="S2225" i="1"/>
  <c r="R2225" i="1"/>
  <c r="Q2225" i="1"/>
  <c r="P2225" i="1"/>
  <c r="O2225" i="1"/>
  <c r="N2225" i="1"/>
  <c r="S2224" i="1"/>
  <c r="R2224" i="1"/>
  <c r="Q2224" i="1"/>
  <c r="P2224" i="1"/>
  <c r="O2224" i="1"/>
  <c r="N2224" i="1"/>
  <c r="S2223" i="1"/>
  <c r="R2223" i="1"/>
  <c r="Q2223" i="1"/>
  <c r="P2223" i="1"/>
  <c r="O2223" i="1"/>
  <c r="N2223" i="1"/>
  <c r="S2222" i="1"/>
  <c r="R2222" i="1"/>
  <c r="Q2222" i="1"/>
  <c r="P2222" i="1"/>
  <c r="O2222" i="1"/>
  <c r="N2222" i="1"/>
  <c r="S2221" i="1"/>
  <c r="R2221" i="1"/>
  <c r="Q2221" i="1"/>
  <c r="P2221" i="1"/>
  <c r="O2221" i="1"/>
  <c r="N2221" i="1"/>
  <c r="S2220" i="1"/>
  <c r="R2220" i="1"/>
  <c r="Q2220" i="1"/>
  <c r="P2220" i="1"/>
  <c r="O2220" i="1"/>
  <c r="N2220" i="1"/>
  <c r="S2219" i="1"/>
  <c r="R2219" i="1"/>
  <c r="Q2219" i="1"/>
  <c r="P2219" i="1"/>
  <c r="O2219" i="1"/>
  <c r="N2219" i="1"/>
  <c r="S2218" i="1"/>
  <c r="R2218" i="1"/>
  <c r="Q2218" i="1"/>
  <c r="P2218" i="1"/>
  <c r="O2218" i="1"/>
  <c r="N2218" i="1"/>
  <c r="S2217" i="1"/>
  <c r="R2217" i="1"/>
  <c r="Q2217" i="1"/>
  <c r="P2217" i="1"/>
  <c r="O2217" i="1"/>
  <c r="N2217" i="1"/>
  <c r="S2216" i="1"/>
  <c r="R2216" i="1"/>
  <c r="Q2216" i="1"/>
  <c r="P2216" i="1"/>
  <c r="O2216" i="1"/>
  <c r="N2216" i="1"/>
  <c r="S2215" i="1"/>
  <c r="R2215" i="1"/>
  <c r="Q2215" i="1"/>
  <c r="P2215" i="1"/>
  <c r="O2215" i="1"/>
  <c r="N2215" i="1"/>
  <c r="S2214" i="1"/>
  <c r="R2214" i="1"/>
  <c r="Q2214" i="1"/>
  <c r="P2214" i="1"/>
  <c r="O2214" i="1"/>
  <c r="N2214" i="1"/>
  <c r="S2213" i="1"/>
  <c r="R2213" i="1"/>
  <c r="Q2213" i="1"/>
  <c r="P2213" i="1"/>
  <c r="O2213" i="1"/>
  <c r="N2213" i="1"/>
  <c r="S2212" i="1"/>
  <c r="R2212" i="1"/>
  <c r="Q2212" i="1"/>
  <c r="P2212" i="1"/>
  <c r="O2212" i="1"/>
  <c r="N2212" i="1"/>
  <c r="S2211" i="1"/>
  <c r="R2211" i="1"/>
  <c r="Q2211" i="1"/>
  <c r="P2211" i="1"/>
  <c r="O2211" i="1"/>
  <c r="N2211" i="1"/>
  <c r="S2210" i="1"/>
  <c r="R2210" i="1"/>
  <c r="Q2210" i="1"/>
  <c r="P2210" i="1"/>
  <c r="O2210" i="1"/>
  <c r="N2210" i="1"/>
  <c r="S2209" i="1"/>
  <c r="R2209" i="1"/>
  <c r="Q2209" i="1"/>
  <c r="P2209" i="1"/>
  <c r="O2209" i="1"/>
  <c r="N2209" i="1"/>
  <c r="S2208" i="1"/>
  <c r="R2208" i="1"/>
  <c r="Q2208" i="1"/>
  <c r="P2208" i="1"/>
  <c r="O2208" i="1"/>
  <c r="N2208" i="1"/>
  <c r="S2207" i="1"/>
  <c r="R2207" i="1"/>
  <c r="Q2207" i="1"/>
  <c r="P2207" i="1"/>
  <c r="O2207" i="1"/>
  <c r="N2207" i="1"/>
  <c r="S2206" i="1"/>
  <c r="R2206" i="1"/>
  <c r="Q2206" i="1"/>
  <c r="P2206" i="1"/>
  <c r="O2206" i="1"/>
  <c r="N2206" i="1"/>
  <c r="S2205" i="1"/>
  <c r="R2205" i="1"/>
  <c r="Q2205" i="1"/>
  <c r="P2205" i="1"/>
  <c r="O2205" i="1"/>
  <c r="N2205" i="1"/>
  <c r="S2204" i="1"/>
  <c r="R2204" i="1"/>
  <c r="Q2204" i="1"/>
  <c r="P2204" i="1"/>
  <c r="O2204" i="1"/>
  <c r="N2204" i="1"/>
  <c r="S2203" i="1"/>
  <c r="R2203" i="1"/>
  <c r="Q2203" i="1"/>
  <c r="P2203" i="1"/>
  <c r="O2203" i="1"/>
  <c r="N2203" i="1"/>
  <c r="S2202" i="1"/>
  <c r="R2202" i="1"/>
  <c r="Q2202" i="1"/>
  <c r="P2202" i="1"/>
  <c r="O2202" i="1"/>
  <c r="N2202" i="1"/>
  <c r="S2201" i="1"/>
  <c r="R2201" i="1"/>
  <c r="Q2201" i="1"/>
  <c r="P2201" i="1"/>
  <c r="O2201" i="1"/>
  <c r="N2201" i="1"/>
  <c r="S2200" i="1"/>
  <c r="R2200" i="1"/>
  <c r="Q2200" i="1"/>
  <c r="P2200" i="1"/>
  <c r="O2200" i="1"/>
  <c r="N2200" i="1"/>
  <c r="S2199" i="1"/>
  <c r="R2199" i="1"/>
  <c r="Q2199" i="1"/>
  <c r="P2199" i="1"/>
  <c r="O2199" i="1"/>
  <c r="N2199" i="1"/>
  <c r="S2198" i="1"/>
  <c r="R2198" i="1"/>
  <c r="Q2198" i="1"/>
  <c r="P2198" i="1"/>
  <c r="O2198" i="1"/>
  <c r="N2198" i="1"/>
  <c r="S2197" i="1"/>
  <c r="R2197" i="1"/>
  <c r="Q2197" i="1"/>
  <c r="P2197" i="1"/>
  <c r="O2197" i="1"/>
  <c r="N2197" i="1"/>
  <c r="S2196" i="1"/>
  <c r="R2196" i="1"/>
  <c r="Q2196" i="1"/>
  <c r="P2196" i="1"/>
  <c r="O2196" i="1"/>
  <c r="N2196" i="1"/>
  <c r="S2195" i="1"/>
  <c r="R2195" i="1"/>
  <c r="Q2195" i="1"/>
  <c r="P2195" i="1"/>
  <c r="O2195" i="1"/>
  <c r="N2195" i="1"/>
  <c r="S2194" i="1"/>
  <c r="R2194" i="1"/>
  <c r="Q2194" i="1"/>
  <c r="P2194" i="1"/>
  <c r="O2194" i="1"/>
  <c r="N2194" i="1"/>
  <c r="S2193" i="1"/>
  <c r="R2193" i="1"/>
  <c r="Q2193" i="1"/>
  <c r="P2193" i="1"/>
  <c r="O2193" i="1"/>
  <c r="N2193" i="1"/>
  <c r="S2192" i="1"/>
  <c r="R2192" i="1"/>
  <c r="Q2192" i="1"/>
  <c r="P2192" i="1"/>
  <c r="O2192" i="1"/>
  <c r="N2192" i="1"/>
  <c r="S2191" i="1"/>
  <c r="R2191" i="1"/>
  <c r="Q2191" i="1"/>
  <c r="P2191" i="1"/>
  <c r="O2191" i="1"/>
  <c r="N2191" i="1"/>
  <c r="S2190" i="1"/>
  <c r="R2190" i="1"/>
  <c r="Q2190" i="1"/>
  <c r="P2190" i="1"/>
  <c r="O2190" i="1"/>
  <c r="N2190" i="1"/>
  <c r="S2189" i="1"/>
  <c r="R2189" i="1"/>
  <c r="Q2189" i="1"/>
  <c r="P2189" i="1"/>
  <c r="O2189" i="1"/>
  <c r="N2189" i="1"/>
  <c r="S2188" i="1"/>
  <c r="R2188" i="1"/>
  <c r="Q2188" i="1"/>
  <c r="P2188" i="1"/>
  <c r="O2188" i="1"/>
  <c r="N2188" i="1"/>
  <c r="S2187" i="1"/>
  <c r="R2187" i="1"/>
  <c r="Q2187" i="1"/>
  <c r="P2187" i="1"/>
  <c r="O2187" i="1"/>
  <c r="N2187" i="1"/>
  <c r="S2186" i="1"/>
  <c r="R2186" i="1"/>
  <c r="Q2186" i="1"/>
  <c r="P2186" i="1"/>
  <c r="O2186" i="1"/>
  <c r="N2186" i="1"/>
  <c r="S2185" i="1"/>
  <c r="R2185" i="1"/>
  <c r="Q2185" i="1"/>
  <c r="P2185" i="1"/>
  <c r="O2185" i="1"/>
  <c r="N2185" i="1"/>
  <c r="S2184" i="1"/>
  <c r="R2184" i="1"/>
  <c r="Q2184" i="1"/>
  <c r="P2184" i="1"/>
  <c r="O2184" i="1"/>
  <c r="N2184" i="1"/>
  <c r="S2183" i="1"/>
  <c r="R2183" i="1"/>
  <c r="Q2183" i="1"/>
  <c r="P2183" i="1"/>
  <c r="O2183" i="1"/>
  <c r="N2183" i="1"/>
  <c r="S2182" i="1"/>
  <c r="R2182" i="1"/>
  <c r="Q2182" i="1"/>
  <c r="P2182" i="1"/>
  <c r="O2182" i="1"/>
  <c r="N2182" i="1"/>
  <c r="S2181" i="1"/>
  <c r="R2181" i="1"/>
  <c r="Q2181" i="1"/>
  <c r="P2181" i="1"/>
  <c r="O2181" i="1"/>
  <c r="N2181" i="1"/>
  <c r="S2180" i="1"/>
  <c r="R2180" i="1"/>
  <c r="Q2180" i="1"/>
  <c r="P2180" i="1"/>
  <c r="O2180" i="1"/>
  <c r="N2180" i="1"/>
  <c r="S2179" i="1"/>
  <c r="R2179" i="1"/>
  <c r="Q2179" i="1"/>
  <c r="P2179" i="1"/>
  <c r="O2179" i="1"/>
  <c r="N2179" i="1"/>
  <c r="S2178" i="1"/>
  <c r="R2178" i="1"/>
  <c r="Q2178" i="1"/>
  <c r="P2178" i="1"/>
  <c r="O2178" i="1"/>
  <c r="N2178" i="1"/>
  <c r="S2177" i="1"/>
  <c r="R2177" i="1"/>
  <c r="Q2177" i="1"/>
  <c r="P2177" i="1"/>
  <c r="O2177" i="1"/>
  <c r="N2177" i="1"/>
  <c r="S2176" i="1"/>
  <c r="R2176" i="1"/>
  <c r="Q2176" i="1"/>
  <c r="P2176" i="1"/>
  <c r="O2176" i="1"/>
  <c r="N2176" i="1"/>
  <c r="S2175" i="1"/>
  <c r="R2175" i="1"/>
  <c r="Q2175" i="1"/>
  <c r="P2175" i="1"/>
  <c r="O2175" i="1"/>
  <c r="N2175" i="1"/>
  <c r="S2174" i="1"/>
  <c r="R2174" i="1"/>
  <c r="Q2174" i="1"/>
  <c r="P2174" i="1"/>
  <c r="O2174" i="1"/>
  <c r="N2174" i="1"/>
  <c r="S2173" i="1"/>
  <c r="R2173" i="1"/>
  <c r="Q2173" i="1"/>
  <c r="P2173" i="1"/>
  <c r="O2173" i="1"/>
  <c r="N2173" i="1"/>
  <c r="S2172" i="1"/>
  <c r="R2172" i="1"/>
  <c r="Q2172" i="1"/>
  <c r="P2172" i="1"/>
  <c r="O2172" i="1"/>
  <c r="N2172" i="1"/>
  <c r="S2171" i="1"/>
  <c r="R2171" i="1"/>
  <c r="Q2171" i="1"/>
  <c r="P2171" i="1"/>
  <c r="O2171" i="1"/>
  <c r="N2171" i="1"/>
  <c r="S2170" i="1"/>
  <c r="R2170" i="1"/>
  <c r="Q2170" i="1"/>
  <c r="P2170" i="1"/>
  <c r="O2170" i="1"/>
  <c r="N2170" i="1"/>
  <c r="S2169" i="1"/>
  <c r="R2169" i="1"/>
  <c r="Q2169" i="1"/>
  <c r="P2169" i="1"/>
  <c r="O2169" i="1"/>
  <c r="N2169" i="1"/>
  <c r="S2168" i="1"/>
  <c r="R2168" i="1"/>
  <c r="Q2168" i="1"/>
  <c r="P2168" i="1"/>
  <c r="O2168" i="1"/>
  <c r="N2168" i="1"/>
  <c r="S2167" i="1"/>
  <c r="R2167" i="1"/>
  <c r="Q2167" i="1"/>
  <c r="P2167" i="1"/>
  <c r="O2167" i="1"/>
  <c r="N2167" i="1"/>
  <c r="S2166" i="1"/>
  <c r="R2166" i="1"/>
  <c r="Q2166" i="1"/>
  <c r="P2166" i="1"/>
  <c r="O2166" i="1"/>
  <c r="N2166" i="1"/>
  <c r="S2165" i="1"/>
  <c r="R2165" i="1"/>
  <c r="Q2165" i="1"/>
  <c r="P2165" i="1"/>
  <c r="O2165" i="1"/>
  <c r="N2165" i="1"/>
  <c r="S2164" i="1"/>
  <c r="R2164" i="1"/>
  <c r="Q2164" i="1"/>
  <c r="P2164" i="1"/>
  <c r="O2164" i="1"/>
  <c r="N2164" i="1"/>
  <c r="S2163" i="1"/>
  <c r="R2163" i="1"/>
  <c r="Q2163" i="1"/>
  <c r="P2163" i="1"/>
  <c r="O2163" i="1"/>
  <c r="N2163" i="1"/>
  <c r="S2162" i="1"/>
  <c r="R2162" i="1"/>
  <c r="Q2162" i="1"/>
  <c r="P2162" i="1"/>
  <c r="O2162" i="1"/>
  <c r="N2162" i="1"/>
  <c r="S2161" i="1"/>
  <c r="R2161" i="1"/>
  <c r="Q2161" i="1"/>
  <c r="P2161" i="1"/>
  <c r="O2161" i="1"/>
  <c r="N2161" i="1"/>
  <c r="S2160" i="1"/>
  <c r="R2160" i="1"/>
  <c r="Q2160" i="1"/>
  <c r="P2160" i="1"/>
  <c r="O2160" i="1"/>
  <c r="N2160" i="1"/>
  <c r="S2159" i="1"/>
  <c r="R2159" i="1"/>
  <c r="Q2159" i="1"/>
  <c r="P2159" i="1"/>
  <c r="O2159" i="1"/>
  <c r="N2159" i="1"/>
  <c r="S2158" i="1"/>
  <c r="R2158" i="1"/>
  <c r="Q2158" i="1"/>
  <c r="P2158" i="1"/>
  <c r="O2158" i="1"/>
  <c r="N2158" i="1"/>
  <c r="S2157" i="1"/>
  <c r="R2157" i="1"/>
  <c r="Q2157" i="1"/>
  <c r="P2157" i="1"/>
  <c r="O2157" i="1"/>
  <c r="N2157" i="1"/>
  <c r="S2156" i="1"/>
  <c r="R2156" i="1"/>
  <c r="Q2156" i="1"/>
  <c r="P2156" i="1"/>
  <c r="O2156" i="1"/>
  <c r="N2156" i="1"/>
  <c r="S2155" i="1"/>
  <c r="R2155" i="1"/>
  <c r="Q2155" i="1"/>
  <c r="P2155" i="1"/>
  <c r="O2155" i="1"/>
  <c r="N2155" i="1"/>
  <c r="S2154" i="1"/>
  <c r="R2154" i="1"/>
  <c r="Q2154" i="1"/>
  <c r="P2154" i="1"/>
  <c r="O2154" i="1"/>
  <c r="N2154" i="1"/>
  <c r="S2153" i="1"/>
  <c r="R2153" i="1"/>
  <c r="Q2153" i="1"/>
  <c r="P2153" i="1"/>
  <c r="O2153" i="1"/>
  <c r="N2153" i="1"/>
  <c r="S2152" i="1"/>
  <c r="R2152" i="1"/>
  <c r="Q2152" i="1"/>
  <c r="P2152" i="1"/>
  <c r="O2152" i="1"/>
  <c r="N2152" i="1"/>
  <c r="S2151" i="1"/>
  <c r="R2151" i="1"/>
  <c r="Q2151" i="1"/>
  <c r="P2151" i="1"/>
  <c r="O2151" i="1"/>
  <c r="N2151" i="1"/>
  <c r="S2150" i="1"/>
  <c r="R2150" i="1"/>
  <c r="Q2150" i="1"/>
  <c r="P2150" i="1"/>
  <c r="O2150" i="1"/>
  <c r="N2150" i="1"/>
  <c r="S2149" i="1"/>
  <c r="R2149" i="1"/>
  <c r="Q2149" i="1"/>
  <c r="P2149" i="1"/>
  <c r="O2149" i="1"/>
  <c r="N2149" i="1"/>
  <c r="S2148" i="1"/>
  <c r="R2148" i="1"/>
  <c r="Q2148" i="1"/>
  <c r="P2148" i="1"/>
  <c r="O2148" i="1"/>
  <c r="N2148" i="1"/>
  <c r="S2147" i="1"/>
  <c r="R2147" i="1"/>
  <c r="Q2147" i="1"/>
  <c r="P2147" i="1"/>
  <c r="O2147" i="1"/>
  <c r="N2147" i="1"/>
  <c r="S2146" i="1"/>
  <c r="R2146" i="1"/>
  <c r="Q2146" i="1"/>
  <c r="P2146" i="1"/>
  <c r="O2146" i="1"/>
  <c r="N2146" i="1"/>
  <c r="S2145" i="1"/>
  <c r="R2145" i="1"/>
  <c r="Q2145" i="1"/>
  <c r="P2145" i="1"/>
  <c r="O2145" i="1"/>
  <c r="N2145" i="1"/>
  <c r="S2144" i="1"/>
  <c r="R2144" i="1"/>
  <c r="Q2144" i="1"/>
  <c r="P2144" i="1"/>
  <c r="O2144" i="1"/>
  <c r="N2144" i="1"/>
  <c r="S2143" i="1"/>
  <c r="R2143" i="1"/>
  <c r="Q2143" i="1"/>
  <c r="P2143" i="1"/>
  <c r="O2143" i="1"/>
  <c r="N2143" i="1"/>
  <c r="S2142" i="1"/>
  <c r="R2142" i="1"/>
  <c r="Q2142" i="1"/>
  <c r="P2142" i="1"/>
  <c r="O2142" i="1"/>
  <c r="N2142" i="1"/>
  <c r="S2141" i="1"/>
  <c r="R2141" i="1"/>
  <c r="Q2141" i="1"/>
  <c r="P2141" i="1"/>
  <c r="O2141" i="1"/>
  <c r="N2141" i="1"/>
  <c r="S2140" i="1"/>
  <c r="R2140" i="1"/>
  <c r="Q2140" i="1"/>
  <c r="P2140" i="1"/>
  <c r="O2140" i="1"/>
  <c r="N2140" i="1"/>
  <c r="S2139" i="1"/>
  <c r="R2139" i="1"/>
  <c r="Q2139" i="1"/>
  <c r="P2139" i="1"/>
  <c r="O2139" i="1"/>
  <c r="N2139" i="1"/>
  <c r="S2138" i="1"/>
  <c r="R2138" i="1"/>
  <c r="Q2138" i="1"/>
  <c r="P2138" i="1"/>
  <c r="O2138" i="1"/>
  <c r="N2138" i="1"/>
  <c r="S2137" i="1"/>
  <c r="R2137" i="1"/>
  <c r="Q2137" i="1"/>
  <c r="P2137" i="1"/>
  <c r="O2137" i="1"/>
  <c r="N2137" i="1"/>
  <c r="S2136" i="1"/>
  <c r="R2136" i="1"/>
  <c r="Q2136" i="1"/>
  <c r="P2136" i="1"/>
  <c r="O2136" i="1"/>
  <c r="N2136" i="1"/>
  <c r="S2135" i="1"/>
  <c r="R2135" i="1"/>
  <c r="Q2135" i="1"/>
  <c r="P2135" i="1"/>
  <c r="O2135" i="1"/>
  <c r="N2135" i="1"/>
  <c r="S2134" i="1"/>
  <c r="R2134" i="1"/>
  <c r="Q2134" i="1"/>
  <c r="P2134" i="1"/>
  <c r="O2134" i="1"/>
  <c r="N2134" i="1"/>
  <c r="S2133" i="1"/>
  <c r="R2133" i="1"/>
  <c r="Q2133" i="1"/>
  <c r="P2133" i="1"/>
  <c r="O2133" i="1"/>
  <c r="N2133" i="1"/>
  <c r="S2132" i="1"/>
  <c r="R2132" i="1"/>
  <c r="Q2132" i="1"/>
  <c r="P2132" i="1"/>
  <c r="O2132" i="1"/>
  <c r="N2132" i="1"/>
  <c r="S2131" i="1"/>
  <c r="R2131" i="1"/>
  <c r="Q2131" i="1"/>
  <c r="P2131" i="1"/>
  <c r="O2131" i="1"/>
  <c r="N2131" i="1"/>
  <c r="S2130" i="1"/>
  <c r="R2130" i="1"/>
  <c r="Q2130" i="1"/>
  <c r="P2130" i="1"/>
  <c r="O2130" i="1"/>
  <c r="N2130" i="1"/>
  <c r="S2129" i="1"/>
  <c r="R2129" i="1"/>
  <c r="Q2129" i="1"/>
  <c r="P2129" i="1"/>
  <c r="O2129" i="1"/>
  <c r="N2129" i="1"/>
  <c r="S2128" i="1"/>
  <c r="R2128" i="1"/>
  <c r="Q2128" i="1"/>
  <c r="P2128" i="1"/>
  <c r="O2128" i="1"/>
  <c r="N2128" i="1"/>
  <c r="S2127" i="1"/>
  <c r="R2127" i="1"/>
  <c r="Q2127" i="1"/>
  <c r="P2127" i="1"/>
  <c r="O2127" i="1"/>
  <c r="N2127" i="1"/>
  <c r="S2126" i="1"/>
  <c r="R2126" i="1"/>
  <c r="Q2126" i="1"/>
  <c r="P2126" i="1"/>
  <c r="O2126" i="1"/>
  <c r="N2126" i="1"/>
  <c r="S2125" i="1"/>
  <c r="R2125" i="1"/>
  <c r="Q2125" i="1"/>
  <c r="P2125" i="1"/>
  <c r="O2125" i="1"/>
  <c r="N2125" i="1"/>
  <c r="S2124" i="1"/>
  <c r="R2124" i="1"/>
  <c r="Q2124" i="1"/>
  <c r="P2124" i="1"/>
  <c r="O2124" i="1"/>
  <c r="N2124" i="1"/>
  <c r="S2123" i="1"/>
  <c r="R2123" i="1"/>
  <c r="Q2123" i="1"/>
  <c r="P2123" i="1"/>
  <c r="O2123" i="1"/>
  <c r="N2123" i="1"/>
  <c r="S2122" i="1"/>
  <c r="R2122" i="1"/>
  <c r="Q2122" i="1"/>
  <c r="P2122" i="1"/>
  <c r="O2122" i="1"/>
  <c r="N2122" i="1"/>
  <c r="S2121" i="1"/>
  <c r="R2121" i="1"/>
  <c r="Q2121" i="1"/>
  <c r="P2121" i="1"/>
  <c r="O2121" i="1"/>
  <c r="N2121" i="1"/>
  <c r="S2120" i="1"/>
  <c r="R2120" i="1"/>
  <c r="Q2120" i="1"/>
  <c r="P2120" i="1"/>
  <c r="O2120" i="1"/>
  <c r="N2120" i="1"/>
  <c r="S2119" i="1"/>
  <c r="R2119" i="1"/>
  <c r="Q2119" i="1"/>
  <c r="P2119" i="1"/>
  <c r="O2119" i="1"/>
  <c r="N2119" i="1"/>
  <c r="S2118" i="1"/>
  <c r="R2118" i="1"/>
  <c r="Q2118" i="1"/>
  <c r="P2118" i="1"/>
  <c r="O2118" i="1"/>
  <c r="N2118" i="1"/>
  <c r="S2117" i="1"/>
  <c r="R2117" i="1"/>
  <c r="Q2117" i="1"/>
  <c r="P2117" i="1"/>
  <c r="O2117" i="1"/>
  <c r="N2117" i="1"/>
  <c r="S2116" i="1"/>
  <c r="R2116" i="1"/>
  <c r="Q2116" i="1"/>
  <c r="P2116" i="1"/>
  <c r="O2116" i="1"/>
  <c r="N2116" i="1"/>
  <c r="S2115" i="1"/>
  <c r="R2115" i="1"/>
  <c r="Q2115" i="1"/>
  <c r="P2115" i="1"/>
  <c r="O2115" i="1"/>
  <c r="N2115" i="1"/>
  <c r="S2114" i="1"/>
  <c r="R2114" i="1"/>
  <c r="Q2114" i="1"/>
  <c r="P2114" i="1"/>
  <c r="O2114" i="1"/>
  <c r="N2114" i="1"/>
  <c r="S2113" i="1"/>
  <c r="R2113" i="1"/>
  <c r="Q2113" i="1"/>
  <c r="P2113" i="1"/>
  <c r="O2113" i="1"/>
  <c r="N2113" i="1"/>
  <c r="S2112" i="1"/>
  <c r="R2112" i="1"/>
  <c r="Q2112" i="1"/>
  <c r="P2112" i="1"/>
  <c r="O2112" i="1"/>
  <c r="N2112" i="1"/>
  <c r="S2111" i="1"/>
  <c r="R2111" i="1"/>
  <c r="Q2111" i="1"/>
  <c r="P2111" i="1"/>
  <c r="O2111" i="1"/>
  <c r="N2111" i="1"/>
  <c r="S2110" i="1"/>
  <c r="R2110" i="1"/>
  <c r="Q2110" i="1"/>
  <c r="P2110" i="1"/>
  <c r="O2110" i="1"/>
  <c r="N2110" i="1"/>
  <c r="S2109" i="1"/>
  <c r="R2109" i="1"/>
  <c r="Q2109" i="1"/>
  <c r="P2109" i="1"/>
  <c r="O2109" i="1"/>
  <c r="N2109" i="1"/>
  <c r="S2108" i="1"/>
  <c r="R2108" i="1"/>
  <c r="Q2108" i="1"/>
  <c r="P2108" i="1"/>
  <c r="O2108" i="1"/>
  <c r="N2108" i="1"/>
  <c r="S2107" i="1"/>
  <c r="R2107" i="1"/>
  <c r="Q2107" i="1"/>
  <c r="P2107" i="1"/>
  <c r="O2107" i="1"/>
  <c r="N2107" i="1"/>
  <c r="S2106" i="1"/>
  <c r="R2106" i="1"/>
  <c r="Q2106" i="1"/>
  <c r="P2106" i="1"/>
  <c r="O2106" i="1"/>
  <c r="N2106" i="1"/>
  <c r="S2105" i="1"/>
  <c r="R2105" i="1"/>
  <c r="Q2105" i="1"/>
  <c r="P2105" i="1"/>
  <c r="O2105" i="1"/>
  <c r="N2105" i="1"/>
  <c r="S2104" i="1"/>
  <c r="R2104" i="1"/>
  <c r="Q2104" i="1"/>
  <c r="P2104" i="1"/>
  <c r="O2104" i="1"/>
  <c r="N2104" i="1"/>
  <c r="S2103" i="1"/>
  <c r="R2103" i="1"/>
  <c r="Q2103" i="1"/>
  <c r="P2103" i="1"/>
  <c r="O2103" i="1"/>
  <c r="N2103" i="1"/>
  <c r="S2102" i="1"/>
  <c r="R2102" i="1"/>
  <c r="Q2102" i="1"/>
  <c r="P2102" i="1"/>
  <c r="O2102" i="1"/>
  <c r="N2102" i="1"/>
  <c r="S2101" i="1"/>
  <c r="R2101" i="1"/>
  <c r="Q2101" i="1"/>
  <c r="P2101" i="1"/>
  <c r="O2101" i="1"/>
  <c r="N2101" i="1"/>
  <c r="S2100" i="1"/>
  <c r="R2100" i="1"/>
  <c r="Q2100" i="1"/>
  <c r="P2100" i="1"/>
  <c r="O2100" i="1"/>
  <c r="N2100" i="1"/>
  <c r="S2099" i="1"/>
  <c r="R2099" i="1"/>
  <c r="Q2099" i="1"/>
  <c r="P2099" i="1"/>
  <c r="O2099" i="1"/>
  <c r="N2099" i="1"/>
  <c r="S2098" i="1"/>
  <c r="R2098" i="1"/>
  <c r="Q2098" i="1"/>
  <c r="P2098" i="1"/>
  <c r="O2098" i="1"/>
  <c r="N2098" i="1"/>
  <c r="S2097" i="1"/>
  <c r="R2097" i="1"/>
  <c r="Q2097" i="1"/>
  <c r="P2097" i="1"/>
  <c r="O2097" i="1"/>
  <c r="N2097" i="1"/>
  <c r="S2096" i="1"/>
  <c r="R2096" i="1"/>
  <c r="Q2096" i="1"/>
  <c r="P2096" i="1"/>
  <c r="O2096" i="1"/>
  <c r="N2096" i="1"/>
  <c r="S2095" i="1"/>
  <c r="R2095" i="1"/>
  <c r="Q2095" i="1"/>
  <c r="P2095" i="1"/>
  <c r="O2095" i="1"/>
  <c r="N2095" i="1"/>
  <c r="S2094" i="1"/>
  <c r="R2094" i="1"/>
  <c r="Q2094" i="1"/>
  <c r="P2094" i="1"/>
  <c r="O2094" i="1"/>
  <c r="N2094" i="1"/>
  <c r="S2093" i="1"/>
  <c r="R2093" i="1"/>
  <c r="Q2093" i="1"/>
  <c r="P2093" i="1"/>
  <c r="O2093" i="1"/>
  <c r="N2093" i="1"/>
  <c r="S2092" i="1"/>
  <c r="R2092" i="1"/>
  <c r="Q2092" i="1"/>
  <c r="P2092" i="1"/>
  <c r="O2092" i="1"/>
  <c r="N2092" i="1"/>
  <c r="S2091" i="1"/>
  <c r="R2091" i="1"/>
  <c r="Q2091" i="1"/>
  <c r="P2091" i="1"/>
  <c r="O2091" i="1"/>
  <c r="N2091" i="1"/>
  <c r="S2090" i="1"/>
  <c r="R2090" i="1"/>
  <c r="Q2090" i="1"/>
  <c r="P2090" i="1"/>
  <c r="O2090" i="1"/>
  <c r="N2090" i="1"/>
  <c r="S2089" i="1"/>
  <c r="R2089" i="1"/>
  <c r="Q2089" i="1"/>
  <c r="P2089" i="1"/>
  <c r="O2089" i="1"/>
  <c r="N2089" i="1"/>
  <c r="S2088" i="1"/>
  <c r="R2088" i="1"/>
  <c r="Q2088" i="1"/>
  <c r="P2088" i="1"/>
  <c r="O2088" i="1"/>
  <c r="N2088" i="1"/>
  <c r="S2087" i="1"/>
  <c r="R2087" i="1"/>
  <c r="Q2087" i="1"/>
  <c r="P2087" i="1"/>
  <c r="O2087" i="1"/>
  <c r="N2087" i="1"/>
  <c r="S2086" i="1"/>
  <c r="R2086" i="1"/>
  <c r="Q2086" i="1"/>
  <c r="P2086" i="1"/>
  <c r="O2086" i="1"/>
  <c r="N2086" i="1"/>
  <c r="S2085" i="1"/>
  <c r="R2085" i="1"/>
  <c r="Q2085" i="1"/>
  <c r="P2085" i="1"/>
  <c r="O2085" i="1"/>
  <c r="N2085" i="1"/>
  <c r="S2084" i="1"/>
  <c r="R2084" i="1"/>
  <c r="Q2084" i="1"/>
  <c r="P2084" i="1"/>
  <c r="O2084" i="1"/>
  <c r="N2084" i="1"/>
  <c r="S2083" i="1"/>
  <c r="R2083" i="1"/>
  <c r="Q2083" i="1"/>
  <c r="P2083" i="1"/>
  <c r="O2083" i="1"/>
  <c r="N2083" i="1"/>
  <c r="S2082" i="1"/>
  <c r="R2082" i="1"/>
  <c r="Q2082" i="1"/>
  <c r="P2082" i="1"/>
  <c r="O2082" i="1"/>
  <c r="N2082" i="1"/>
  <c r="S2081" i="1"/>
  <c r="R2081" i="1"/>
  <c r="Q2081" i="1"/>
  <c r="P2081" i="1"/>
  <c r="O2081" i="1"/>
  <c r="N2081" i="1"/>
  <c r="S2080" i="1"/>
  <c r="R2080" i="1"/>
  <c r="Q2080" i="1"/>
  <c r="P2080" i="1"/>
  <c r="O2080" i="1"/>
  <c r="N2080" i="1"/>
  <c r="S2079" i="1"/>
  <c r="R2079" i="1"/>
  <c r="Q2079" i="1"/>
  <c r="P2079" i="1"/>
  <c r="O2079" i="1"/>
  <c r="N2079" i="1"/>
  <c r="S2078" i="1"/>
  <c r="R2078" i="1"/>
  <c r="Q2078" i="1"/>
  <c r="P2078" i="1"/>
  <c r="O2078" i="1"/>
  <c r="N2078" i="1"/>
  <c r="S2077" i="1"/>
  <c r="R2077" i="1"/>
  <c r="Q2077" i="1"/>
  <c r="P2077" i="1"/>
  <c r="O2077" i="1"/>
  <c r="N2077" i="1"/>
  <c r="S2076" i="1"/>
  <c r="R2076" i="1"/>
  <c r="Q2076" i="1"/>
  <c r="P2076" i="1"/>
  <c r="O2076" i="1"/>
  <c r="N2076" i="1"/>
  <c r="S2075" i="1"/>
  <c r="R2075" i="1"/>
  <c r="Q2075" i="1"/>
  <c r="P2075" i="1"/>
  <c r="O2075" i="1"/>
  <c r="N2075" i="1"/>
  <c r="S2074" i="1"/>
  <c r="R2074" i="1"/>
  <c r="Q2074" i="1"/>
  <c r="P2074" i="1"/>
  <c r="O2074" i="1"/>
  <c r="N2074" i="1"/>
  <c r="S2073" i="1"/>
  <c r="R2073" i="1"/>
  <c r="Q2073" i="1"/>
  <c r="P2073" i="1"/>
  <c r="O2073" i="1"/>
  <c r="N2073" i="1"/>
  <c r="S2072" i="1"/>
  <c r="R2072" i="1"/>
  <c r="Q2072" i="1"/>
  <c r="P2072" i="1"/>
  <c r="O2072" i="1"/>
  <c r="N2072" i="1"/>
  <c r="S2071" i="1"/>
  <c r="R2071" i="1"/>
  <c r="Q2071" i="1"/>
  <c r="P2071" i="1"/>
  <c r="O2071" i="1"/>
  <c r="N2071" i="1"/>
  <c r="S2070" i="1"/>
  <c r="R2070" i="1"/>
  <c r="Q2070" i="1"/>
  <c r="P2070" i="1"/>
  <c r="O2070" i="1"/>
  <c r="N2070" i="1"/>
  <c r="S2069" i="1"/>
  <c r="R2069" i="1"/>
  <c r="Q2069" i="1"/>
  <c r="P2069" i="1"/>
  <c r="O2069" i="1"/>
  <c r="N2069" i="1"/>
  <c r="S2068" i="1"/>
  <c r="R2068" i="1"/>
  <c r="Q2068" i="1"/>
  <c r="P2068" i="1"/>
  <c r="O2068" i="1"/>
  <c r="N2068" i="1"/>
  <c r="S2067" i="1"/>
  <c r="R2067" i="1"/>
  <c r="Q2067" i="1"/>
  <c r="P2067" i="1"/>
  <c r="O2067" i="1"/>
  <c r="N2067" i="1"/>
  <c r="S2066" i="1"/>
  <c r="R2066" i="1"/>
  <c r="Q2066" i="1"/>
  <c r="P2066" i="1"/>
  <c r="O2066" i="1"/>
  <c r="N2066" i="1"/>
  <c r="S2065" i="1"/>
  <c r="R2065" i="1"/>
  <c r="Q2065" i="1"/>
  <c r="P2065" i="1"/>
  <c r="O2065" i="1"/>
  <c r="N2065" i="1"/>
  <c r="S2064" i="1"/>
  <c r="R2064" i="1"/>
  <c r="Q2064" i="1"/>
  <c r="P2064" i="1"/>
  <c r="O2064" i="1"/>
  <c r="N2064" i="1"/>
  <c r="S2063" i="1"/>
  <c r="R2063" i="1"/>
  <c r="Q2063" i="1"/>
  <c r="P2063" i="1"/>
  <c r="O2063" i="1"/>
  <c r="N2063" i="1"/>
  <c r="S2062" i="1"/>
  <c r="R2062" i="1"/>
  <c r="Q2062" i="1"/>
  <c r="P2062" i="1"/>
  <c r="O2062" i="1"/>
  <c r="N2062" i="1"/>
  <c r="S2061" i="1"/>
  <c r="R2061" i="1"/>
  <c r="Q2061" i="1"/>
  <c r="P2061" i="1"/>
  <c r="O2061" i="1"/>
  <c r="N2061" i="1"/>
  <c r="S2060" i="1"/>
  <c r="R2060" i="1"/>
  <c r="Q2060" i="1"/>
  <c r="P2060" i="1"/>
  <c r="O2060" i="1"/>
  <c r="N2060" i="1"/>
  <c r="S2059" i="1"/>
  <c r="R2059" i="1"/>
  <c r="Q2059" i="1"/>
  <c r="P2059" i="1"/>
  <c r="O2059" i="1"/>
  <c r="N2059" i="1"/>
  <c r="S2058" i="1"/>
  <c r="R2058" i="1"/>
  <c r="Q2058" i="1"/>
  <c r="P2058" i="1"/>
  <c r="O2058" i="1"/>
  <c r="N2058" i="1"/>
  <c r="S2057" i="1"/>
  <c r="R2057" i="1"/>
  <c r="Q2057" i="1"/>
  <c r="P2057" i="1"/>
  <c r="O2057" i="1"/>
  <c r="N2057" i="1"/>
  <c r="S2056" i="1"/>
  <c r="R2056" i="1"/>
  <c r="Q2056" i="1"/>
  <c r="P2056" i="1"/>
  <c r="O2056" i="1"/>
  <c r="N2056" i="1"/>
  <c r="S2055" i="1"/>
  <c r="R2055" i="1"/>
  <c r="Q2055" i="1"/>
  <c r="P2055" i="1"/>
  <c r="O2055" i="1"/>
  <c r="N2055" i="1"/>
  <c r="S2054" i="1"/>
  <c r="R2054" i="1"/>
  <c r="Q2054" i="1"/>
  <c r="P2054" i="1"/>
  <c r="O2054" i="1"/>
  <c r="N2054" i="1"/>
  <c r="S2053" i="1"/>
  <c r="R2053" i="1"/>
  <c r="Q2053" i="1"/>
  <c r="P2053" i="1"/>
  <c r="O2053" i="1"/>
  <c r="N2053" i="1"/>
  <c r="S2052" i="1"/>
  <c r="R2052" i="1"/>
  <c r="Q2052" i="1"/>
  <c r="P2052" i="1"/>
  <c r="O2052" i="1"/>
  <c r="N2052" i="1"/>
  <c r="S2051" i="1"/>
  <c r="R2051" i="1"/>
  <c r="Q2051" i="1"/>
  <c r="P2051" i="1"/>
  <c r="O2051" i="1"/>
  <c r="N2051" i="1"/>
  <c r="S2050" i="1"/>
  <c r="R2050" i="1"/>
  <c r="Q2050" i="1"/>
  <c r="P2050" i="1"/>
  <c r="O2050" i="1"/>
  <c r="N2050" i="1"/>
  <c r="S2049" i="1"/>
  <c r="R2049" i="1"/>
  <c r="Q2049" i="1"/>
  <c r="P2049" i="1"/>
  <c r="O2049" i="1"/>
  <c r="N2049" i="1"/>
  <c r="S2048" i="1"/>
  <c r="R2048" i="1"/>
  <c r="Q2048" i="1"/>
  <c r="P2048" i="1"/>
  <c r="O2048" i="1"/>
  <c r="N2048" i="1"/>
  <c r="S2047" i="1"/>
  <c r="R2047" i="1"/>
  <c r="Q2047" i="1"/>
  <c r="P2047" i="1"/>
  <c r="O2047" i="1"/>
  <c r="N2047" i="1"/>
  <c r="S2046" i="1"/>
  <c r="R2046" i="1"/>
  <c r="Q2046" i="1"/>
  <c r="P2046" i="1"/>
  <c r="O2046" i="1"/>
  <c r="N2046" i="1"/>
  <c r="S2045" i="1"/>
  <c r="R2045" i="1"/>
  <c r="Q2045" i="1"/>
  <c r="P2045" i="1"/>
  <c r="O2045" i="1"/>
  <c r="N2045" i="1"/>
  <c r="S2044" i="1"/>
  <c r="R2044" i="1"/>
  <c r="Q2044" i="1"/>
  <c r="P2044" i="1"/>
  <c r="O2044" i="1"/>
  <c r="N2044" i="1"/>
  <c r="S2043" i="1"/>
  <c r="R2043" i="1"/>
  <c r="Q2043" i="1"/>
  <c r="P2043" i="1"/>
  <c r="O2043" i="1"/>
  <c r="N2043" i="1"/>
  <c r="S2042" i="1"/>
  <c r="R2042" i="1"/>
  <c r="Q2042" i="1"/>
  <c r="P2042" i="1"/>
  <c r="O2042" i="1"/>
  <c r="N2042" i="1"/>
  <c r="S2041" i="1"/>
  <c r="R2041" i="1"/>
  <c r="Q2041" i="1"/>
  <c r="P2041" i="1"/>
  <c r="O2041" i="1"/>
  <c r="N2041" i="1"/>
  <c r="S2040" i="1"/>
  <c r="R2040" i="1"/>
  <c r="Q2040" i="1"/>
  <c r="P2040" i="1"/>
  <c r="O2040" i="1"/>
  <c r="N2040" i="1"/>
  <c r="S2039" i="1"/>
  <c r="R2039" i="1"/>
  <c r="Q2039" i="1"/>
  <c r="P2039" i="1"/>
  <c r="O2039" i="1"/>
  <c r="N2039" i="1"/>
  <c r="S2038" i="1"/>
  <c r="R2038" i="1"/>
  <c r="Q2038" i="1"/>
  <c r="P2038" i="1"/>
  <c r="O2038" i="1"/>
  <c r="N2038" i="1"/>
  <c r="S2037" i="1"/>
  <c r="R2037" i="1"/>
  <c r="Q2037" i="1"/>
  <c r="P2037" i="1"/>
  <c r="O2037" i="1"/>
  <c r="N2037" i="1"/>
  <c r="S2036" i="1"/>
  <c r="R2036" i="1"/>
  <c r="Q2036" i="1"/>
  <c r="P2036" i="1"/>
  <c r="O2036" i="1"/>
  <c r="N2036" i="1"/>
  <c r="S2035" i="1"/>
  <c r="R2035" i="1"/>
  <c r="Q2035" i="1"/>
  <c r="P2035" i="1"/>
  <c r="O2035" i="1"/>
  <c r="N2035" i="1"/>
  <c r="S2034" i="1"/>
  <c r="R2034" i="1"/>
  <c r="Q2034" i="1"/>
  <c r="P2034" i="1"/>
  <c r="O2034" i="1"/>
  <c r="N2034" i="1"/>
  <c r="S2033" i="1"/>
  <c r="R2033" i="1"/>
  <c r="Q2033" i="1"/>
  <c r="P2033" i="1"/>
  <c r="O2033" i="1"/>
  <c r="N2033" i="1"/>
  <c r="S2032" i="1"/>
  <c r="R2032" i="1"/>
  <c r="Q2032" i="1"/>
  <c r="P2032" i="1"/>
  <c r="O2032" i="1"/>
  <c r="N2032" i="1"/>
  <c r="S2031" i="1"/>
  <c r="R2031" i="1"/>
  <c r="Q2031" i="1"/>
  <c r="P2031" i="1"/>
  <c r="O2031" i="1"/>
  <c r="N2031" i="1"/>
  <c r="S2030" i="1"/>
  <c r="R2030" i="1"/>
  <c r="Q2030" i="1"/>
  <c r="P2030" i="1"/>
  <c r="O2030" i="1"/>
  <c r="N2030" i="1"/>
  <c r="S2029" i="1"/>
  <c r="R2029" i="1"/>
  <c r="Q2029" i="1"/>
  <c r="P2029" i="1"/>
  <c r="O2029" i="1"/>
  <c r="N2029" i="1"/>
  <c r="S2028" i="1"/>
  <c r="R2028" i="1"/>
  <c r="Q2028" i="1"/>
  <c r="P2028" i="1"/>
  <c r="O2028" i="1"/>
  <c r="N2028" i="1"/>
  <c r="S2027" i="1"/>
  <c r="R2027" i="1"/>
  <c r="Q2027" i="1"/>
  <c r="P2027" i="1"/>
  <c r="O2027" i="1"/>
  <c r="N2027" i="1"/>
  <c r="S2026" i="1"/>
  <c r="R2026" i="1"/>
  <c r="Q2026" i="1"/>
  <c r="P2026" i="1"/>
  <c r="O2026" i="1"/>
  <c r="N2026" i="1"/>
  <c r="S2025" i="1"/>
  <c r="R2025" i="1"/>
  <c r="Q2025" i="1"/>
  <c r="P2025" i="1"/>
  <c r="O2025" i="1"/>
  <c r="N2025" i="1"/>
  <c r="S2024" i="1"/>
  <c r="R2024" i="1"/>
  <c r="Q2024" i="1"/>
  <c r="P2024" i="1"/>
  <c r="O2024" i="1"/>
  <c r="N2024" i="1"/>
  <c r="S2023" i="1"/>
  <c r="R2023" i="1"/>
  <c r="Q2023" i="1"/>
  <c r="P2023" i="1"/>
  <c r="O2023" i="1"/>
  <c r="N2023" i="1"/>
  <c r="S2022" i="1"/>
  <c r="R2022" i="1"/>
  <c r="Q2022" i="1"/>
  <c r="P2022" i="1"/>
  <c r="O2022" i="1"/>
  <c r="N2022" i="1"/>
  <c r="S2021" i="1"/>
  <c r="R2021" i="1"/>
  <c r="Q2021" i="1"/>
  <c r="P2021" i="1"/>
  <c r="O2021" i="1"/>
  <c r="N2021" i="1"/>
  <c r="S2020" i="1"/>
  <c r="R2020" i="1"/>
  <c r="Q2020" i="1"/>
  <c r="P2020" i="1"/>
  <c r="O2020" i="1"/>
  <c r="N2020" i="1"/>
  <c r="S2019" i="1"/>
  <c r="R2019" i="1"/>
  <c r="Q2019" i="1"/>
  <c r="P2019" i="1"/>
  <c r="O2019" i="1"/>
  <c r="N2019" i="1"/>
  <c r="S2018" i="1"/>
  <c r="R2018" i="1"/>
  <c r="Q2018" i="1"/>
  <c r="P2018" i="1"/>
  <c r="O2018" i="1"/>
  <c r="N2018" i="1"/>
  <c r="S2017" i="1"/>
  <c r="R2017" i="1"/>
  <c r="Q2017" i="1"/>
  <c r="P2017" i="1"/>
  <c r="O2017" i="1"/>
  <c r="N2017" i="1"/>
  <c r="S2016" i="1"/>
  <c r="R2016" i="1"/>
  <c r="Q2016" i="1"/>
  <c r="P2016" i="1"/>
  <c r="O2016" i="1"/>
  <c r="N2016" i="1"/>
  <c r="S2015" i="1"/>
  <c r="R2015" i="1"/>
  <c r="Q2015" i="1"/>
  <c r="P2015" i="1"/>
  <c r="O2015" i="1"/>
  <c r="N2015" i="1"/>
  <c r="S2014" i="1"/>
  <c r="R2014" i="1"/>
  <c r="Q2014" i="1"/>
  <c r="P2014" i="1"/>
  <c r="O2014" i="1"/>
  <c r="N2014" i="1"/>
  <c r="S2013" i="1"/>
  <c r="R2013" i="1"/>
  <c r="Q2013" i="1"/>
  <c r="P2013" i="1"/>
  <c r="O2013" i="1"/>
  <c r="N2013" i="1"/>
  <c r="S2012" i="1"/>
  <c r="R2012" i="1"/>
  <c r="Q2012" i="1"/>
  <c r="P2012" i="1"/>
  <c r="O2012" i="1"/>
  <c r="N2012" i="1"/>
  <c r="S2011" i="1"/>
  <c r="R2011" i="1"/>
  <c r="Q2011" i="1"/>
  <c r="P2011" i="1"/>
  <c r="O2011" i="1"/>
  <c r="N2011" i="1"/>
  <c r="S2010" i="1"/>
  <c r="R2010" i="1"/>
  <c r="Q2010" i="1"/>
  <c r="P2010" i="1"/>
  <c r="O2010" i="1"/>
  <c r="N2010" i="1"/>
  <c r="S2009" i="1"/>
  <c r="R2009" i="1"/>
  <c r="Q2009" i="1"/>
  <c r="P2009" i="1"/>
  <c r="O2009" i="1"/>
  <c r="N2009" i="1"/>
  <c r="S2008" i="1"/>
  <c r="R2008" i="1"/>
  <c r="Q2008" i="1"/>
  <c r="P2008" i="1"/>
  <c r="O2008" i="1"/>
  <c r="N2008" i="1"/>
  <c r="S2007" i="1"/>
  <c r="R2007" i="1"/>
  <c r="Q2007" i="1"/>
  <c r="P2007" i="1"/>
  <c r="O2007" i="1"/>
  <c r="N2007" i="1"/>
  <c r="S2006" i="1"/>
  <c r="R2006" i="1"/>
  <c r="Q2006" i="1"/>
  <c r="P2006" i="1"/>
  <c r="O2006" i="1"/>
  <c r="N2006" i="1"/>
  <c r="S2005" i="1"/>
  <c r="R2005" i="1"/>
  <c r="Q2005" i="1"/>
  <c r="P2005" i="1"/>
  <c r="O2005" i="1"/>
  <c r="N2005" i="1"/>
  <c r="S2004" i="1"/>
  <c r="R2004" i="1"/>
  <c r="Q2004" i="1"/>
  <c r="P2004" i="1"/>
  <c r="O2004" i="1"/>
  <c r="N2004" i="1"/>
  <c r="S2003" i="1"/>
  <c r="R2003" i="1"/>
  <c r="Q2003" i="1"/>
  <c r="P2003" i="1"/>
  <c r="O2003" i="1"/>
  <c r="N2003" i="1"/>
  <c r="S2002" i="1"/>
  <c r="R2002" i="1"/>
  <c r="Q2002" i="1"/>
  <c r="P2002" i="1"/>
  <c r="O2002" i="1"/>
  <c r="N2002" i="1"/>
  <c r="S2001" i="1"/>
  <c r="R2001" i="1"/>
  <c r="Q2001" i="1"/>
  <c r="P2001" i="1"/>
  <c r="O2001" i="1"/>
  <c r="N2001" i="1"/>
  <c r="S2000" i="1"/>
  <c r="R2000" i="1"/>
  <c r="Q2000" i="1"/>
  <c r="P2000" i="1"/>
  <c r="O2000" i="1"/>
  <c r="N2000" i="1"/>
  <c r="S1999" i="1"/>
  <c r="R1999" i="1"/>
  <c r="Q1999" i="1"/>
  <c r="P1999" i="1"/>
  <c r="O1999" i="1"/>
  <c r="N1999" i="1"/>
  <c r="S1998" i="1"/>
  <c r="R1998" i="1"/>
  <c r="Q1998" i="1"/>
  <c r="P1998" i="1"/>
  <c r="O1998" i="1"/>
  <c r="N1998" i="1"/>
  <c r="S1997" i="1"/>
  <c r="R1997" i="1"/>
  <c r="Q1997" i="1"/>
  <c r="P1997" i="1"/>
  <c r="O1997" i="1"/>
  <c r="N1997" i="1"/>
  <c r="S1996" i="1"/>
  <c r="R1996" i="1"/>
  <c r="Q1996" i="1"/>
  <c r="P1996" i="1"/>
  <c r="O1996" i="1"/>
  <c r="N1996" i="1"/>
  <c r="S1995" i="1"/>
  <c r="R1995" i="1"/>
  <c r="Q1995" i="1"/>
  <c r="P1995" i="1"/>
  <c r="O1995" i="1"/>
  <c r="N1995" i="1"/>
  <c r="S1994" i="1"/>
  <c r="R1994" i="1"/>
  <c r="Q1994" i="1"/>
  <c r="P1994" i="1"/>
  <c r="O1994" i="1"/>
  <c r="N1994" i="1"/>
  <c r="S1993" i="1"/>
  <c r="R1993" i="1"/>
  <c r="Q1993" i="1"/>
  <c r="P1993" i="1"/>
  <c r="O1993" i="1"/>
  <c r="N1993" i="1"/>
  <c r="S1992" i="1"/>
  <c r="R1992" i="1"/>
  <c r="Q1992" i="1"/>
  <c r="P1992" i="1"/>
  <c r="O1992" i="1"/>
  <c r="N1992" i="1"/>
  <c r="S1991" i="1"/>
  <c r="R1991" i="1"/>
  <c r="Q1991" i="1"/>
  <c r="P1991" i="1"/>
  <c r="O1991" i="1"/>
  <c r="N1991" i="1"/>
  <c r="S1990" i="1"/>
  <c r="R1990" i="1"/>
  <c r="Q1990" i="1"/>
  <c r="P1990" i="1"/>
  <c r="O1990" i="1"/>
  <c r="N1990" i="1"/>
  <c r="S1989" i="1"/>
  <c r="R1989" i="1"/>
  <c r="Q1989" i="1"/>
  <c r="P1989" i="1"/>
  <c r="O1989" i="1"/>
  <c r="N1989" i="1"/>
  <c r="S1988" i="1"/>
  <c r="R1988" i="1"/>
  <c r="Q1988" i="1"/>
  <c r="P1988" i="1"/>
  <c r="O1988" i="1"/>
  <c r="N1988" i="1"/>
  <c r="S1987" i="1"/>
  <c r="R1987" i="1"/>
  <c r="Q1987" i="1"/>
  <c r="P1987" i="1"/>
  <c r="O1987" i="1"/>
  <c r="N1987" i="1"/>
  <c r="S1986" i="1"/>
  <c r="R1986" i="1"/>
  <c r="Q1986" i="1"/>
  <c r="P1986" i="1"/>
  <c r="O1986" i="1"/>
  <c r="N1986" i="1"/>
  <c r="S1985" i="1"/>
  <c r="R1985" i="1"/>
  <c r="Q1985" i="1"/>
  <c r="P1985" i="1"/>
  <c r="O1985" i="1"/>
  <c r="N1985" i="1"/>
  <c r="S1984" i="1"/>
  <c r="R1984" i="1"/>
  <c r="Q1984" i="1"/>
  <c r="P1984" i="1"/>
  <c r="O1984" i="1"/>
  <c r="N1984" i="1"/>
  <c r="S1983" i="1"/>
  <c r="R1983" i="1"/>
  <c r="Q1983" i="1"/>
  <c r="P1983" i="1"/>
  <c r="O1983" i="1"/>
  <c r="N1983" i="1"/>
  <c r="S1982" i="1"/>
  <c r="R1982" i="1"/>
  <c r="Q1982" i="1"/>
  <c r="P1982" i="1"/>
  <c r="O1982" i="1"/>
  <c r="N1982" i="1"/>
  <c r="S1981" i="1"/>
  <c r="R1981" i="1"/>
  <c r="Q1981" i="1"/>
  <c r="P1981" i="1"/>
  <c r="O1981" i="1"/>
  <c r="N1981" i="1"/>
  <c r="S1980" i="1"/>
  <c r="R1980" i="1"/>
  <c r="Q1980" i="1"/>
  <c r="P1980" i="1"/>
  <c r="O1980" i="1"/>
  <c r="N1980" i="1"/>
  <c r="S1979" i="1"/>
  <c r="R1979" i="1"/>
  <c r="Q1979" i="1"/>
  <c r="P1979" i="1"/>
  <c r="O1979" i="1"/>
  <c r="N1979" i="1"/>
  <c r="S1978" i="1"/>
  <c r="R1978" i="1"/>
  <c r="Q1978" i="1"/>
  <c r="P1978" i="1"/>
  <c r="O1978" i="1"/>
  <c r="N1978" i="1"/>
  <c r="S1977" i="1"/>
  <c r="R1977" i="1"/>
  <c r="Q1977" i="1"/>
  <c r="P1977" i="1"/>
  <c r="O1977" i="1"/>
  <c r="N1977" i="1"/>
  <c r="S1976" i="1"/>
  <c r="R1976" i="1"/>
  <c r="Q1976" i="1"/>
  <c r="P1976" i="1"/>
  <c r="O1976" i="1"/>
  <c r="N1976" i="1"/>
  <c r="S1975" i="1"/>
  <c r="R1975" i="1"/>
  <c r="Q1975" i="1"/>
  <c r="P1975" i="1"/>
  <c r="O1975" i="1"/>
  <c r="N1975" i="1"/>
  <c r="S1974" i="1"/>
  <c r="R1974" i="1"/>
  <c r="Q1974" i="1"/>
  <c r="P1974" i="1"/>
  <c r="O1974" i="1"/>
  <c r="N1974" i="1"/>
  <c r="S1973" i="1"/>
  <c r="R1973" i="1"/>
  <c r="Q1973" i="1"/>
  <c r="P1973" i="1"/>
  <c r="O1973" i="1"/>
  <c r="N1973" i="1"/>
  <c r="S1972" i="1"/>
  <c r="R1972" i="1"/>
  <c r="Q1972" i="1"/>
  <c r="P1972" i="1"/>
  <c r="O1972" i="1"/>
  <c r="N1972" i="1"/>
  <c r="S1971" i="1"/>
  <c r="R1971" i="1"/>
  <c r="Q1971" i="1"/>
  <c r="P1971" i="1"/>
  <c r="O1971" i="1"/>
  <c r="N1971" i="1"/>
  <c r="S1970" i="1"/>
  <c r="R1970" i="1"/>
  <c r="Q1970" i="1"/>
  <c r="P1970" i="1"/>
  <c r="O1970" i="1"/>
  <c r="N1970" i="1"/>
  <c r="S1969" i="1"/>
  <c r="R1969" i="1"/>
  <c r="Q1969" i="1"/>
  <c r="P1969" i="1"/>
  <c r="O1969" i="1"/>
  <c r="N1969" i="1"/>
  <c r="S1968" i="1"/>
  <c r="R1968" i="1"/>
  <c r="Q1968" i="1"/>
  <c r="P1968" i="1"/>
  <c r="O1968" i="1"/>
  <c r="N1968" i="1"/>
  <c r="S1967" i="1"/>
  <c r="R1967" i="1"/>
  <c r="Q1967" i="1"/>
  <c r="P1967" i="1"/>
  <c r="O1967" i="1"/>
  <c r="N1967" i="1"/>
  <c r="S1966" i="1"/>
  <c r="R1966" i="1"/>
  <c r="Q1966" i="1"/>
  <c r="P1966" i="1"/>
  <c r="O1966" i="1"/>
  <c r="N1966" i="1"/>
  <c r="S1965" i="1"/>
  <c r="R1965" i="1"/>
  <c r="Q1965" i="1"/>
  <c r="P1965" i="1"/>
  <c r="O1965" i="1"/>
  <c r="N1965" i="1"/>
  <c r="S1964" i="1"/>
  <c r="R1964" i="1"/>
  <c r="Q1964" i="1"/>
  <c r="P1964" i="1"/>
  <c r="O1964" i="1"/>
  <c r="N1964" i="1"/>
  <c r="S1963" i="1"/>
  <c r="R1963" i="1"/>
  <c r="Q1963" i="1"/>
  <c r="P1963" i="1"/>
  <c r="O1963" i="1"/>
  <c r="N1963" i="1"/>
  <c r="S1962" i="1"/>
  <c r="R1962" i="1"/>
  <c r="Q1962" i="1"/>
  <c r="P1962" i="1"/>
  <c r="O1962" i="1"/>
  <c r="N1962" i="1"/>
  <c r="S1961" i="1"/>
  <c r="R1961" i="1"/>
  <c r="Q1961" i="1"/>
  <c r="P1961" i="1"/>
  <c r="O1961" i="1"/>
  <c r="N1961" i="1"/>
  <c r="S1960" i="1"/>
  <c r="R1960" i="1"/>
  <c r="Q1960" i="1"/>
  <c r="P1960" i="1"/>
  <c r="O1960" i="1"/>
  <c r="N1960" i="1"/>
  <c r="S1959" i="1"/>
  <c r="R1959" i="1"/>
  <c r="Q1959" i="1"/>
  <c r="P1959" i="1"/>
  <c r="O1959" i="1"/>
  <c r="N1959" i="1"/>
  <c r="S1958" i="1"/>
  <c r="R1958" i="1"/>
  <c r="Q1958" i="1"/>
  <c r="P1958" i="1"/>
  <c r="O1958" i="1"/>
  <c r="N1958" i="1"/>
  <c r="S1957" i="1"/>
  <c r="R1957" i="1"/>
  <c r="Q1957" i="1"/>
  <c r="P1957" i="1"/>
  <c r="O1957" i="1"/>
  <c r="N1957" i="1"/>
  <c r="S1956" i="1"/>
  <c r="R1956" i="1"/>
  <c r="Q1956" i="1"/>
  <c r="P1956" i="1"/>
  <c r="O1956" i="1"/>
  <c r="N1956" i="1"/>
  <c r="S1955" i="1"/>
  <c r="R1955" i="1"/>
  <c r="Q1955" i="1"/>
  <c r="P1955" i="1"/>
  <c r="O1955" i="1"/>
  <c r="N1955" i="1"/>
  <c r="S1954" i="1"/>
  <c r="R1954" i="1"/>
  <c r="Q1954" i="1"/>
  <c r="P1954" i="1"/>
  <c r="O1954" i="1"/>
  <c r="N1954" i="1"/>
  <c r="S1953" i="1"/>
  <c r="R1953" i="1"/>
  <c r="Q1953" i="1"/>
  <c r="P1953" i="1"/>
  <c r="O1953" i="1"/>
  <c r="N1953" i="1"/>
  <c r="S1952" i="1"/>
  <c r="R1952" i="1"/>
  <c r="Q1952" i="1"/>
  <c r="P1952" i="1"/>
  <c r="O1952" i="1"/>
  <c r="N1952" i="1"/>
  <c r="S1951" i="1"/>
  <c r="R1951" i="1"/>
  <c r="Q1951" i="1"/>
  <c r="P1951" i="1"/>
  <c r="O1951" i="1"/>
  <c r="N1951" i="1"/>
  <c r="S1950" i="1"/>
  <c r="R1950" i="1"/>
  <c r="Q1950" i="1"/>
  <c r="P1950" i="1"/>
  <c r="O1950" i="1"/>
  <c r="N1950" i="1"/>
  <c r="S1949" i="1"/>
  <c r="R1949" i="1"/>
  <c r="Q1949" i="1"/>
  <c r="P1949" i="1"/>
  <c r="O1949" i="1"/>
  <c r="N1949" i="1"/>
  <c r="S1948" i="1"/>
  <c r="R1948" i="1"/>
  <c r="Q1948" i="1"/>
  <c r="P1948" i="1"/>
  <c r="O1948" i="1"/>
  <c r="N1948" i="1"/>
  <c r="S1947" i="1"/>
  <c r="R1947" i="1"/>
  <c r="Q1947" i="1"/>
  <c r="P1947" i="1"/>
  <c r="O1947" i="1"/>
  <c r="N1947" i="1"/>
  <c r="S1946" i="1"/>
  <c r="R1946" i="1"/>
  <c r="Q1946" i="1"/>
  <c r="P1946" i="1"/>
  <c r="O1946" i="1"/>
  <c r="N1946" i="1"/>
  <c r="S1945" i="1"/>
  <c r="R1945" i="1"/>
  <c r="Q1945" i="1"/>
  <c r="P1945" i="1"/>
  <c r="O1945" i="1"/>
  <c r="N1945" i="1"/>
  <c r="S1944" i="1"/>
  <c r="R1944" i="1"/>
  <c r="Q1944" i="1"/>
  <c r="P1944" i="1"/>
  <c r="O1944" i="1"/>
  <c r="N1944" i="1"/>
  <c r="S1943" i="1"/>
  <c r="R1943" i="1"/>
  <c r="Q1943" i="1"/>
  <c r="P1943" i="1"/>
  <c r="O1943" i="1"/>
  <c r="N1943" i="1"/>
  <c r="S1942" i="1"/>
  <c r="R1942" i="1"/>
  <c r="Q1942" i="1"/>
  <c r="P1942" i="1"/>
  <c r="O1942" i="1"/>
  <c r="N1942" i="1"/>
  <c r="S1941" i="1"/>
  <c r="R1941" i="1"/>
  <c r="Q1941" i="1"/>
  <c r="P1941" i="1"/>
  <c r="O1941" i="1"/>
  <c r="N1941" i="1"/>
  <c r="S1940" i="1"/>
  <c r="R1940" i="1"/>
  <c r="Q1940" i="1"/>
  <c r="P1940" i="1"/>
  <c r="O1940" i="1"/>
  <c r="N1940" i="1"/>
  <c r="S1939" i="1"/>
  <c r="R1939" i="1"/>
  <c r="Q1939" i="1"/>
  <c r="P1939" i="1"/>
  <c r="O1939" i="1"/>
  <c r="N1939" i="1"/>
  <c r="S1938" i="1"/>
  <c r="R1938" i="1"/>
  <c r="Q1938" i="1"/>
  <c r="P1938" i="1"/>
  <c r="O1938" i="1"/>
  <c r="N1938" i="1"/>
  <c r="S1937" i="1"/>
  <c r="R1937" i="1"/>
  <c r="Q1937" i="1"/>
  <c r="P1937" i="1"/>
  <c r="O1937" i="1"/>
  <c r="N1937" i="1"/>
  <c r="S1936" i="1"/>
  <c r="R1936" i="1"/>
  <c r="Q1936" i="1"/>
  <c r="P1936" i="1"/>
  <c r="O1936" i="1"/>
  <c r="N1936" i="1"/>
  <c r="S1935" i="1"/>
  <c r="R1935" i="1"/>
  <c r="Q1935" i="1"/>
  <c r="P1935" i="1"/>
  <c r="O1935" i="1"/>
  <c r="N1935" i="1"/>
  <c r="S1934" i="1"/>
  <c r="R1934" i="1"/>
  <c r="Q1934" i="1"/>
  <c r="P1934" i="1"/>
  <c r="O1934" i="1"/>
  <c r="N1934" i="1"/>
  <c r="S1933" i="1"/>
  <c r="R1933" i="1"/>
  <c r="Q1933" i="1"/>
  <c r="P1933" i="1"/>
  <c r="O1933" i="1"/>
  <c r="N1933" i="1"/>
  <c r="S1932" i="1"/>
  <c r="R1932" i="1"/>
  <c r="Q1932" i="1"/>
  <c r="P1932" i="1"/>
  <c r="O1932" i="1"/>
  <c r="N1932" i="1"/>
  <c r="S1931" i="1"/>
  <c r="R1931" i="1"/>
  <c r="Q1931" i="1"/>
  <c r="P1931" i="1"/>
  <c r="O1931" i="1"/>
  <c r="N1931" i="1"/>
  <c r="S1930" i="1"/>
  <c r="R1930" i="1"/>
  <c r="Q1930" i="1"/>
  <c r="P1930" i="1"/>
  <c r="O1930" i="1"/>
  <c r="N1930" i="1"/>
  <c r="S1929" i="1"/>
  <c r="R1929" i="1"/>
  <c r="Q1929" i="1"/>
  <c r="P1929" i="1"/>
  <c r="O1929" i="1"/>
  <c r="N1929" i="1"/>
  <c r="S1928" i="1"/>
  <c r="R1928" i="1"/>
  <c r="Q1928" i="1"/>
  <c r="P1928" i="1"/>
  <c r="O1928" i="1"/>
  <c r="N1928" i="1"/>
  <c r="S1927" i="1"/>
  <c r="R1927" i="1"/>
  <c r="Q1927" i="1"/>
  <c r="P1927" i="1"/>
  <c r="O1927" i="1"/>
  <c r="N1927" i="1"/>
  <c r="S1926" i="1"/>
  <c r="R1926" i="1"/>
  <c r="Q1926" i="1"/>
  <c r="P1926" i="1"/>
  <c r="O1926" i="1"/>
  <c r="N1926" i="1"/>
  <c r="S1925" i="1"/>
  <c r="R1925" i="1"/>
  <c r="Q1925" i="1"/>
  <c r="P1925" i="1"/>
  <c r="O1925" i="1"/>
  <c r="N1925" i="1"/>
  <c r="S1924" i="1"/>
  <c r="R1924" i="1"/>
  <c r="Q1924" i="1"/>
  <c r="P1924" i="1"/>
  <c r="O1924" i="1"/>
  <c r="N1924" i="1"/>
  <c r="S1923" i="1"/>
  <c r="R1923" i="1"/>
  <c r="Q1923" i="1"/>
  <c r="P1923" i="1"/>
  <c r="O1923" i="1"/>
  <c r="N1923" i="1"/>
  <c r="S1922" i="1"/>
  <c r="R1922" i="1"/>
  <c r="Q1922" i="1"/>
  <c r="P1922" i="1"/>
  <c r="O1922" i="1"/>
  <c r="N1922" i="1"/>
  <c r="S1921" i="1"/>
  <c r="R1921" i="1"/>
  <c r="Q1921" i="1"/>
  <c r="P1921" i="1"/>
  <c r="O1921" i="1"/>
  <c r="N1921" i="1"/>
  <c r="S1920" i="1"/>
  <c r="R1920" i="1"/>
  <c r="Q1920" i="1"/>
  <c r="P1920" i="1"/>
  <c r="O1920" i="1"/>
  <c r="N1920" i="1"/>
  <c r="S1919" i="1"/>
  <c r="R1919" i="1"/>
  <c r="Q1919" i="1"/>
  <c r="P1919" i="1"/>
  <c r="O1919" i="1"/>
  <c r="N1919" i="1"/>
  <c r="S1918" i="1"/>
  <c r="R1918" i="1"/>
  <c r="Q1918" i="1"/>
  <c r="P1918" i="1"/>
  <c r="O1918" i="1"/>
  <c r="N1918" i="1"/>
  <c r="S1917" i="1"/>
  <c r="R1917" i="1"/>
  <c r="Q1917" i="1"/>
  <c r="P1917" i="1"/>
  <c r="O1917" i="1"/>
  <c r="N1917" i="1"/>
  <c r="S1916" i="1"/>
  <c r="R1916" i="1"/>
  <c r="Q1916" i="1"/>
  <c r="P1916" i="1"/>
  <c r="O1916" i="1"/>
  <c r="N1916" i="1"/>
  <c r="S1915" i="1"/>
  <c r="R1915" i="1"/>
  <c r="Q1915" i="1"/>
  <c r="P1915" i="1"/>
  <c r="O1915" i="1"/>
  <c r="N1915" i="1"/>
  <c r="S1914" i="1"/>
  <c r="R1914" i="1"/>
  <c r="Q1914" i="1"/>
  <c r="P1914" i="1"/>
  <c r="O1914" i="1"/>
  <c r="N1914" i="1"/>
  <c r="S1913" i="1"/>
  <c r="R1913" i="1"/>
  <c r="Q1913" i="1"/>
  <c r="P1913" i="1"/>
  <c r="O1913" i="1"/>
  <c r="N1913" i="1"/>
  <c r="S1912" i="1"/>
  <c r="R1912" i="1"/>
  <c r="Q1912" i="1"/>
  <c r="P1912" i="1"/>
  <c r="O1912" i="1"/>
  <c r="N1912" i="1"/>
  <c r="S1911" i="1"/>
  <c r="R1911" i="1"/>
  <c r="Q1911" i="1"/>
  <c r="P1911" i="1"/>
  <c r="O1911" i="1"/>
  <c r="N1911" i="1"/>
  <c r="S1910" i="1"/>
  <c r="R1910" i="1"/>
  <c r="Q1910" i="1"/>
  <c r="P1910" i="1"/>
  <c r="O1910" i="1"/>
  <c r="N1910" i="1"/>
  <c r="S1909" i="1"/>
  <c r="R1909" i="1"/>
  <c r="Q1909" i="1"/>
  <c r="P1909" i="1"/>
  <c r="O1909" i="1"/>
  <c r="N1909" i="1"/>
  <c r="S1908" i="1"/>
  <c r="R1908" i="1"/>
  <c r="Q1908" i="1"/>
  <c r="P1908" i="1"/>
  <c r="O1908" i="1"/>
  <c r="N1908" i="1"/>
  <c r="S1907" i="1"/>
  <c r="R1907" i="1"/>
  <c r="Q1907" i="1"/>
  <c r="P1907" i="1"/>
  <c r="O1907" i="1"/>
  <c r="N1907" i="1"/>
  <c r="S1906" i="1"/>
  <c r="R1906" i="1"/>
  <c r="Q1906" i="1"/>
  <c r="P1906" i="1"/>
  <c r="O1906" i="1"/>
  <c r="N1906" i="1"/>
  <c r="S1905" i="1"/>
  <c r="R1905" i="1"/>
  <c r="Q1905" i="1"/>
  <c r="P1905" i="1"/>
  <c r="O1905" i="1"/>
  <c r="N1905" i="1"/>
  <c r="S1904" i="1"/>
  <c r="R1904" i="1"/>
  <c r="Q1904" i="1"/>
  <c r="P1904" i="1"/>
  <c r="O1904" i="1"/>
  <c r="N1904" i="1"/>
  <c r="S1903" i="1"/>
  <c r="R1903" i="1"/>
  <c r="Q1903" i="1"/>
  <c r="P1903" i="1"/>
  <c r="O1903" i="1"/>
  <c r="N1903" i="1"/>
  <c r="S1902" i="1"/>
  <c r="R1902" i="1"/>
  <c r="Q1902" i="1"/>
  <c r="P1902" i="1"/>
  <c r="O1902" i="1"/>
  <c r="N1902" i="1"/>
  <c r="S1901" i="1"/>
  <c r="R1901" i="1"/>
  <c r="Q1901" i="1"/>
  <c r="P1901" i="1"/>
  <c r="O1901" i="1"/>
  <c r="N1901" i="1"/>
  <c r="S1900" i="1"/>
  <c r="R1900" i="1"/>
  <c r="Q1900" i="1"/>
  <c r="P1900" i="1"/>
  <c r="O1900" i="1"/>
  <c r="N1900" i="1"/>
  <c r="S1899" i="1"/>
  <c r="R1899" i="1"/>
  <c r="Q1899" i="1"/>
  <c r="P1899" i="1"/>
  <c r="O1899" i="1"/>
  <c r="N1899" i="1"/>
  <c r="S1898" i="1"/>
  <c r="R1898" i="1"/>
  <c r="Q1898" i="1"/>
  <c r="P1898" i="1"/>
  <c r="O1898" i="1"/>
  <c r="N1898" i="1"/>
  <c r="S1897" i="1"/>
  <c r="R1897" i="1"/>
  <c r="Q1897" i="1"/>
  <c r="P1897" i="1"/>
  <c r="O1897" i="1"/>
  <c r="N1897" i="1"/>
  <c r="S1896" i="1"/>
  <c r="R1896" i="1"/>
  <c r="Q1896" i="1"/>
  <c r="P1896" i="1"/>
  <c r="O1896" i="1"/>
  <c r="N1896" i="1"/>
  <c r="S1895" i="1"/>
  <c r="R1895" i="1"/>
  <c r="Q1895" i="1"/>
  <c r="P1895" i="1"/>
  <c r="O1895" i="1"/>
  <c r="N1895" i="1"/>
  <c r="S1894" i="1"/>
  <c r="R1894" i="1"/>
  <c r="Q1894" i="1"/>
  <c r="P1894" i="1"/>
  <c r="O1894" i="1"/>
  <c r="N1894" i="1"/>
  <c r="S1893" i="1"/>
  <c r="R1893" i="1"/>
  <c r="Q1893" i="1"/>
  <c r="P1893" i="1"/>
  <c r="O1893" i="1"/>
  <c r="N1893" i="1"/>
  <c r="S1892" i="1"/>
  <c r="R1892" i="1"/>
  <c r="Q1892" i="1"/>
  <c r="P1892" i="1"/>
  <c r="O1892" i="1"/>
  <c r="N1892" i="1"/>
  <c r="S1891" i="1"/>
  <c r="R1891" i="1"/>
  <c r="Q1891" i="1"/>
  <c r="P1891" i="1"/>
  <c r="O1891" i="1"/>
  <c r="N1891" i="1"/>
  <c r="S1890" i="1"/>
  <c r="R1890" i="1"/>
  <c r="Q1890" i="1"/>
  <c r="P1890" i="1"/>
  <c r="O1890" i="1"/>
  <c r="N1890" i="1"/>
  <c r="S1889" i="1"/>
  <c r="R1889" i="1"/>
  <c r="Q1889" i="1"/>
  <c r="P1889" i="1"/>
  <c r="O1889" i="1"/>
  <c r="N1889" i="1"/>
  <c r="S1888" i="1"/>
  <c r="R1888" i="1"/>
  <c r="Q1888" i="1"/>
  <c r="P1888" i="1"/>
  <c r="O1888" i="1"/>
  <c r="N1888" i="1"/>
  <c r="S1887" i="1"/>
  <c r="R1887" i="1"/>
  <c r="Q1887" i="1"/>
  <c r="P1887" i="1"/>
  <c r="O1887" i="1"/>
  <c r="N1887" i="1"/>
  <c r="S1886" i="1"/>
  <c r="R1886" i="1"/>
  <c r="Q1886" i="1"/>
  <c r="P1886" i="1"/>
  <c r="O1886" i="1"/>
  <c r="N1886" i="1"/>
  <c r="S1885" i="1"/>
  <c r="R1885" i="1"/>
  <c r="Q1885" i="1"/>
  <c r="P1885" i="1"/>
  <c r="O1885" i="1"/>
  <c r="N1885" i="1"/>
  <c r="S1884" i="1"/>
  <c r="R1884" i="1"/>
  <c r="Q1884" i="1"/>
  <c r="P1884" i="1"/>
  <c r="O1884" i="1"/>
  <c r="N1884" i="1"/>
  <c r="S1883" i="1"/>
  <c r="R1883" i="1"/>
  <c r="Q1883" i="1"/>
  <c r="P1883" i="1"/>
  <c r="O1883" i="1"/>
  <c r="N1883" i="1"/>
  <c r="S1882" i="1"/>
  <c r="R1882" i="1"/>
  <c r="Q1882" i="1"/>
  <c r="P1882" i="1"/>
  <c r="O1882" i="1"/>
  <c r="N1882" i="1"/>
  <c r="S1881" i="1"/>
  <c r="R1881" i="1"/>
  <c r="Q1881" i="1"/>
  <c r="P1881" i="1"/>
  <c r="O1881" i="1"/>
  <c r="N1881" i="1"/>
  <c r="S1880" i="1"/>
  <c r="R1880" i="1"/>
  <c r="Q1880" i="1"/>
  <c r="P1880" i="1"/>
  <c r="O1880" i="1"/>
  <c r="N1880" i="1"/>
  <c r="S1879" i="1"/>
  <c r="R1879" i="1"/>
  <c r="Q1879" i="1"/>
  <c r="P1879" i="1"/>
  <c r="O1879" i="1"/>
  <c r="N1879" i="1"/>
  <c r="S1878" i="1"/>
  <c r="R1878" i="1"/>
  <c r="Q1878" i="1"/>
  <c r="P1878" i="1"/>
  <c r="O1878" i="1"/>
  <c r="N1878" i="1"/>
  <c r="S1877" i="1"/>
  <c r="R1877" i="1"/>
  <c r="Q1877" i="1"/>
  <c r="P1877" i="1"/>
  <c r="O1877" i="1"/>
  <c r="N1877" i="1"/>
  <c r="S1876" i="1"/>
  <c r="R1876" i="1"/>
  <c r="Q1876" i="1"/>
  <c r="P1876" i="1"/>
  <c r="O1876" i="1"/>
  <c r="N1876" i="1"/>
  <c r="S1875" i="1"/>
  <c r="R1875" i="1"/>
  <c r="Q1875" i="1"/>
  <c r="P1875" i="1"/>
  <c r="O1875" i="1"/>
  <c r="N1875" i="1"/>
  <c r="S1874" i="1"/>
  <c r="R1874" i="1"/>
  <c r="Q1874" i="1"/>
  <c r="P1874" i="1"/>
  <c r="O1874" i="1"/>
  <c r="N1874" i="1"/>
  <c r="S1873" i="1"/>
  <c r="R1873" i="1"/>
  <c r="Q1873" i="1"/>
  <c r="P1873" i="1"/>
  <c r="O1873" i="1"/>
  <c r="N1873" i="1"/>
  <c r="S1872" i="1"/>
  <c r="R1872" i="1"/>
  <c r="Q1872" i="1"/>
  <c r="P1872" i="1"/>
  <c r="O1872" i="1"/>
  <c r="N1872" i="1"/>
  <c r="S1871" i="1"/>
  <c r="R1871" i="1"/>
  <c r="Q1871" i="1"/>
  <c r="P1871" i="1"/>
  <c r="O1871" i="1"/>
  <c r="N1871" i="1"/>
  <c r="S1870" i="1"/>
  <c r="R1870" i="1"/>
  <c r="Q1870" i="1"/>
  <c r="P1870" i="1"/>
  <c r="O1870" i="1"/>
  <c r="N1870" i="1"/>
  <c r="S1869" i="1"/>
  <c r="R1869" i="1"/>
  <c r="Q1869" i="1"/>
  <c r="P1869" i="1"/>
  <c r="O1869" i="1"/>
  <c r="N1869" i="1"/>
  <c r="S1868" i="1"/>
  <c r="R1868" i="1"/>
  <c r="Q1868" i="1"/>
  <c r="P1868" i="1"/>
  <c r="O1868" i="1"/>
  <c r="N1868" i="1"/>
  <c r="S1867" i="1"/>
  <c r="R1867" i="1"/>
  <c r="Q1867" i="1"/>
  <c r="P1867" i="1"/>
  <c r="O1867" i="1"/>
  <c r="N1867" i="1"/>
  <c r="S1866" i="1"/>
  <c r="R1866" i="1"/>
  <c r="Q1866" i="1"/>
  <c r="P1866" i="1"/>
  <c r="O1866" i="1"/>
  <c r="N1866" i="1"/>
  <c r="S1865" i="1"/>
  <c r="R1865" i="1"/>
  <c r="Q1865" i="1"/>
  <c r="P1865" i="1"/>
  <c r="O1865" i="1"/>
  <c r="N1865" i="1"/>
  <c r="S1864" i="1"/>
  <c r="R1864" i="1"/>
  <c r="Q1864" i="1"/>
  <c r="P1864" i="1"/>
  <c r="O1864" i="1"/>
  <c r="N1864" i="1"/>
  <c r="S1863" i="1"/>
  <c r="R1863" i="1"/>
  <c r="Q1863" i="1"/>
  <c r="P1863" i="1"/>
  <c r="O1863" i="1"/>
  <c r="N1863" i="1"/>
  <c r="S1862" i="1"/>
  <c r="R1862" i="1"/>
  <c r="Q1862" i="1"/>
  <c r="P1862" i="1"/>
  <c r="O1862" i="1"/>
  <c r="N1862" i="1"/>
  <c r="S1861" i="1"/>
  <c r="R1861" i="1"/>
  <c r="Q1861" i="1"/>
  <c r="P1861" i="1"/>
  <c r="O1861" i="1"/>
  <c r="N1861" i="1"/>
  <c r="S1860" i="1"/>
  <c r="R1860" i="1"/>
  <c r="Q1860" i="1"/>
  <c r="P1860" i="1"/>
  <c r="O1860" i="1"/>
  <c r="N1860" i="1"/>
  <c r="S1859" i="1"/>
  <c r="R1859" i="1"/>
  <c r="Q1859" i="1"/>
  <c r="P1859" i="1"/>
  <c r="O1859" i="1"/>
  <c r="N1859" i="1"/>
  <c r="S1858" i="1"/>
  <c r="R1858" i="1"/>
  <c r="Q1858" i="1"/>
  <c r="P1858" i="1"/>
  <c r="O1858" i="1"/>
  <c r="N1858" i="1"/>
  <c r="S1857" i="1"/>
  <c r="R1857" i="1"/>
  <c r="Q1857" i="1"/>
  <c r="P1857" i="1"/>
  <c r="O1857" i="1"/>
  <c r="N1857" i="1"/>
  <c r="S1856" i="1"/>
  <c r="R1856" i="1"/>
  <c r="Q1856" i="1"/>
  <c r="P1856" i="1"/>
  <c r="O1856" i="1"/>
  <c r="N1856" i="1"/>
  <c r="S1855" i="1"/>
  <c r="R1855" i="1"/>
  <c r="Q1855" i="1"/>
  <c r="P1855" i="1"/>
  <c r="O1855" i="1"/>
  <c r="N1855" i="1"/>
  <c r="S1854" i="1"/>
  <c r="R1854" i="1"/>
  <c r="Q1854" i="1"/>
  <c r="P1854" i="1"/>
  <c r="O1854" i="1"/>
  <c r="N1854" i="1"/>
  <c r="S1853" i="1"/>
  <c r="R1853" i="1"/>
  <c r="Q1853" i="1"/>
  <c r="P1853" i="1"/>
  <c r="O1853" i="1"/>
  <c r="N1853" i="1"/>
  <c r="S1852" i="1"/>
  <c r="R1852" i="1"/>
  <c r="Q1852" i="1"/>
  <c r="P1852" i="1"/>
  <c r="O1852" i="1"/>
  <c r="N1852" i="1"/>
  <c r="S1851" i="1"/>
  <c r="R1851" i="1"/>
  <c r="Q1851" i="1"/>
  <c r="P1851" i="1"/>
  <c r="O1851" i="1"/>
  <c r="N1851" i="1"/>
  <c r="S1850" i="1"/>
  <c r="R1850" i="1"/>
  <c r="Q1850" i="1"/>
  <c r="P1850" i="1"/>
  <c r="O1850" i="1"/>
  <c r="N1850" i="1"/>
  <c r="S1849" i="1"/>
  <c r="R1849" i="1"/>
  <c r="Q1849" i="1"/>
  <c r="P1849" i="1"/>
  <c r="O1849" i="1"/>
  <c r="N1849" i="1"/>
  <c r="S1848" i="1"/>
  <c r="R1848" i="1"/>
  <c r="Q1848" i="1"/>
  <c r="P1848" i="1"/>
  <c r="O1848" i="1"/>
  <c r="N1848" i="1"/>
  <c r="S1847" i="1"/>
  <c r="R1847" i="1"/>
  <c r="Q1847" i="1"/>
  <c r="P1847" i="1"/>
  <c r="O1847" i="1"/>
  <c r="N1847" i="1"/>
  <c r="S1846" i="1"/>
  <c r="R1846" i="1"/>
  <c r="Q1846" i="1"/>
  <c r="P1846" i="1"/>
  <c r="O1846" i="1"/>
  <c r="N1846" i="1"/>
  <c r="S1845" i="1"/>
  <c r="R1845" i="1"/>
  <c r="Q1845" i="1"/>
  <c r="P1845" i="1"/>
  <c r="O1845" i="1"/>
  <c r="N1845" i="1"/>
  <c r="S1844" i="1"/>
  <c r="R1844" i="1"/>
  <c r="Q1844" i="1"/>
  <c r="P1844" i="1"/>
  <c r="O1844" i="1"/>
  <c r="N1844" i="1"/>
  <c r="S1843" i="1"/>
  <c r="R1843" i="1"/>
  <c r="Q1843" i="1"/>
  <c r="P1843" i="1"/>
  <c r="O1843" i="1"/>
  <c r="N1843" i="1"/>
  <c r="S1842" i="1"/>
  <c r="R1842" i="1"/>
  <c r="Q1842" i="1"/>
  <c r="P1842" i="1"/>
  <c r="O1842" i="1"/>
  <c r="N1842" i="1"/>
  <c r="S1841" i="1"/>
  <c r="R1841" i="1"/>
  <c r="Q1841" i="1"/>
  <c r="P1841" i="1"/>
  <c r="O1841" i="1"/>
  <c r="N1841" i="1"/>
  <c r="S1840" i="1"/>
  <c r="R1840" i="1"/>
  <c r="Q1840" i="1"/>
  <c r="P1840" i="1"/>
  <c r="O1840" i="1"/>
  <c r="N1840" i="1"/>
  <c r="S1839" i="1"/>
  <c r="R1839" i="1"/>
  <c r="Q1839" i="1"/>
  <c r="P1839" i="1"/>
  <c r="O1839" i="1"/>
  <c r="N1839" i="1"/>
  <c r="S1838" i="1"/>
  <c r="R1838" i="1"/>
  <c r="Q1838" i="1"/>
  <c r="P1838" i="1"/>
  <c r="O1838" i="1"/>
  <c r="N1838" i="1"/>
  <c r="S1837" i="1"/>
  <c r="R1837" i="1"/>
  <c r="Q1837" i="1"/>
  <c r="P1837" i="1"/>
  <c r="O1837" i="1"/>
  <c r="N1837" i="1"/>
  <c r="S1836" i="1"/>
  <c r="R1836" i="1"/>
  <c r="Q1836" i="1"/>
  <c r="P1836" i="1"/>
  <c r="O1836" i="1"/>
  <c r="N1836" i="1"/>
  <c r="S1835" i="1"/>
  <c r="R1835" i="1"/>
  <c r="Q1835" i="1"/>
  <c r="P1835" i="1"/>
  <c r="O1835" i="1"/>
  <c r="N1835" i="1"/>
  <c r="S1834" i="1"/>
  <c r="R1834" i="1"/>
  <c r="Q1834" i="1"/>
  <c r="P1834" i="1"/>
  <c r="O1834" i="1"/>
  <c r="N1834" i="1"/>
  <c r="S1833" i="1"/>
  <c r="R1833" i="1"/>
  <c r="Q1833" i="1"/>
  <c r="P1833" i="1"/>
  <c r="O1833" i="1"/>
  <c r="N1833" i="1"/>
  <c r="S1832" i="1"/>
  <c r="R1832" i="1"/>
  <c r="Q1832" i="1"/>
  <c r="P1832" i="1"/>
  <c r="O1832" i="1"/>
  <c r="N1832" i="1"/>
  <c r="S1831" i="1"/>
  <c r="R1831" i="1"/>
  <c r="Q1831" i="1"/>
  <c r="P1831" i="1"/>
  <c r="O1831" i="1"/>
  <c r="N1831" i="1"/>
  <c r="S1830" i="1"/>
  <c r="R1830" i="1"/>
  <c r="Q1830" i="1"/>
  <c r="P1830" i="1"/>
  <c r="O1830" i="1"/>
  <c r="N1830" i="1"/>
  <c r="S1829" i="1"/>
  <c r="R1829" i="1"/>
  <c r="Q1829" i="1"/>
  <c r="P1829" i="1"/>
  <c r="O1829" i="1"/>
  <c r="N1829" i="1"/>
  <c r="S1828" i="1"/>
  <c r="R1828" i="1"/>
  <c r="Q1828" i="1"/>
  <c r="P1828" i="1"/>
  <c r="O1828" i="1"/>
  <c r="N1828" i="1"/>
  <c r="S1827" i="1"/>
  <c r="R1827" i="1"/>
  <c r="Q1827" i="1"/>
  <c r="P1827" i="1"/>
  <c r="O1827" i="1"/>
  <c r="N1827" i="1"/>
  <c r="S1826" i="1"/>
  <c r="R1826" i="1"/>
  <c r="Q1826" i="1"/>
  <c r="P1826" i="1"/>
  <c r="O1826" i="1"/>
  <c r="N1826" i="1"/>
  <c r="S1825" i="1"/>
  <c r="R1825" i="1"/>
  <c r="Q1825" i="1"/>
  <c r="P1825" i="1"/>
  <c r="O1825" i="1"/>
  <c r="N1825" i="1"/>
  <c r="S1824" i="1"/>
  <c r="R1824" i="1"/>
  <c r="Q1824" i="1"/>
  <c r="P1824" i="1"/>
  <c r="O1824" i="1"/>
  <c r="N1824" i="1"/>
  <c r="S1823" i="1"/>
  <c r="R1823" i="1"/>
  <c r="Q1823" i="1"/>
  <c r="P1823" i="1"/>
  <c r="O1823" i="1"/>
  <c r="N1823" i="1"/>
  <c r="S1822" i="1"/>
  <c r="R1822" i="1"/>
  <c r="Q1822" i="1"/>
  <c r="P1822" i="1"/>
  <c r="O1822" i="1"/>
  <c r="N1822" i="1"/>
  <c r="S1821" i="1"/>
  <c r="R1821" i="1"/>
  <c r="Q1821" i="1"/>
  <c r="P1821" i="1"/>
  <c r="O1821" i="1"/>
  <c r="N1821" i="1"/>
  <c r="S1820" i="1"/>
  <c r="R1820" i="1"/>
  <c r="Q1820" i="1"/>
  <c r="P1820" i="1"/>
  <c r="O1820" i="1"/>
  <c r="N1820" i="1"/>
  <c r="S1819" i="1"/>
  <c r="R1819" i="1"/>
  <c r="Q1819" i="1"/>
  <c r="P1819" i="1"/>
  <c r="O1819" i="1"/>
  <c r="N1819" i="1"/>
  <c r="S1818" i="1"/>
  <c r="R1818" i="1"/>
  <c r="Q1818" i="1"/>
  <c r="P1818" i="1"/>
  <c r="O1818" i="1"/>
  <c r="N1818" i="1"/>
  <c r="S1817" i="1"/>
  <c r="R1817" i="1"/>
  <c r="Q1817" i="1"/>
  <c r="P1817" i="1"/>
  <c r="O1817" i="1"/>
  <c r="N1817" i="1"/>
  <c r="S1816" i="1"/>
  <c r="R1816" i="1"/>
  <c r="Q1816" i="1"/>
  <c r="P1816" i="1"/>
  <c r="O1816" i="1"/>
  <c r="N1816" i="1"/>
  <c r="S1815" i="1"/>
  <c r="R1815" i="1"/>
  <c r="Q1815" i="1"/>
  <c r="P1815" i="1"/>
  <c r="O1815" i="1"/>
  <c r="N1815" i="1"/>
  <c r="S1814" i="1"/>
  <c r="R1814" i="1"/>
  <c r="Q1814" i="1"/>
  <c r="P1814" i="1"/>
  <c r="O1814" i="1"/>
  <c r="N1814" i="1"/>
  <c r="S1813" i="1"/>
  <c r="R1813" i="1"/>
  <c r="Q1813" i="1"/>
  <c r="P1813" i="1"/>
  <c r="O1813" i="1"/>
  <c r="N1813" i="1"/>
  <c r="S1812" i="1"/>
  <c r="R1812" i="1"/>
  <c r="Q1812" i="1"/>
  <c r="P1812" i="1"/>
  <c r="O1812" i="1"/>
  <c r="N1812" i="1"/>
  <c r="S1811" i="1"/>
  <c r="R1811" i="1"/>
  <c r="Q1811" i="1"/>
  <c r="P1811" i="1"/>
  <c r="O1811" i="1"/>
  <c r="N1811" i="1"/>
  <c r="S1810" i="1"/>
  <c r="R1810" i="1"/>
  <c r="Q1810" i="1"/>
  <c r="P1810" i="1"/>
  <c r="O1810" i="1"/>
  <c r="N1810" i="1"/>
  <c r="S1809" i="1"/>
  <c r="R1809" i="1"/>
  <c r="Q1809" i="1"/>
  <c r="P1809" i="1"/>
  <c r="O1809" i="1"/>
  <c r="N1809" i="1"/>
  <c r="S1808" i="1"/>
  <c r="R1808" i="1"/>
  <c r="Q1808" i="1"/>
  <c r="P1808" i="1"/>
  <c r="O1808" i="1"/>
  <c r="N1808" i="1"/>
  <c r="S1807" i="1"/>
  <c r="R1807" i="1"/>
  <c r="Q1807" i="1"/>
  <c r="P1807" i="1"/>
  <c r="O1807" i="1"/>
  <c r="N1807" i="1"/>
  <c r="S1806" i="1"/>
  <c r="R1806" i="1"/>
  <c r="Q1806" i="1"/>
  <c r="P1806" i="1"/>
  <c r="O1806" i="1"/>
  <c r="N1806" i="1"/>
  <c r="S1805" i="1"/>
  <c r="R1805" i="1"/>
  <c r="Q1805" i="1"/>
  <c r="P1805" i="1"/>
  <c r="O1805" i="1"/>
  <c r="N1805" i="1"/>
  <c r="S1804" i="1"/>
  <c r="R1804" i="1"/>
  <c r="Q1804" i="1"/>
  <c r="P1804" i="1"/>
  <c r="O1804" i="1"/>
  <c r="N1804" i="1"/>
  <c r="S1803" i="1"/>
  <c r="R1803" i="1"/>
  <c r="Q1803" i="1"/>
  <c r="P1803" i="1"/>
  <c r="O1803" i="1"/>
  <c r="N1803" i="1"/>
  <c r="S1802" i="1"/>
  <c r="R1802" i="1"/>
  <c r="Q1802" i="1"/>
  <c r="P1802" i="1"/>
  <c r="O1802" i="1"/>
  <c r="N1802" i="1"/>
  <c r="S1801" i="1"/>
  <c r="R1801" i="1"/>
  <c r="Q1801" i="1"/>
  <c r="P1801" i="1"/>
  <c r="O1801" i="1"/>
  <c r="N1801" i="1"/>
  <c r="S1800" i="1"/>
  <c r="R1800" i="1"/>
  <c r="Q1800" i="1"/>
  <c r="P1800" i="1"/>
  <c r="O1800" i="1"/>
  <c r="N1800" i="1"/>
  <c r="S1799" i="1"/>
  <c r="R1799" i="1"/>
  <c r="Q1799" i="1"/>
  <c r="P1799" i="1"/>
  <c r="O1799" i="1"/>
  <c r="N1799" i="1"/>
  <c r="S1798" i="1"/>
  <c r="R1798" i="1"/>
  <c r="Q1798" i="1"/>
  <c r="P1798" i="1"/>
  <c r="O1798" i="1"/>
  <c r="N1798" i="1"/>
  <c r="S1797" i="1"/>
  <c r="R1797" i="1"/>
  <c r="Q1797" i="1"/>
  <c r="P1797" i="1"/>
  <c r="O1797" i="1"/>
  <c r="N1797" i="1"/>
  <c r="S1796" i="1"/>
  <c r="R1796" i="1"/>
  <c r="Q1796" i="1"/>
  <c r="P1796" i="1"/>
  <c r="O1796" i="1"/>
  <c r="N1796" i="1"/>
  <c r="S1795" i="1"/>
  <c r="R1795" i="1"/>
  <c r="Q1795" i="1"/>
  <c r="P1795" i="1"/>
  <c r="O1795" i="1"/>
  <c r="N1795" i="1"/>
  <c r="S1794" i="1"/>
  <c r="R1794" i="1"/>
  <c r="Q1794" i="1"/>
  <c r="P1794" i="1"/>
  <c r="O1794" i="1"/>
  <c r="N1794" i="1"/>
  <c r="S1793" i="1"/>
  <c r="R1793" i="1"/>
  <c r="Q1793" i="1"/>
  <c r="P1793" i="1"/>
  <c r="O1793" i="1"/>
  <c r="N1793" i="1"/>
  <c r="S1792" i="1"/>
  <c r="R1792" i="1"/>
  <c r="Q1792" i="1"/>
  <c r="P1792" i="1"/>
  <c r="O1792" i="1"/>
  <c r="N1792" i="1"/>
  <c r="S1791" i="1"/>
  <c r="R1791" i="1"/>
  <c r="Q1791" i="1"/>
  <c r="P1791" i="1"/>
  <c r="O1791" i="1"/>
  <c r="N1791" i="1"/>
  <c r="S1790" i="1"/>
  <c r="R1790" i="1"/>
  <c r="Q1790" i="1"/>
  <c r="P1790" i="1"/>
  <c r="O1790" i="1"/>
  <c r="N1790" i="1"/>
  <c r="S1789" i="1"/>
  <c r="R1789" i="1"/>
  <c r="Q1789" i="1"/>
  <c r="P1789" i="1"/>
  <c r="O1789" i="1"/>
  <c r="N1789" i="1"/>
  <c r="S1788" i="1"/>
  <c r="R1788" i="1"/>
  <c r="Q1788" i="1"/>
  <c r="P1788" i="1"/>
  <c r="O1788" i="1"/>
  <c r="N1788" i="1"/>
  <c r="S1787" i="1"/>
  <c r="R1787" i="1"/>
  <c r="Q1787" i="1"/>
  <c r="P1787" i="1"/>
  <c r="O1787" i="1"/>
  <c r="N1787" i="1"/>
  <c r="S1786" i="1"/>
  <c r="R1786" i="1"/>
  <c r="Q1786" i="1"/>
  <c r="P1786" i="1"/>
  <c r="O1786" i="1"/>
  <c r="N1786" i="1"/>
  <c r="S1785" i="1"/>
  <c r="R1785" i="1"/>
  <c r="Q1785" i="1"/>
  <c r="P1785" i="1"/>
  <c r="O1785" i="1"/>
  <c r="N1785" i="1"/>
  <c r="S1784" i="1"/>
  <c r="R1784" i="1"/>
  <c r="Q1784" i="1"/>
  <c r="P1784" i="1"/>
  <c r="O1784" i="1"/>
  <c r="N1784" i="1"/>
  <c r="S1783" i="1"/>
  <c r="R1783" i="1"/>
  <c r="Q1783" i="1"/>
  <c r="P1783" i="1"/>
  <c r="O1783" i="1"/>
  <c r="N1783" i="1"/>
  <c r="S1782" i="1"/>
  <c r="R1782" i="1"/>
  <c r="Q1782" i="1"/>
  <c r="P1782" i="1"/>
  <c r="O1782" i="1"/>
  <c r="N1782" i="1"/>
  <c r="S1781" i="1"/>
  <c r="R1781" i="1"/>
  <c r="Q1781" i="1"/>
  <c r="P1781" i="1"/>
  <c r="O1781" i="1"/>
  <c r="N1781" i="1"/>
  <c r="S1780" i="1"/>
  <c r="R1780" i="1"/>
  <c r="Q1780" i="1"/>
  <c r="P1780" i="1"/>
  <c r="O1780" i="1"/>
  <c r="N1780" i="1"/>
  <c r="S1779" i="1"/>
  <c r="R1779" i="1"/>
  <c r="Q1779" i="1"/>
  <c r="P1779" i="1"/>
  <c r="O1779" i="1"/>
  <c r="N1779" i="1"/>
  <c r="S1778" i="1"/>
  <c r="R1778" i="1"/>
  <c r="Q1778" i="1"/>
  <c r="P1778" i="1"/>
  <c r="O1778" i="1"/>
  <c r="N1778" i="1"/>
  <c r="S1777" i="1"/>
  <c r="R1777" i="1"/>
  <c r="Q1777" i="1"/>
  <c r="P1777" i="1"/>
  <c r="O1777" i="1"/>
  <c r="N1777" i="1"/>
  <c r="S1776" i="1"/>
  <c r="R1776" i="1"/>
  <c r="Q1776" i="1"/>
  <c r="P1776" i="1"/>
  <c r="O1776" i="1"/>
  <c r="N1776" i="1"/>
  <c r="S1775" i="1"/>
  <c r="R1775" i="1"/>
  <c r="Q1775" i="1"/>
  <c r="P1775" i="1"/>
  <c r="O1775" i="1"/>
  <c r="N1775" i="1"/>
  <c r="S1774" i="1"/>
  <c r="R1774" i="1"/>
  <c r="Q1774" i="1"/>
  <c r="P1774" i="1"/>
  <c r="O1774" i="1"/>
  <c r="N1774" i="1"/>
  <c r="S1773" i="1"/>
  <c r="R1773" i="1"/>
  <c r="Q1773" i="1"/>
  <c r="P1773" i="1"/>
  <c r="O1773" i="1"/>
  <c r="N1773" i="1"/>
  <c r="S1772" i="1"/>
  <c r="R1772" i="1"/>
  <c r="Q1772" i="1"/>
  <c r="P1772" i="1"/>
  <c r="O1772" i="1"/>
  <c r="N1772" i="1"/>
  <c r="S1771" i="1"/>
  <c r="R1771" i="1"/>
  <c r="Q1771" i="1"/>
  <c r="P1771" i="1"/>
  <c r="O1771" i="1"/>
  <c r="N1771" i="1"/>
  <c r="S1770" i="1"/>
  <c r="R1770" i="1"/>
  <c r="Q1770" i="1"/>
  <c r="P1770" i="1"/>
  <c r="O1770" i="1"/>
  <c r="N1770" i="1"/>
  <c r="S1769" i="1"/>
  <c r="R1769" i="1"/>
  <c r="Q1769" i="1"/>
  <c r="P1769" i="1"/>
  <c r="O1769" i="1"/>
  <c r="N1769" i="1"/>
  <c r="S1768" i="1"/>
  <c r="R1768" i="1"/>
  <c r="Q1768" i="1"/>
  <c r="P1768" i="1"/>
  <c r="O1768" i="1"/>
  <c r="N1768" i="1"/>
  <c r="S1767" i="1"/>
  <c r="R1767" i="1"/>
  <c r="Q1767" i="1"/>
  <c r="P1767" i="1"/>
  <c r="O1767" i="1"/>
  <c r="N1767" i="1"/>
  <c r="S1766" i="1"/>
  <c r="R1766" i="1"/>
  <c r="Q1766" i="1"/>
  <c r="P1766" i="1"/>
  <c r="O1766" i="1"/>
  <c r="N1766" i="1"/>
  <c r="S1765" i="1"/>
  <c r="R1765" i="1"/>
  <c r="Q1765" i="1"/>
  <c r="P1765" i="1"/>
  <c r="O1765" i="1"/>
  <c r="N1765" i="1"/>
  <c r="S1764" i="1"/>
  <c r="R1764" i="1"/>
  <c r="Q1764" i="1"/>
  <c r="P1764" i="1"/>
  <c r="O1764" i="1"/>
  <c r="N1764" i="1"/>
  <c r="S1763" i="1"/>
  <c r="R1763" i="1"/>
  <c r="Q1763" i="1"/>
  <c r="P1763" i="1"/>
  <c r="O1763" i="1"/>
  <c r="N1763" i="1"/>
  <c r="S1762" i="1"/>
  <c r="R1762" i="1"/>
  <c r="Q1762" i="1"/>
  <c r="P1762" i="1"/>
  <c r="O1762" i="1"/>
  <c r="N1762" i="1"/>
  <c r="S1761" i="1"/>
  <c r="R1761" i="1"/>
  <c r="Q1761" i="1"/>
  <c r="P1761" i="1"/>
  <c r="O1761" i="1"/>
  <c r="N1761" i="1"/>
  <c r="S1760" i="1"/>
  <c r="R1760" i="1"/>
  <c r="Q1760" i="1"/>
  <c r="P1760" i="1"/>
  <c r="O1760" i="1"/>
  <c r="N1760" i="1"/>
  <c r="S1759" i="1"/>
  <c r="R1759" i="1"/>
  <c r="Q1759" i="1"/>
  <c r="P1759" i="1"/>
  <c r="O1759" i="1"/>
  <c r="N1759" i="1"/>
  <c r="S1758" i="1"/>
  <c r="R1758" i="1"/>
  <c r="Q1758" i="1"/>
  <c r="P1758" i="1"/>
  <c r="O1758" i="1"/>
  <c r="N1758" i="1"/>
  <c r="S1757" i="1"/>
  <c r="R1757" i="1"/>
  <c r="Q1757" i="1"/>
  <c r="P1757" i="1"/>
  <c r="O1757" i="1"/>
  <c r="N1757" i="1"/>
  <c r="S1756" i="1"/>
  <c r="R1756" i="1"/>
  <c r="Q1756" i="1"/>
  <c r="P1756" i="1"/>
  <c r="O1756" i="1"/>
  <c r="N1756" i="1"/>
  <c r="S1755" i="1"/>
  <c r="R1755" i="1"/>
  <c r="Q1755" i="1"/>
  <c r="P1755" i="1"/>
  <c r="O1755" i="1"/>
  <c r="N1755" i="1"/>
  <c r="S1754" i="1"/>
  <c r="R1754" i="1"/>
  <c r="Q1754" i="1"/>
  <c r="P1754" i="1"/>
  <c r="O1754" i="1"/>
  <c r="N1754" i="1"/>
  <c r="S1753" i="1"/>
  <c r="R1753" i="1"/>
  <c r="Q1753" i="1"/>
  <c r="P1753" i="1"/>
  <c r="O1753" i="1"/>
  <c r="N1753" i="1"/>
  <c r="S1752" i="1"/>
  <c r="R1752" i="1"/>
  <c r="Q1752" i="1"/>
  <c r="P1752" i="1"/>
  <c r="O1752" i="1"/>
  <c r="N1752" i="1"/>
  <c r="S1751" i="1"/>
  <c r="R1751" i="1"/>
  <c r="Q1751" i="1"/>
  <c r="P1751" i="1"/>
  <c r="O1751" i="1"/>
  <c r="N1751" i="1"/>
  <c r="S1750" i="1"/>
  <c r="R1750" i="1"/>
  <c r="Q1750" i="1"/>
  <c r="P1750" i="1"/>
  <c r="O1750" i="1"/>
  <c r="N1750" i="1"/>
  <c r="S1749" i="1"/>
  <c r="R1749" i="1"/>
  <c r="Q1749" i="1"/>
  <c r="P1749" i="1"/>
  <c r="O1749" i="1"/>
  <c r="N1749" i="1"/>
  <c r="S1748" i="1"/>
  <c r="R1748" i="1"/>
  <c r="Q1748" i="1"/>
  <c r="P1748" i="1"/>
  <c r="O1748" i="1"/>
  <c r="N1748" i="1"/>
  <c r="S1747" i="1"/>
  <c r="R1747" i="1"/>
  <c r="Q1747" i="1"/>
  <c r="P1747" i="1"/>
  <c r="O1747" i="1"/>
  <c r="N1747" i="1"/>
  <c r="S1746" i="1"/>
  <c r="R1746" i="1"/>
  <c r="Q1746" i="1"/>
  <c r="P1746" i="1"/>
  <c r="O1746" i="1"/>
  <c r="N1746" i="1"/>
  <c r="S1745" i="1"/>
  <c r="R1745" i="1"/>
  <c r="Q1745" i="1"/>
  <c r="P1745" i="1"/>
  <c r="O1745" i="1"/>
  <c r="N1745" i="1"/>
  <c r="S1744" i="1"/>
  <c r="R1744" i="1"/>
  <c r="Q1744" i="1"/>
  <c r="P1744" i="1"/>
  <c r="O1744" i="1"/>
  <c r="N1744" i="1"/>
  <c r="S1743" i="1"/>
  <c r="R1743" i="1"/>
  <c r="Q1743" i="1"/>
  <c r="P1743" i="1"/>
  <c r="O1743" i="1"/>
  <c r="N1743" i="1"/>
  <c r="S1742" i="1"/>
  <c r="R1742" i="1"/>
  <c r="Q1742" i="1"/>
  <c r="P1742" i="1"/>
  <c r="O1742" i="1"/>
  <c r="N1742" i="1"/>
  <c r="S1741" i="1"/>
  <c r="R1741" i="1"/>
  <c r="Q1741" i="1"/>
  <c r="P1741" i="1"/>
  <c r="O1741" i="1"/>
  <c r="N1741" i="1"/>
  <c r="S1740" i="1"/>
  <c r="R1740" i="1"/>
  <c r="Q1740" i="1"/>
  <c r="P1740" i="1"/>
  <c r="O1740" i="1"/>
  <c r="N1740" i="1"/>
  <c r="S1739" i="1"/>
  <c r="R1739" i="1"/>
  <c r="Q1739" i="1"/>
  <c r="P1739" i="1"/>
  <c r="O1739" i="1"/>
  <c r="N1739" i="1"/>
  <c r="S1738" i="1"/>
  <c r="R1738" i="1"/>
  <c r="Q1738" i="1"/>
  <c r="P1738" i="1"/>
  <c r="O1738" i="1"/>
  <c r="N1738" i="1"/>
  <c r="S1737" i="1"/>
  <c r="R1737" i="1"/>
  <c r="Q1737" i="1"/>
  <c r="P1737" i="1"/>
  <c r="O1737" i="1"/>
  <c r="N1737" i="1"/>
  <c r="S1736" i="1"/>
  <c r="R1736" i="1"/>
  <c r="Q1736" i="1"/>
  <c r="P1736" i="1"/>
  <c r="O1736" i="1"/>
  <c r="N1736" i="1"/>
  <c r="S1735" i="1"/>
  <c r="R1735" i="1"/>
  <c r="Q1735" i="1"/>
  <c r="P1735" i="1"/>
  <c r="O1735" i="1"/>
  <c r="N1735" i="1"/>
  <c r="S1734" i="1"/>
  <c r="R1734" i="1"/>
  <c r="Q1734" i="1"/>
  <c r="P1734" i="1"/>
  <c r="O1734" i="1"/>
  <c r="N1734" i="1"/>
  <c r="S1733" i="1"/>
  <c r="R1733" i="1"/>
  <c r="Q1733" i="1"/>
  <c r="P1733" i="1"/>
  <c r="O1733" i="1"/>
  <c r="N1733" i="1"/>
  <c r="S1732" i="1"/>
  <c r="R1732" i="1"/>
  <c r="Q1732" i="1"/>
  <c r="P1732" i="1"/>
  <c r="O1732" i="1"/>
  <c r="N1732" i="1"/>
  <c r="S1731" i="1"/>
  <c r="R1731" i="1"/>
  <c r="Q1731" i="1"/>
  <c r="P1731" i="1"/>
  <c r="O1731" i="1"/>
  <c r="N1731" i="1"/>
  <c r="S1730" i="1"/>
  <c r="R1730" i="1"/>
  <c r="Q1730" i="1"/>
  <c r="P1730" i="1"/>
  <c r="O1730" i="1"/>
  <c r="N1730" i="1"/>
  <c r="S1729" i="1"/>
  <c r="R1729" i="1"/>
  <c r="Q1729" i="1"/>
  <c r="P1729" i="1"/>
  <c r="O1729" i="1"/>
  <c r="N1729" i="1"/>
  <c r="S1728" i="1"/>
  <c r="R1728" i="1"/>
  <c r="Q1728" i="1"/>
  <c r="P1728" i="1"/>
  <c r="O1728" i="1"/>
  <c r="N1728" i="1"/>
  <c r="S1727" i="1"/>
  <c r="R1727" i="1"/>
  <c r="Q1727" i="1"/>
  <c r="P1727" i="1"/>
  <c r="O1727" i="1"/>
  <c r="N1727" i="1"/>
  <c r="S1726" i="1"/>
  <c r="R1726" i="1"/>
  <c r="Q1726" i="1"/>
  <c r="P1726" i="1"/>
  <c r="O1726" i="1"/>
  <c r="N1726" i="1"/>
  <c r="S1725" i="1"/>
  <c r="R1725" i="1"/>
  <c r="Q1725" i="1"/>
  <c r="P1725" i="1"/>
  <c r="O1725" i="1"/>
  <c r="N1725" i="1"/>
  <c r="S1724" i="1"/>
  <c r="R1724" i="1"/>
  <c r="Q1724" i="1"/>
  <c r="P1724" i="1"/>
  <c r="O1724" i="1"/>
  <c r="N1724" i="1"/>
  <c r="S1723" i="1"/>
  <c r="R1723" i="1"/>
  <c r="Q1723" i="1"/>
  <c r="P1723" i="1"/>
  <c r="O1723" i="1"/>
  <c r="N1723" i="1"/>
  <c r="S1722" i="1"/>
  <c r="R1722" i="1"/>
  <c r="Q1722" i="1"/>
  <c r="P1722" i="1"/>
  <c r="O1722" i="1"/>
  <c r="N1722" i="1"/>
  <c r="S1721" i="1"/>
  <c r="R1721" i="1"/>
  <c r="Q1721" i="1"/>
  <c r="P1721" i="1"/>
  <c r="O1721" i="1"/>
  <c r="N1721" i="1"/>
  <c r="S1720" i="1"/>
  <c r="R1720" i="1"/>
  <c r="Q1720" i="1"/>
  <c r="P1720" i="1"/>
  <c r="O1720" i="1"/>
  <c r="N1720" i="1"/>
  <c r="S1719" i="1"/>
  <c r="R1719" i="1"/>
  <c r="Q1719" i="1"/>
  <c r="P1719" i="1"/>
  <c r="O1719" i="1"/>
  <c r="N1719" i="1"/>
  <c r="S1718" i="1"/>
  <c r="R1718" i="1"/>
  <c r="Q1718" i="1"/>
  <c r="P1718" i="1"/>
  <c r="O1718" i="1"/>
  <c r="N1718" i="1"/>
  <c r="S1717" i="1"/>
  <c r="R1717" i="1"/>
  <c r="Q1717" i="1"/>
  <c r="P1717" i="1"/>
  <c r="O1717" i="1"/>
  <c r="N1717" i="1"/>
  <c r="S1716" i="1"/>
  <c r="R1716" i="1"/>
  <c r="Q1716" i="1"/>
  <c r="P1716" i="1"/>
  <c r="O1716" i="1"/>
  <c r="N1716" i="1"/>
  <c r="S1715" i="1"/>
  <c r="R1715" i="1"/>
  <c r="Q1715" i="1"/>
  <c r="P1715" i="1"/>
  <c r="O1715" i="1"/>
  <c r="N1715" i="1"/>
  <c r="S1714" i="1"/>
  <c r="R1714" i="1"/>
  <c r="Q1714" i="1"/>
  <c r="P1714" i="1"/>
  <c r="O1714" i="1"/>
  <c r="N1714" i="1"/>
  <c r="S1713" i="1"/>
  <c r="R1713" i="1"/>
  <c r="Q1713" i="1"/>
  <c r="P1713" i="1"/>
  <c r="O1713" i="1"/>
  <c r="N1713" i="1"/>
  <c r="S1712" i="1"/>
  <c r="R1712" i="1"/>
  <c r="Q1712" i="1"/>
  <c r="P1712" i="1"/>
  <c r="O1712" i="1"/>
  <c r="N1712" i="1"/>
  <c r="S1711" i="1"/>
  <c r="R1711" i="1"/>
  <c r="Q1711" i="1"/>
  <c r="P1711" i="1"/>
  <c r="O1711" i="1"/>
  <c r="N1711" i="1"/>
  <c r="S1710" i="1"/>
  <c r="R1710" i="1"/>
  <c r="Q1710" i="1"/>
  <c r="P1710" i="1"/>
  <c r="O1710" i="1"/>
  <c r="N1710" i="1"/>
  <c r="S1709" i="1"/>
  <c r="R1709" i="1"/>
  <c r="Q1709" i="1"/>
  <c r="P1709" i="1"/>
  <c r="O1709" i="1"/>
  <c r="N1709" i="1"/>
  <c r="S1708" i="1"/>
  <c r="R1708" i="1"/>
  <c r="Q1708" i="1"/>
  <c r="P1708" i="1"/>
  <c r="O1708" i="1"/>
  <c r="N1708" i="1"/>
  <c r="S1707" i="1"/>
  <c r="R1707" i="1"/>
  <c r="Q1707" i="1"/>
  <c r="P1707" i="1"/>
  <c r="O1707" i="1"/>
  <c r="N1707" i="1"/>
  <c r="S1706" i="1"/>
  <c r="R1706" i="1"/>
  <c r="Q1706" i="1"/>
  <c r="P1706" i="1"/>
  <c r="O1706" i="1"/>
  <c r="N1706" i="1"/>
  <c r="S1705" i="1"/>
  <c r="R1705" i="1"/>
  <c r="Q1705" i="1"/>
  <c r="P1705" i="1"/>
  <c r="O1705" i="1"/>
  <c r="N1705" i="1"/>
  <c r="S1704" i="1"/>
  <c r="R1704" i="1"/>
  <c r="Q1704" i="1"/>
  <c r="P1704" i="1"/>
  <c r="O1704" i="1"/>
  <c r="N1704" i="1"/>
  <c r="S1703" i="1"/>
  <c r="R1703" i="1"/>
  <c r="Q1703" i="1"/>
  <c r="P1703" i="1"/>
  <c r="O1703" i="1"/>
  <c r="N1703" i="1"/>
  <c r="S1702" i="1"/>
  <c r="R1702" i="1"/>
  <c r="Q1702" i="1"/>
  <c r="P1702" i="1"/>
  <c r="O1702" i="1"/>
  <c r="N1702" i="1"/>
  <c r="S1701" i="1"/>
  <c r="R1701" i="1"/>
  <c r="Q1701" i="1"/>
  <c r="P1701" i="1"/>
  <c r="O1701" i="1"/>
  <c r="N1701" i="1"/>
  <c r="S1700" i="1"/>
  <c r="R1700" i="1"/>
  <c r="Q1700" i="1"/>
  <c r="P1700" i="1"/>
  <c r="O1700" i="1"/>
  <c r="N1700" i="1"/>
  <c r="S1699" i="1"/>
  <c r="R1699" i="1"/>
  <c r="Q1699" i="1"/>
  <c r="P1699" i="1"/>
  <c r="O1699" i="1"/>
  <c r="N1699" i="1"/>
  <c r="S1698" i="1"/>
  <c r="R1698" i="1"/>
  <c r="Q1698" i="1"/>
  <c r="P1698" i="1"/>
  <c r="O1698" i="1"/>
  <c r="N1698" i="1"/>
  <c r="S1697" i="1"/>
  <c r="R1697" i="1"/>
  <c r="Q1697" i="1"/>
  <c r="P1697" i="1"/>
  <c r="O1697" i="1"/>
  <c r="N1697" i="1"/>
  <c r="S1696" i="1"/>
  <c r="R1696" i="1"/>
  <c r="Q1696" i="1"/>
  <c r="P1696" i="1"/>
  <c r="O1696" i="1"/>
  <c r="N1696" i="1"/>
  <c r="S1695" i="1"/>
  <c r="R1695" i="1"/>
  <c r="Q1695" i="1"/>
  <c r="P1695" i="1"/>
  <c r="O1695" i="1"/>
  <c r="N1695" i="1"/>
  <c r="S1694" i="1"/>
  <c r="R1694" i="1"/>
  <c r="Q1694" i="1"/>
  <c r="P1694" i="1"/>
  <c r="O1694" i="1"/>
  <c r="N1694" i="1"/>
  <c r="S1693" i="1"/>
  <c r="R1693" i="1"/>
  <c r="Q1693" i="1"/>
  <c r="P1693" i="1"/>
  <c r="O1693" i="1"/>
  <c r="N1693" i="1"/>
  <c r="S1692" i="1"/>
  <c r="R1692" i="1"/>
  <c r="Q1692" i="1"/>
  <c r="P1692" i="1"/>
  <c r="O1692" i="1"/>
  <c r="N1692" i="1"/>
  <c r="S1691" i="1"/>
  <c r="R1691" i="1"/>
  <c r="Q1691" i="1"/>
  <c r="P1691" i="1"/>
  <c r="O1691" i="1"/>
  <c r="N1691" i="1"/>
  <c r="S1690" i="1"/>
  <c r="R1690" i="1"/>
  <c r="Q1690" i="1"/>
  <c r="P1690" i="1"/>
  <c r="O1690" i="1"/>
  <c r="N1690" i="1"/>
  <c r="S1689" i="1"/>
  <c r="R1689" i="1"/>
  <c r="Q1689" i="1"/>
  <c r="P1689" i="1"/>
  <c r="O1689" i="1"/>
  <c r="N1689" i="1"/>
  <c r="S1688" i="1"/>
  <c r="R1688" i="1"/>
  <c r="Q1688" i="1"/>
  <c r="P1688" i="1"/>
  <c r="O1688" i="1"/>
  <c r="N1688" i="1"/>
  <c r="S1687" i="1"/>
  <c r="R1687" i="1"/>
  <c r="Q1687" i="1"/>
  <c r="P1687" i="1"/>
  <c r="O1687" i="1"/>
  <c r="N1687" i="1"/>
  <c r="S1686" i="1"/>
  <c r="R1686" i="1"/>
  <c r="Q1686" i="1"/>
  <c r="P1686" i="1"/>
  <c r="O1686" i="1"/>
  <c r="N1686" i="1"/>
  <c r="S1685" i="1"/>
  <c r="R1685" i="1"/>
  <c r="Q1685" i="1"/>
  <c r="P1685" i="1"/>
  <c r="O1685" i="1"/>
  <c r="N1685" i="1"/>
  <c r="S1684" i="1"/>
  <c r="R1684" i="1"/>
  <c r="Q1684" i="1"/>
  <c r="P1684" i="1"/>
  <c r="O1684" i="1"/>
  <c r="N1684" i="1"/>
  <c r="S1683" i="1"/>
  <c r="R1683" i="1"/>
  <c r="Q1683" i="1"/>
  <c r="P1683" i="1"/>
  <c r="O1683" i="1"/>
  <c r="N1683" i="1"/>
  <c r="S1682" i="1"/>
  <c r="R1682" i="1"/>
  <c r="Q1682" i="1"/>
  <c r="P1682" i="1"/>
  <c r="O1682" i="1"/>
  <c r="N1682" i="1"/>
  <c r="S1681" i="1"/>
  <c r="R1681" i="1"/>
  <c r="Q1681" i="1"/>
  <c r="P1681" i="1"/>
  <c r="O1681" i="1"/>
  <c r="N1681" i="1"/>
  <c r="S1680" i="1"/>
  <c r="R1680" i="1"/>
  <c r="Q1680" i="1"/>
  <c r="P1680" i="1"/>
  <c r="O1680" i="1"/>
  <c r="N1680" i="1"/>
  <c r="S1679" i="1"/>
  <c r="R1679" i="1"/>
  <c r="Q1679" i="1"/>
  <c r="P1679" i="1"/>
  <c r="O1679" i="1"/>
  <c r="N1679" i="1"/>
  <c r="S1678" i="1"/>
  <c r="R1678" i="1"/>
  <c r="Q1678" i="1"/>
  <c r="P1678" i="1"/>
  <c r="O1678" i="1"/>
  <c r="N1678" i="1"/>
  <c r="S1677" i="1"/>
  <c r="R1677" i="1"/>
  <c r="Q1677" i="1"/>
  <c r="P1677" i="1"/>
  <c r="O1677" i="1"/>
  <c r="N1677" i="1"/>
  <c r="S1676" i="1"/>
  <c r="R1676" i="1"/>
  <c r="Q1676" i="1"/>
  <c r="P1676" i="1"/>
  <c r="O1676" i="1"/>
  <c r="N1676" i="1"/>
  <c r="S1675" i="1"/>
  <c r="R1675" i="1"/>
  <c r="Q1675" i="1"/>
  <c r="P1675" i="1"/>
  <c r="O1675" i="1"/>
  <c r="N1675" i="1"/>
  <c r="S1674" i="1"/>
  <c r="R1674" i="1"/>
  <c r="Q1674" i="1"/>
  <c r="P1674" i="1"/>
  <c r="O1674" i="1"/>
  <c r="N1674" i="1"/>
  <c r="S1673" i="1"/>
  <c r="R1673" i="1"/>
  <c r="Q1673" i="1"/>
  <c r="P1673" i="1"/>
  <c r="O1673" i="1"/>
  <c r="N1673" i="1"/>
  <c r="S1672" i="1"/>
  <c r="R1672" i="1"/>
  <c r="Q1672" i="1"/>
  <c r="P1672" i="1"/>
  <c r="O1672" i="1"/>
  <c r="N1672" i="1"/>
  <c r="S1671" i="1"/>
  <c r="R1671" i="1"/>
  <c r="Q1671" i="1"/>
  <c r="P1671" i="1"/>
  <c r="O1671" i="1"/>
  <c r="N1671" i="1"/>
  <c r="S1670" i="1"/>
  <c r="R1670" i="1"/>
  <c r="Q1670" i="1"/>
  <c r="P1670" i="1"/>
  <c r="O1670" i="1"/>
  <c r="N1670" i="1"/>
  <c r="S1669" i="1"/>
  <c r="R1669" i="1"/>
  <c r="Q1669" i="1"/>
  <c r="P1669" i="1"/>
  <c r="O1669" i="1"/>
  <c r="N1669" i="1"/>
  <c r="S1668" i="1"/>
  <c r="R1668" i="1"/>
  <c r="Q1668" i="1"/>
  <c r="P1668" i="1"/>
  <c r="O1668" i="1"/>
  <c r="N1668" i="1"/>
  <c r="S1667" i="1"/>
  <c r="R1667" i="1"/>
  <c r="Q1667" i="1"/>
  <c r="P1667" i="1"/>
  <c r="O1667" i="1"/>
  <c r="N1667" i="1"/>
  <c r="S1666" i="1"/>
  <c r="R1666" i="1"/>
  <c r="Q1666" i="1"/>
  <c r="P1666" i="1"/>
  <c r="O1666" i="1"/>
  <c r="N1666" i="1"/>
  <c r="S1665" i="1"/>
  <c r="R1665" i="1"/>
  <c r="Q1665" i="1"/>
  <c r="P1665" i="1"/>
  <c r="O1665" i="1"/>
  <c r="N1665" i="1"/>
  <c r="S1664" i="1"/>
  <c r="R1664" i="1"/>
  <c r="Q1664" i="1"/>
  <c r="P1664" i="1"/>
  <c r="O1664" i="1"/>
  <c r="N1664" i="1"/>
  <c r="S1663" i="1"/>
  <c r="R1663" i="1"/>
  <c r="Q1663" i="1"/>
  <c r="P1663" i="1"/>
  <c r="O1663" i="1"/>
  <c r="N1663" i="1"/>
  <c r="S1662" i="1"/>
  <c r="R1662" i="1"/>
  <c r="Q1662" i="1"/>
  <c r="P1662" i="1"/>
  <c r="O1662" i="1"/>
  <c r="N1662" i="1"/>
  <c r="S1661" i="1"/>
  <c r="R1661" i="1"/>
  <c r="Q1661" i="1"/>
  <c r="P1661" i="1"/>
  <c r="O1661" i="1"/>
  <c r="N1661" i="1"/>
  <c r="S1660" i="1"/>
  <c r="R1660" i="1"/>
  <c r="Q1660" i="1"/>
  <c r="P1660" i="1"/>
  <c r="O1660" i="1"/>
  <c r="N1660" i="1"/>
  <c r="S1659" i="1"/>
  <c r="R1659" i="1"/>
  <c r="Q1659" i="1"/>
  <c r="P1659" i="1"/>
  <c r="O1659" i="1"/>
  <c r="N1659" i="1"/>
  <c r="S1658" i="1"/>
  <c r="R1658" i="1"/>
  <c r="Q1658" i="1"/>
  <c r="P1658" i="1"/>
  <c r="O1658" i="1"/>
  <c r="N1658" i="1"/>
  <c r="S1657" i="1"/>
  <c r="R1657" i="1"/>
  <c r="Q1657" i="1"/>
  <c r="P1657" i="1"/>
  <c r="O1657" i="1"/>
  <c r="N1657" i="1"/>
  <c r="S1656" i="1"/>
  <c r="R1656" i="1"/>
  <c r="Q1656" i="1"/>
  <c r="P1656" i="1"/>
  <c r="O1656" i="1"/>
  <c r="N1656" i="1"/>
  <c r="S1655" i="1"/>
  <c r="R1655" i="1"/>
  <c r="Q1655" i="1"/>
  <c r="P1655" i="1"/>
  <c r="O1655" i="1"/>
  <c r="N1655" i="1"/>
  <c r="S1654" i="1"/>
  <c r="R1654" i="1"/>
  <c r="Q1654" i="1"/>
  <c r="P1654" i="1"/>
  <c r="O1654" i="1"/>
  <c r="N1654" i="1"/>
  <c r="S1653" i="1"/>
  <c r="R1653" i="1"/>
  <c r="Q1653" i="1"/>
  <c r="P1653" i="1"/>
  <c r="O1653" i="1"/>
  <c r="N1653" i="1"/>
  <c r="S1652" i="1"/>
  <c r="R1652" i="1"/>
  <c r="Q1652" i="1"/>
  <c r="P1652" i="1"/>
  <c r="O1652" i="1"/>
  <c r="N1652" i="1"/>
  <c r="S1651" i="1"/>
  <c r="R1651" i="1"/>
  <c r="Q1651" i="1"/>
  <c r="P1651" i="1"/>
  <c r="O1651" i="1"/>
  <c r="N1651" i="1"/>
  <c r="S1650" i="1"/>
  <c r="R1650" i="1"/>
  <c r="Q1650" i="1"/>
  <c r="P1650" i="1"/>
  <c r="O1650" i="1"/>
  <c r="N1650" i="1"/>
  <c r="S1649" i="1"/>
  <c r="R1649" i="1"/>
  <c r="Q1649" i="1"/>
  <c r="P1649" i="1"/>
  <c r="O1649" i="1"/>
  <c r="N1649" i="1"/>
  <c r="S1648" i="1"/>
  <c r="R1648" i="1"/>
  <c r="Q1648" i="1"/>
  <c r="P1648" i="1"/>
  <c r="O1648" i="1"/>
  <c r="N1648" i="1"/>
  <c r="S1647" i="1"/>
  <c r="R1647" i="1"/>
  <c r="Q1647" i="1"/>
  <c r="P1647" i="1"/>
  <c r="O1647" i="1"/>
  <c r="N1647" i="1"/>
  <c r="S1646" i="1"/>
  <c r="R1646" i="1"/>
  <c r="Q1646" i="1"/>
  <c r="P1646" i="1"/>
  <c r="O1646" i="1"/>
  <c r="N1646" i="1"/>
  <c r="S1645" i="1"/>
  <c r="R1645" i="1"/>
  <c r="Q1645" i="1"/>
  <c r="P1645" i="1"/>
  <c r="O1645" i="1"/>
  <c r="N1645" i="1"/>
  <c r="S1644" i="1"/>
  <c r="R1644" i="1"/>
  <c r="Q1644" i="1"/>
  <c r="P1644" i="1"/>
  <c r="O1644" i="1"/>
  <c r="N1644" i="1"/>
  <c r="S1643" i="1"/>
  <c r="R1643" i="1"/>
  <c r="Q1643" i="1"/>
  <c r="P1643" i="1"/>
  <c r="O1643" i="1"/>
  <c r="N1643" i="1"/>
  <c r="S1642" i="1"/>
  <c r="R1642" i="1"/>
  <c r="Q1642" i="1"/>
  <c r="P1642" i="1"/>
  <c r="O1642" i="1"/>
  <c r="N1642" i="1"/>
  <c r="S1641" i="1"/>
  <c r="R1641" i="1"/>
  <c r="Q1641" i="1"/>
  <c r="P1641" i="1"/>
  <c r="O1641" i="1"/>
  <c r="N1641" i="1"/>
  <c r="S1640" i="1"/>
  <c r="R1640" i="1"/>
  <c r="Q1640" i="1"/>
  <c r="P1640" i="1"/>
  <c r="O1640" i="1"/>
  <c r="N1640" i="1"/>
  <c r="S1639" i="1"/>
  <c r="R1639" i="1"/>
  <c r="Q1639" i="1"/>
  <c r="P1639" i="1"/>
  <c r="O1639" i="1"/>
  <c r="N1639" i="1"/>
  <c r="S1638" i="1"/>
  <c r="R1638" i="1"/>
  <c r="Q1638" i="1"/>
  <c r="P1638" i="1"/>
  <c r="O1638" i="1"/>
  <c r="N1638" i="1"/>
  <c r="S1637" i="1"/>
  <c r="R1637" i="1"/>
  <c r="Q1637" i="1"/>
  <c r="P1637" i="1"/>
  <c r="O1637" i="1"/>
  <c r="N1637" i="1"/>
  <c r="S1636" i="1"/>
  <c r="R1636" i="1"/>
  <c r="Q1636" i="1"/>
  <c r="P1636" i="1"/>
  <c r="O1636" i="1"/>
  <c r="N1636" i="1"/>
  <c r="S1635" i="1"/>
  <c r="R1635" i="1"/>
  <c r="Q1635" i="1"/>
  <c r="P1635" i="1"/>
  <c r="O1635" i="1"/>
  <c r="N1635" i="1"/>
  <c r="S1634" i="1"/>
  <c r="R1634" i="1"/>
  <c r="Q1634" i="1"/>
  <c r="P1634" i="1"/>
  <c r="O1634" i="1"/>
  <c r="N1634" i="1"/>
  <c r="S1633" i="1"/>
  <c r="R1633" i="1"/>
  <c r="Q1633" i="1"/>
  <c r="P1633" i="1"/>
  <c r="O1633" i="1"/>
  <c r="N1633" i="1"/>
  <c r="S1632" i="1"/>
  <c r="R1632" i="1"/>
  <c r="Q1632" i="1"/>
  <c r="P1632" i="1"/>
  <c r="O1632" i="1"/>
  <c r="N1632" i="1"/>
  <c r="S1631" i="1"/>
  <c r="R1631" i="1"/>
  <c r="Q1631" i="1"/>
  <c r="P1631" i="1"/>
  <c r="O1631" i="1"/>
  <c r="N1631" i="1"/>
  <c r="S1630" i="1"/>
  <c r="R1630" i="1"/>
  <c r="Q1630" i="1"/>
  <c r="P1630" i="1"/>
  <c r="O1630" i="1"/>
  <c r="N1630" i="1"/>
  <c r="S1629" i="1"/>
  <c r="R1629" i="1"/>
  <c r="Q1629" i="1"/>
  <c r="P1629" i="1"/>
  <c r="O1629" i="1"/>
  <c r="N1629" i="1"/>
  <c r="S1628" i="1"/>
  <c r="R1628" i="1"/>
  <c r="Q1628" i="1"/>
  <c r="P1628" i="1"/>
  <c r="O1628" i="1"/>
  <c r="N1628" i="1"/>
  <c r="S1627" i="1"/>
  <c r="R1627" i="1"/>
  <c r="Q1627" i="1"/>
  <c r="P1627" i="1"/>
  <c r="O1627" i="1"/>
  <c r="N1627" i="1"/>
  <c r="S1626" i="1"/>
  <c r="R1626" i="1"/>
  <c r="Q1626" i="1"/>
  <c r="P1626" i="1"/>
  <c r="O1626" i="1"/>
  <c r="N1626" i="1"/>
  <c r="S1625" i="1"/>
  <c r="R1625" i="1"/>
  <c r="Q1625" i="1"/>
  <c r="P1625" i="1"/>
  <c r="O1625" i="1"/>
  <c r="N1625" i="1"/>
  <c r="S1624" i="1"/>
  <c r="R1624" i="1"/>
  <c r="Q1624" i="1"/>
  <c r="P1624" i="1"/>
  <c r="O1624" i="1"/>
  <c r="N1624" i="1"/>
  <c r="S1623" i="1"/>
  <c r="R1623" i="1"/>
  <c r="Q1623" i="1"/>
  <c r="P1623" i="1"/>
  <c r="O1623" i="1"/>
  <c r="N1623" i="1"/>
  <c r="S1622" i="1"/>
  <c r="R1622" i="1"/>
  <c r="Q1622" i="1"/>
  <c r="P1622" i="1"/>
  <c r="O1622" i="1"/>
  <c r="N1622" i="1"/>
  <c r="S1621" i="1"/>
  <c r="R1621" i="1"/>
  <c r="Q1621" i="1"/>
  <c r="P1621" i="1"/>
  <c r="O1621" i="1"/>
  <c r="N1621" i="1"/>
  <c r="S1620" i="1"/>
  <c r="R1620" i="1"/>
  <c r="Q1620" i="1"/>
  <c r="P1620" i="1"/>
  <c r="O1620" i="1"/>
  <c r="N1620" i="1"/>
  <c r="S1619" i="1"/>
  <c r="R1619" i="1"/>
  <c r="Q1619" i="1"/>
  <c r="P1619" i="1"/>
  <c r="O1619" i="1"/>
  <c r="N1619" i="1"/>
  <c r="S1618" i="1"/>
  <c r="R1618" i="1"/>
  <c r="Q1618" i="1"/>
  <c r="P1618" i="1"/>
  <c r="O1618" i="1"/>
  <c r="N1618" i="1"/>
  <c r="S1617" i="1"/>
  <c r="R1617" i="1"/>
  <c r="Q1617" i="1"/>
  <c r="P1617" i="1"/>
  <c r="O1617" i="1"/>
  <c r="N1617" i="1"/>
  <c r="S1616" i="1"/>
  <c r="R1616" i="1"/>
  <c r="Q1616" i="1"/>
  <c r="P1616" i="1"/>
  <c r="O1616" i="1"/>
  <c r="N1616" i="1"/>
  <c r="S1615" i="1"/>
  <c r="R1615" i="1"/>
  <c r="Q1615" i="1"/>
  <c r="P1615" i="1"/>
  <c r="O1615" i="1"/>
  <c r="N1615" i="1"/>
  <c r="S1614" i="1"/>
  <c r="R1614" i="1"/>
  <c r="Q1614" i="1"/>
  <c r="P1614" i="1"/>
  <c r="O1614" i="1"/>
  <c r="N1614" i="1"/>
  <c r="S1613" i="1"/>
  <c r="R1613" i="1"/>
  <c r="Q1613" i="1"/>
  <c r="P1613" i="1"/>
  <c r="O1613" i="1"/>
  <c r="N1613" i="1"/>
  <c r="S1612" i="1"/>
  <c r="R1612" i="1"/>
  <c r="Q1612" i="1"/>
  <c r="P1612" i="1"/>
  <c r="O1612" i="1"/>
  <c r="N1612" i="1"/>
  <c r="S1611" i="1"/>
  <c r="R1611" i="1"/>
  <c r="Q1611" i="1"/>
  <c r="P1611" i="1"/>
  <c r="O1611" i="1"/>
  <c r="N1611" i="1"/>
  <c r="S1610" i="1"/>
  <c r="R1610" i="1"/>
  <c r="Q1610" i="1"/>
  <c r="P1610" i="1"/>
  <c r="O1610" i="1"/>
  <c r="N1610" i="1"/>
  <c r="S1609" i="1"/>
  <c r="R1609" i="1"/>
  <c r="Q1609" i="1"/>
  <c r="P1609" i="1"/>
  <c r="O1609" i="1"/>
  <c r="N1609" i="1"/>
  <c r="S1608" i="1"/>
  <c r="R1608" i="1"/>
  <c r="Q1608" i="1"/>
  <c r="P1608" i="1"/>
  <c r="O1608" i="1"/>
  <c r="N1608" i="1"/>
  <c r="S1607" i="1"/>
  <c r="R1607" i="1"/>
  <c r="Q1607" i="1"/>
  <c r="P1607" i="1"/>
  <c r="O1607" i="1"/>
  <c r="N1607" i="1"/>
  <c r="S1606" i="1"/>
  <c r="R1606" i="1"/>
  <c r="Q1606" i="1"/>
  <c r="P1606" i="1"/>
  <c r="O1606" i="1"/>
  <c r="N1606" i="1"/>
  <c r="S1605" i="1"/>
  <c r="R1605" i="1"/>
  <c r="Q1605" i="1"/>
  <c r="P1605" i="1"/>
  <c r="O1605" i="1"/>
  <c r="N1605" i="1"/>
  <c r="S1604" i="1"/>
  <c r="R1604" i="1"/>
  <c r="Q1604" i="1"/>
  <c r="P1604" i="1"/>
  <c r="O1604" i="1"/>
  <c r="N1604" i="1"/>
  <c r="S1603" i="1"/>
  <c r="R1603" i="1"/>
  <c r="Q1603" i="1"/>
  <c r="P1603" i="1"/>
  <c r="O1603" i="1"/>
  <c r="N1603" i="1"/>
  <c r="S1602" i="1"/>
  <c r="R1602" i="1"/>
  <c r="Q1602" i="1"/>
  <c r="P1602" i="1"/>
  <c r="O1602" i="1"/>
  <c r="N1602" i="1"/>
  <c r="S1601" i="1"/>
  <c r="R1601" i="1"/>
  <c r="Q1601" i="1"/>
  <c r="P1601" i="1"/>
  <c r="O1601" i="1"/>
  <c r="N1601" i="1"/>
  <c r="S1600" i="1"/>
  <c r="R1600" i="1"/>
  <c r="Q1600" i="1"/>
  <c r="P1600" i="1"/>
  <c r="O1600" i="1"/>
  <c r="N1600" i="1"/>
  <c r="S1599" i="1"/>
  <c r="R1599" i="1"/>
  <c r="Q1599" i="1"/>
  <c r="P1599" i="1"/>
  <c r="O1599" i="1"/>
  <c r="N1599" i="1"/>
  <c r="S1598" i="1"/>
  <c r="R1598" i="1"/>
  <c r="Q1598" i="1"/>
  <c r="P1598" i="1"/>
  <c r="O1598" i="1"/>
  <c r="N1598" i="1"/>
  <c r="S1597" i="1"/>
  <c r="R1597" i="1"/>
  <c r="Q1597" i="1"/>
  <c r="P1597" i="1"/>
  <c r="O1597" i="1"/>
  <c r="N1597" i="1"/>
  <c r="S1596" i="1"/>
  <c r="R1596" i="1"/>
  <c r="Q1596" i="1"/>
  <c r="P1596" i="1"/>
  <c r="O1596" i="1"/>
  <c r="N1596" i="1"/>
  <c r="S1595" i="1"/>
  <c r="R1595" i="1"/>
  <c r="Q1595" i="1"/>
  <c r="P1595" i="1"/>
  <c r="O1595" i="1"/>
  <c r="N1595" i="1"/>
  <c r="S1594" i="1"/>
  <c r="R1594" i="1"/>
  <c r="Q1594" i="1"/>
  <c r="P1594" i="1"/>
  <c r="O1594" i="1"/>
  <c r="N1594" i="1"/>
  <c r="S1593" i="1"/>
  <c r="R1593" i="1"/>
  <c r="Q1593" i="1"/>
  <c r="P1593" i="1"/>
  <c r="O1593" i="1"/>
  <c r="N1593" i="1"/>
  <c r="S1592" i="1"/>
  <c r="R1592" i="1"/>
  <c r="Q1592" i="1"/>
  <c r="P1592" i="1"/>
  <c r="O1592" i="1"/>
  <c r="N1592" i="1"/>
  <c r="S1591" i="1"/>
  <c r="R1591" i="1"/>
  <c r="Q1591" i="1"/>
  <c r="P1591" i="1"/>
  <c r="O1591" i="1"/>
  <c r="N1591" i="1"/>
  <c r="S1590" i="1"/>
  <c r="R1590" i="1"/>
  <c r="Q1590" i="1"/>
  <c r="P1590" i="1"/>
  <c r="O1590" i="1"/>
  <c r="N1590" i="1"/>
  <c r="S1589" i="1"/>
  <c r="R1589" i="1"/>
  <c r="Q1589" i="1"/>
  <c r="P1589" i="1"/>
  <c r="O1589" i="1"/>
  <c r="N1589" i="1"/>
  <c r="S1588" i="1"/>
  <c r="R1588" i="1"/>
  <c r="Q1588" i="1"/>
  <c r="P1588" i="1"/>
  <c r="O1588" i="1"/>
  <c r="N1588" i="1"/>
  <c r="S1587" i="1"/>
  <c r="R1587" i="1"/>
  <c r="Q1587" i="1"/>
  <c r="P1587" i="1"/>
  <c r="O1587" i="1"/>
  <c r="N1587" i="1"/>
  <c r="S1586" i="1"/>
  <c r="R1586" i="1"/>
  <c r="Q1586" i="1"/>
  <c r="P1586" i="1"/>
  <c r="O1586" i="1"/>
  <c r="N1586" i="1"/>
  <c r="S1585" i="1"/>
  <c r="R1585" i="1"/>
  <c r="Q1585" i="1"/>
  <c r="P1585" i="1"/>
  <c r="O1585" i="1"/>
  <c r="N1585" i="1"/>
  <c r="S1584" i="1"/>
  <c r="R1584" i="1"/>
  <c r="Q1584" i="1"/>
  <c r="P1584" i="1"/>
  <c r="O1584" i="1"/>
  <c r="N1584" i="1"/>
  <c r="S1583" i="1"/>
  <c r="R1583" i="1"/>
  <c r="Q1583" i="1"/>
  <c r="P1583" i="1"/>
  <c r="O1583" i="1"/>
  <c r="N1583" i="1"/>
  <c r="S1582" i="1"/>
  <c r="R1582" i="1"/>
  <c r="Q1582" i="1"/>
  <c r="P1582" i="1"/>
  <c r="O1582" i="1"/>
  <c r="N1582" i="1"/>
  <c r="S1581" i="1"/>
  <c r="R1581" i="1"/>
  <c r="Q1581" i="1"/>
  <c r="P1581" i="1"/>
  <c r="O1581" i="1"/>
  <c r="N1581" i="1"/>
  <c r="S1580" i="1"/>
  <c r="R1580" i="1"/>
  <c r="Q1580" i="1"/>
  <c r="P1580" i="1"/>
  <c r="O1580" i="1"/>
  <c r="N1580" i="1"/>
  <c r="S1579" i="1"/>
  <c r="R1579" i="1"/>
  <c r="Q1579" i="1"/>
  <c r="P1579" i="1"/>
  <c r="O1579" i="1"/>
  <c r="N1579" i="1"/>
  <c r="S1578" i="1"/>
  <c r="R1578" i="1"/>
  <c r="Q1578" i="1"/>
  <c r="P1578" i="1"/>
  <c r="O1578" i="1"/>
  <c r="N1578" i="1"/>
  <c r="S1577" i="1"/>
  <c r="R1577" i="1"/>
  <c r="Q1577" i="1"/>
  <c r="P1577" i="1"/>
  <c r="O1577" i="1"/>
  <c r="N1577" i="1"/>
  <c r="S1576" i="1"/>
  <c r="R1576" i="1"/>
  <c r="Q1576" i="1"/>
  <c r="P1576" i="1"/>
  <c r="O1576" i="1"/>
  <c r="N1576" i="1"/>
  <c r="S1575" i="1"/>
  <c r="R1575" i="1"/>
  <c r="Q1575" i="1"/>
  <c r="P1575" i="1"/>
  <c r="O1575" i="1"/>
  <c r="N1575" i="1"/>
  <c r="S1574" i="1"/>
  <c r="R1574" i="1"/>
  <c r="Q1574" i="1"/>
  <c r="P1574" i="1"/>
  <c r="O1574" i="1"/>
  <c r="N1574" i="1"/>
  <c r="S1573" i="1"/>
  <c r="R1573" i="1"/>
  <c r="Q1573" i="1"/>
  <c r="P1573" i="1"/>
  <c r="O1573" i="1"/>
  <c r="N1573" i="1"/>
  <c r="S1572" i="1"/>
  <c r="R1572" i="1"/>
  <c r="Q1572" i="1"/>
  <c r="P1572" i="1"/>
  <c r="O1572" i="1"/>
  <c r="N1572" i="1"/>
  <c r="S1571" i="1"/>
  <c r="R1571" i="1"/>
  <c r="Q1571" i="1"/>
  <c r="P1571" i="1"/>
  <c r="O1571" i="1"/>
  <c r="N1571" i="1"/>
  <c r="S1570" i="1"/>
  <c r="R1570" i="1"/>
  <c r="Q1570" i="1"/>
  <c r="P1570" i="1"/>
  <c r="O1570" i="1"/>
  <c r="N1570" i="1"/>
  <c r="S1569" i="1"/>
  <c r="R1569" i="1"/>
  <c r="Q1569" i="1"/>
  <c r="P1569" i="1"/>
  <c r="O1569" i="1"/>
  <c r="N1569" i="1"/>
  <c r="S1568" i="1"/>
  <c r="R1568" i="1"/>
  <c r="Q1568" i="1"/>
  <c r="P1568" i="1"/>
  <c r="O1568" i="1"/>
  <c r="N1568" i="1"/>
  <c r="S1567" i="1"/>
  <c r="R1567" i="1"/>
  <c r="Q1567" i="1"/>
  <c r="P1567" i="1"/>
  <c r="O1567" i="1"/>
  <c r="N1567" i="1"/>
  <c r="S1566" i="1"/>
  <c r="R1566" i="1"/>
  <c r="Q1566" i="1"/>
  <c r="P1566" i="1"/>
  <c r="O1566" i="1"/>
  <c r="N1566" i="1"/>
  <c r="S1565" i="1"/>
  <c r="R1565" i="1"/>
  <c r="Q1565" i="1"/>
  <c r="P1565" i="1"/>
  <c r="O1565" i="1"/>
  <c r="N1565" i="1"/>
  <c r="S1564" i="1"/>
  <c r="R1564" i="1"/>
  <c r="Q1564" i="1"/>
  <c r="P1564" i="1"/>
  <c r="O1564" i="1"/>
  <c r="N1564" i="1"/>
  <c r="S1563" i="1"/>
  <c r="R1563" i="1"/>
  <c r="Q1563" i="1"/>
  <c r="P1563" i="1"/>
  <c r="O1563" i="1"/>
  <c r="N1563" i="1"/>
  <c r="S1562" i="1"/>
  <c r="R1562" i="1"/>
  <c r="Q1562" i="1"/>
  <c r="P1562" i="1"/>
  <c r="O1562" i="1"/>
  <c r="N1562" i="1"/>
  <c r="S1561" i="1"/>
  <c r="R1561" i="1"/>
  <c r="Q1561" i="1"/>
  <c r="P1561" i="1"/>
  <c r="O1561" i="1"/>
  <c r="N1561" i="1"/>
  <c r="S1560" i="1"/>
  <c r="R1560" i="1"/>
  <c r="Q1560" i="1"/>
  <c r="P1560" i="1"/>
  <c r="O1560" i="1"/>
  <c r="N1560" i="1"/>
  <c r="S1559" i="1"/>
  <c r="R1559" i="1"/>
  <c r="Q1559" i="1"/>
  <c r="P1559" i="1"/>
  <c r="O1559" i="1"/>
  <c r="N1559" i="1"/>
  <c r="S1558" i="1"/>
  <c r="R1558" i="1"/>
  <c r="Q1558" i="1"/>
  <c r="P1558" i="1"/>
  <c r="O1558" i="1"/>
  <c r="N1558" i="1"/>
  <c r="S1557" i="1"/>
  <c r="R1557" i="1"/>
  <c r="Q1557" i="1"/>
  <c r="P1557" i="1"/>
  <c r="O1557" i="1"/>
  <c r="N1557" i="1"/>
  <c r="S1556" i="1"/>
  <c r="R1556" i="1"/>
  <c r="Q1556" i="1"/>
  <c r="P1556" i="1"/>
  <c r="O1556" i="1"/>
  <c r="N1556" i="1"/>
  <c r="S1555" i="1"/>
  <c r="R1555" i="1"/>
  <c r="Q1555" i="1"/>
  <c r="P1555" i="1"/>
  <c r="O1555" i="1"/>
  <c r="N1555" i="1"/>
  <c r="S1554" i="1"/>
  <c r="R1554" i="1"/>
  <c r="Q1554" i="1"/>
  <c r="P1554" i="1"/>
  <c r="O1554" i="1"/>
  <c r="N1554" i="1"/>
  <c r="S1553" i="1"/>
  <c r="R1553" i="1"/>
  <c r="Q1553" i="1"/>
  <c r="P1553" i="1"/>
  <c r="O1553" i="1"/>
  <c r="N1553" i="1"/>
  <c r="S1552" i="1"/>
  <c r="R1552" i="1"/>
  <c r="Q1552" i="1"/>
  <c r="P1552" i="1"/>
  <c r="O1552" i="1"/>
  <c r="N1552" i="1"/>
  <c r="S1551" i="1"/>
  <c r="R1551" i="1"/>
  <c r="Q1551" i="1"/>
  <c r="P1551" i="1"/>
  <c r="O1551" i="1"/>
  <c r="N1551" i="1"/>
  <c r="S1550" i="1"/>
  <c r="R1550" i="1"/>
  <c r="Q1550" i="1"/>
  <c r="P1550" i="1"/>
  <c r="O1550" i="1"/>
  <c r="N1550" i="1"/>
  <c r="S1549" i="1"/>
  <c r="R1549" i="1"/>
  <c r="Q1549" i="1"/>
  <c r="P1549" i="1"/>
  <c r="O1549" i="1"/>
  <c r="N1549" i="1"/>
  <c r="S1548" i="1"/>
  <c r="R1548" i="1"/>
  <c r="Q1548" i="1"/>
  <c r="P1548" i="1"/>
  <c r="O1548" i="1"/>
  <c r="N1548" i="1"/>
  <c r="S1547" i="1"/>
  <c r="R1547" i="1"/>
  <c r="Q1547" i="1"/>
  <c r="P1547" i="1"/>
  <c r="O1547" i="1"/>
  <c r="N1547" i="1"/>
  <c r="S1546" i="1"/>
  <c r="R1546" i="1"/>
  <c r="Q1546" i="1"/>
  <c r="P1546" i="1"/>
  <c r="O1546" i="1"/>
  <c r="N1546" i="1"/>
  <c r="S1545" i="1"/>
  <c r="R1545" i="1"/>
  <c r="Q1545" i="1"/>
  <c r="P1545" i="1"/>
  <c r="O1545" i="1"/>
  <c r="N1545" i="1"/>
  <c r="S1544" i="1"/>
  <c r="R1544" i="1"/>
  <c r="Q1544" i="1"/>
  <c r="P1544" i="1"/>
  <c r="O1544" i="1"/>
  <c r="N1544" i="1"/>
  <c r="S1543" i="1"/>
  <c r="R1543" i="1"/>
  <c r="Q1543" i="1"/>
  <c r="P1543" i="1"/>
  <c r="O1543" i="1"/>
  <c r="N1543" i="1"/>
  <c r="S1542" i="1"/>
  <c r="R1542" i="1"/>
  <c r="Q1542" i="1"/>
  <c r="P1542" i="1"/>
  <c r="O1542" i="1"/>
  <c r="N1542" i="1"/>
  <c r="S1541" i="1"/>
  <c r="R1541" i="1"/>
  <c r="Q1541" i="1"/>
  <c r="P1541" i="1"/>
  <c r="O1541" i="1"/>
  <c r="N1541" i="1"/>
  <c r="S1540" i="1"/>
  <c r="R1540" i="1"/>
  <c r="Q1540" i="1"/>
  <c r="P1540" i="1"/>
  <c r="O1540" i="1"/>
  <c r="N1540" i="1"/>
  <c r="S1539" i="1"/>
  <c r="R1539" i="1"/>
  <c r="Q1539" i="1"/>
  <c r="P1539" i="1"/>
  <c r="O1539" i="1"/>
  <c r="N1539" i="1"/>
  <c r="S1538" i="1"/>
  <c r="R1538" i="1"/>
  <c r="Q1538" i="1"/>
  <c r="P1538" i="1"/>
  <c r="O1538" i="1"/>
  <c r="N1538" i="1"/>
  <c r="S1537" i="1"/>
  <c r="R1537" i="1"/>
  <c r="Q1537" i="1"/>
  <c r="P1537" i="1"/>
  <c r="O1537" i="1"/>
  <c r="N1537" i="1"/>
  <c r="S1536" i="1"/>
  <c r="R1536" i="1"/>
  <c r="Q1536" i="1"/>
  <c r="P1536" i="1"/>
  <c r="O1536" i="1"/>
  <c r="N1536" i="1"/>
  <c r="S1535" i="1"/>
  <c r="R1535" i="1"/>
  <c r="Q1535" i="1"/>
  <c r="P1535" i="1"/>
  <c r="O1535" i="1"/>
  <c r="N1535" i="1"/>
  <c r="S1534" i="1"/>
  <c r="R1534" i="1"/>
  <c r="Q1534" i="1"/>
  <c r="P1534" i="1"/>
  <c r="O1534" i="1"/>
  <c r="N1534" i="1"/>
  <c r="S1533" i="1"/>
  <c r="R1533" i="1"/>
  <c r="Q1533" i="1"/>
  <c r="P1533" i="1"/>
  <c r="O1533" i="1"/>
  <c r="N1533" i="1"/>
  <c r="S1532" i="1"/>
  <c r="R1532" i="1"/>
  <c r="Q1532" i="1"/>
  <c r="P1532" i="1"/>
  <c r="O1532" i="1"/>
  <c r="N1532" i="1"/>
  <c r="S1531" i="1"/>
  <c r="R1531" i="1"/>
  <c r="Q1531" i="1"/>
  <c r="P1531" i="1"/>
  <c r="O1531" i="1"/>
  <c r="N1531" i="1"/>
  <c r="S1530" i="1"/>
  <c r="R1530" i="1"/>
  <c r="Q1530" i="1"/>
  <c r="P1530" i="1"/>
  <c r="O1530" i="1"/>
  <c r="N1530" i="1"/>
  <c r="S1529" i="1"/>
  <c r="R1529" i="1"/>
  <c r="Q1529" i="1"/>
  <c r="P1529" i="1"/>
  <c r="O1529" i="1"/>
  <c r="N1529" i="1"/>
  <c r="S1528" i="1"/>
  <c r="R1528" i="1"/>
  <c r="Q1528" i="1"/>
  <c r="P1528" i="1"/>
  <c r="O1528" i="1"/>
  <c r="N1528" i="1"/>
  <c r="S1527" i="1"/>
  <c r="R1527" i="1"/>
  <c r="Q1527" i="1"/>
  <c r="P1527" i="1"/>
  <c r="O1527" i="1"/>
  <c r="N1527" i="1"/>
  <c r="S1526" i="1"/>
  <c r="R1526" i="1"/>
  <c r="Q1526" i="1"/>
  <c r="P1526" i="1"/>
  <c r="O1526" i="1"/>
  <c r="N1526" i="1"/>
  <c r="S1525" i="1"/>
  <c r="R1525" i="1"/>
  <c r="Q1525" i="1"/>
  <c r="P1525" i="1"/>
  <c r="O1525" i="1"/>
  <c r="N1525" i="1"/>
  <c r="S1524" i="1"/>
  <c r="R1524" i="1"/>
  <c r="Q1524" i="1"/>
  <c r="P1524" i="1"/>
  <c r="O1524" i="1"/>
  <c r="N1524" i="1"/>
  <c r="S1523" i="1"/>
  <c r="R1523" i="1"/>
  <c r="Q1523" i="1"/>
  <c r="P1523" i="1"/>
  <c r="O1523" i="1"/>
  <c r="N1523" i="1"/>
  <c r="S1522" i="1"/>
  <c r="R1522" i="1"/>
  <c r="Q1522" i="1"/>
  <c r="P1522" i="1"/>
  <c r="O1522" i="1"/>
  <c r="N1522" i="1"/>
  <c r="S1521" i="1"/>
  <c r="R1521" i="1"/>
  <c r="Q1521" i="1"/>
  <c r="P1521" i="1"/>
  <c r="O1521" i="1"/>
  <c r="N1521" i="1"/>
  <c r="S1520" i="1"/>
  <c r="R1520" i="1"/>
  <c r="Q1520" i="1"/>
  <c r="P1520" i="1"/>
  <c r="O1520" i="1"/>
  <c r="N1520" i="1"/>
  <c r="S1519" i="1"/>
  <c r="R1519" i="1"/>
  <c r="Q1519" i="1"/>
  <c r="P1519" i="1"/>
  <c r="O1519" i="1"/>
  <c r="N1519" i="1"/>
  <c r="S1518" i="1"/>
  <c r="R1518" i="1"/>
  <c r="Q1518" i="1"/>
  <c r="P1518" i="1"/>
  <c r="O1518" i="1"/>
  <c r="N1518" i="1"/>
  <c r="S1517" i="1"/>
  <c r="R1517" i="1"/>
  <c r="Q1517" i="1"/>
  <c r="P1517" i="1"/>
  <c r="O1517" i="1"/>
  <c r="N1517" i="1"/>
  <c r="S1516" i="1"/>
  <c r="R1516" i="1"/>
  <c r="Q1516" i="1"/>
  <c r="P1516" i="1"/>
  <c r="O1516" i="1"/>
  <c r="N1516" i="1"/>
  <c r="S1515" i="1"/>
  <c r="R1515" i="1"/>
  <c r="Q1515" i="1"/>
  <c r="P1515" i="1"/>
  <c r="O1515" i="1"/>
  <c r="N1515" i="1"/>
  <c r="S1514" i="1"/>
  <c r="R1514" i="1"/>
  <c r="Q1514" i="1"/>
  <c r="P1514" i="1"/>
  <c r="O1514" i="1"/>
  <c r="N1514" i="1"/>
  <c r="S1513" i="1"/>
  <c r="R1513" i="1"/>
  <c r="Q1513" i="1"/>
  <c r="P1513" i="1"/>
  <c r="O1513" i="1"/>
  <c r="N1513" i="1"/>
  <c r="S1512" i="1"/>
  <c r="R1512" i="1"/>
  <c r="Q1512" i="1"/>
  <c r="P1512" i="1"/>
  <c r="O1512" i="1"/>
  <c r="N1512" i="1"/>
  <c r="S1511" i="1"/>
  <c r="R1511" i="1"/>
  <c r="Q1511" i="1"/>
  <c r="P1511" i="1"/>
  <c r="O1511" i="1"/>
  <c r="N1511" i="1"/>
  <c r="S1510" i="1"/>
  <c r="R1510" i="1"/>
  <c r="Q1510" i="1"/>
  <c r="P1510" i="1"/>
  <c r="O1510" i="1"/>
  <c r="N1510" i="1"/>
  <c r="S1509" i="1"/>
  <c r="R1509" i="1"/>
  <c r="Q1509" i="1"/>
  <c r="P1509" i="1"/>
  <c r="O1509" i="1"/>
  <c r="N1509" i="1"/>
  <c r="S1508" i="1"/>
  <c r="R1508" i="1"/>
  <c r="Q1508" i="1"/>
  <c r="P1508" i="1"/>
  <c r="O1508" i="1"/>
  <c r="N1508" i="1"/>
  <c r="S1507" i="1"/>
  <c r="R1507" i="1"/>
  <c r="Q1507" i="1"/>
  <c r="P1507" i="1"/>
  <c r="O1507" i="1"/>
  <c r="N1507" i="1"/>
  <c r="S1506" i="1"/>
  <c r="R1506" i="1"/>
  <c r="Q1506" i="1"/>
  <c r="P1506" i="1"/>
  <c r="O1506" i="1"/>
  <c r="N1506" i="1"/>
  <c r="S1505" i="1"/>
  <c r="R1505" i="1"/>
  <c r="Q1505" i="1"/>
  <c r="P1505" i="1"/>
  <c r="O1505" i="1"/>
  <c r="N1505" i="1"/>
  <c r="S1504" i="1"/>
  <c r="R1504" i="1"/>
  <c r="Q1504" i="1"/>
  <c r="P1504" i="1"/>
  <c r="O1504" i="1"/>
  <c r="N1504" i="1"/>
  <c r="S1503" i="1"/>
  <c r="R1503" i="1"/>
  <c r="Q1503" i="1"/>
  <c r="P1503" i="1"/>
  <c r="O1503" i="1"/>
  <c r="N1503" i="1"/>
  <c r="S1502" i="1"/>
  <c r="R1502" i="1"/>
  <c r="Q1502" i="1"/>
  <c r="P1502" i="1"/>
  <c r="O1502" i="1"/>
  <c r="N1502" i="1"/>
  <c r="S1501" i="1"/>
  <c r="R1501" i="1"/>
  <c r="Q1501" i="1"/>
  <c r="P1501" i="1"/>
  <c r="O1501" i="1"/>
  <c r="N1501" i="1"/>
  <c r="S1500" i="1"/>
  <c r="R1500" i="1"/>
  <c r="Q1500" i="1"/>
  <c r="P1500" i="1"/>
  <c r="O1500" i="1"/>
  <c r="N1500" i="1"/>
  <c r="S1499" i="1"/>
  <c r="R1499" i="1"/>
  <c r="Q1499" i="1"/>
  <c r="P1499" i="1"/>
  <c r="O1499" i="1"/>
  <c r="N1499" i="1"/>
  <c r="S1498" i="1"/>
  <c r="R1498" i="1"/>
  <c r="Q1498" i="1"/>
  <c r="P1498" i="1"/>
  <c r="O1498" i="1"/>
  <c r="N1498" i="1"/>
  <c r="S1497" i="1"/>
  <c r="R1497" i="1"/>
  <c r="Q1497" i="1"/>
  <c r="P1497" i="1"/>
  <c r="O1497" i="1"/>
  <c r="N1497" i="1"/>
  <c r="S1496" i="1"/>
  <c r="R1496" i="1"/>
  <c r="Q1496" i="1"/>
  <c r="P1496" i="1"/>
  <c r="O1496" i="1"/>
  <c r="N1496" i="1"/>
  <c r="S1495" i="1"/>
  <c r="R1495" i="1"/>
  <c r="Q1495" i="1"/>
  <c r="P1495" i="1"/>
  <c r="O1495" i="1"/>
  <c r="N1495" i="1"/>
  <c r="S1494" i="1"/>
  <c r="R1494" i="1"/>
  <c r="Q1494" i="1"/>
  <c r="P1494" i="1"/>
  <c r="O1494" i="1"/>
  <c r="N1494" i="1"/>
  <c r="S1493" i="1"/>
  <c r="R1493" i="1"/>
  <c r="Q1493" i="1"/>
  <c r="P1493" i="1"/>
  <c r="O1493" i="1"/>
  <c r="N1493" i="1"/>
  <c r="S1492" i="1"/>
  <c r="R1492" i="1"/>
  <c r="Q1492" i="1"/>
  <c r="P1492" i="1"/>
  <c r="O1492" i="1"/>
  <c r="N1492" i="1"/>
  <c r="S1491" i="1"/>
  <c r="R1491" i="1"/>
  <c r="Q1491" i="1"/>
  <c r="P1491" i="1"/>
  <c r="O1491" i="1"/>
  <c r="N1491" i="1"/>
  <c r="S1490" i="1"/>
  <c r="R1490" i="1"/>
  <c r="Q1490" i="1"/>
  <c r="P1490" i="1"/>
  <c r="O1490" i="1"/>
  <c r="N1490" i="1"/>
  <c r="S1489" i="1"/>
  <c r="R1489" i="1"/>
  <c r="Q1489" i="1"/>
  <c r="P1489" i="1"/>
  <c r="O1489" i="1"/>
  <c r="N1489" i="1"/>
  <c r="S1488" i="1"/>
  <c r="R1488" i="1"/>
  <c r="Q1488" i="1"/>
  <c r="P1488" i="1"/>
  <c r="O1488" i="1"/>
  <c r="N1488" i="1"/>
  <c r="S1487" i="1"/>
  <c r="R1487" i="1"/>
  <c r="Q1487" i="1"/>
  <c r="P1487" i="1"/>
  <c r="O1487" i="1"/>
  <c r="N1487" i="1"/>
  <c r="S1486" i="1"/>
  <c r="R1486" i="1"/>
  <c r="Q1486" i="1"/>
  <c r="P1486" i="1"/>
  <c r="O1486" i="1"/>
  <c r="N1486" i="1"/>
  <c r="S1485" i="1"/>
  <c r="R1485" i="1"/>
  <c r="Q1485" i="1"/>
  <c r="P1485" i="1"/>
  <c r="O1485" i="1"/>
  <c r="N1485" i="1"/>
  <c r="S1484" i="1"/>
  <c r="R1484" i="1"/>
  <c r="Q1484" i="1"/>
  <c r="P1484" i="1"/>
  <c r="O1484" i="1"/>
  <c r="N1484" i="1"/>
  <c r="S1483" i="1"/>
  <c r="R1483" i="1"/>
  <c r="Q1483" i="1"/>
  <c r="P1483" i="1"/>
  <c r="O1483" i="1"/>
  <c r="N1483" i="1"/>
  <c r="S1482" i="1"/>
  <c r="R1482" i="1"/>
  <c r="Q1482" i="1"/>
  <c r="P1482" i="1"/>
  <c r="O1482" i="1"/>
  <c r="N1482" i="1"/>
  <c r="S1481" i="1"/>
  <c r="R1481" i="1"/>
  <c r="Q1481" i="1"/>
  <c r="P1481" i="1"/>
  <c r="O1481" i="1"/>
  <c r="N1481" i="1"/>
  <c r="S1480" i="1"/>
  <c r="R1480" i="1"/>
  <c r="Q1480" i="1"/>
  <c r="P1480" i="1"/>
  <c r="O1480" i="1"/>
  <c r="N1480" i="1"/>
  <c r="S1479" i="1"/>
  <c r="R1479" i="1"/>
  <c r="Q1479" i="1"/>
  <c r="P1479" i="1"/>
  <c r="O1479" i="1"/>
  <c r="N1479" i="1"/>
  <c r="S1478" i="1"/>
  <c r="R1478" i="1"/>
  <c r="Q1478" i="1"/>
  <c r="P1478" i="1"/>
  <c r="O1478" i="1"/>
  <c r="N1478" i="1"/>
  <c r="S1477" i="1"/>
  <c r="R1477" i="1"/>
  <c r="Q1477" i="1"/>
  <c r="P1477" i="1"/>
  <c r="O1477" i="1"/>
  <c r="N1477" i="1"/>
  <c r="S1476" i="1"/>
  <c r="R1476" i="1"/>
  <c r="Q1476" i="1"/>
  <c r="P1476" i="1"/>
  <c r="O1476" i="1"/>
  <c r="N1476" i="1"/>
  <c r="S1475" i="1"/>
  <c r="R1475" i="1"/>
  <c r="Q1475" i="1"/>
  <c r="P1475" i="1"/>
  <c r="O1475" i="1"/>
  <c r="N1475" i="1"/>
  <c r="S1474" i="1"/>
  <c r="R1474" i="1"/>
  <c r="Q1474" i="1"/>
  <c r="P1474" i="1"/>
  <c r="O1474" i="1"/>
  <c r="N1474" i="1"/>
  <c r="S1473" i="1"/>
  <c r="R1473" i="1"/>
  <c r="Q1473" i="1"/>
  <c r="P1473" i="1"/>
  <c r="O1473" i="1"/>
  <c r="N1473" i="1"/>
  <c r="S1472" i="1"/>
  <c r="R1472" i="1"/>
  <c r="Q1472" i="1"/>
  <c r="P1472" i="1"/>
  <c r="O1472" i="1"/>
  <c r="N1472" i="1"/>
  <c r="S1471" i="1"/>
  <c r="R1471" i="1"/>
  <c r="Q1471" i="1"/>
  <c r="P1471" i="1"/>
  <c r="O1471" i="1"/>
  <c r="N1471" i="1"/>
  <c r="S1470" i="1"/>
  <c r="R1470" i="1"/>
  <c r="Q1470" i="1"/>
  <c r="P1470" i="1"/>
  <c r="O1470" i="1"/>
  <c r="N1470" i="1"/>
  <c r="S1469" i="1"/>
  <c r="R1469" i="1"/>
  <c r="Q1469" i="1"/>
  <c r="P1469" i="1"/>
  <c r="O1469" i="1"/>
  <c r="N1469" i="1"/>
  <c r="S1468" i="1"/>
  <c r="R1468" i="1"/>
  <c r="Q1468" i="1"/>
  <c r="P1468" i="1"/>
  <c r="O1468" i="1"/>
  <c r="N1468" i="1"/>
  <c r="S1467" i="1"/>
  <c r="R1467" i="1"/>
  <c r="Q1467" i="1"/>
  <c r="P1467" i="1"/>
  <c r="O1467" i="1"/>
  <c r="N1467" i="1"/>
  <c r="S1466" i="1"/>
  <c r="R1466" i="1"/>
  <c r="Q1466" i="1"/>
  <c r="P1466" i="1"/>
  <c r="O1466" i="1"/>
  <c r="N1466" i="1"/>
  <c r="S1465" i="1"/>
  <c r="R1465" i="1"/>
  <c r="Q1465" i="1"/>
  <c r="P1465" i="1"/>
  <c r="O1465" i="1"/>
  <c r="N1465" i="1"/>
  <c r="S1464" i="1"/>
  <c r="R1464" i="1"/>
  <c r="Q1464" i="1"/>
  <c r="P1464" i="1"/>
  <c r="O1464" i="1"/>
  <c r="N1464" i="1"/>
  <c r="S1463" i="1"/>
  <c r="R1463" i="1"/>
  <c r="Q1463" i="1"/>
  <c r="P1463" i="1"/>
  <c r="O1463" i="1"/>
  <c r="N1463" i="1"/>
  <c r="S1462" i="1"/>
  <c r="R1462" i="1"/>
  <c r="Q1462" i="1"/>
  <c r="P1462" i="1"/>
  <c r="O1462" i="1"/>
  <c r="N1462" i="1"/>
  <c r="S1461" i="1"/>
  <c r="R1461" i="1"/>
  <c r="Q1461" i="1"/>
  <c r="P1461" i="1"/>
  <c r="O1461" i="1"/>
  <c r="N1461" i="1"/>
  <c r="S1460" i="1"/>
  <c r="R1460" i="1"/>
  <c r="Q1460" i="1"/>
  <c r="P1460" i="1"/>
  <c r="O1460" i="1"/>
  <c r="N1460" i="1"/>
  <c r="S1459" i="1"/>
  <c r="R1459" i="1"/>
  <c r="Q1459" i="1"/>
  <c r="P1459" i="1"/>
  <c r="O1459" i="1"/>
  <c r="N1459" i="1"/>
  <c r="S1458" i="1"/>
  <c r="R1458" i="1"/>
  <c r="Q1458" i="1"/>
  <c r="P1458" i="1"/>
  <c r="O1458" i="1"/>
  <c r="N1458" i="1"/>
  <c r="S1457" i="1"/>
  <c r="R1457" i="1"/>
  <c r="Q1457" i="1"/>
  <c r="P1457" i="1"/>
  <c r="O1457" i="1"/>
  <c r="N1457" i="1"/>
  <c r="S1456" i="1"/>
  <c r="R1456" i="1"/>
  <c r="Q1456" i="1"/>
  <c r="P1456" i="1"/>
  <c r="O1456" i="1"/>
  <c r="N1456" i="1"/>
  <c r="S1455" i="1"/>
  <c r="R1455" i="1"/>
  <c r="Q1455" i="1"/>
  <c r="P1455" i="1"/>
  <c r="O1455" i="1"/>
  <c r="N1455" i="1"/>
  <c r="S1454" i="1"/>
  <c r="R1454" i="1"/>
  <c r="Q1454" i="1"/>
  <c r="P1454" i="1"/>
  <c r="O1454" i="1"/>
  <c r="N1454" i="1"/>
  <c r="S1453" i="1"/>
  <c r="R1453" i="1"/>
  <c r="Q1453" i="1"/>
  <c r="P1453" i="1"/>
  <c r="O1453" i="1"/>
  <c r="N1453" i="1"/>
  <c r="S1452" i="1"/>
  <c r="R1452" i="1"/>
  <c r="Q1452" i="1"/>
  <c r="P1452" i="1"/>
  <c r="O1452" i="1"/>
  <c r="N1452" i="1"/>
  <c r="S1451" i="1"/>
  <c r="R1451" i="1"/>
  <c r="Q1451" i="1"/>
  <c r="P1451" i="1"/>
  <c r="O1451" i="1"/>
  <c r="N1451" i="1"/>
  <c r="S1450" i="1"/>
  <c r="R1450" i="1"/>
  <c r="Q1450" i="1"/>
  <c r="P1450" i="1"/>
  <c r="O1450" i="1"/>
  <c r="N1450" i="1"/>
  <c r="S1449" i="1"/>
  <c r="R1449" i="1"/>
  <c r="Q1449" i="1"/>
  <c r="P1449" i="1"/>
  <c r="O1449" i="1"/>
  <c r="N1449" i="1"/>
  <c r="S1448" i="1"/>
  <c r="R1448" i="1"/>
  <c r="Q1448" i="1"/>
  <c r="P1448" i="1"/>
  <c r="O1448" i="1"/>
  <c r="N1448" i="1"/>
  <c r="S1447" i="1"/>
  <c r="R1447" i="1"/>
  <c r="Q1447" i="1"/>
  <c r="P1447" i="1"/>
  <c r="O1447" i="1"/>
  <c r="N1447" i="1"/>
  <c r="S1446" i="1"/>
  <c r="R1446" i="1"/>
  <c r="Q1446" i="1"/>
  <c r="P1446" i="1"/>
  <c r="O1446" i="1"/>
  <c r="N1446" i="1"/>
  <c r="S1445" i="1"/>
  <c r="R1445" i="1"/>
  <c r="Q1445" i="1"/>
  <c r="P1445" i="1"/>
  <c r="O1445" i="1"/>
  <c r="N1445" i="1"/>
  <c r="S1444" i="1"/>
  <c r="R1444" i="1"/>
  <c r="Q1444" i="1"/>
  <c r="P1444" i="1"/>
  <c r="O1444" i="1"/>
  <c r="N1444" i="1"/>
  <c r="S1443" i="1"/>
  <c r="R1443" i="1"/>
  <c r="Q1443" i="1"/>
  <c r="P1443" i="1"/>
  <c r="O1443" i="1"/>
  <c r="N1443" i="1"/>
  <c r="S1442" i="1"/>
  <c r="R1442" i="1"/>
  <c r="Q1442" i="1"/>
  <c r="P1442" i="1"/>
  <c r="O1442" i="1"/>
  <c r="N1442" i="1"/>
  <c r="S1441" i="1"/>
  <c r="R1441" i="1"/>
  <c r="Q1441" i="1"/>
  <c r="P1441" i="1"/>
  <c r="O1441" i="1"/>
  <c r="N1441" i="1"/>
  <c r="S1440" i="1"/>
  <c r="R1440" i="1"/>
  <c r="Q1440" i="1"/>
  <c r="P1440" i="1"/>
  <c r="O1440" i="1"/>
  <c r="N1440" i="1"/>
  <c r="S1439" i="1"/>
  <c r="R1439" i="1"/>
  <c r="Q1439" i="1"/>
  <c r="P1439" i="1"/>
  <c r="O1439" i="1"/>
  <c r="N1439" i="1"/>
  <c r="S1438" i="1"/>
  <c r="R1438" i="1"/>
  <c r="Q1438" i="1"/>
  <c r="P1438" i="1"/>
  <c r="O1438" i="1"/>
  <c r="N1438" i="1"/>
  <c r="S1437" i="1"/>
  <c r="R1437" i="1"/>
  <c r="Q1437" i="1"/>
  <c r="P1437" i="1"/>
  <c r="O1437" i="1"/>
  <c r="N1437" i="1"/>
  <c r="S1436" i="1"/>
  <c r="R1436" i="1"/>
  <c r="Q1436" i="1"/>
  <c r="P1436" i="1"/>
  <c r="O1436" i="1"/>
  <c r="N1436" i="1"/>
  <c r="S1435" i="1"/>
  <c r="R1435" i="1"/>
  <c r="Q1435" i="1"/>
  <c r="P1435" i="1"/>
  <c r="O1435" i="1"/>
  <c r="N1435" i="1"/>
  <c r="S1434" i="1"/>
  <c r="R1434" i="1"/>
  <c r="Q1434" i="1"/>
  <c r="P1434" i="1"/>
  <c r="O1434" i="1"/>
  <c r="N1434" i="1"/>
  <c r="S1433" i="1"/>
  <c r="R1433" i="1"/>
  <c r="Q1433" i="1"/>
  <c r="P1433" i="1"/>
  <c r="O1433" i="1"/>
  <c r="N1433" i="1"/>
  <c r="S1432" i="1"/>
  <c r="R1432" i="1"/>
  <c r="Q1432" i="1"/>
  <c r="P1432" i="1"/>
  <c r="O1432" i="1"/>
  <c r="N1432" i="1"/>
  <c r="S1431" i="1"/>
  <c r="R1431" i="1"/>
  <c r="Q1431" i="1"/>
  <c r="P1431" i="1"/>
  <c r="O1431" i="1"/>
  <c r="N1431" i="1"/>
  <c r="S1430" i="1"/>
  <c r="R1430" i="1"/>
  <c r="Q1430" i="1"/>
  <c r="P1430" i="1"/>
  <c r="O1430" i="1"/>
  <c r="N1430" i="1"/>
  <c r="S1429" i="1"/>
  <c r="R1429" i="1"/>
  <c r="Q1429" i="1"/>
  <c r="P1429" i="1"/>
  <c r="O1429" i="1"/>
  <c r="N1429" i="1"/>
  <c r="S1428" i="1"/>
  <c r="R1428" i="1"/>
  <c r="Q1428" i="1"/>
  <c r="P1428" i="1"/>
  <c r="O1428" i="1"/>
  <c r="N1428" i="1"/>
  <c r="S1427" i="1"/>
  <c r="R1427" i="1"/>
  <c r="Q1427" i="1"/>
  <c r="P1427" i="1"/>
  <c r="O1427" i="1"/>
  <c r="N1427" i="1"/>
  <c r="S1426" i="1"/>
  <c r="R1426" i="1"/>
  <c r="Q1426" i="1"/>
  <c r="P1426" i="1"/>
  <c r="O1426" i="1"/>
  <c r="N1426" i="1"/>
  <c r="S1425" i="1"/>
  <c r="R1425" i="1"/>
  <c r="Q1425" i="1"/>
  <c r="P1425" i="1"/>
  <c r="O1425" i="1"/>
  <c r="N1425" i="1"/>
  <c r="S1424" i="1"/>
  <c r="R1424" i="1"/>
  <c r="Q1424" i="1"/>
  <c r="P1424" i="1"/>
  <c r="O1424" i="1"/>
  <c r="N1424" i="1"/>
  <c r="S1423" i="1"/>
  <c r="R1423" i="1"/>
  <c r="Q1423" i="1"/>
  <c r="P1423" i="1"/>
  <c r="O1423" i="1"/>
  <c r="N1423" i="1"/>
  <c r="S1422" i="1"/>
  <c r="R1422" i="1"/>
  <c r="Q1422" i="1"/>
  <c r="P1422" i="1"/>
  <c r="O1422" i="1"/>
  <c r="N1422" i="1"/>
  <c r="S1421" i="1"/>
  <c r="R1421" i="1"/>
  <c r="Q1421" i="1"/>
  <c r="P1421" i="1"/>
  <c r="O1421" i="1"/>
  <c r="N1421" i="1"/>
  <c r="S1420" i="1"/>
  <c r="R1420" i="1"/>
  <c r="Q1420" i="1"/>
  <c r="P1420" i="1"/>
  <c r="O1420" i="1"/>
  <c r="N1420" i="1"/>
  <c r="S1419" i="1"/>
  <c r="R1419" i="1"/>
  <c r="Q1419" i="1"/>
  <c r="P1419" i="1"/>
  <c r="O1419" i="1"/>
  <c r="N1419" i="1"/>
  <c r="S1418" i="1"/>
  <c r="R1418" i="1"/>
  <c r="Q1418" i="1"/>
  <c r="P1418" i="1"/>
  <c r="O1418" i="1"/>
  <c r="N1418" i="1"/>
  <c r="S1417" i="1"/>
  <c r="R1417" i="1"/>
  <c r="Q1417" i="1"/>
  <c r="P1417" i="1"/>
  <c r="O1417" i="1"/>
  <c r="N1417" i="1"/>
  <c r="S1416" i="1"/>
  <c r="R1416" i="1"/>
  <c r="Q1416" i="1"/>
  <c r="P1416" i="1"/>
  <c r="O1416" i="1"/>
  <c r="N1416" i="1"/>
  <c r="S1415" i="1"/>
  <c r="R1415" i="1"/>
  <c r="Q1415" i="1"/>
  <c r="P1415" i="1"/>
  <c r="O1415" i="1"/>
  <c r="N1415" i="1"/>
  <c r="S1414" i="1"/>
  <c r="R1414" i="1"/>
  <c r="Q1414" i="1"/>
  <c r="P1414" i="1"/>
  <c r="O1414" i="1"/>
  <c r="N1414" i="1"/>
  <c r="S1413" i="1"/>
  <c r="R1413" i="1"/>
  <c r="Q1413" i="1"/>
  <c r="P1413" i="1"/>
  <c r="O1413" i="1"/>
  <c r="N1413" i="1"/>
  <c r="S1412" i="1"/>
  <c r="R1412" i="1"/>
  <c r="Q1412" i="1"/>
  <c r="P1412" i="1"/>
  <c r="O1412" i="1"/>
  <c r="N1412" i="1"/>
  <c r="S1411" i="1"/>
  <c r="R1411" i="1"/>
  <c r="Q1411" i="1"/>
  <c r="P1411" i="1"/>
  <c r="O1411" i="1"/>
  <c r="N1411" i="1"/>
  <c r="S1410" i="1"/>
  <c r="R1410" i="1"/>
  <c r="Q1410" i="1"/>
  <c r="P1410" i="1"/>
  <c r="O1410" i="1"/>
  <c r="N1410" i="1"/>
  <c r="S1409" i="1"/>
  <c r="R1409" i="1"/>
  <c r="Q1409" i="1"/>
  <c r="P1409" i="1"/>
  <c r="O1409" i="1"/>
  <c r="N1409" i="1"/>
  <c r="S1408" i="1"/>
  <c r="R1408" i="1"/>
  <c r="Q1408" i="1"/>
  <c r="P1408" i="1"/>
  <c r="O1408" i="1"/>
  <c r="N1408" i="1"/>
  <c r="S1407" i="1"/>
  <c r="R1407" i="1"/>
  <c r="Q1407" i="1"/>
  <c r="P1407" i="1"/>
  <c r="O1407" i="1"/>
  <c r="N1407" i="1"/>
  <c r="S1406" i="1"/>
  <c r="R1406" i="1"/>
  <c r="Q1406" i="1"/>
  <c r="P1406" i="1"/>
  <c r="O1406" i="1"/>
  <c r="N1406" i="1"/>
  <c r="S1405" i="1"/>
  <c r="R1405" i="1"/>
  <c r="Q1405" i="1"/>
  <c r="P1405" i="1"/>
  <c r="O1405" i="1"/>
  <c r="N1405" i="1"/>
  <c r="S1404" i="1"/>
  <c r="R1404" i="1"/>
  <c r="Q1404" i="1"/>
  <c r="P1404" i="1"/>
  <c r="O1404" i="1"/>
  <c r="N1404" i="1"/>
  <c r="S1403" i="1"/>
  <c r="R1403" i="1"/>
  <c r="Q1403" i="1"/>
  <c r="P1403" i="1"/>
  <c r="O1403" i="1"/>
  <c r="N1403" i="1"/>
  <c r="S1402" i="1"/>
  <c r="R1402" i="1"/>
  <c r="Q1402" i="1"/>
  <c r="P1402" i="1"/>
  <c r="O1402" i="1"/>
  <c r="N1402" i="1"/>
  <c r="S1401" i="1"/>
  <c r="R1401" i="1"/>
  <c r="Q1401" i="1"/>
  <c r="P1401" i="1"/>
  <c r="O1401" i="1"/>
  <c r="N1401" i="1"/>
  <c r="S1400" i="1"/>
  <c r="R1400" i="1"/>
  <c r="Q1400" i="1"/>
  <c r="P1400" i="1"/>
  <c r="O1400" i="1"/>
  <c r="N1400" i="1"/>
  <c r="S1399" i="1"/>
  <c r="R1399" i="1"/>
  <c r="Q1399" i="1"/>
  <c r="P1399" i="1"/>
  <c r="O1399" i="1"/>
  <c r="N1399" i="1"/>
  <c r="S1398" i="1"/>
  <c r="R1398" i="1"/>
  <c r="Q1398" i="1"/>
  <c r="P1398" i="1"/>
  <c r="O1398" i="1"/>
  <c r="N1398" i="1"/>
  <c r="S1397" i="1"/>
  <c r="R1397" i="1"/>
  <c r="Q1397" i="1"/>
  <c r="P1397" i="1"/>
  <c r="O1397" i="1"/>
  <c r="N1397" i="1"/>
  <c r="S1396" i="1"/>
  <c r="R1396" i="1"/>
  <c r="Q1396" i="1"/>
  <c r="P1396" i="1"/>
  <c r="O1396" i="1"/>
  <c r="N1396" i="1"/>
  <c r="S1395" i="1"/>
  <c r="R1395" i="1"/>
  <c r="Q1395" i="1"/>
  <c r="P1395" i="1"/>
  <c r="O1395" i="1"/>
  <c r="N1395" i="1"/>
  <c r="S1394" i="1"/>
  <c r="R1394" i="1"/>
  <c r="Q1394" i="1"/>
  <c r="P1394" i="1"/>
  <c r="O1394" i="1"/>
  <c r="N1394" i="1"/>
  <c r="S1393" i="1"/>
  <c r="R1393" i="1"/>
  <c r="Q1393" i="1"/>
  <c r="P1393" i="1"/>
  <c r="O1393" i="1"/>
  <c r="N1393" i="1"/>
  <c r="S1392" i="1"/>
  <c r="R1392" i="1"/>
  <c r="Q1392" i="1"/>
  <c r="P1392" i="1"/>
  <c r="O1392" i="1"/>
  <c r="N1392" i="1"/>
  <c r="S1391" i="1"/>
  <c r="R1391" i="1"/>
  <c r="Q1391" i="1"/>
  <c r="P1391" i="1"/>
  <c r="O1391" i="1"/>
  <c r="N1391" i="1"/>
  <c r="S1390" i="1"/>
  <c r="R1390" i="1"/>
  <c r="Q1390" i="1"/>
  <c r="P1390" i="1"/>
  <c r="O1390" i="1"/>
  <c r="N1390" i="1"/>
  <c r="S1389" i="1"/>
  <c r="R1389" i="1"/>
  <c r="Q1389" i="1"/>
  <c r="P1389" i="1"/>
  <c r="O1389" i="1"/>
  <c r="N1389" i="1"/>
  <c r="S1388" i="1"/>
  <c r="R1388" i="1"/>
  <c r="Q1388" i="1"/>
  <c r="P1388" i="1"/>
  <c r="O1388" i="1"/>
  <c r="N1388" i="1"/>
  <c r="S1387" i="1"/>
  <c r="R1387" i="1"/>
  <c r="Q1387" i="1"/>
  <c r="P1387" i="1"/>
  <c r="O1387" i="1"/>
  <c r="N1387" i="1"/>
  <c r="S1386" i="1"/>
  <c r="R1386" i="1"/>
  <c r="Q1386" i="1"/>
  <c r="P1386" i="1"/>
  <c r="O1386" i="1"/>
  <c r="N1386" i="1"/>
  <c r="S1385" i="1"/>
  <c r="R1385" i="1"/>
  <c r="Q1385" i="1"/>
  <c r="P1385" i="1"/>
  <c r="O1385" i="1"/>
  <c r="N1385" i="1"/>
  <c r="S1384" i="1"/>
  <c r="R1384" i="1"/>
  <c r="Q1384" i="1"/>
  <c r="P1384" i="1"/>
  <c r="O1384" i="1"/>
  <c r="N1384" i="1"/>
  <c r="S1383" i="1"/>
  <c r="R1383" i="1"/>
  <c r="Q1383" i="1"/>
  <c r="P1383" i="1"/>
  <c r="O1383" i="1"/>
  <c r="N1383" i="1"/>
  <c r="S1382" i="1"/>
  <c r="R1382" i="1"/>
  <c r="Q1382" i="1"/>
  <c r="P1382" i="1"/>
  <c r="O1382" i="1"/>
  <c r="N1382" i="1"/>
  <c r="S1381" i="1"/>
  <c r="R1381" i="1"/>
  <c r="Q1381" i="1"/>
  <c r="P1381" i="1"/>
  <c r="O1381" i="1"/>
  <c r="N1381" i="1"/>
  <c r="S1380" i="1"/>
  <c r="R1380" i="1"/>
  <c r="Q1380" i="1"/>
  <c r="P1380" i="1"/>
  <c r="O1380" i="1"/>
  <c r="N1380" i="1"/>
  <c r="S1379" i="1"/>
  <c r="R1379" i="1"/>
  <c r="Q1379" i="1"/>
  <c r="P1379" i="1"/>
  <c r="O1379" i="1"/>
  <c r="N1379" i="1"/>
  <c r="S1378" i="1"/>
  <c r="R1378" i="1"/>
  <c r="Q1378" i="1"/>
  <c r="P1378" i="1"/>
  <c r="O1378" i="1"/>
  <c r="N1378" i="1"/>
  <c r="S1377" i="1"/>
  <c r="R1377" i="1"/>
  <c r="Q1377" i="1"/>
  <c r="P1377" i="1"/>
  <c r="O1377" i="1"/>
  <c r="N1377" i="1"/>
  <c r="S1376" i="1"/>
  <c r="R1376" i="1"/>
  <c r="Q1376" i="1"/>
  <c r="P1376" i="1"/>
  <c r="O1376" i="1"/>
  <c r="N1376" i="1"/>
  <c r="S1375" i="1"/>
  <c r="R1375" i="1"/>
  <c r="Q1375" i="1"/>
  <c r="P1375" i="1"/>
  <c r="O1375" i="1"/>
  <c r="N1375" i="1"/>
  <c r="S1374" i="1"/>
  <c r="R1374" i="1"/>
  <c r="Q1374" i="1"/>
  <c r="P1374" i="1"/>
  <c r="O1374" i="1"/>
  <c r="N1374" i="1"/>
  <c r="S1373" i="1"/>
  <c r="R1373" i="1"/>
  <c r="Q1373" i="1"/>
  <c r="P1373" i="1"/>
  <c r="O1373" i="1"/>
  <c r="N1373" i="1"/>
  <c r="S1372" i="1"/>
  <c r="R1372" i="1"/>
  <c r="Q1372" i="1"/>
  <c r="P1372" i="1"/>
  <c r="O1372" i="1"/>
  <c r="N1372" i="1"/>
  <c r="S1371" i="1"/>
  <c r="R1371" i="1"/>
  <c r="Q1371" i="1"/>
  <c r="P1371" i="1"/>
  <c r="O1371" i="1"/>
  <c r="N1371" i="1"/>
  <c r="S1370" i="1"/>
  <c r="R1370" i="1"/>
  <c r="Q1370" i="1"/>
  <c r="P1370" i="1"/>
  <c r="O1370" i="1"/>
  <c r="N1370" i="1"/>
  <c r="S1369" i="1"/>
  <c r="R1369" i="1"/>
  <c r="Q1369" i="1"/>
  <c r="P1369" i="1"/>
  <c r="O1369" i="1"/>
  <c r="N1369" i="1"/>
  <c r="S1368" i="1"/>
  <c r="R1368" i="1"/>
  <c r="Q1368" i="1"/>
  <c r="P1368" i="1"/>
  <c r="O1368" i="1"/>
  <c r="N1368" i="1"/>
  <c r="S1367" i="1"/>
  <c r="R1367" i="1"/>
  <c r="Q1367" i="1"/>
  <c r="P1367" i="1"/>
  <c r="O1367" i="1"/>
  <c r="N1367" i="1"/>
  <c r="S1366" i="1"/>
  <c r="R1366" i="1"/>
  <c r="Q1366" i="1"/>
  <c r="P1366" i="1"/>
  <c r="O1366" i="1"/>
  <c r="N1366" i="1"/>
  <c r="S1365" i="1"/>
  <c r="R1365" i="1"/>
  <c r="Q1365" i="1"/>
  <c r="P1365" i="1"/>
  <c r="O1365" i="1"/>
  <c r="N1365" i="1"/>
  <c r="S1364" i="1"/>
  <c r="R1364" i="1"/>
  <c r="Q1364" i="1"/>
  <c r="P1364" i="1"/>
  <c r="O1364" i="1"/>
  <c r="N1364" i="1"/>
  <c r="S1363" i="1"/>
  <c r="R1363" i="1"/>
  <c r="Q1363" i="1"/>
  <c r="P1363" i="1"/>
  <c r="O1363" i="1"/>
  <c r="N1363" i="1"/>
  <c r="S1362" i="1"/>
  <c r="R1362" i="1"/>
  <c r="Q1362" i="1"/>
  <c r="P1362" i="1"/>
  <c r="O1362" i="1"/>
  <c r="N1362" i="1"/>
  <c r="S1361" i="1"/>
  <c r="R1361" i="1"/>
  <c r="Q1361" i="1"/>
  <c r="P1361" i="1"/>
  <c r="O1361" i="1"/>
  <c r="N1361" i="1"/>
  <c r="S1360" i="1"/>
  <c r="R1360" i="1"/>
  <c r="Q1360" i="1"/>
  <c r="P1360" i="1"/>
  <c r="O1360" i="1"/>
  <c r="N1360" i="1"/>
  <c r="S1359" i="1"/>
  <c r="R1359" i="1"/>
  <c r="Q1359" i="1"/>
  <c r="P1359" i="1"/>
  <c r="O1359" i="1"/>
  <c r="N1359" i="1"/>
  <c r="S1358" i="1"/>
  <c r="R1358" i="1"/>
  <c r="Q1358" i="1"/>
  <c r="P1358" i="1"/>
  <c r="O1358" i="1"/>
  <c r="N1358" i="1"/>
  <c r="S1357" i="1"/>
  <c r="R1357" i="1"/>
  <c r="Q1357" i="1"/>
  <c r="P1357" i="1"/>
  <c r="O1357" i="1"/>
  <c r="N1357" i="1"/>
  <c r="S1356" i="1"/>
  <c r="R1356" i="1"/>
  <c r="Q1356" i="1"/>
  <c r="P1356" i="1"/>
  <c r="O1356" i="1"/>
  <c r="N1356" i="1"/>
  <c r="S1355" i="1"/>
  <c r="R1355" i="1"/>
  <c r="Q1355" i="1"/>
  <c r="P1355" i="1"/>
  <c r="O1355" i="1"/>
  <c r="N1355" i="1"/>
  <c r="S1354" i="1"/>
  <c r="R1354" i="1"/>
  <c r="Q1354" i="1"/>
  <c r="P1354" i="1"/>
  <c r="O1354" i="1"/>
  <c r="N1354" i="1"/>
  <c r="S1353" i="1"/>
  <c r="R1353" i="1"/>
  <c r="Q1353" i="1"/>
  <c r="P1353" i="1"/>
  <c r="O1353" i="1"/>
  <c r="N1353" i="1"/>
  <c r="S1352" i="1"/>
  <c r="R1352" i="1"/>
  <c r="Q1352" i="1"/>
  <c r="P1352" i="1"/>
  <c r="O1352" i="1"/>
  <c r="N1352" i="1"/>
  <c r="S1351" i="1"/>
  <c r="R1351" i="1"/>
  <c r="Q1351" i="1"/>
  <c r="P1351" i="1"/>
  <c r="O1351" i="1"/>
  <c r="N1351" i="1"/>
  <c r="S1350" i="1"/>
  <c r="R1350" i="1"/>
  <c r="Q1350" i="1"/>
  <c r="P1350" i="1"/>
  <c r="O1350" i="1"/>
  <c r="N1350" i="1"/>
  <c r="S1349" i="1"/>
  <c r="R1349" i="1"/>
  <c r="Q1349" i="1"/>
  <c r="P1349" i="1"/>
  <c r="O1349" i="1"/>
  <c r="N1349" i="1"/>
  <c r="S1348" i="1"/>
  <c r="R1348" i="1"/>
  <c r="Q1348" i="1"/>
  <c r="P1348" i="1"/>
  <c r="O1348" i="1"/>
  <c r="N1348" i="1"/>
  <c r="S1347" i="1"/>
  <c r="R1347" i="1"/>
  <c r="Q1347" i="1"/>
  <c r="P1347" i="1"/>
  <c r="O1347" i="1"/>
  <c r="N1347" i="1"/>
  <c r="S1346" i="1"/>
  <c r="R1346" i="1"/>
  <c r="Q1346" i="1"/>
  <c r="P1346" i="1"/>
  <c r="O1346" i="1"/>
  <c r="N1346" i="1"/>
  <c r="S1345" i="1"/>
  <c r="R1345" i="1"/>
  <c r="Q1345" i="1"/>
  <c r="P1345" i="1"/>
  <c r="O1345" i="1"/>
  <c r="N1345" i="1"/>
  <c r="S1344" i="1"/>
  <c r="R1344" i="1"/>
  <c r="Q1344" i="1"/>
  <c r="P1344" i="1"/>
  <c r="O1344" i="1"/>
  <c r="N1344" i="1"/>
  <c r="S1343" i="1"/>
  <c r="R1343" i="1"/>
  <c r="Q1343" i="1"/>
  <c r="P1343" i="1"/>
  <c r="O1343" i="1"/>
  <c r="N1343" i="1"/>
  <c r="S1342" i="1"/>
  <c r="R1342" i="1"/>
  <c r="Q1342" i="1"/>
  <c r="P1342" i="1"/>
  <c r="O1342" i="1"/>
  <c r="N1342" i="1"/>
  <c r="S1341" i="1"/>
  <c r="R1341" i="1"/>
  <c r="Q1341" i="1"/>
  <c r="P1341" i="1"/>
  <c r="O1341" i="1"/>
  <c r="N1341" i="1"/>
  <c r="S1340" i="1"/>
  <c r="R1340" i="1"/>
  <c r="Q1340" i="1"/>
  <c r="P1340" i="1"/>
  <c r="O1340" i="1"/>
  <c r="N1340" i="1"/>
  <c r="S1339" i="1"/>
  <c r="R1339" i="1"/>
  <c r="Q1339" i="1"/>
  <c r="P1339" i="1"/>
  <c r="O1339" i="1"/>
  <c r="N1339" i="1"/>
  <c r="S1338" i="1"/>
  <c r="R1338" i="1"/>
  <c r="Q1338" i="1"/>
  <c r="P1338" i="1"/>
  <c r="O1338" i="1"/>
  <c r="N1338" i="1"/>
  <c r="S1337" i="1"/>
  <c r="R1337" i="1"/>
  <c r="Q1337" i="1"/>
  <c r="P1337" i="1"/>
  <c r="O1337" i="1"/>
  <c r="N1337" i="1"/>
  <c r="S1336" i="1"/>
  <c r="R1336" i="1"/>
  <c r="Q1336" i="1"/>
  <c r="P1336" i="1"/>
  <c r="O1336" i="1"/>
  <c r="N1336" i="1"/>
  <c r="S1335" i="1"/>
  <c r="R1335" i="1"/>
  <c r="Q1335" i="1"/>
  <c r="P1335" i="1"/>
  <c r="O1335" i="1"/>
  <c r="N1335" i="1"/>
  <c r="S1334" i="1"/>
  <c r="R1334" i="1"/>
  <c r="Q1334" i="1"/>
  <c r="P1334" i="1"/>
  <c r="O1334" i="1"/>
  <c r="N1334" i="1"/>
  <c r="S1333" i="1"/>
  <c r="R1333" i="1"/>
  <c r="Q1333" i="1"/>
  <c r="P1333" i="1"/>
  <c r="O1333" i="1"/>
  <c r="N1333" i="1"/>
  <c r="S1332" i="1"/>
  <c r="R1332" i="1"/>
  <c r="Q1332" i="1"/>
  <c r="P1332" i="1"/>
  <c r="O1332" i="1"/>
  <c r="N1332" i="1"/>
  <c r="S1331" i="1"/>
  <c r="R1331" i="1"/>
  <c r="Q1331" i="1"/>
  <c r="P1331" i="1"/>
  <c r="O1331" i="1"/>
  <c r="N1331" i="1"/>
  <c r="S1330" i="1"/>
  <c r="R1330" i="1"/>
  <c r="Q1330" i="1"/>
  <c r="P1330" i="1"/>
  <c r="O1330" i="1"/>
  <c r="N1330" i="1"/>
  <c r="S1329" i="1"/>
  <c r="R1329" i="1"/>
  <c r="Q1329" i="1"/>
  <c r="P1329" i="1"/>
  <c r="O1329" i="1"/>
  <c r="N1329" i="1"/>
  <c r="S1328" i="1"/>
  <c r="R1328" i="1"/>
  <c r="Q1328" i="1"/>
  <c r="P1328" i="1"/>
  <c r="O1328" i="1"/>
  <c r="N1328" i="1"/>
  <c r="S1327" i="1"/>
  <c r="R1327" i="1"/>
  <c r="Q1327" i="1"/>
  <c r="P1327" i="1"/>
  <c r="O1327" i="1"/>
  <c r="N1327" i="1"/>
  <c r="S1326" i="1"/>
  <c r="R1326" i="1"/>
  <c r="Q1326" i="1"/>
  <c r="P1326" i="1"/>
  <c r="O1326" i="1"/>
  <c r="N1326" i="1"/>
  <c r="S1325" i="1"/>
  <c r="R1325" i="1"/>
  <c r="Q1325" i="1"/>
  <c r="P1325" i="1"/>
  <c r="O1325" i="1"/>
  <c r="N1325" i="1"/>
  <c r="S1324" i="1"/>
  <c r="R1324" i="1"/>
  <c r="Q1324" i="1"/>
  <c r="P1324" i="1"/>
  <c r="O1324" i="1"/>
  <c r="N1324" i="1"/>
  <c r="S1323" i="1"/>
  <c r="R1323" i="1"/>
  <c r="Q1323" i="1"/>
  <c r="P1323" i="1"/>
  <c r="O1323" i="1"/>
  <c r="N1323" i="1"/>
  <c r="S1322" i="1"/>
  <c r="R1322" i="1"/>
  <c r="Q1322" i="1"/>
  <c r="P1322" i="1"/>
  <c r="O1322" i="1"/>
  <c r="N1322" i="1"/>
  <c r="S1321" i="1"/>
  <c r="R1321" i="1"/>
  <c r="Q1321" i="1"/>
  <c r="P1321" i="1"/>
  <c r="O1321" i="1"/>
  <c r="N1321" i="1"/>
  <c r="S1320" i="1"/>
  <c r="R1320" i="1"/>
  <c r="Q1320" i="1"/>
  <c r="P1320" i="1"/>
  <c r="O1320" i="1"/>
  <c r="N1320" i="1"/>
  <c r="S1319" i="1"/>
  <c r="R1319" i="1"/>
  <c r="Q1319" i="1"/>
  <c r="P1319" i="1"/>
  <c r="O1319" i="1"/>
  <c r="N1319" i="1"/>
  <c r="S1318" i="1"/>
  <c r="R1318" i="1"/>
  <c r="Q1318" i="1"/>
  <c r="P1318" i="1"/>
  <c r="O1318" i="1"/>
  <c r="N1318" i="1"/>
  <c r="S1317" i="1"/>
  <c r="R1317" i="1"/>
  <c r="Q1317" i="1"/>
  <c r="P1317" i="1"/>
  <c r="O1317" i="1"/>
  <c r="N1317" i="1"/>
  <c r="S1316" i="1"/>
  <c r="R1316" i="1"/>
  <c r="Q1316" i="1"/>
  <c r="P1316" i="1"/>
  <c r="O1316" i="1"/>
  <c r="N1316" i="1"/>
  <c r="S1315" i="1"/>
  <c r="R1315" i="1"/>
  <c r="Q1315" i="1"/>
  <c r="P1315" i="1"/>
  <c r="O1315" i="1"/>
  <c r="N1315" i="1"/>
  <c r="S1314" i="1"/>
  <c r="R1314" i="1"/>
  <c r="Q1314" i="1"/>
  <c r="P1314" i="1"/>
  <c r="O1314" i="1"/>
  <c r="N1314" i="1"/>
  <c r="S1313" i="1"/>
  <c r="R1313" i="1"/>
  <c r="Q1313" i="1"/>
  <c r="P1313" i="1"/>
  <c r="O1313" i="1"/>
  <c r="N1313" i="1"/>
  <c r="S1312" i="1"/>
  <c r="R1312" i="1"/>
  <c r="Q1312" i="1"/>
  <c r="P1312" i="1"/>
  <c r="O1312" i="1"/>
  <c r="N1312" i="1"/>
  <c r="S1311" i="1"/>
  <c r="R1311" i="1"/>
  <c r="Q1311" i="1"/>
  <c r="P1311" i="1"/>
  <c r="O1311" i="1"/>
  <c r="N1311" i="1"/>
  <c r="S1310" i="1"/>
  <c r="R1310" i="1"/>
  <c r="Q1310" i="1"/>
  <c r="P1310" i="1"/>
  <c r="O1310" i="1"/>
  <c r="N1310" i="1"/>
  <c r="S1309" i="1"/>
  <c r="R1309" i="1"/>
  <c r="Q1309" i="1"/>
  <c r="P1309" i="1"/>
  <c r="O1309" i="1"/>
  <c r="N1309" i="1"/>
  <c r="S1308" i="1"/>
  <c r="R1308" i="1"/>
  <c r="Q1308" i="1"/>
  <c r="P1308" i="1"/>
  <c r="O1308" i="1"/>
  <c r="N1308" i="1"/>
  <c r="S1307" i="1"/>
  <c r="R1307" i="1"/>
  <c r="Q1307" i="1"/>
  <c r="P1307" i="1"/>
  <c r="O1307" i="1"/>
  <c r="N1307" i="1"/>
  <c r="S1306" i="1"/>
  <c r="R1306" i="1"/>
  <c r="Q1306" i="1"/>
  <c r="P1306" i="1"/>
  <c r="O1306" i="1"/>
  <c r="N1306" i="1"/>
  <c r="S1305" i="1"/>
  <c r="R1305" i="1"/>
  <c r="Q1305" i="1"/>
  <c r="P1305" i="1"/>
  <c r="O1305" i="1"/>
  <c r="N1305" i="1"/>
  <c r="S1304" i="1"/>
  <c r="R1304" i="1"/>
  <c r="Q1304" i="1"/>
  <c r="P1304" i="1"/>
  <c r="O1304" i="1"/>
  <c r="N1304" i="1"/>
  <c r="S1303" i="1"/>
  <c r="R1303" i="1"/>
  <c r="Q1303" i="1"/>
  <c r="P1303" i="1"/>
  <c r="O1303" i="1"/>
  <c r="N1303" i="1"/>
  <c r="S1302" i="1"/>
  <c r="R1302" i="1"/>
  <c r="Q1302" i="1"/>
  <c r="P1302" i="1"/>
  <c r="O1302" i="1"/>
  <c r="N1302" i="1"/>
  <c r="S1301" i="1"/>
  <c r="R1301" i="1"/>
  <c r="Q1301" i="1"/>
  <c r="P1301" i="1"/>
  <c r="O1301" i="1"/>
  <c r="N1301" i="1"/>
  <c r="S1300" i="1"/>
  <c r="R1300" i="1"/>
  <c r="Q1300" i="1"/>
  <c r="P1300" i="1"/>
  <c r="O1300" i="1"/>
  <c r="N1300" i="1"/>
  <c r="S1299" i="1"/>
  <c r="R1299" i="1"/>
  <c r="Q1299" i="1"/>
  <c r="P1299" i="1"/>
  <c r="O1299" i="1"/>
  <c r="N1299" i="1"/>
  <c r="S1298" i="1"/>
  <c r="R1298" i="1"/>
  <c r="Q1298" i="1"/>
  <c r="P1298" i="1"/>
  <c r="O1298" i="1"/>
  <c r="N1298" i="1"/>
  <c r="S1297" i="1"/>
  <c r="R1297" i="1"/>
  <c r="Q1297" i="1"/>
  <c r="P1297" i="1"/>
  <c r="O1297" i="1"/>
  <c r="N1297" i="1"/>
  <c r="S1296" i="1"/>
  <c r="R1296" i="1"/>
  <c r="Q1296" i="1"/>
  <c r="P1296" i="1"/>
  <c r="O1296" i="1"/>
  <c r="N1296" i="1"/>
  <c r="S1295" i="1"/>
  <c r="R1295" i="1"/>
  <c r="Q1295" i="1"/>
  <c r="P1295" i="1"/>
  <c r="O1295" i="1"/>
  <c r="N1295" i="1"/>
  <c r="S1294" i="1"/>
  <c r="R1294" i="1"/>
  <c r="Q1294" i="1"/>
  <c r="P1294" i="1"/>
  <c r="O1294" i="1"/>
  <c r="N1294" i="1"/>
  <c r="S1293" i="1"/>
  <c r="R1293" i="1"/>
  <c r="Q1293" i="1"/>
  <c r="P1293" i="1"/>
  <c r="O1293" i="1"/>
  <c r="N1293" i="1"/>
  <c r="S1292" i="1"/>
  <c r="R1292" i="1"/>
  <c r="Q1292" i="1"/>
  <c r="P1292" i="1"/>
  <c r="O1292" i="1"/>
  <c r="N1292" i="1"/>
  <c r="S1291" i="1"/>
  <c r="R1291" i="1"/>
  <c r="Q1291" i="1"/>
  <c r="P1291" i="1"/>
  <c r="O1291" i="1"/>
  <c r="N1291" i="1"/>
  <c r="S1290" i="1"/>
  <c r="R1290" i="1"/>
  <c r="Q1290" i="1"/>
  <c r="P1290" i="1"/>
  <c r="O1290" i="1"/>
  <c r="N1290" i="1"/>
  <c r="S1289" i="1"/>
  <c r="R1289" i="1"/>
  <c r="Q1289" i="1"/>
  <c r="P1289" i="1"/>
  <c r="O1289" i="1"/>
  <c r="N1289" i="1"/>
  <c r="S1288" i="1"/>
  <c r="R1288" i="1"/>
  <c r="Q1288" i="1"/>
  <c r="P1288" i="1"/>
  <c r="O1288" i="1"/>
  <c r="N1288" i="1"/>
  <c r="S1287" i="1"/>
  <c r="R1287" i="1"/>
  <c r="Q1287" i="1"/>
  <c r="P1287" i="1"/>
  <c r="O1287" i="1"/>
  <c r="N1287" i="1"/>
  <c r="S1286" i="1"/>
  <c r="R1286" i="1"/>
  <c r="Q1286" i="1"/>
  <c r="P1286" i="1"/>
  <c r="O1286" i="1"/>
  <c r="N1286" i="1"/>
  <c r="S1285" i="1"/>
  <c r="R1285" i="1"/>
  <c r="Q1285" i="1"/>
  <c r="P1285" i="1"/>
  <c r="O1285" i="1"/>
  <c r="N1285" i="1"/>
  <c r="S1284" i="1"/>
  <c r="R1284" i="1"/>
  <c r="Q1284" i="1"/>
  <c r="P1284" i="1"/>
  <c r="O1284" i="1"/>
  <c r="N1284" i="1"/>
  <c r="S1283" i="1"/>
  <c r="R1283" i="1"/>
  <c r="Q1283" i="1"/>
  <c r="P1283" i="1"/>
  <c r="O1283" i="1"/>
  <c r="N1283" i="1"/>
  <c r="S1282" i="1"/>
  <c r="R1282" i="1"/>
  <c r="Q1282" i="1"/>
  <c r="P1282" i="1"/>
  <c r="O1282" i="1"/>
  <c r="N1282" i="1"/>
  <c r="S1281" i="1"/>
  <c r="R1281" i="1"/>
  <c r="Q1281" i="1"/>
  <c r="P1281" i="1"/>
  <c r="O1281" i="1"/>
  <c r="N1281" i="1"/>
  <c r="S1280" i="1"/>
  <c r="R1280" i="1"/>
  <c r="Q1280" i="1"/>
  <c r="P1280" i="1"/>
  <c r="O1280" i="1"/>
  <c r="N1280" i="1"/>
  <c r="S1279" i="1"/>
  <c r="R1279" i="1"/>
  <c r="Q1279" i="1"/>
  <c r="P1279" i="1"/>
  <c r="O1279" i="1"/>
  <c r="N1279" i="1"/>
  <c r="S1278" i="1"/>
  <c r="R1278" i="1"/>
  <c r="Q1278" i="1"/>
  <c r="P1278" i="1"/>
  <c r="O1278" i="1"/>
  <c r="N1278" i="1"/>
  <c r="S1277" i="1"/>
  <c r="R1277" i="1"/>
  <c r="Q1277" i="1"/>
  <c r="P1277" i="1"/>
  <c r="O1277" i="1"/>
  <c r="N1277" i="1"/>
  <c r="S1276" i="1"/>
  <c r="R1276" i="1"/>
  <c r="Q1276" i="1"/>
  <c r="P1276" i="1"/>
  <c r="O1276" i="1"/>
  <c r="N1276" i="1"/>
  <c r="S1275" i="1"/>
  <c r="R1275" i="1"/>
  <c r="Q1275" i="1"/>
  <c r="P1275" i="1"/>
  <c r="O1275" i="1"/>
  <c r="N1275" i="1"/>
  <c r="S1274" i="1"/>
  <c r="R1274" i="1"/>
  <c r="Q1274" i="1"/>
  <c r="P1274" i="1"/>
  <c r="O1274" i="1"/>
  <c r="N1274" i="1"/>
  <c r="S1273" i="1"/>
  <c r="R1273" i="1"/>
  <c r="Q1273" i="1"/>
  <c r="P1273" i="1"/>
  <c r="O1273" i="1"/>
  <c r="N1273" i="1"/>
  <c r="S1272" i="1"/>
  <c r="R1272" i="1"/>
  <c r="Q1272" i="1"/>
  <c r="P1272" i="1"/>
  <c r="O1272" i="1"/>
  <c r="N1272" i="1"/>
  <c r="S1271" i="1"/>
  <c r="R1271" i="1"/>
  <c r="Q1271" i="1"/>
  <c r="P1271" i="1"/>
  <c r="O1271" i="1"/>
  <c r="N1271" i="1"/>
  <c r="S1270" i="1"/>
  <c r="R1270" i="1"/>
  <c r="Q1270" i="1"/>
  <c r="P1270" i="1"/>
  <c r="O1270" i="1"/>
  <c r="N1270" i="1"/>
  <c r="S1269" i="1"/>
  <c r="R1269" i="1"/>
  <c r="Q1269" i="1"/>
  <c r="P1269" i="1"/>
  <c r="O1269" i="1"/>
  <c r="N1269" i="1"/>
  <c r="S1268" i="1"/>
  <c r="R1268" i="1"/>
  <c r="Q1268" i="1"/>
  <c r="P1268" i="1"/>
  <c r="O1268" i="1"/>
  <c r="N1268" i="1"/>
  <c r="S1267" i="1"/>
  <c r="R1267" i="1"/>
  <c r="Q1267" i="1"/>
  <c r="P1267" i="1"/>
  <c r="O1267" i="1"/>
  <c r="N1267" i="1"/>
  <c r="S1266" i="1"/>
  <c r="R1266" i="1"/>
  <c r="Q1266" i="1"/>
  <c r="P1266" i="1"/>
  <c r="O1266" i="1"/>
  <c r="N1266" i="1"/>
  <c r="S1265" i="1"/>
  <c r="R1265" i="1"/>
  <c r="Q1265" i="1"/>
  <c r="P1265" i="1"/>
  <c r="O1265" i="1"/>
  <c r="N1265" i="1"/>
  <c r="S1264" i="1"/>
  <c r="R1264" i="1"/>
  <c r="Q1264" i="1"/>
  <c r="P1264" i="1"/>
  <c r="O1264" i="1"/>
  <c r="N1264" i="1"/>
  <c r="S1263" i="1"/>
  <c r="R1263" i="1"/>
  <c r="Q1263" i="1"/>
  <c r="P1263" i="1"/>
  <c r="O1263" i="1"/>
  <c r="N1263" i="1"/>
  <c r="S1262" i="1"/>
  <c r="R1262" i="1"/>
  <c r="Q1262" i="1"/>
  <c r="P1262" i="1"/>
  <c r="O1262" i="1"/>
  <c r="N1262" i="1"/>
  <c r="S1261" i="1"/>
  <c r="R1261" i="1"/>
  <c r="Q1261" i="1"/>
  <c r="P1261" i="1"/>
  <c r="O1261" i="1"/>
  <c r="N1261" i="1"/>
  <c r="S1260" i="1"/>
  <c r="R1260" i="1"/>
  <c r="Q1260" i="1"/>
  <c r="P1260" i="1"/>
  <c r="O1260" i="1"/>
  <c r="N1260" i="1"/>
  <c r="S1259" i="1"/>
  <c r="R1259" i="1"/>
  <c r="Q1259" i="1"/>
  <c r="P1259" i="1"/>
  <c r="O1259" i="1"/>
  <c r="N1259" i="1"/>
  <c r="S1258" i="1"/>
  <c r="R1258" i="1"/>
  <c r="Q1258" i="1"/>
  <c r="P1258" i="1"/>
  <c r="O1258" i="1"/>
  <c r="N1258" i="1"/>
  <c r="S1257" i="1"/>
  <c r="R1257" i="1"/>
  <c r="Q1257" i="1"/>
  <c r="P1257" i="1"/>
  <c r="O1257" i="1"/>
  <c r="N1257" i="1"/>
  <c r="S1256" i="1"/>
  <c r="R1256" i="1"/>
  <c r="Q1256" i="1"/>
  <c r="P1256" i="1"/>
  <c r="O1256" i="1"/>
  <c r="N1256" i="1"/>
  <c r="S1255" i="1"/>
  <c r="R1255" i="1"/>
  <c r="Q1255" i="1"/>
  <c r="P1255" i="1"/>
  <c r="O1255" i="1"/>
  <c r="N1255" i="1"/>
  <c r="S1254" i="1"/>
  <c r="R1254" i="1"/>
  <c r="Q1254" i="1"/>
  <c r="P1254" i="1"/>
  <c r="O1254" i="1"/>
  <c r="N1254" i="1"/>
  <c r="S1253" i="1"/>
  <c r="R1253" i="1"/>
  <c r="Q1253" i="1"/>
  <c r="P1253" i="1"/>
  <c r="O1253" i="1"/>
  <c r="N1253" i="1"/>
  <c r="S1252" i="1"/>
  <c r="R1252" i="1"/>
  <c r="Q1252" i="1"/>
  <c r="P1252" i="1"/>
  <c r="O1252" i="1"/>
  <c r="N1252" i="1"/>
  <c r="S1251" i="1"/>
  <c r="R1251" i="1"/>
  <c r="Q1251" i="1"/>
  <c r="P1251" i="1"/>
  <c r="O1251" i="1"/>
  <c r="N1251" i="1"/>
  <c r="S1250" i="1"/>
  <c r="R1250" i="1"/>
  <c r="Q1250" i="1"/>
  <c r="P1250" i="1"/>
  <c r="O1250" i="1"/>
  <c r="N1250" i="1"/>
  <c r="S1249" i="1"/>
  <c r="R1249" i="1"/>
  <c r="Q1249" i="1"/>
  <c r="P1249" i="1"/>
  <c r="O1249" i="1"/>
  <c r="N1249" i="1"/>
  <c r="S1248" i="1"/>
  <c r="R1248" i="1"/>
  <c r="Q1248" i="1"/>
  <c r="P1248" i="1"/>
  <c r="O1248" i="1"/>
  <c r="N1248" i="1"/>
  <c r="S1247" i="1"/>
  <c r="R1247" i="1"/>
  <c r="Q1247" i="1"/>
  <c r="P1247" i="1"/>
  <c r="O1247" i="1"/>
  <c r="N1247" i="1"/>
  <c r="S1246" i="1"/>
  <c r="R1246" i="1"/>
  <c r="Q1246" i="1"/>
  <c r="P1246" i="1"/>
  <c r="O1246" i="1"/>
  <c r="N1246" i="1"/>
  <c r="S1245" i="1"/>
  <c r="R1245" i="1"/>
  <c r="Q1245" i="1"/>
  <c r="P1245" i="1"/>
  <c r="O1245" i="1"/>
  <c r="N1245" i="1"/>
  <c r="S1244" i="1"/>
  <c r="R1244" i="1"/>
  <c r="Q1244" i="1"/>
  <c r="P1244" i="1"/>
  <c r="O1244" i="1"/>
  <c r="N1244" i="1"/>
  <c r="S1243" i="1"/>
  <c r="R1243" i="1"/>
  <c r="Q1243" i="1"/>
  <c r="P1243" i="1"/>
  <c r="O1243" i="1"/>
  <c r="N1243" i="1"/>
  <c r="S1242" i="1"/>
  <c r="R1242" i="1"/>
  <c r="Q1242" i="1"/>
  <c r="P1242" i="1"/>
  <c r="O1242" i="1"/>
  <c r="N1242" i="1"/>
  <c r="S1241" i="1"/>
  <c r="R1241" i="1"/>
  <c r="Q1241" i="1"/>
  <c r="P1241" i="1"/>
  <c r="O1241" i="1"/>
  <c r="N1241" i="1"/>
  <c r="S1240" i="1"/>
  <c r="R1240" i="1"/>
  <c r="Q1240" i="1"/>
  <c r="P1240" i="1"/>
  <c r="O1240" i="1"/>
  <c r="N1240" i="1"/>
  <c r="S1239" i="1"/>
  <c r="R1239" i="1"/>
  <c r="Q1239" i="1"/>
  <c r="P1239" i="1"/>
  <c r="O1239" i="1"/>
  <c r="N1239" i="1"/>
  <c r="S1238" i="1"/>
  <c r="R1238" i="1"/>
  <c r="Q1238" i="1"/>
  <c r="P1238" i="1"/>
  <c r="O1238" i="1"/>
  <c r="N1238" i="1"/>
  <c r="S1237" i="1"/>
  <c r="R1237" i="1"/>
  <c r="Q1237" i="1"/>
  <c r="P1237" i="1"/>
  <c r="O1237" i="1"/>
  <c r="N1237" i="1"/>
  <c r="S1236" i="1"/>
  <c r="R1236" i="1"/>
  <c r="Q1236" i="1"/>
  <c r="P1236" i="1"/>
  <c r="O1236" i="1"/>
  <c r="N1236" i="1"/>
  <c r="S1235" i="1"/>
  <c r="R1235" i="1"/>
  <c r="Q1235" i="1"/>
  <c r="P1235" i="1"/>
  <c r="O1235" i="1"/>
  <c r="N1235" i="1"/>
  <c r="S1234" i="1"/>
  <c r="R1234" i="1"/>
  <c r="Q1234" i="1"/>
  <c r="P1234" i="1"/>
  <c r="O1234" i="1"/>
  <c r="N1234" i="1"/>
  <c r="S1233" i="1"/>
  <c r="R1233" i="1"/>
  <c r="Q1233" i="1"/>
  <c r="P1233" i="1"/>
  <c r="O1233" i="1"/>
  <c r="N1233" i="1"/>
  <c r="S1232" i="1"/>
  <c r="R1232" i="1"/>
  <c r="Q1232" i="1"/>
  <c r="P1232" i="1"/>
  <c r="O1232" i="1"/>
  <c r="N1232" i="1"/>
  <c r="S1231" i="1"/>
  <c r="R1231" i="1"/>
  <c r="Q1231" i="1"/>
  <c r="P1231" i="1"/>
  <c r="O1231" i="1"/>
  <c r="N1231" i="1"/>
  <c r="S1230" i="1"/>
  <c r="R1230" i="1"/>
  <c r="Q1230" i="1"/>
  <c r="P1230" i="1"/>
  <c r="O1230" i="1"/>
  <c r="N1230" i="1"/>
  <c r="S1229" i="1"/>
  <c r="R1229" i="1"/>
  <c r="Q1229" i="1"/>
  <c r="P1229" i="1"/>
  <c r="O1229" i="1"/>
  <c r="N1229" i="1"/>
  <c r="S1228" i="1"/>
  <c r="R1228" i="1"/>
  <c r="Q1228" i="1"/>
  <c r="P1228" i="1"/>
  <c r="O1228" i="1"/>
  <c r="N1228" i="1"/>
  <c r="S1227" i="1"/>
  <c r="R1227" i="1"/>
  <c r="Q1227" i="1"/>
  <c r="P1227" i="1"/>
  <c r="O1227" i="1"/>
  <c r="N1227" i="1"/>
  <c r="S1226" i="1"/>
  <c r="R1226" i="1"/>
  <c r="Q1226" i="1"/>
  <c r="P1226" i="1"/>
  <c r="O1226" i="1"/>
  <c r="N1226" i="1"/>
  <c r="S1225" i="1"/>
  <c r="R1225" i="1"/>
  <c r="Q1225" i="1"/>
  <c r="P1225" i="1"/>
  <c r="O1225" i="1"/>
  <c r="N1225" i="1"/>
  <c r="S1224" i="1"/>
  <c r="R1224" i="1"/>
  <c r="Q1224" i="1"/>
  <c r="P1224" i="1"/>
  <c r="O1224" i="1"/>
  <c r="N1224" i="1"/>
  <c r="S1223" i="1"/>
  <c r="R1223" i="1"/>
  <c r="Q1223" i="1"/>
  <c r="P1223" i="1"/>
  <c r="O1223" i="1"/>
  <c r="N1223" i="1"/>
  <c r="S1222" i="1"/>
  <c r="R1222" i="1"/>
  <c r="Q1222" i="1"/>
  <c r="P1222" i="1"/>
  <c r="O1222" i="1"/>
  <c r="N1222" i="1"/>
  <c r="S1221" i="1"/>
  <c r="R1221" i="1"/>
  <c r="Q1221" i="1"/>
  <c r="P1221" i="1"/>
  <c r="O1221" i="1"/>
  <c r="N1221" i="1"/>
  <c r="S1220" i="1"/>
  <c r="R1220" i="1"/>
  <c r="Q1220" i="1"/>
  <c r="P1220" i="1"/>
  <c r="O1220" i="1"/>
  <c r="N1220" i="1"/>
  <c r="S1219" i="1"/>
  <c r="R1219" i="1"/>
  <c r="Q1219" i="1"/>
  <c r="P1219" i="1"/>
  <c r="O1219" i="1"/>
  <c r="N1219" i="1"/>
  <c r="S1218" i="1"/>
  <c r="R1218" i="1"/>
  <c r="Q1218" i="1"/>
  <c r="P1218" i="1"/>
  <c r="O1218" i="1"/>
  <c r="N1218" i="1"/>
  <c r="S1217" i="1"/>
  <c r="R1217" i="1"/>
  <c r="Q1217" i="1"/>
  <c r="P1217" i="1"/>
  <c r="O1217" i="1"/>
  <c r="N1217" i="1"/>
  <c r="S1216" i="1"/>
  <c r="R1216" i="1"/>
  <c r="Q1216" i="1"/>
  <c r="P1216" i="1"/>
  <c r="O1216" i="1"/>
  <c r="N1216" i="1"/>
  <c r="S1215" i="1"/>
  <c r="R1215" i="1"/>
  <c r="Q1215" i="1"/>
  <c r="P1215" i="1"/>
  <c r="O1215" i="1"/>
  <c r="N1215" i="1"/>
  <c r="S1214" i="1"/>
  <c r="R1214" i="1"/>
  <c r="Q1214" i="1"/>
  <c r="P1214" i="1"/>
  <c r="O1214" i="1"/>
  <c r="N1214" i="1"/>
  <c r="S1213" i="1"/>
  <c r="R1213" i="1"/>
  <c r="Q1213" i="1"/>
  <c r="P1213" i="1"/>
  <c r="O1213" i="1"/>
  <c r="N1213" i="1"/>
  <c r="S1212" i="1"/>
  <c r="R1212" i="1"/>
  <c r="Q1212" i="1"/>
  <c r="P1212" i="1"/>
  <c r="O1212" i="1"/>
  <c r="N1212" i="1"/>
  <c r="S1211" i="1"/>
  <c r="R1211" i="1"/>
  <c r="Q1211" i="1"/>
  <c r="P1211" i="1"/>
  <c r="O1211" i="1"/>
  <c r="N1211" i="1"/>
  <c r="S1210" i="1"/>
  <c r="R1210" i="1"/>
  <c r="Q1210" i="1"/>
  <c r="P1210" i="1"/>
  <c r="O1210" i="1"/>
  <c r="N1210" i="1"/>
  <c r="S1209" i="1"/>
  <c r="R1209" i="1"/>
  <c r="Q1209" i="1"/>
  <c r="P1209" i="1"/>
  <c r="O1209" i="1"/>
  <c r="N1209" i="1"/>
  <c r="S1208" i="1"/>
  <c r="R1208" i="1"/>
  <c r="Q1208" i="1"/>
  <c r="P1208" i="1"/>
  <c r="O1208" i="1"/>
  <c r="N1208" i="1"/>
  <c r="S1207" i="1"/>
  <c r="R1207" i="1"/>
  <c r="Q1207" i="1"/>
  <c r="P1207" i="1"/>
  <c r="O1207" i="1"/>
  <c r="N1207" i="1"/>
  <c r="S1206" i="1"/>
  <c r="R1206" i="1"/>
  <c r="Q1206" i="1"/>
  <c r="P1206" i="1"/>
  <c r="O1206" i="1"/>
  <c r="N1206" i="1"/>
  <c r="S1205" i="1"/>
  <c r="R1205" i="1"/>
  <c r="Q1205" i="1"/>
  <c r="P1205" i="1"/>
  <c r="O1205" i="1"/>
  <c r="N1205" i="1"/>
  <c r="S1204" i="1"/>
  <c r="R1204" i="1"/>
  <c r="Q1204" i="1"/>
  <c r="P1204" i="1"/>
  <c r="O1204" i="1"/>
  <c r="N1204" i="1"/>
  <c r="S1203" i="1"/>
  <c r="R1203" i="1"/>
  <c r="Q1203" i="1"/>
  <c r="P1203" i="1"/>
  <c r="O1203" i="1"/>
  <c r="N1203" i="1"/>
  <c r="S1202" i="1"/>
  <c r="R1202" i="1"/>
  <c r="Q1202" i="1"/>
  <c r="P1202" i="1"/>
  <c r="O1202" i="1"/>
  <c r="N1202" i="1"/>
  <c r="S1201" i="1"/>
  <c r="R1201" i="1"/>
  <c r="Q1201" i="1"/>
  <c r="P1201" i="1"/>
  <c r="O1201" i="1"/>
  <c r="N1201" i="1"/>
  <c r="S1200" i="1"/>
  <c r="R1200" i="1"/>
  <c r="Q1200" i="1"/>
  <c r="P1200" i="1"/>
  <c r="O1200" i="1"/>
  <c r="N1200" i="1"/>
  <c r="S1199" i="1"/>
  <c r="R1199" i="1"/>
  <c r="Q1199" i="1"/>
  <c r="P1199" i="1"/>
  <c r="O1199" i="1"/>
  <c r="N1199" i="1"/>
  <c r="S1198" i="1"/>
  <c r="R1198" i="1"/>
  <c r="Q1198" i="1"/>
  <c r="P1198" i="1"/>
  <c r="O1198" i="1"/>
  <c r="N1198" i="1"/>
  <c r="S1197" i="1"/>
  <c r="R1197" i="1"/>
  <c r="Q1197" i="1"/>
  <c r="P1197" i="1"/>
  <c r="O1197" i="1"/>
  <c r="N1197" i="1"/>
  <c r="S1196" i="1"/>
  <c r="R1196" i="1"/>
  <c r="Q1196" i="1"/>
  <c r="P1196" i="1"/>
  <c r="O1196" i="1"/>
  <c r="N1196" i="1"/>
  <c r="S1195" i="1"/>
  <c r="R1195" i="1"/>
  <c r="Q1195" i="1"/>
  <c r="P1195" i="1"/>
  <c r="O1195" i="1"/>
  <c r="N1195" i="1"/>
  <c r="S1194" i="1"/>
  <c r="R1194" i="1"/>
  <c r="Q1194" i="1"/>
  <c r="P1194" i="1"/>
  <c r="O1194" i="1"/>
  <c r="N1194" i="1"/>
  <c r="S1193" i="1"/>
  <c r="R1193" i="1"/>
  <c r="Q1193" i="1"/>
  <c r="P1193" i="1"/>
  <c r="O1193" i="1"/>
  <c r="N1193" i="1"/>
  <c r="S1192" i="1"/>
  <c r="R1192" i="1"/>
  <c r="Q1192" i="1"/>
  <c r="P1192" i="1"/>
  <c r="O1192" i="1"/>
  <c r="N1192" i="1"/>
  <c r="S1191" i="1"/>
  <c r="R1191" i="1"/>
  <c r="Q1191" i="1"/>
  <c r="P1191" i="1"/>
  <c r="O1191" i="1"/>
  <c r="N1191" i="1"/>
  <c r="S1190" i="1"/>
  <c r="R1190" i="1"/>
  <c r="Q1190" i="1"/>
  <c r="P1190" i="1"/>
  <c r="O1190" i="1"/>
  <c r="N1190" i="1"/>
  <c r="S1189" i="1"/>
  <c r="R1189" i="1"/>
  <c r="Q1189" i="1"/>
  <c r="P1189" i="1"/>
  <c r="O1189" i="1"/>
  <c r="N1189" i="1"/>
  <c r="S1188" i="1"/>
  <c r="R1188" i="1"/>
  <c r="Q1188" i="1"/>
  <c r="P1188" i="1"/>
  <c r="O1188" i="1"/>
  <c r="N1188" i="1"/>
  <c r="S1187" i="1"/>
  <c r="R1187" i="1"/>
  <c r="Q1187" i="1"/>
  <c r="P1187" i="1"/>
  <c r="O1187" i="1"/>
  <c r="N1187" i="1"/>
  <c r="S1186" i="1"/>
  <c r="R1186" i="1"/>
  <c r="Q1186" i="1"/>
  <c r="P1186" i="1"/>
  <c r="O1186" i="1"/>
  <c r="N1186" i="1"/>
  <c r="S1185" i="1"/>
  <c r="R1185" i="1"/>
  <c r="Q1185" i="1"/>
  <c r="P1185" i="1"/>
  <c r="O1185" i="1"/>
  <c r="N1185" i="1"/>
  <c r="S1184" i="1"/>
  <c r="R1184" i="1"/>
  <c r="Q1184" i="1"/>
  <c r="P1184" i="1"/>
  <c r="O1184" i="1"/>
  <c r="N1184" i="1"/>
  <c r="S1183" i="1"/>
  <c r="R1183" i="1"/>
  <c r="Q1183" i="1"/>
  <c r="P1183" i="1"/>
  <c r="O1183" i="1"/>
  <c r="N1183" i="1"/>
  <c r="S1182" i="1"/>
  <c r="R1182" i="1"/>
  <c r="Q1182" i="1"/>
  <c r="P1182" i="1"/>
  <c r="O1182" i="1"/>
  <c r="N1182" i="1"/>
  <c r="S1181" i="1"/>
  <c r="R1181" i="1"/>
  <c r="Q1181" i="1"/>
  <c r="P1181" i="1"/>
  <c r="O1181" i="1"/>
  <c r="N1181" i="1"/>
  <c r="S1180" i="1"/>
  <c r="R1180" i="1"/>
  <c r="Q1180" i="1"/>
  <c r="P1180" i="1"/>
  <c r="O1180" i="1"/>
  <c r="N1180" i="1"/>
  <c r="S1179" i="1"/>
  <c r="R1179" i="1"/>
  <c r="Q1179" i="1"/>
  <c r="P1179" i="1"/>
  <c r="O1179" i="1"/>
  <c r="N1179" i="1"/>
  <c r="S1178" i="1"/>
  <c r="R1178" i="1"/>
  <c r="Q1178" i="1"/>
  <c r="P1178" i="1"/>
  <c r="O1178" i="1"/>
  <c r="N1178" i="1"/>
  <c r="S1177" i="1"/>
  <c r="R1177" i="1"/>
  <c r="Q1177" i="1"/>
  <c r="P1177" i="1"/>
  <c r="O1177" i="1"/>
  <c r="N1177" i="1"/>
  <c r="S1176" i="1"/>
  <c r="R1176" i="1"/>
  <c r="Q1176" i="1"/>
  <c r="P1176" i="1"/>
  <c r="O1176" i="1"/>
  <c r="N1176" i="1"/>
  <c r="S1175" i="1"/>
  <c r="R1175" i="1"/>
  <c r="Q1175" i="1"/>
  <c r="P1175" i="1"/>
  <c r="O1175" i="1"/>
  <c r="N1175" i="1"/>
  <c r="S1174" i="1"/>
  <c r="R1174" i="1"/>
  <c r="Q1174" i="1"/>
  <c r="P1174" i="1"/>
  <c r="O1174" i="1"/>
  <c r="N1174" i="1"/>
  <c r="S1173" i="1"/>
  <c r="R1173" i="1"/>
  <c r="Q1173" i="1"/>
  <c r="P1173" i="1"/>
  <c r="O1173" i="1"/>
  <c r="N1173" i="1"/>
  <c r="S1172" i="1"/>
  <c r="R1172" i="1"/>
  <c r="Q1172" i="1"/>
  <c r="P1172" i="1"/>
  <c r="O1172" i="1"/>
  <c r="N1172" i="1"/>
  <c r="S1171" i="1"/>
  <c r="R1171" i="1"/>
  <c r="Q1171" i="1"/>
  <c r="P1171" i="1"/>
  <c r="O1171" i="1"/>
  <c r="N1171" i="1"/>
  <c r="S1170" i="1"/>
  <c r="R1170" i="1"/>
  <c r="Q1170" i="1"/>
  <c r="P1170" i="1"/>
  <c r="O1170" i="1"/>
  <c r="N1170" i="1"/>
  <c r="S1169" i="1"/>
  <c r="R1169" i="1"/>
  <c r="Q1169" i="1"/>
  <c r="P1169" i="1"/>
  <c r="O1169" i="1"/>
  <c r="N1169" i="1"/>
  <c r="S1168" i="1"/>
  <c r="R1168" i="1"/>
  <c r="Q1168" i="1"/>
  <c r="P1168" i="1"/>
  <c r="O1168" i="1"/>
  <c r="N1168" i="1"/>
  <c r="S1167" i="1"/>
  <c r="R1167" i="1"/>
  <c r="Q1167" i="1"/>
  <c r="P1167" i="1"/>
  <c r="O1167" i="1"/>
  <c r="N1167" i="1"/>
  <c r="S1166" i="1"/>
  <c r="R1166" i="1"/>
  <c r="Q1166" i="1"/>
  <c r="P1166" i="1"/>
  <c r="O1166" i="1"/>
  <c r="N1166" i="1"/>
  <c r="S1165" i="1"/>
  <c r="R1165" i="1"/>
  <c r="Q1165" i="1"/>
  <c r="P1165" i="1"/>
  <c r="O1165" i="1"/>
  <c r="N1165" i="1"/>
  <c r="S1164" i="1"/>
  <c r="R1164" i="1"/>
  <c r="Q1164" i="1"/>
  <c r="P1164" i="1"/>
  <c r="O1164" i="1"/>
  <c r="N1164" i="1"/>
  <c r="S1163" i="1"/>
  <c r="R1163" i="1"/>
  <c r="Q1163" i="1"/>
  <c r="P1163" i="1"/>
  <c r="O1163" i="1"/>
  <c r="N1163" i="1"/>
  <c r="S1162" i="1"/>
  <c r="R1162" i="1"/>
  <c r="Q1162" i="1"/>
  <c r="P1162" i="1"/>
  <c r="O1162" i="1"/>
  <c r="N1162" i="1"/>
  <c r="S1161" i="1"/>
  <c r="R1161" i="1"/>
  <c r="Q1161" i="1"/>
  <c r="P1161" i="1"/>
  <c r="O1161" i="1"/>
  <c r="N1161" i="1"/>
  <c r="S1160" i="1"/>
  <c r="R1160" i="1"/>
  <c r="Q1160" i="1"/>
  <c r="P1160" i="1"/>
  <c r="O1160" i="1"/>
  <c r="N1160" i="1"/>
  <c r="S1159" i="1"/>
  <c r="R1159" i="1"/>
  <c r="Q1159" i="1"/>
  <c r="P1159" i="1"/>
  <c r="O1159" i="1"/>
  <c r="N1159" i="1"/>
  <c r="S1158" i="1"/>
  <c r="R1158" i="1"/>
  <c r="Q1158" i="1"/>
  <c r="P1158" i="1"/>
  <c r="O1158" i="1"/>
  <c r="N1158" i="1"/>
  <c r="S1157" i="1"/>
  <c r="R1157" i="1"/>
  <c r="Q1157" i="1"/>
  <c r="P1157" i="1"/>
  <c r="O1157" i="1"/>
  <c r="N1157" i="1"/>
  <c r="S1156" i="1"/>
  <c r="R1156" i="1"/>
  <c r="Q1156" i="1"/>
  <c r="P1156" i="1"/>
  <c r="O1156" i="1"/>
  <c r="N1156" i="1"/>
  <c r="S1155" i="1"/>
  <c r="R1155" i="1"/>
  <c r="Q1155" i="1"/>
  <c r="P1155" i="1"/>
  <c r="O1155" i="1"/>
  <c r="N1155" i="1"/>
  <c r="S1154" i="1"/>
  <c r="R1154" i="1"/>
  <c r="Q1154" i="1"/>
  <c r="P1154" i="1"/>
  <c r="O1154" i="1"/>
  <c r="N1154" i="1"/>
  <c r="S1153" i="1"/>
  <c r="R1153" i="1"/>
  <c r="Q1153" i="1"/>
  <c r="P1153" i="1"/>
  <c r="O1153" i="1"/>
  <c r="N1153" i="1"/>
  <c r="S1152" i="1"/>
  <c r="R1152" i="1"/>
  <c r="Q1152" i="1"/>
  <c r="P1152" i="1"/>
  <c r="O1152" i="1"/>
  <c r="N1152" i="1"/>
  <c r="S1151" i="1"/>
  <c r="R1151" i="1"/>
  <c r="Q1151" i="1"/>
  <c r="P1151" i="1"/>
  <c r="O1151" i="1"/>
  <c r="N1151" i="1"/>
  <c r="S1150" i="1"/>
  <c r="R1150" i="1"/>
  <c r="Q1150" i="1"/>
  <c r="P1150" i="1"/>
  <c r="O1150" i="1"/>
  <c r="N1150" i="1"/>
  <c r="S1149" i="1"/>
  <c r="R1149" i="1"/>
  <c r="Q1149" i="1"/>
  <c r="P1149" i="1"/>
  <c r="O1149" i="1"/>
  <c r="N1149" i="1"/>
  <c r="S1148" i="1"/>
  <c r="R1148" i="1"/>
  <c r="Q1148" i="1"/>
  <c r="P1148" i="1"/>
  <c r="O1148" i="1"/>
  <c r="N1148" i="1"/>
  <c r="S1147" i="1"/>
  <c r="R1147" i="1"/>
  <c r="Q1147" i="1"/>
  <c r="P1147" i="1"/>
  <c r="O1147" i="1"/>
  <c r="N1147" i="1"/>
  <c r="S1146" i="1"/>
  <c r="R1146" i="1"/>
  <c r="Q1146" i="1"/>
  <c r="P1146" i="1"/>
  <c r="O1146" i="1"/>
  <c r="N1146" i="1"/>
  <c r="S1145" i="1"/>
  <c r="R1145" i="1"/>
  <c r="Q1145" i="1"/>
  <c r="P1145" i="1"/>
  <c r="O1145" i="1"/>
  <c r="N1145" i="1"/>
  <c r="S1144" i="1"/>
  <c r="R1144" i="1"/>
  <c r="Q1144" i="1"/>
  <c r="P1144" i="1"/>
  <c r="O1144" i="1"/>
  <c r="N1144" i="1"/>
  <c r="S1143" i="1"/>
  <c r="R1143" i="1"/>
  <c r="Q1143" i="1"/>
  <c r="P1143" i="1"/>
  <c r="O1143" i="1"/>
  <c r="N1143" i="1"/>
  <c r="S1142" i="1"/>
  <c r="R1142" i="1"/>
  <c r="Q1142" i="1"/>
  <c r="P1142" i="1"/>
  <c r="O1142" i="1"/>
  <c r="N1142" i="1"/>
  <c r="S1141" i="1"/>
  <c r="R1141" i="1"/>
  <c r="Q1141" i="1"/>
  <c r="P1141" i="1"/>
  <c r="O1141" i="1"/>
  <c r="N1141" i="1"/>
  <c r="S1140" i="1"/>
  <c r="R1140" i="1"/>
  <c r="Q1140" i="1"/>
  <c r="P1140" i="1"/>
  <c r="O1140" i="1"/>
  <c r="N1140" i="1"/>
  <c r="S1139" i="1"/>
  <c r="R1139" i="1"/>
  <c r="Q1139" i="1"/>
  <c r="P1139" i="1"/>
  <c r="O1139" i="1"/>
  <c r="N1139" i="1"/>
  <c r="S1138" i="1"/>
  <c r="R1138" i="1"/>
  <c r="Q1138" i="1"/>
  <c r="P1138" i="1"/>
  <c r="O1138" i="1"/>
  <c r="N1138" i="1"/>
  <c r="S1137" i="1"/>
  <c r="R1137" i="1"/>
  <c r="Q1137" i="1"/>
  <c r="P1137" i="1"/>
  <c r="O1137" i="1"/>
  <c r="N1137" i="1"/>
  <c r="S1136" i="1"/>
  <c r="R1136" i="1"/>
  <c r="Q1136" i="1"/>
  <c r="P1136" i="1"/>
  <c r="O1136" i="1"/>
  <c r="N1136" i="1"/>
  <c r="S1135" i="1"/>
  <c r="R1135" i="1"/>
  <c r="Q1135" i="1"/>
  <c r="P1135" i="1"/>
  <c r="O1135" i="1"/>
  <c r="N1135" i="1"/>
  <c r="S1134" i="1"/>
  <c r="R1134" i="1"/>
  <c r="Q1134" i="1"/>
  <c r="P1134" i="1"/>
  <c r="O1134" i="1"/>
  <c r="N1134" i="1"/>
  <c r="S1133" i="1"/>
  <c r="R1133" i="1"/>
  <c r="Q1133" i="1"/>
  <c r="P1133" i="1"/>
  <c r="O1133" i="1"/>
  <c r="N1133" i="1"/>
  <c r="S1132" i="1"/>
  <c r="R1132" i="1"/>
  <c r="Q1132" i="1"/>
  <c r="P1132" i="1"/>
  <c r="O1132" i="1"/>
  <c r="N1132" i="1"/>
  <c r="S1131" i="1"/>
  <c r="R1131" i="1"/>
  <c r="Q1131" i="1"/>
  <c r="P1131" i="1"/>
  <c r="O1131" i="1"/>
  <c r="N1131" i="1"/>
  <c r="S1130" i="1"/>
  <c r="R1130" i="1"/>
  <c r="Q1130" i="1"/>
  <c r="P1130" i="1"/>
  <c r="O1130" i="1"/>
  <c r="N1130" i="1"/>
  <c r="S1129" i="1"/>
  <c r="R1129" i="1"/>
  <c r="Q1129" i="1"/>
  <c r="P1129" i="1"/>
  <c r="O1129" i="1"/>
  <c r="N1129" i="1"/>
  <c r="S1128" i="1"/>
  <c r="R1128" i="1"/>
  <c r="Q1128" i="1"/>
  <c r="P1128" i="1"/>
  <c r="O1128" i="1"/>
  <c r="N1128" i="1"/>
  <c r="S1127" i="1"/>
  <c r="R1127" i="1"/>
  <c r="Q1127" i="1"/>
  <c r="P1127" i="1"/>
  <c r="O1127" i="1"/>
  <c r="N1127" i="1"/>
  <c r="S1126" i="1"/>
  <c r="R1126" i="1"/>
  <c r="Q1126" i="1"/>
  <c r="P1126" i="1"/>
  <c r="O1126" i="1"/>
  <c r="N1126" i="1"/>
  <c r="S1125" i="1"/>
  <c r="R1125" i="1"/>
  <c r="Q1125" i="1"/>
  <c r="P1125" i="1"/>
  <c r="O1125" i="1"/>
  <c r="N1125" i="1"/>
  <c r="S1124" i="1"/>
  <c r="R1124" i="1"/>
  <c r="Q1124" i="1"/>
  <c r="P1124" i="1"/>
  <c r="O1124" i="1"/>
  <c r="N1124" i="1"/>
  <c r="S1123" i="1"/>
  <c r="R1123" i="1"/>
  <c r="Q1123" i="1"/>
  <c r="P1123" i="1"/>
  <c r="O1123" i="1"/>
  <c r="N1123" i="1"/>
  <c r="S1122" i="1"/>
  <c r="R1122" i="1"/>
  <c r="Q1122" i="1"/>
  <c r="P1122" i="1"/>
  <c r="O1122" i="1"/>
  <c r="N1122" i="1"/>
  <c r="S1121" i="1"/>
  <c r="R1121" i="1"/>
  <c r="Q1121" i="1"/>
  <c r="P1121" i="1"/>
  <c r="O1121" i="1"/>
  <c r="N1121" i="1"/>
  <c r="S1120" i="1"/>
  <c r="R1120" i="1"/>
  <c r="Q1120" i="1"/>
  <c r="P1120" i="1"/>
  <c r="O1120" i="1"/>
  <c r="N1120" i="1"/>
  <c r="S1119" i="1"/>
  <c r="R1119" i="1"/>
  <c r="Q1119" i="1"/>
  <c r="P1119" i="1"/>
  <c r="O1119" i="1"/>
  <c r="N1119" i="1"/>
  <c r="S1118" i="1"/>
  <c r="R1118" i="1"/>
  <c r="Q1118" i="1"/>
  <c r="P1118" i="1"/>
  <c r="O1118" i="1"/>
  <c r="N1118" i="1"/>
  <c r="S1117" i="1"/>
  <c r="R1117" i="1"/>
  <c r="Q1117" i="1"/>
  <c r="P1117" i="1"/>
  <c r="O1117" i="1"/>
  <c r="N1117" i="1"/>
  <c r="S1116" i="1"/>
  <c r="R1116" i="1"/>
  <c r="Q1116" i="1"/>
  <c r="P1116" i="1"/>
  <c r="O1116" i="1"/>
  <c r="N1116" i="1"/>
  <c r="S1115" i="1"/>
  <c r="R1115" i="1"/>
  <c r="Q1115" i="1"/>
  <c r="P1115" i="1"/>
  <c r="O1115" i="1"/>
  <c r="N1115" i="1"/>
  <c r="S1114" i="1"/>
  <c r="R1114" i="1"/>
  <c r="Q1114" i="1"/>
  <c r="P1114" i="1"/>
  <c r="O1114" i="1"/>
  <c r="N1114" i="1"/>
  <c r="S1113" i="1"/>
  <c r="R1113" i="1"/>
  <c r="Q1113" i="1"/>
  <c r="P1113" i="1"/>
  <c r="O1113" i="1"/>
  <c r="N1113" i="1"/>
  <c r="S1112" i="1"/>
  <c r="R1112" i="1"/>
  <c r="Q1112" i="1"/>
  <c r="P1112" i="1"/>
  <c r="O1112" i="1"/>
  <c r="N1112" i="1"/>
  <c r="S1111" i="1"/>
  <c r="R1111" i="1"/>
  <c r="Q1111" i="1"/>
  <c r="P1111" i="1"/>
  <c r="O1111" i="1"/>
  <c r="N1111" i="1"/>
  <c r="S1110" i="1"/>
  <c r="R1110" i="1"/>
  <c r="Q1110" i="1"/>
  <c r="P1110" i="1"/>
  <c r="O1110" i="1"/>
  <c r="N1110" i="1"/>
  <c r="S1109" i="1"/>
  <c r="R1109" i="1"/>
  <c r="Q1109" i="1"/>
  <c r="P1109" i="1"/>
  <c r="O1109" i="1"/>
  <c r="N1109" i="1"/>
  <c r="S1108" i="1"/>
  <c r="R1108" i="1"/>
  <c r="Q1108" i="1"/>
  <c r="P1108" i="1"/>
  <c r="O1108" i="1"/>
  <c r="N1108" i="1"/>
  <c r="S1107" i="1"/>
  <c r="R1107" i="1"/>
  <c r="Q1107" i="1"/>
  <c r="P1107" i="1"/>
  <c r="O1107" i="1"/>
  <c r="N1107" i="1"/>
  <c r="S1106" i="1"/>
  <c r="R1106" i="1"/>
  <c r="Q1106" i="1"/>
  <c r="P1106" i="1"/>
  <c r="O1106" i="1"/>
  <c r="N1106" i="1"/>
  <c r="S1105" i="1"/>
  <c r="R1105" i="1"/>
  <c r="Q1105" i="1"/>
  <c r="P1105" i="1"/>
  <c r="O1105" i="1"/>
  <c r="N1105" i="1"/>
  <c r="S1104" i="1"/>
  <c r="R1104" i="1"/>
  <c r="Q1104" i="1"/>
  <c r="P1104" i="1"/>
  <c r="O1104" i="1"/>
  <c r="N1104" i="1"/>
  <c r="S1103" i="1"/>
  <c r="R1103" i="1"/>
  <c r="Q1103" i="1"/>
  <c r="P1103" i="1"/>
  <c r="O1103" i="1"/>
  <c r="N1103" i="1"/>
  <c r="S1102" i="1"/>
  <c r="R1102" i="1"/>
  <c r="Q1102" i="1"/>
  <c r="P1102" i="1"/>
  <c r="O1102" i="1"/>
  <c r="N1102" i="1"/>
  <c r="S1101" i="1"/>
  <c r="R1101" i="1"/>
  <c r="Q1101" i="1"/>
  <c r="P1101" i="1"/>
  <c r="O1101" i="1"/>
  <c r="N1101" i="1"/>
  <c r="S1100" i="1"/>
  <c r="R1100" i="1"/>
  <c r="Q1100" i="1"/>
  <c r="P1100" i="1"/>
  <c r="O1100" i="1"/>
  <c r="N1100" i="1"/>
  <c r="S1099" i="1"/>
  <c r="R1099" i="1"/>
  <c r="Q1099" i="1"/>
  <c r="P1099" i="1"/>
  <c r="O1099" i="1"/>
  <c r="N1099" i="1"/>
  <c r="S1098" i="1"/>
  <c r="R1098" i="1"/>
  <c r="Q1098" i="1"/>
  <c r="P1098" i="1"/>
  <c r="O1098" i="1"/>
  <c r="N1098" i="1"/>
  <c r="S1097" i="1"/>
  <c r="R1097" i="1"/>
  <c r="Q1097" i="1"/>
  <c r="P1097" i="1"/>
  <c r="O1097" i="1"/>
  <c r="N1097" i="1"/>
  <c r="S1096" i="1"/>
  <c r="R1096" i="1"/>
  <c r="Q1096" i="1"/>
  <c r="P1096" i="1"/>
  <c r="O1096" i="1"/>
  <c r="N1096" i="1"/>
  <c r="S1095" i="1"/>
  <c r="R1095" i="1"/>
  <c r="Q1095" i="1"/>
  <c r="P1095" i="1"/>
  <c r="O1095" i="1"/>
  <c r="N1095" i="1"/>
  <c r="S1094" i="1"/>
  <c r="R1094" i="1"/>
  <c r="Q1094" i="1"/>
  <c r="P1094" i="1"/>
  <c r="O1094" i="1"/>
  <c r="N1094" i="1"/>
  <c r="S1093" i="1"/>
  <c r="R1093" i="1"/>
  <c r="Q1093" i="1"/>
  <c r="P1093" i="1"/>
  <c r="O1093" i="1"/>
  <c r="N1093" i="1"/>
  <c r="S1092" i="1"/>
  <c r="R1092" i="1"/>
  <c r="Q1092" i="1"/>
  <c r="P1092" i="1"/>
  <c r="O1092" i="1"/>
  <c r="N1092" i="1"/>
  <c r="S1091" i="1"/>
  <c r="R1091" i="1"/>
  <c r="Q1091" i="1"/>
  <c r="P1091" i="1"/>
  <c r="O1091" i="1"/>
  <c r="N1091" i="1"/>
  <c r="S1090" i="1"/>
  <c r="R1090" i="1"/>
  <c r="Q1090" i="1"/>
  <c r="P1090" i="1"/>
  <c r="O1090" i="1"/>
  <c r="N1090" i="1"/>
  <c r="S1089" i="1"/>
  <c r="R1089" i="1"/>
  <c r="Q1089" i="1"/>
  <c r="P1089" i="1"/>
  <c r="O1089" i="1"/>
  <c r="N1089" i="1"/>
  <c r="S1088" i="1"/>
  <c r="R1088" i="1"/>
  <c r="Q1088" i="1"/>
  <c r="P1088" i="1"/>
  <c r="O1088" i="1"/>
  <c r="N1088" i="1"/>
  <c r="S1087" i="1"/>
  <c r="R1087" i="1"/>
  <c r="Q1087" i="1"/>
  <c r="P1087" i="1"/>
  <c r="O1087" i="1"/>
  <c r="N1087" i="1"/>
  <c r="S1086" i="1"/>
  <c r="R1086" i="1"/>
  <c r="Q1086" i="1"/>
  <c r="P1086" i="1"/>
  <c r="O1086" i="1"/>
  <c r="N1086" i="1"/>
  <c r="S1085" i="1"/>
  <c r="R1085" i="1"/>
  <c r="Q1085" i="1"/>
  <c r="P1085" i="1"/>
  <c r="O1085" i="1"/>
  <c r="N1085" i="1"/>
  <c r="S1084" i="1"/>
  <c r="R1084" i="1"/>
  <c r="Q1084" i="1"/>
  <c r="P1084" i="1"/>
  <c r="O1084" i="1"/>
  <c r="N1084" i="1"/>
  <c r="S1083" i="1"/>
  <c r="R1083" i="1"/>
  <c r="Q1083" i="1"/>
  <c r="P1083" i="1"/>
  <c r="O1083" i="1"/>
  <c r="N1083" i="1"/>
  <c r="S1082" i="1"/>
  <c r="R1082" i="1"/>
  <c r="Q1082" i="1"/>
  <c r="P1082" i="1"/>
  <c r="O1082" i="1"/>
  <c r="N1082" i="1"/>
  <c r="S1081" i="1"/>
  <c r="R1081" i="1"/>
  <c r="Q1081" i="1"/>
  <c r="P1081" i="1"/>
  <c r="O1081" i="1"/>
  <c r="N1081" i="1"/>
  <c r="S1080" i="1"/>
  <c r="R1080" i="1"/>
  <c r="Q1080" i="1"/>
  <c r="P1080" i="1"/>
  <c r="O1080" i="1"/>
  <c r="N1080" i="1"/>
  <c r="S1079" i="1"/>
  <c r="R1079" i="1"/>
  <c r="Q1079" i="1"/>
  <c r="P1079" i="1"/>
  <c r="O1079" i="1"/>
  <c r="N1079" i="1"/>
  <c r="S1078" i="1"/>
  <c r="R1078" i="1"/>
  <c r="Q1078" i="1"/>
  <c r="P1078" i="1"/>
  <c r="O1078" i="1"/>
  <c r="N1078" i="1"/>
  <c r="S1077" i="1"/>
  <c r="R1077" i="1"/>
  <c r="Q1077" i="1"/>
  <c r="P1077" i="1"/>
  <c r="O1077" i="1"/>
  <c r="N1077" i="1"/>
  <c r="S1076" i="1"/>
  <c r="R1076" i="1"/>
  <c r="Q1076" i="1"/>
  <c r="P1076" i="1"/>
  <c r="O1076" i="1"/>
  <c r="N1076" i="1"/>
  <c r="S1075" i="1"/>
  <c r="R1075" i="1"/>
  <c r="Q1075" i="1"/>
  <c r="P1075" i="1"/>
  <c r="O1075" i="1"/>
  <c r="N1075" i="1"/>
  <c r="S1074" i="1"/>
  <c r="R1074" i="1"/>
  <c r="Q1074" i="1"/>
  <c r="P1074" i="1"/>
  <c r="O1074" i="1"/>
  <c r="N1074" i="1"/>
  <c r="S1073" i="1"/>
  <c r="R1073" i="1"/>
  <c r="Q1073" i="1"/>
  <c r="P1073" i="1"/>
  <c r="O1073" i="1"/>
  <c r="N1073" i="1"/>
  <c r="S1072" i="1"/>
  <c r="R1072" i="1"/>
  <c r="Q1072" i="1"/>
  <c r="P1072" i="1"/>
  <c r="O1072" i="1"/>
  <c r="N1072" i="1"/>
  <c r="S1071" i="1"/>
  <c r="R1071" i="1"/>
  <c r="Q1071" i="1"/>
  <c r="P1071" i="1"/>
  <c r="O1071" i="1"/>
  <c r="N1071" i="1"/>
  <c r="S1070" i="1"/>
  <c r="R1070" i="1"/>
  <c r="Q1070" i="1"/>
  <c r="P1070" i="1"/>
  <c r="O1070" i="1"/>
  <c r="N1070" i="1"/>
  <c r="S1069" i="1"/>
  <c r="R1069" i="1"/>
  <c r="Q1069" i="1"/>
  <c r="P1069" i="1"/>
  <c r="O1069" i="1"/>
  <c r="N1069" i="1"/>
  <c r="S1068" i="1"/>
  <c r="R1068" i="1"/>
  <c r="Q1068" i="1"/>
  <c r="P1068" i="1"/>
  <c r="O1068" i="1"/>
  <c r="N1068" i="1"/>
  <c r="S1067" i="1"/>
  <c r="R1067" i="1"/>
  <c r="Q1067" i="1"/>
  <c r="P1067" i="1"/>
  <c r="O1067" i="1"/>
  <c r="N1067" i="1"/>
  <c r="S1066" i="1"/>
  <c r="R1066" i="1"/>
  <c r="Q1066" i="1"/>
  <c r="P1066" i="1"/>
  <c r="O1066" i="1"/>
  <c r="N1066" i="1"/>
  <c r="S1065" i="1"/>
  <c r="R1065" i="1"/>
  <c r="Q1065" i="1"/>
  <c r="P1065" i="1"/>
  <c r="O1065" i="1"/>
  <c r="N1065" i="1"/>
  <c r="S1064" i="1"/>
  <c r="R1064" i="1"/>
  <c r="Q1064" i="1"/>
  <c r="P1064" i="1"/>
  <c r="O1064" i="1"/>
  <c r="N1064" i="1"/>
  <c r="S1063" i="1"/>
  <c r="R1063" i="1"/>
  <c r="Q1063" i="1"/>
  <c r="P1063" i="1"/>
  <c r="O1063" i="1"/>
  <c r="N1063" i="1"/>
  <c r="S1062" i="1"/>
  <c r="R1062" i="1"/>
  <c r="Q1062" i="1"/>
  <c r="P1062" i="1"/>
  <c r="O1062" i="1"/>
  <c r="N1062" i="1"/>
  <c r="S1061" i="1"/>
  <c r="R1061" i="1"/>
  <c r="Q1061" i="1"/>
  <c r="P1061" i="1"/>
  <c r="O1061" i="1"/>
  <c r="N1061" i="1"/>
  <c r="S1060" i="1"/>
  <c r="R1060" i="1"/>
  <c r="Q1060" i="1"/>
  <c r="P1060" i="1"/>
  <c r="O1060" i="1"/>
  <c r="N1060" i="1"/>
  <c r="S1059" i="1"/>
  <c r="R1059" i="1"/>
  <c r="Q1059" i="1"/>
  <c r="P1059" i="1"/>
  <c r="O1059" i="1"/>
  <c r="N1059" i="1"/>
  <c r="S1058" i="1"/>
  <c r="R1058" i="1"/>
  <c r="Q1058" i="1"/>
  <c r="P1058" i="1"/>
  <c r="O1058" i="1"/>
  <c r="N1058" i="1"/>
  <c r="S1057" i="1"/>
  <c r="R1057" i="1"/>
  <c r="Q1057" i="1"/>
  <c r="P1057" i="1"/>
  <c r="O1057" i="1"/>
  <c r="N1057" i="1"/>
  <c r="S1056" i="1"/>
  <c r="R1056" i="1"/>
  <c r="Q1056" i="1"/>
  <c r="P1056" i="1"/>
  <c r="O1056" i="1"/>
  <c r="N1056" i="1"/>
  <c r="S1055" i="1"/>
  <c r="R1055" i="1"/>
  <c r="Q1055" i="1"/>
  <c r="P1055" i="1"/>
  <c r="O1055" i="1"/>
  <c r="N1055" i="1"/>
  <c r="S1054" i="1"/>
  <c r="R1054" i="1"/>
  <c r="Q1054" i="1"/>
  <c r="P1054" i="1"/>
  <c r="O1054" i="1"/>
  <c r="N1054" i="1"/>
  <c r="S1053" i="1"/>
  <c r="R1053" i="1"/>
  <c r="Q1053" i="1"/>
  <c r="P1053" i="1"/>
  <c r="O1053" i="1"/>
  <c r="N1053" i="1"/>
  <c r="S1052" i="1"/>
  <c r="R1052" i="1"/>
  <c r="Q1052" i="1"/>
  <c r="P1052" i="1"/>
  <c r="O1052" i="1"/>
  <c r="N1052" i="1"/>
  <c r="S1051" i="1"/>
  <c r="R1051" i="1"/>
  <c r="Q1051" i="1"/>
  <c r="P1051" i="1"/>
  <c r="O1051" i="1"/>
  <c r="N1051" i="1"/>
  <c r="S1050" i="1"/>
  <c r="R1050" i="1"/>
  <c r="Q1050" i="1"/>
  <c r="P1050" i="1"/>
  <c r="O1050" i="1"/>
  <c r="N1050" i="1"/>
  <c r="S1049" i="1"/>
  <c r="R1049" i="1"/>
  <c r="Q1049" i="1"/>
  <c r="P1049" i="1"/>
  <c r="O1049" i="1"/>
  <c r="N1049" i="1"/>
  <c r="S1048" i="1"/>
  <c r="R1048" i="1"/>
  <c r="Q1048" i="1"/>
  <c r="P1048" i="1"/>
  <c r="O1048" i="1"/>
  <c r="N1048" i="1"/>
  <c r="S1047" i="1"/>
  <c r="R1047" i="1"/>
  <c r="Q1047" i="1"/>
  <c r="P1047" i="1"/>
  <c r="O1047" i="1"/>
  <c r="N1047" i="1"/>
  <c r="S1046" i="1"/>
  <c r="R1046" i="1"/>
  <c r="Q1046" i="1"/>
  <c r="P1046" i="1"/>
  <c r="O1046" i="1"/>
  <c r="N1046" i="1"/>
  <c r="S1045" i="1"/>
  <c r="R1045" i="1"/>
  <c r="Q1045" i="1"/>
  <c r="P1045" i="1"/>
  <c r="O1045" i="1"/>
  <c r="N1045" i="1"/>
  <c r="S1044" i="1"/>
  <c r="R1044" i="1"/>
  <c r="Q1044" i="1"/>
  <c r="P1044" i="1"/>
  <c r="O1044" i="1"/>
  <c r="N1044" i="1"/>
  <c r="S1043" i="1"/>
  <c r="R1043" i="1"/>
  <c r="Q1043" i="1"/>
  <c r="P1043" i="1"/>
  <c r="O1043" i="1"/>
  <c r="N1043" i="1"/>
  <c r="S1042" i="1"/>
  <c r="R1042" i="1"/>
  <c r="Q1042" i="1"/>
  <c r="P1042" i="1"/>
  <c r="O1042" i="1"/>
  <c r="N1042" i="1"/>
  <c r="S1041" i="1"/>
  <c r="R1041" i="1"/>
  <c r="Q1041" i="1"/>
  <c r="P1041" i="1"/>
  <c r="O1041" i="1"/>
  <c r="N1041" i="1"/>
  <c r="S1040" i="1"/>
  <c r="R1040" i="1"/>
  <c r="Q1040" i="1"/>
  <c r="P1040" i="1"/>
  <c r="O1040" i="1"/>
  <c r="N1040" i="1"/>
  <c r="S1039" i="1"/>
  <c r="R1039" i="1"/>
  <c r="Q1039" i="1"/>
  <c r="P1039" i="1"/>
  <c r="O1039" i="1"/>
  <c r="N1039" i="1"/>
  <c r="S1038" i="1"/>
  <c r="R1038" i="1"/>
  <c r="Q1038" i="1"/>
  <c r="P1038" i="1"/>
  <c r="O1038" i="1"/>
  <c r="N1038" i="1"/>
  <c r="S1037" i="1"/>
  <c r="R1037" i="1"/>
  <c r="Q1037" i="1"/>
  <c r="P1037" i="1"/>
  <c r="O1037" i="1"/>
  <c r="N1037" i="1"/>
  <c r="S1036" i="1"/>
  <c r="R1036" i="1"/>
  <c r="Q1036" i="1"/>
  <c r="P1036" i="1"/>
  <c r="O1036" i="1"/>
  <c r="N1036" i="1"/>
  <c r="S1035" i="1"/>
  <c r="R1035" i="1"/>
  <c r="Q1035" i="1"/>
  <c r="P1035" i="1"/>
  <c r="O1035" i="1"/>
  <c r="N1035" i="1"/>
  <c r="S1034" i="1"/>
  <c r="R1034" i="1"/>
  <c r="Q1034" i="1"/>
  <c r="P1034" i="1"/>
  <c r="O1034" i="1"/>
  <c r="N1034" i="1"/>
  <c r="S1033" i="1"/>
  <c r="R1033" i="1"/>
  <c r="Q1033" i="1"/>
  <c r="P1033" i="1"/>
  <c r="O1033" i="1"/>
  <c r="N1033" i="1"/>
  <c r="S1032" i="1"/>
  <c r="R1032" i="1"/>
  <c r="Q1032" i="1"/>
  <c r="P1032" i="1"/>
  <c r="O1032" i="1"/>
  <c r="N1032" i="1"/>
  <c r="S1031" i="1"/>
  <c r="R1031" i="1"/>
  <c r="Q1031" i="1"/>
  <c r="P1031" i="1"/>
  <c r="O1031" i="1"/>
  <c r="N1031" i="1"/>
  <c r="S1030" i="1"/>
  <c r="R1030" i="1"/>
  <c r="Q1030" i="1"/>
  <c r="P1030" i="1"/>
  <c r="O1030" i="1"/>
  <c r="N1030" i="1"/>
  <c r="S1029" i="1"/>
  <c r="R1029" i="1"/>
  <c r="Q1029" i="1"/>
  <c r="P1029" i="1"/>
  <c r="O1029" i="1"/>
  <c r="N1029" i="1"/>
  <c r="S1028" i="1"/>
  <c r="R1028" i="1"/>
  <c r="Q1028" i="1"/>
  <c r="P1028" i="1"/>
  <c r="O1028" i="1"/>
  <c r="N1028" i="1"/>
  <c r="S1027" i="1"/>
  <c r="R1027" i="1"/>
  <c r="Q1027" i="1"/>
  <c r="P1027" i="1"/>
  <c r="O1027" i="1"/>
  <c r="N1027" i="1"/>
  <c r="S1026" i="1"/>
  <c r="R1026" i="1"/>
  <c r="Q1026" i="1"/>
  <c r="P1026" i="1"/>
  <c r="O1026" i="1"/>
  <c r="N1026" i="1"/>
  <c r="S1025" i="1"/>
  <c r="R1025" i="1"/>
  <c r="Q1025" i="1"/>
  <c r="P1025" i="1"/>
  <c r="O1025" i="1"/>
  <c r="N1025" i="1"/>
  <c r="S1024" i="1"/>
  <c r="R1024" i="1"/>
  <c r="Q1024" i="1"/>
  <c r="P1024" i="1"/>
  <c r="O1024" i="1"/>
  <c r="N1024" i="1"/>
  <c r="S1023" i="1"/>
  <c r="R1023" i="1"/>
  <c r="Q1023" i="1"/>
  <c r="P1023" i="1"/>
  <c r="O1023" i="1"/>
  <c r="N1023" i="1"/>
  <c r="S1022" i="1"/>
  <c r="R1022" i="1"/>
  <c r="Q1022" i="1"/>
  <c r="P1022" i="1"/>
  <c r="O1022" i="1"/>
  <c r="N1022" i="1"/>
  <c r="S1021" i="1"/>
  <c r="R1021" i="1"/>
  <c r="Q1021" i="1"/>
  <c r="P1021" i="1"/>
  <c r="O1021" i="1"/>
  <c r="N1021" i="1"/>
  <c r="S1020" i="1"/>
  <c r="R1020" i="1"/>
  <c r="Q1020" i="1"/>
  <c r="P1020" i="1"/>
  <c r="O1020" i="1"/>
  <c r="N1020" i="1"/>
  <c r="S1019" i="1"/>
  <c r="R1019" i="1"/>
  <c r="Q1019" i="1"/>
  <c r="P1019" i="1"/>
  <c r="O1019" i="1"/>
  <c r="N1019" i="1"/>
  <c r="S1018" i="1"/>
  <c r="R1018" i="1"/>
  <c r="Q1018" i="1"/>
  <c r="P1018" i="1"/>
  <c r="O1018" i="1"/>
  <c r="N1018" i="1"/>
  <c r="S1017" i="1"/>
  <c r="R1017" i="1"/>
  <c r="Q1017" i="1"/>
  <c r="P1017" i="1"/>
  <c r="O1017" i="1"/>
  <c r="N1017" i="1"/>
  <c r="S1016" i="1"/>
  <c r="R1016" i="1"/>
  <c r="Q1016" i="1"/>
  <c r="P1016" i="1"/>
  <c r="O1016" i="1"/>
  <c r="N1016" i="1"/>
  <c r="S1015" i="1"/>
  <c r="R1015" i="1"/>
  <c r="Q1015" i="1"/>
  <c r="P1015" i="1"/>
  <c r="O1015" i="1"/>
  <c r="N1015" i="1"/>
  <c r="S1014" i="1"/>
  <c r="R1014" i="1"/>
  <c r="Q1014" i="1"/>
  <c r="P1014" i="1"/>
  <c r="O1014" i="1"/>
  <c r="N1014" i="1"/>
  <c r="S1013" i="1"/>
  <c r="R1013" i="1"/>
  <c r="Q1013" i="1"/>
  <c r="P1013" i="1"/>
  <c r="O1013" i="1"/>
  <c r="N1013" i="1"/>
  <c r="S1012" i="1"/>
  <c r="R1012" i="1"/>
  <c r="Q1012" i="1"/>
  <c r="P1012" i="1"/>
  <c r="O1012" i="1"/>
  <c r="N1012" i="1"/>
  <c r="S1011" i="1"/>
  <c r="R1011" i="1"/>
  <c r="Q1011" i="1"/>
  <c r="P1011" i="1"/>
  <c r="O1011" i="1"/>
  <c r="N1011" i="1"/>
  <c r="S1010" i="1"/>
  <c r="R1010" i="1"/>
  <c r="Q1010" i="1"/>
  <c r="P1010" i="1"/>
  <c r="O1010" i="1"/>
  <c r="N1010" i="1"/>
  <c r="S1009" i="1"/>
  <c r="R1009" i="1"/>
  <c r="Q1009" i="1"/>
  <c r="P1009" i="1"/>
  <c r="O1009" i="1"/>
  <c r="N1009" i="1"/>
  <c r="S1008" i="1"/>
  <c r="R1008" i="1"/>
  <c r="Q1008" i="1"/>
  <c r="P1008" i="1"/>
  <c r="O1008" i="1"/>
  <c r="N1008" i="1"/>
  <c r="S1007" i="1"/>
  <c r="R1007" i="1"/>
  <c r="Q1007" i="1"/>
  <c r="P1007" i="1"/>
  <c r="O1007" i="1"/>
  <c r="N1007" i="1"/>
  <c r="S1006" i="1"/>
  <c r="R1006" i="1"/>
  <c r="Q1006" i="1"/>
  <c r="P1006" i="1"/>
  <c r="O1006" i="1"/>
  <c r="N1006" i="1"/>
  <c r="S1005" i="1"/>
  <c r="R1005" i="1"/>
  <c r="Q1005" i="1"/>
  <c r="P1005" i="1"/>
  <c r="O1005" i="1"/>
  <c r="N1005" i="1"/>
  <c r="S1004" i="1"/>
  <c r="R1004" i="1"/>
  <c r="Q1004" i="1"/>
  <c r="P1004" i="1"/>
  <c r="O1004" i="1"/>
  <c r="N1004" i="1"/>
  <c r="S1003" i="1"/>
  <c r="R1003" i="1"/>
  <c r="Q1003" i="1"/>
  <c r="P1003" i="1"/>
  <c r="O1003" i="1"/>
  <c r="N1003" i="1"/>
  <c r="S1002" i="1"/>
  <c r="R1002" i="1"/>
  <c r="Q1002" i="1"/>
  <c r="P1002" i="1"/>
  <c r="O1002" i="1"/>
  <c r="N1002" i="1"/>
  <c r="S1001" i="1"/>
  <c r="R1001" i="1"/>
  <c r="Q1001" i="1"/>
  <c r="P1001" i="1"/>
  <c r="O1001" i="1"/>
  <c r="N1001" i="1"/>
  <c r="S1000" i="1"/>
  <c r="R1000" i="1"/>
  <c r="Q1000" i="1"/>
  <c r="P1000" i="1"/>
  <c r="O1000" i="1"/>
  <c r="N1000" i="1"/>
  <c r="S999" i="1"/>
  <c r="R999" i="1"/>
  <c r="Q999" i="1"/>
  <c r="P999" i="1"/>
  <c r="O999" i="1"/>
  <c r="N999" i="1"/>
  <c r="S998" i="1"/>
  <c r="R998" i="1"/>
  <c r="Q998" i="1"/>
  <c r="P998" i="1"/>
  <c r="O998" i="1"/>
  <c r="N998" i="1"/>
  <c r="S997" i="1"/>
  <c r="R997" i="1"/>
  <c r="Q997" i="1"/>
  <c r="P997" i="1"/>
  <c r="O997" i="1"/>
  <c r="N997" i="1"/>
  <c r="S996" i="1"/>
  <c r="R996" i="1"/>
  <c r="Q996" i="1"/>
  <c r="P996" i="1"/>
  <c r="O996" i="1"/>
  <c r="N996" i="1"/>
  <c r="S995" i="1"/>
  <c r="R995" i="1"/>
  <c r="Q995" i="1"/>
  <c r="P995" i="1"/>
  <c r="O995" i="1"/>
  <c r="N995" i="1"/>
  <c r="S994" i="1"/>
  <c r="R994" i="1"/>
  <c r="Q994" i="1"/>
  <c r="P994" i="1"/>
  <c r="O994" i="1"/>
  <c r="N994" i="1"/>
  <c r="S993" i="1"/>
  <c r="R993" i="1"/>
  <c r="Q993" i="1"/>
  <c r="P993" i="1"/>
  <c r="O993" i="1"/>
  <c r="N993" i="1"/>
  <c r="S992" i="1"/>
  <c r="R992" i="1"/>
  <c r="Q992" i="1"/>
  <c r="P992" i="1"/>
  <c r="O992" i="1"/>
  <c r="N992" i="1"/>
  <c r="S991" i="1"/>
  <c r="R991" i="1"/>
  <c r="Q991" i="1"/>
  <c r="P991" i="1"/>
  <c r="O991" i="1"/>
  <c r="N991" i="1"/>
  <c r="S990" i="1"/>
  <c r="R990" i="1"/>
  <c r="Q990" i="1"/>
  <c r="P990" i="1"/>
  <c r="O990" i="1"/>
  <c r="N990" i="1"/>
  <c r="S989" i="1"/>
  <c r="R989" i="1"/>
  <c r="Q989" i="1"/>
  <c r="P989" i="1"/>
  <c r="O989" i="1"/>
  <c r="N989" i="1"/>
  <c r="S988" i="1"/>
  <c r="R988" i="1"/>
  <c r="Q988" i="1"/>
  <c r="P988" i="1"/>
  <c r="O988" i="1"/>
  <c r="N988" i="1"/>
  <c r="S987" i="1"/>
  <c r="R987" i="1"/>
  <c r="Q987" i="1"/>
  <c r="P987" i="1"/>
  <c r="O987" i="1"/>
  <c r="N987" i="1"/>
  <c r="S986" i="1"/>
  <c r="R986" i="1"/>
  <c r="Q986" i="1"/>
  <c r="P986" i="1"/>
  <c r="O986" i="1"/>
  <c r="N986" i="1"/>
  <c r="S985" i="1"/>
  <c r="R985" i="1"/>
  <c r="Q985" i="1"/>
  <c r="P985" i="1"/>
  <c r="O985" i="1"/>
  <c r="N985" i="1"/>
  <c r="S984" i="1"/>
  <c r="R984" i="1"/>
  <c r="Q984" i="1"/>
  <c r="P984" i="1"/>
  <c r="O984" i="1"/>
  <c r="N984" i="1"/>
  <c r="S983" i="1"/>
  <c r="R983" i="1"/>
  <c r="Q983" i="1"/>
  <c r="P983" i="1"/>
  <c r="O983" i="1"/>
  <c r="N983" i="1"/>
  <c r="S982" i="1"/>
  <c r="R982" i="1"/>
  <c r="Q982" i="1"/>
  <c r="P982" i="1"/>
  <c r="O982" i="1"/>
  <c r="N982" i="1"/>
  <c r="S981" i="1"/>
  <c r="R981" i="1"/>
  <c r="Q981" i="1"/>
  <c r="P981" i="1"/>
  <c r="O981" i="1"/>
  <c r="N981" i="1"/>
  <c r="S980" i="1"/>
  <c r="R980" i="1"/>
  <c r="Q980" i="1"/>
  <c r="P980" i="1"/>
  <c r="O980" i="1"/>
  <c r="N980" i="1"/>
  <c r="S979" i="1"/>
  <c r="R979" i="1"/>
  <c r="Q979" i="1"/>
  <c r="P979" i="1"/>
  <c r="O979" i="1"/>
  <c r="N979" i="1"/>
  <c r="S978" i="1"/>
  <c r="R978" i="1"/>
  <c r="Q978" i="1"/>
  <c r="P978" i="1"/>
  <c r="O978" i="1"/>
  <c r="N978" i="1"/>
  <c r="S977" i="1"/>
  <c r="R977" i="1"/>
  <c r="Q977" i="1"/>
  <c r="P977" i="1"/>
  <c r="O977" i="1"/>
  <c r="N977" i="1"/>
  <c r="S976" i="1"/>
  <c r="R976" i="1"/>
  <c r="Q976" i="1"/>
  <c r="P976" i="1"/>
  <c r="O976" i="1"/>
  <c r="N976" i="1"/>
  <c r="S975" i="1"/>
  <c r="R975" i="1"/>
  <c r="Q975" i="1"/>
  <c r="P975" i="1"/>
  <c r="O975" i="1"/>
  <c r="N975" i="1"/>
  <c r="S974" i="1"/>
  <c r="R974" i="1"/>
  <c r="Q974" i="1"/>
  <c r="P974" i="1"/>
  <c r="O974" i="1"/>
  <c r="N974" i="1"/>
  <c r="S973" i="1"/>
  <c r="R973" i="1"/>
  <c r="Q973" i="1"/>
  <c r="P973" i="1"/>
  <c r="O973" i="1"/>
  <c r="N973" i="1"/>
  <c r="S972" i="1"/>
  <c r="R972" i="1"/>
  <c r="Q972" i="1"/>
  <c r="P972" i="1"/>
  <c r="O972" i="1"/>
  <c r="N972" i="1"/>
  <c r="S971" i="1"/>
  <c r="R971" i="1"/>
  <c r="Q971" i="1"/>
  <c r="P971" i="1"/>
  <c r="O971" i="1"/>
  <c r="N971" i="1"/>
  <c r="S970" i="1"/>
  <c r="R970" i="1"/>
  <c r="Q970" i="1"/>
  <c r="P970" i="1"/>
  <c r="O970" i="1"/>
  <c r="N970" i="1"/>
  <c r="S969" i="1"/>
  <c r="R969" i="1"/>
  <c r="Q969" i="1"/>
  <c r="P969" i="1"/>
  <c r="O969" i="1"/>
  <c r="N969" i="1"/>
  <c r="S968" i="1"/>
  <c r="R968" i="1"/>
  <c r="Q968" i="1"/>
  <c r="P968" i="1"/>
  <c r="O968" i="1"/>
  <c r="N968" i="1"/>
  <c r="S967" i="1"/>
  <c r="R967" i="1"/>
  <c r="Q967" i="1"/>
  <c r="P967" i="1"/>
  <c r="O967" i="1"/>
  <c r="N967" i="1"/>
  <c r="S966" i="1"/>
  <c r="R966" i="1"/>
  <c r="Q966" i="1"/>
  <c r="P966" i="1"/>
  <c r="O966" i="1"/>
  <c r="N966" i="1"/>
  <c r="S965" i="1"/>
  <c r="R965" i="1"/>
  <c r="Q965" i="1"/>
  <c r="P965" i="1"/>
  <c r="O965" i="1"/>
  <c r="N965" i="1"/>
  <c r="S964" i="1"/>
  <c r="R964" i="1"/>
  <c r="Q964" i="1"/>
  <c r="P964" i="1"/>
  <c r="O964" i="1"/>
  <c r="N964" i="1"/>
  <c r="S963" i="1"/>
  <c r="R963" i="1"/>
  <c r="Q963" i="1"/>
  <c r="P963" i="1"/>
  <c r="O963" i="1"/>
  <c r="N963" i="1"/>
  <c r="S962" i="1"/>
  <c r="R962" i="1"/>
  <c r="Q962" i="1"/>
  <c r="P962" i="1"/>
  <c r="O962" i="1"/>
  <c r="N962" i="1"/>
  <c r="S961" i="1"/>
  <c r="R961" i="1"/>
  <c r="Q961" i="1"/>
  <c r="P961" i="1"/>
  <c r="O961" i="1"/>
  <c r="N961" i="1"/>
  <c r="S960" i="1"/>
  <c r="R960" i="1"/>
  <c r="Q960" i="1"/>
  <c r="P960" i="1"/>
  <c r="O960" i="1"/>
  <c r="N960" i="1"/>
  <c r="S959" i="1"/>
  <c r="R959" i="1"/>
  <c r="Q959" i="1"/>
  <c r="P959" i="1"/>
  <c r="O959" i="1"/>
  <c r="N959" i="1"/>
  <c r="S958" i="1"/>
  <c r="R958" i="1"/>
  <c r="Q958" i="1"/>
  <c r="P958" i="1"/>
  <c r="O958" i="1"/>
  <c r="N958" i="1"/>
  <c r="S957" i="1"/>
  <c r="R957" i="1"/>
  <c r="Q957" i="1"/>
  <c r="P957" i="1"/>
  <c r="O957" i="1"/>
  <c r="N957" i="1"/>
  <c r="S956" i="1"/>
  <c r="R956" i="1"/>
  <c r="Q956" i="1"/>
  <c r="P956" i="1"/>
  <c r="O956" i="1"/>
  <c r="N956" i="1"/>
  <c r="S955" i="1"/>
  <c r="R955" i="1"/>
  <c r="Q955" i="1"/>
  <c r="P955" i="1"/>
  <c r="O955" i="1"/>
  <c r="N955" i="1"/>
  <c r="S954" i="1"/>
  <c r="R954" i="1"/>
  <c r="Q954" i="1"/>
  <c r="P954" i="1"/>
  <c r="O954" i="1"/>
  <c r="N954" i="1"/>
  <c r="S953" i="1"/>
  <c r="R953" i="1"/>
  <c r="Q953" i="1"/>
  <c r="P953" i="1"/>
  <c r="O953" i="1"/>
  <c r="N953" i="1"/>
  <c r="S952" i="1"/>
  <c r="R952" i="1"/>
  <c r="Q952" i="1"/>
  <c r="P952" i="1"/>
  <c r="O952" i="1"/>
  <c r="N952" i="1"/>
  <c r="S951" i="1"/>
  <c r="R951" i="1"/>
  <c r="Q951" i="1"/>
  <c r="P951" i="1"/>
  <c r="O951" i="1"/>
  <c r="N951" i="1"/>
  <c r="S950" i="1"/>
  <c r="R950" i="1"/>
  <c r="Q950" i="1"/>
  <c r="P950" i="1"/>
  <c r="O950" i="1"/>
  <c r="N950" i="1"/>
  <c r="S949" i="1"/>
  <c r="R949" i="1"/>
  <c r="Q949" i="1"/>
  <c r="P949" i="1"/>
  <c r="O949" i="1"/>
  <c r="N949" i="1"/>
  <c r="S948" i="1"/>
  <c r="R948" i="1"/>
  <c r="Q948" i="1"/>
  <c r="P948" i="1"/>
  <c r="O948" i="1"/>
  <c r="N948" i="1"/>
  <c r="S947" i="1"/>
  <c r="R947" i="1"/>
  <c r="Q947" i="1"/>
  <c r="P947" i="1"/>
  <c r="O947" i="1"/>
  <c r="N947" i="1"/>
  <c r="S946" i="1"/>
  <c r="R946" i="1"/>
  <c r="Q946" i="1"/>
  <c r="P946" i="1"/>
  <c r="O946" i="1"/>
  <c r="N946" i="1"/>
  <c r="S945" i="1"/>
  <c r="R945" i="1"/>
  <c r="Q945" i="1"/>
  <c r="P945" i="1"/>
  <c r="O945" i="1"/>
  <c r="N945" i="1"/>
  <c r="S944" i="1"/>
  <c r="R944" i="1"/>
  <c r="Q944" i="1"/>
  <c r="P944" i="1"/>
  <c r="O944" i="1"/>
  <c r="N944" i="1"/>
  <c r="S943" i="1"/>
  <c r="R943" i="1"/>
  <c r="Q943" i="1"/>
  <c r="P943" i="1"/>
  <c r="O943" i="1"/>
  <c r="N943" i="1"/>
  <c r="S942" i="1"/>
  <c r="R942" i="1"/>
  <c r="Q942" i="1"/>
  <c r="P942" i="1"/>
  <c r="O942" i="1"/>
  <c r="N942" i="1"/>
  <c r="S941" i="1"/>
  <c r="R941" i="1"/>
  <c r="Q941" i="1"/>
  <c r="P941" i="1"/>
  <c r="O941" i="1"/>
  <c r="N941" i="1"/>
  <c r="S940" i="1"/>
  <c r="R940" i="1"/>
  <c r="Q940" i="1"/>
  <c r="P940" i="1"/>
  <c r="O940" i="1"/>
  <c r="N940" i="1"/>
  <c r="S939" i="1"/>
  <c r="R939" i="1"/>
  <c r="Q939" i="1"/>
  <c r="P939" i="1"/>
  <c r="O939" i="1"/>
  <c r="N939" i="1"/>
  <c r="S938" i="1"/>
  <c r="R938" i="1"/>
  <c r="Q938" i="1"/>
  <c r="P938" i="1"/>
  <c r="O938" i="1"/>
  <c r="N938" i="1"/>
  <c r="S937" i="1"/>
  <c r="R937" i="1"/>
  <c r="Q937" i="1"/>
  <c r="P937" i="1"/>
  <c r="O937" i="1"/>
  <c r="N937" i="1"/>
  <c r="S936" i="1"/>
  <c r="R936" i="1"/>
  <c r="Q936" i="1"/>
  <c r="P936" i="1"/>
  <c r="O936" i="1"/>
  <c r="N936" i="1"/>
  <c r="S935" i="1"/>
  <c r="R935" i="1"/>
  <c r="Q935" i="1"/>
  <c r="P935" i="1"/>
  <c r="O935" i="1"/>
  <c r="N935" i="1"/>
  <c r="S934" i="1"/>
  <c r="R934" i="1"/>
  <c r="Q934" i="1"/>
  <c r="P934" i="1"/>
  <c r="O934" i="1"/>
  <c r="N934" i="1"/>
  <c r="S933" i="1"/>
  <c r="R933" i="1"/>
  <c r="Q933" i="1"/>
  <c r="P933" i="1"/>
  <c r="O933" i="1"/>
  <c r="N933" i="1"/>
  <c r="S932" i="1"/>
  <c r="R932" i="1"/>
  <c r="Q932" i="1"/>
  <c r="P932" i="1"/>
  <c r="O932" i="1"/>
  <c r="N932" i="1"/>
  <c r="S931" i="1"/>
  <c r="R931" i="1"/>
  <c r="Q931" i="1"/>
  <c r="P931" i="1"/>
  <c r="O931" i="1"/>
  <c r="N931" i="1"/>
  <c r="S930" i="1"/>
  <c r="R930" i="1"/>
  <c r="Q930" i="1"/>
  <c r="P930" i="1"/>
  <c r="O930" i="1"/>
  <c r="N930" i="1"/>
  <c r="S929" i="1"/>
  <c r="R929" i="1"/>
  <c r="Q929" i="1"/>
  <c r="P929" i="1"/>
  <c r="O929" i="1"/>
  <c r="N929" i="1"/>
  <c r="S928" i="1"/>
  <c r="R928" i="1"/>
  <c r="Q928" i="1"/>
  <c r="P928" i="1"/>
  <c r="O928" i="1"/>
  <c r="N928" i="1"/>
  <c r="S927" i="1"/>
  <c r="R927" i="1"/>
  <c r="Q927" i="1"/>
  <c r="P927" i="1"/>
  <c r="O927" i="1"/>
  <c r="N927" i="1"/>
  <c r="S926" i="1"/>
  <c r="R926" i="1"/>
  <c r="Q926" i="1"/>
  <c r="P926" i="1"/>
  <c r="O926" i="1"/>
  <c r="N926" i="1"/>
  <c r="S925" i="1"/>
  <c r="R925" i="1"/>
  <c r="Q925" i="1"/>
  <c r="P925" i="1"/>
  <c r="O925" i="1"/>
  <c r="N925" i="1"/>
  <c r="S924" i="1"/>
  <c r="R924" i="1"/>
  <c r="Q924" i="1"/>
  <c r="P924" i="1"/>
  <c r="O924" i="1"/>
  <c r="N924" i="1"/>
  <c r="S923" i="1"/>
  <c r="R923" i="1"/>
  <c r="Q923" i="1"/>
  <c r="P923" i="1"/>
  <c r="O923" i="1"/>
  <c r="N923" i="1"/>
  <c r="S922" i="1"/>
  <c r="R922" i="1"/>
  <c r="Q922" i="1"/>
  <c r="P922" i="1"/>
  <c r="O922" i="1"/>
  <c r="N922" i="1"/>
  <c r="S921" i="1"/>
  <c r="R921" i="1"/>
  <c r="Q921" i="1"/>
  <c r="P921" i="1"/>
  <c r="O921" i="1"/>
  <c r="N921" i="1"/>
  <c r="S920" i="1"/>
  <c r="R920" i="1"/>
  <c r="Q920" i="1"/>
  <c r="P920" i="1"/>
  <c r="O920" i="1"/>
  <c r="N920" i="1"/>
  <c r="S919" i="1"/>
  <c r="R919" i="1"/>
  <c r="Q919" i="1"/>
  <c r="P919" i="1"/>
  <c r="O919" i="1"/>
  <c r="N919" i="1"/>
  <c r="S918" i="1"/>
  <c r="R918" i="1"/>
  <c r="Q918" i="1"/>
  <c r="P918" i="1"/>
  <c r="O918" i="1"/>
  <c r="N918" i="1"/>
  <c r="S917" i="1"/>
  <c r="R917" i="1"/>
  <c r="Q917" i="1"/>
  <c r="P917" i="1"/>
  <c r="O917" i="1"/>
  <c r="N917" i="1"/>
  <c r="S916" i="1"/>
  <c r="R916" i="1"/>
  <c r="Q916" i="1"/>
  <c r="P916" i="1"/>
  <c r="O916" i="1"/>
  <c r="N916" i="1"/>
  <c r="S915" i="1"/>
  <c r="R915" i="1"/>
  <c r="Q915" i="1"/>
  <c r="P915" i="1"/>
  <c r="O915" i="1"/>
  <c r="N915" i="1"/>
  <c r="S914" i="1"/>
  <c r="R914" i="1"/>
  <c r="Q914" i="1"/>
  <c r="P914" i="1"/>
  <c r="O914" i="1"/>
  <c r="N914" i="1"/>
  <c r="S913" i="1"/>
  <c r="R913" i="1"/>
  <c r="Q913" i="1"/>
  <c r="P913" i="1"/>
  <c r="O913" i="1"/>
  <c r="N913" i="1"/>
  <c r="S912" i="1"/>
  <c r="R912" i="1"/>
  <c r="Q912" i="1"/>
  <c r="P912" i="1"/>
  <c r="O912" i="1"/>
  <c r="N912" i="1"/>
  <c r="S911" i="1"/>
  <c r="R911" i="1"/>
  <c r="Q911" i="1"/>
  <c r="P911" i="1"/>
  <c r="O911" i="1"/>
  <c r="N911" i="1"/>
  <c r="S910" i="1"/>
  <c r="R910" i="1"/>
  <c r="Q910" i="1"/>
  <c r="P910" i="1"/>
  <c r="O910" i="1"/>
  <c r="N910" i="1"/>
  <c r="S909" i="1"/>
  <c r="R909" i="1"/>
  <c r="Q909" i="1"/>
  <c r="P909" i="1"/>
  <c r="O909" i="1"/>
  <c r="N909" i="1"/>
  <c r="S908" i="1"/>
  <c r="R908" i="1"/>
  <c r="Q908" i="1"/>
  <c r="P908" i="1"/>
  <c r="O908" i="1"/>
  <c r="N908" i="1"/>
  <c r="S907" i="1"/>
  <c r="R907" i="1"/>
  <c r="Q907" i="1"/>
  <c r="P907" i="1"/>
  <c r="O907" i="1"/>
  <c r="N907" i="1"/>
  <c r="S906" i="1"/>
  <c r="R906" i="1"/>
  <c r="Q906" i="1"/>
  <c r="P906" i="1"/>
  <c r="O906" i="1"/>
  <c r="N906" i="1"/>
  <c r="S905" i="1"/>
  <c r="R905" i="1"/>
  <c r="Q905" i="1"/>
  <c r="P905" i="1"/>
  <c r="O905" i="1"/>
  <c r="N905" i="1"/>
  <c r="S904" i="1"/>
  <c r="R904" i="1"/>
  <c r="Q904" i="1"/>
  <c r="P904" i="1"/>
  <c r="O904" i="1"/>
  <c r="N904" i="1"/>
  <c r="S903" i="1"/>
  <c r="R903" i="1"/>
  <c r="Q903" i="1"/>
  <c r="P903" i="1"/>
  <c r="O903" i="1"/>
  <c r="N903" i="1"/>
  <c r="S902" i="1"/>
  <c r="R902" i="1"/>
  <c r="Q902" i="1"/>
  <c r="P902" i="1"/>
  <c r="O902" i="1"/>
  <c r="N902" i="1"/>
  <c r="S901" i="1"/>
  <c r="R901" i="1"/>
  <c r="Q901" i="1"/>
  <c r="P901" i="1"/>
  <c r="O901" i="1"/>
  <c r="N901" i="1"/>
  <c r="S900" i="1"/>
  <c r="R900" i="1"/>
  <c r="Q900" i="1"/>
  <c r="P900" i="1"/>
  <c r="O900" i="1"/>
  <c r="N900" i="1"/>
  <c r="S899" i="1"/>
  <c r="R899" i="1"/>
  <c r="Q899" i="1"/>
  <c r="P899" i="1"/>
  <c r="O899" i="1"/>
  <c r="N899" i="1"/>
  <c r="S898" i="1"/>
  <c r="R898" i="1"/>
  <c r="Q898" i="1"/>
  <c r="P898" i="1"/>
  <c r="O898" i="1"/>
  <c r="N898" i="1"/>
  <c r="S897" i="1"/>
  <c r="R897" i="1"/>
  <c r="Q897" i="1"/>
  <c r="P897" i="1"/>
  <c r="O897" i="1"/>
  <c r="N897" i="1"/>
  <c r="S896" i="1"/>
  <c r="R896" i="1"/>
  <c r="Q896" i="1"/>
  <c r="P896" i="1"/>
  <c r="O896" i="1"/>
  <c r="N896" i="1"/>
  <c r="S895" i="1"/>
  <c r="R895" i="1"/>
  <c r="Q895" i="1"/>
  <c r="P895" i="1"/>
  <c r="O895" i="1"/>
  <c r="N895" i="1"/>
  <c r="S894" i="1"/>
  <c r="R894" i="1"/>
  <c r="Q894" i="1"/>
  <c r="P894" i="1"/>
  <c r="O894" i="1"/>
  <c r="N894" i="1"/>
  <c r="S893" i="1"/>
  <c r="R893" i="1"/>
  <c r="Q893" i="1"/>
  <c r="P893" i="1"/>
  <c r="O893" i="1"/>
  <c r="N893" i="1"/>
  <c r="S892" i="1"/>
  <c r="R892" i="1"/>
  <c r="Q892" i="1"/>
  <c r="P892" i="1"/>
  <c r="O892" i="1"/>
  <c r="N892" i="1"/>
  <c r="S891" i="1"/>
  <c r="R891" i="1"/>
  <c r="Q891" i="1"/>
  <c r="P891" i="1"/>
  <c r="O891" i="1"/>
  <c r="N891" i="1"/>
  <c r="S890" i="1"/>
  <c r="R890" i="1"/>
  <c r="Q890" i="1"/>
  <c r="P890" i="1"/>
  <c r="O890" i="1"/>
  <c r="N890" i="1"/>
  <c r="S889" i="1"/>
  <c r="R889" i="1"/>
  <c r="Q889" i="1"/>
  <c r="P889" i="1"/>
  <c r="O889" i="1"/>
  <c r="N889" i="1"/>
  <c r="S888" i="1"/>
  <c r="R888" i="1"/>
  <c r="Q888" i="1"/>
  <c r="P888" i="1"/>
  <c r="O888" i="1"/>
  <c r="N888" i="1"/>
  <c r="S887" i="1"/>
  <c r="R887" i="1"/>
  <c r="Q887" i="1"/>
  <c r="P887" i="1"/>
  <c r="O887" i="1"/>
  <c r="N887" i="1"/>
  <c r="S886" i="1"/>
  <c r="R886" i="1"/>
  <c r="Q886" i="1"/>
  <c r="P886" i="1"/>
  <c r="O886" i="1"/>
  <c r="N886" i="1"/>
  <c r="S885" i="1"/>
  <c r="R885" i="1"/>
  <c r="Q885" i="1"/>
  <c r="P885" i="1"/>
  <c r="O885" i="1"/>
  <c r="N885" i="1"/>
  <c r="S884" i="1"/>
  <c r="R884" i="1"/>
  <c r="Q884" i="1"/>
  <c r="P884" i="1"/>
  <c r="O884" i="1"/>
  <c r="N884" i="1"/>
  <c r="S883" i="1"/>
  <c r="R883" i="1"/>
  <c r="Q883" i="1"/>
  <c r="P883" i="1"/>
  <c r="O883" i="1"/>
  <c r="N883" i="1"/>
  <c r="S882" i="1"/>
  <c r="R882" i="1"/>
  <c r="Q882" i="1"/>
  <c r="P882" i="1"/>
  <c r="O882" i="1"/>
  <c r="N882" i="1"/>
  <c r="S881" i="1"/>
  <c r="R881" i="1"/>
  <c r="Q881" i="1"/>
  <c r="P881" i="1"/>
  <c r="O881" i="1"/>
  <c r="N881" i="1"/>
  <c r="S880" i="1"/>
  <c r="R880" i="1"/>
  <c r="Q880" i="1"/>
  <c r="P880" i="1"/>
  <c r="O880" i="1"/>
  <c r="N880" i="1"/>
  <c r="S879" i="1"/>
  <c r="R879" i="1"/>
  <c r="Q879" i="1"/>
  <c r="P879" i="1"/>
  <c r="O879" i="1"/>
  <c r="N879" i="1"/>
  <c r="S878" i="1"/>
  <c r="R878" i="1"/>
  <c r="Q878" i="1"/>
  <c r="P878" i="1"/>
  <c r="O878" i="1"/>
  <c r="N878" i="1"/>
  <c r="S877" i="1"/>
  <c r="R877" i="1"/>
  <c r="Q877" i="1"/>
  <c r="P877" i="1"/>
  <c r="O877" i="1"/>
  <c r="N877" i="1"/>
  <c r="S876" i="1"/>
  <c r="R876" i="1"/>
  <c r="Q876" i="1"/>
  <c r="P876" i="1"/>
  <c r="O876" i="1"/>
  <c r="N876" i="1"/>
  <c r="S875" i="1"/>
  <c r="R875" i="1"/>
  <c r="Q875" i="1"/>
  <c r="P875" i="1"/>
  <c r="O875" i="1"/>
  <c r="N875" i="1"/>
  <c r="S874" i="1"/>
  <c r="R874" i="1"/>
  <c r="Q874" i="1"/>
  <c r="P874" i="1"/>
  <c r="O874" i="1"/>
  <c r="N874" i="1"/>
  <c r="S873" i="1"/>
  <c r="R873" i="1"/>
  <c r="Q873" i="1"/>
  <c r="P873" i="1"/>
  <c r="O873" i="1"/>
  <c r="N873" i="1"/>
  <c r="S872" i="1"/>
  <c r="R872" i="1"/>
  <c r="Q872" i="1"/>
  <c r="P872" i="1"/>
  <c r="O872" i="1"/>
  <c r="N872" i="1"/>
  <c r="S871" i="1"/>
  <c r="R871" i="1"/>
  <c r="Q871" i="1"/>
  <c r="P871" i="1"/>
  <c r="O871" i="1"/>
  <c r="N871" i="1"/>
  <c r="S870" i="1"/>
  <c r="R870" i="1"/>
  <c r="Q870" i="1"/>
  <c r="P870" i="1"/>
  <c r="O870" i="1"/>
  <c r="N870" i="1"/>
  <c r="S869" i="1"/>
  <c r="R869" i="1"/>
  <c r="Q869" i="1"/>
  <c r="P869" i="1"/>
  <c r="O869" i="1"/>
  <c r="N869" i="1"/>
  <c r="S868" i="1"/>
  <c r="R868" i="1"/>
  <c r="Q868" i="1"/>
  <c r="P868" i="1"/>
  <c r="O868" i="1"/>
  <c r="N868" i="1"/>
  <c r="S867" i="1"/>
  <c r="R867" i="1"/>
  <c r="Q867" i="1"/>
  <c r="P867" i="1"/>
  <c r="O867" i="1"/>
  <c r="N867" i="1"/>
  <c r="S866" i="1"/>
  <c r="R866" i="1"/>
  <c r="Q866" i="1"/>
  <c r="P866" i="1"/>
  <c r="O866" i="1"/>
  <c r="N866" i="1"/>
  <c r="S865" i="1"/>
  <c r="R865" i="1"/>
  <c r="Q865" i="1"/>
  <c r="P865" i="1"/>
  <c r="O865" i="1"/>
  <c r="N865" i="1"/>
  <c r="S864" i="1"/>
  <c r="R864" i="1"/>
  <c r="Q864" i="1"/>
  <c r="P864" i="1"/>
  <c r="O864" i="1"/>
  <c r="N864" i="1"/>
  <c r="S863" i="1"/>
  <c r="R863" i="1"/>
  <c r="Q863" i="1"/>
  <c r="P863" i="1"/>
  <c r="O863" i="1"/>
  <c r="N863" i="1"/>
  <c r="S862" i="1"/>
  <c r="R862" i="1"/>
  <c r="Q862" i="1"/>
  <c r="P862" i="1"/>
  <c r="O862" i="1"/>
  <c r="N862" i="1"/>
  <c r="S861" i="1"/>
  <c r="R861" i="1"/>
  <c r="Q861" i="1"/>
  <c r="P861" i="1"/>
  <c r="O861" i="1"/>
  <c r="N861" i="1"/>
  <c r="S860" i="1"/>
  <c r="R860" i="1"/>
  <c r="Q860" i="1"/>
  <c r="P860" i="1"/>
  <c r="O860" i="1"/>
  <c r="N860" i="1"/>
  <c r="S859" i="1"/>
  <c r="R859" i="1"/>
  <c r="Q859" i="1"/>
  <c r="P859" i="1"/>
  <c r="O859" i="1"/>
  <c r="N859" i="1"/>
  <c r="S858" i="1"/>
  <c r="R858" i="1"/>
  <c r="Q858" i="1"/>
  <c r="P858" i="1"/>
  <c r="O858" i="1"/>
  <c r="N858" i="1"/>
  <c r="S857" i="1"/>
  <c r="R857" i="1"/>
  <c r="Q857" i="1"/>
  <c r="P857" i="1"/>
  <c r="O857" i="1"/>
  <c r="N857" i="1"/>
  <c r="S856" i="1"/>
  <c r="R856" i="1"/>
  <c r="Q856" i="1"/>
  <c r="P856" i="1"/>
  <c r="O856" i="1"/>
  <c r="N856" i="1"/>
  <c r="S855" i="1"/>
  <c r="R855" i="1"/>
  <c r="Q855" i="1"/>
  <c r="P855" i="1"/>
  <c r="O855" i="1"/>
  <c r="N855" i="1"/>
  <c r="S854" i="1"/>
  <c r="R854" i="1"/>
  <c r="Q854" i="1"/>
  <c r="P854" i="1"/>
  <c r="O854" i="1"/>
  <c r="N854" i="1"/>
  <c r="S853" i="1"/>
  <c r="R853" i="1"/>
  <c r="Q853" i="1"/>
  <c r="P853" i="1"/>
  <c r="O853" i="1"/>
  <c r="N853" i="1"/>
  <c r="S852" i="1"/>
  <c r="R852" i="1"/>
  <c r="Q852" i="1"/>
  <c r="P852" i="1"/>
  <c r="O852" i="1"/>
  <c r="N852" i="1"/>
  <c r="S851" i="1"/>
  <c r="R851" i="1"/>
  <c r="Q851" i="1"/>
  <c r="P851" i="1"/>
  <c r="O851" i="1"/>
  <c r="N851" i="1"/>
  <c r="S850" i="1"/>
  <c r="R850" i="1"/>
  <c r="Q850" i="1"/>
  <c r="P850" i="1"/>
  <c r="O850" i="1"/>
  <c r="N850" i="1"/>
  <c r="S849" i="1"/>
  <c r="R849" i="1"/>
  <c r="Q849" i="1"/>
  <c r="P849" i="1"/>
  <c r="O849" i="1"/>
  <c r="N849" i="1"/>
  <c r="S848" i="1"/>
  <c r="R848" i="1"/>
  <c r="Q848" i="1"/>
  <c r="P848" i="1"/>
  <c r="O848" i="1"/>
  <c r="N848" i="1"/>
  <c r="S847" i="1"/>
  <c r="R847" i="1"/>
  <c r="Q847" i="1"/>
  <c r="P847" i="1"/>
  <c r="O847" i="1"/>
  <c r="N847" i="1"/>
  <c r="S846" i="1"/>
  <c r="R846" i="1"/>
  <c r="Q846" i="1"/>
  <c r="P846" i="1"/>
  <c r="O846" i="1"/>
  <c r="N846" i="1"/>
  <c r="S845" i="1"/>
  <c r="R845" i="1"/>
  <c r="Q845" i="1"/>
  <c r="P845" i="1"/>
  <c r="O845" i="1"/>
  <c r="N845" i="1"/>
  <c r="S844" i="1"/>
  <c r="R844" i="1"/>
  <c r="Q844" i="1"/>
  <c r="P844" i="1"/>
  <c r="O844" i="1"/>
  <c r="N844" i="1"/>
  <c r="S843" i="1"/>
  <c r="R843" i="1"/>
  <c r="Q843" i="1"/>
  <c r="P843" i="1"/>
  <c r="O843" i="1"/>
  <c r="N843" i="1"/>
  <c r="S842" i="1"/>
  <c r="R842" i="1"/>
  <c r="Q842" i="1"/>
  <c r="P842" i="1"/>
  <c r="O842" i="1"/>
  <c r="N842" i="1"/>
  <c r="S841" i="1"/>
  <c r="R841" i="1"/>
  <c r="Q841" i="1"/>
  <c r="P841" i="1"/>
  <c r="O841" i="1"/>
  <c r="N841" i="1"/>
  <c r="S840" i="1"/>
  <c r="R840" i="1"/>
  <c r="Q840" i="1"/>
  <c r="P840" i="1"/>
  <c r="O840" i="1"/>
  <c r="N840" i="1"/>
  <c r="S839" i="1"/>
  <c r="R839" i="1"/>
  <c r="Q839" i="1"/>
  <c r="P839" i="1"/>
  <c r="O839" i="1"/>
  <c r="N839" i="1"/>
  <c r="S838" i="1"/>
  <c r="R838" i="1"/>
  <c r="Q838" i="1"/>
  <c r="P838" i="1"/>
  <c r="O838" i="1"/>
  <c r="N838" i="1"/>
  <c r="S837" i="1"/>
  <c r="R837" i="1"/>
  <c r="Q837" i="1"/>
  <c r="P837" i="1"/>
  <c r="O837" i="1"/>
  <c r="N837" i="1"/>
  <c r="S836" i="1"/>
  <c r="R836" i="1"/>
  <c r="Q836" i="1"/>
  <c r="P836" i="1"/>
  <c r="O836" i="1"/>
  <c r="N836" i="1"/>
  <c r="S835" i="1"/>
  <c r="R835" i="1"/>
  <c r="Q835" i="1"/>
  <c r="P835" i="1"/>
  <c r="O835" i="1"/>
  <c r="N835" i="1"/>
  <c r="S834" i="1"/>
  <c r="R834" i="1"/>
  <c r="Q834" i="1"/>
  <c r="P834" i="1"/>
  <c r="O834" i="1"/>
  <c r="N834" i="1"/>
  <c r="S833" i="1"/>
  <c r="R833" i="1"/>
  <c r="Q833" i="1"/>
  <c r="P833" i="1"/>
  <c r="O833" i="1"/>
  <c r="N833" i="1"/>
  <c r="S832" i="1"/>
  <c r="R832" i="1"/>
  <c r="Q832" i="1"/>
  <c r="P832" i="1"/>
  <c r="O832" i="1"/>
  <c r="N832" i="1"/>
  <c r="S831" i="1"/>
  <c r="R831" i="1"/>
  <c r="Q831" i="1"/>
  <c r="P831" i="1"/>
  <c r="O831" i="1"/>
  <c r="N831" i="1"/>
  <c r="S830" i="1"/>
  <c r="R830" i="1"/>
  <c r="Q830" i="1"/>
  <c r="P830" i="1"/>
  <c r="O830" i="1"/>
  <c r="N830" i="1"/>
  <c r="S829" i="1"/>
  <c r="R829" i="1"/>
  <c r="Q829" i="1"/>
  <c r="P829" i="1"/>
  <c r="O829" i="1"/>
  <c r="N829" i="1"/>
  <c r="S828" i="1"/>
  <c r="R828" i="1"/>
  <c r="Q828" i="1"/>
  <c r="P828" i="1"/>
  <c r="O828" i="1"/>
  <c r="N828" i="1"/>
  <c r="S827" i="1"/>
  <c r="R827" i="1"/>
  <c r="Q827" i="1"/>
  <c r="P827" i="1"/>
  <c r="O827" i="1"/>
  <c r="N827" i="1"/>
  <c r="S826" i="1"/>
  <c r="R826" i="1"/>
  <c r="Q826" i="1"/>
  <c r="P826" i="1"/>
  <c r="O826" i="1"/>
  <c r="N826" i="1"/>
  <c r="S825" i="1"/>
  <c r="R825" i="1"/>
  <c r="Q825" i="1"/>
  <c r="P825" i="1"/>
  <c r="O825" i="1"/>
  <c r="N825" i="1"/>
  <c r="S824" i="1"/>
  <c r="R824" i="1"/>
  <c r="Q824" i="1"/>
  <c r="P824" i="1"/>
  <c r="O824" i="1"/>
  <c r="N824" i="1"/>
  <c r="S823" i="1"/>
  <c r="R823" i="1"/>
  <c r="Q823" i="1"/>
  <c r="P823" i="1"/>
  <c r="O823" i="1"/>
  <c r="N823" i="1"/>
  <c r="S822" i="1"/>
  <c r="R822" i="1"/>
  <c r="Q822" i="1"/>
  <c r="P822" i="1"/>
  <c r="O822" i="1"/>
  <c r="N822" i="1"/>
  <c r="S821" i="1"/>
  <c r="R821" i="1"/>
  <c r="Q821" i="1"/>
  <c r="P821" i="1"/>
  <c r="O821" i="1"/>
  <c r="N821" i="1"/>
  <c r="S820" i="1"/>
  <c r="R820" i="1"/>
  <c r="Q820" i="1"/>
  <c r="P820" i="1"/>
  <c r="O820" i="1"/>
  <c r="N820" i="1"/>
  <c r="S819" i="1"/>
  <c r="R819" i="1"/>
  <c r="Q819" i="1"/>
  <c r="P819" i="1"/>
  <c r="O819" i="1"/>
  <c r="N819" i="1"/>
  <c r="S818" i="1"/>
  <c r="R818" i="1"/>
  <c r="Q818" i="1"/>
  <c r="P818" i="1"/>
  <c r="O818" i="1"/>
  <c r="N818" i="1"/>
  <c r="S817" i="1"/>
  <c r="R817" i="1"/>
  <c r="Q817" i="1"/>
  <c r="P817" i="1"/>
  <c r="O817" i="1"/>
  <c r="N817" i="1"/>
  <c r="S816" i="1"/>
  <c r="R816" i="1"/>
  <c r="Q816" i="1"/>
  <c r="P816" i="1"/>
  <c r="O816" i="1"/>
  <c r="N816" i="1"/>
  <c r="S815" i="1"/>
  <c r="R815" i="1"/>
  <c r="Q815" i="1"/>
  <c r="P815" i="1"/>
  <c r="O815" i="1"/>
  <c r="N815" i="1"/>
  <c r="S814" i="1"/>
  <c r="R814" i="1"/>
  <c r="Q814" i="1"/>
  <c r="P814" i="1"/>
  <c r="O814" i="1"/>
  <c r="N814" i="1"/>
  <c r="S813" i="1"/>
  <c r="R813" i="1"/>
  <c r="Q813" i="1"/>
  <c r="P813" i="1"/>
  <c r="O813" i="1"/>
  <c r="N813" i="1"/>
  <c r="S812" i="1"/>
  <c r="R812" i="1"/>
  <c r="Q812" i="1"/>
  <c r="P812" i="1"/>
  <c r="O812" i="1"/>
  <c r="N812" i="1"/>
  <c r="S811" i="1"/>
  <c r="R811" i="1"/>
  <c r="Q811" i="1"/>
  <c r="P811" i="1"/>
  <c r="O811" i="1"/>
  <c r="N811" i="1"/>
  <c r="S810" i="1"/>
  <c r="R810" i="1"/>
  <c r="Q810" i="1"/>
  <c r="P810" i="1"/>
  <c r="O810" i="1"/>
  <c r="N810" i="1"/>
  <c r="S809" i="1"/>
  <c r="R809" i="1"/>
  <c r="Q809" i="1"/>
  <c r="P809" i="1"/>
  <c r="O809" i="1"/>
  <c r="N809" i="1"/>
  <c r="S808" i="1"/>
  <c r="R808" i="1"/>
  <c r="Q808" i="1"/>
  <c r="P808" i="1"/>
  <c r="O808" i="1"/>
  <c r="N808" i="1"/>
  <c r="S807" i="1"/>
  <c r="R807" i="1"/>
  <c r="Q807" i="1"/>
  <c r="P807" i="1"/>
  <c r="O807" i="1"/>
  <c r="N807" i="1"/>
  <c r="S806" i="1"/>
  <c r="R806" i="1"/>
  <c r="Q806" i="1"/>
  <c r="P806" i="1"/>
  <c r="O806" i="1"/>
  <c r="N806" i="1"/>
  <c r="S805" i="1"/>
  <c r="R805" i="1"/>
  <c r="Q805" i="1"/>
  <c r="P805" i="1"/>
  <c r="O805" i="1"/>
  <c r="N805" i="1"/>
  <c r="S804" i="1"/>
  <c r="R804" i="1"/>
  <c r="Q804" i="1"/>
  <c r="P804" i="1"/>
  <c r="O804" i="1"/>
  <c r="N804" i="1"/>
  <c r="S803" i="1"/>
  <c r="R803" i="1"/>
  <c r="Q803" i="1"/>
  <c r="P803" i="1"/>
  <c r="O803" i="1"/>
  <c r="N803" i="1"/>
  <c r="S802" i="1"/>
  <c r="R802" i="1"/>
  <c r="Q802" i="1"/>
  <c r="P802" i="1"/>
  <c r="O802" i="1"/>
  <c r="N802" i="1"/>
  <c r="S801" i="1"/>
  <c r="R801" i="1"/>
  <c r="Q801" i="1"/>
  <c r="P801" i="1"/>
  <c r="O801" i="1"/>
  <c r="N801" i="1"/>
  <c r="S800" i="1"/>
  <c r="R800" i="1"/>
  <c r="Q800" i="1"/>
  <c r="P800" i="1"/>
  <c r="O800" i="1"/>
  <c r="N800" i="1"/>
  <c r="S799" i="1"/>
  <c r="R799" i="1"/>
  <c r="Q799" i="1"/>
  <c r="P799" i="1"/>
  <c r="O799" i="1"/>
  <c r="N799" i="1"/>
  <c r="S798" i="1"/>
  <c r="R798" i="1"/>
  <c r="Q798" i="1"/>
  <c r="P798" i="1"/>
  <c r="O798" i="1"/>
  <c r="N798" i="1"/>
  <c r="S797" i="1"/>
  <c r="R797" i="1"/>
  <c r="Q797" i="1"/>
  <c r="P797" i="1"/>
  <c r="O797" i="1"/>
  <c r="N797" i="1"/>
  <c r="S796" i="1"/>
  <c r="R796" i="1"/>
  <c r="Q796" i="1"/>
  <c r="P796" i="1"/>
  <c r="O796" i="1"/>
  <c r="N796" i="1"/>
  <c r="S795" i="1"/>
  <c r="R795" i="1"/>
  <c r="Q795" i="1"/>
  <c r="P795" i="1"/>
  <c r="O795" i="1"/>
  <c r="N795" i="1"/>
  <c r="S794" i="1"/>
  <c r="R794" i="1"/>
  <c r="Q794" i="1"/>
  <c r="P794" i="1"/>
  <c r="O794" i="1"/>
  <c r="N794" i="1"/>
  <c r="S793" i="1"/>
  <c r="R793" i="1"/>
  <c r="Q793" i="1"/>
  <c r="P793" i="1"/>
  <c r="O793" i="1"/>
  <c r="N793" i="1"/>
  <c r="S792" i="1"/>
  <c r="R792" i="1"/>
  <c r="Q792" i="1"/>
  <c r="P792" i="1"/>
  <c r="O792" i="1"/>
  <c r="N792" i="1"/>
  <c r="S791" i="1"/>
  <c r="R791" i="1"/>
  <c r="Q791" i="1"/>
  <c r="P791" i="1"/>
  <c r="O791" i="1"/>
  <c r="N791" i="1"/>
  <c r="S790" i="1"/>
  <c r="R790" i="1"/>
  <c r="Q790" i="1"/>
  <c r="P790" i="1"/>
  <c r="O790" i="1"/>
  <c r="N790" i="1"/>
  <c r="S789" i="1"/>
  <c r="R789" i="1"/>
  <c r="Q789" i="1"/>
  <c r="P789" i="1"/>
  <c r="O789" i="1"/>
  <c r="N789" i="1"/>
  <c r="S788" i="1"/>
  <c r="R788" i="1"/>
  <c r="Q788" i="1"/>
  <c r="P788" i="1"/>
  <c r="O788" i="1"/>
  <c r="N788" i="1"/>
  <c r="S787" i="1"/>
  <c r="R787" i="1"/>
  <c r="Q787" i="1"/>
  <c r="P787" i="1"/>
  <c r="O787" i="1"/>
  <c r="N787" i="1"/>
  <c r="S786" i="1"/>
  <c r="R786" i="1"/>
  <c r="Q786" i="1"/>
  <c r="P786" i="1"/>
  <c r="O786" i="1"/>
  <c r="N786" i="1"/>
  <c r="S785" i="1"/>
  <c r="R785" i="1"/>
  <c r="Q785" i="1"/>
  <c r="P785" i="1"/>
  <c r="O785" i="1"/>
  <c r="N785" i="1"/>
  <c r="S784" i="1"/>
  <c r="R784" i="1"/>
  <c r="Q784" i="1"/>
  <c r="P784" i="1"/>
  <c r="O784" i="1"/>
  <c r="N784" i="1"/>
  <c r="S783" i="1"/>
  <c r="R783" i="1"/>
  <c r="Q783" i="1"/>
  <c r="P783" i="1"/>
  <c r="O783" i="1"/>
  <c r="N783" i="1"/>
  <c r="S782" i="1"/>
  <c r="R782" i="1"/>
  <c r="Q782" i="1"/>
  <c r="P782" i="1"/>
  <c r="O782" i="1"/>
  <c r="N782" i="1"/>
  <c r="S781" i="1"/>
  <c r="R781" i="1"/>
  <c r="Q781" i="1"/>
  <c r="P781" i="1"/>
  <c r="O781" i="1"/>
  <c r="N781" i="1"/>
  <c r="S780" i="1"/>
  <c r="R780" i="1"/>
  <c r="Q780" i="1"/>
  <c r="P780" i="1"/>
  <c r="O780" i="1"/>
  <c r="N780" i="1"/>
  <c r="S779" i="1"/>
  <c r="R779" i="1"/>
  <c r="Q779" i="1"/>
  <c r="P779" i="1"/>
  <c r="O779" i="1"/>
  <c r="N779" i="1"/>
  <c r="S778" i="1"/>
  <c r="R778" i="1"/>
  <c r="Q778" i="1"/>
  <c r="P778" i="1"/>
  <c r="O778" i="1"/>
  <c r="N778" i="1"/>
  <c r="S777" i="1"/>
  <c r="R777" i="1"/>
  <c r="Q777" i="1"/>
  <c r="P777" i="1"/>
  <c r="O777" i="1"/>
  <c r="N777" i="1"/>
  <c r="S776" i="1"/>
  <c r="R776" i="1"/>
  <c r="Q776" i="1"/>
  <c r="P776" i="1"/>
  <c r="O776" i="1"/>
  <c r="N776" i="1"/>
  <c r="S775" i="1"/>
  <c r="R775" i="1"/>
  <c r="Q775" i="1"/>
  <c r="P775" i="1"/>
  <c r="O775" i="1"/>
  <c r="N775" i="1"/>
  <c r="S774" i="1"/>
  <c r="R774" i="1"/>
  <c r="Q774" i="1"/>
  <c r="P774" i="1"/>
  <c r="O774" i="1"/>
  <c r="N774" i="1"/>
  <c r="S773" i="1"/>
  <c r="R773" i="1"/>
  <c r="Q773" i="1"/>
  <c r="P773" i="1"/>
  <c r="O773" i="1"/>
  <c r="N773" i="1"/>
  <c r="S772" i="1"/>
  <c r="R772" i="1"/>
  <c r="Q772" i="1"/>
  <c r="P772" i="1"/>
  <c r="O772" i="1"/>
  <c r="N772" i="1"/>
  <c r="S771" i="1"/>
  <c r="R771" i="1"/>
  <c r="Q771" i="1"/>
  <c r="P771" i="1"/>
  <c r="O771" i="1"/>
  <c r="N771" i="1"/>
  <c r="S770" i="1"/>
  <c r="R770" i="1"/>
  <c r="Q770" i="1"/>
  <c r="P770" i="1"/>
  <c r="O770" i="1"/>
  <c r="N770" i="1"/>
  <c r="S769" i="1"/>
  <c r="R769" i="1"/>
  <c r="Q769" i="1"/>
  <c r="P769" i="1"/>
  <c r="O769" i="1"/>
  <c r="N769" i="1"/>
  <c r="S768" i="1"/>
  <c r="R768" i="1"/>
  <c r="Q768" i="1"/>
  <c r="P768" i="1"/>
  <c r="O768" i="1"/>
  <c r="N768" i="1"/>
  <c r="S767" i="1"/>
  <c r="R767" i="1"/>
  <c r="Q767" i="1"/>
  <c r="P767" i="1"/>
  <c r="O767" i="1"/>
  <c r="N767" i="1"/>
  <c r="S766" i="1"/>
  <c r="R766" i="1"/>
  <c r="Q766" i="1"/>
  <c r="P766" i="1"/>
  <c r="O766" i="1"/>
  <c r="N766" i="1"/>
  <c r="S765" i="1"/>
  <c r="R765" i="1"/>
  <c r="Q765" i="1"/>
  <c r="P765" i="1"/>
  <c r="O765" i="1"/>
  <c r="N765" i="1"/>
  <c r="S764" i="1"/>
  <c r="R764" i="1"/>
  <c r="Q764" i="1"/>
  <c r="P764" i="1"/>
  <c r="O764" i="1"/>
  <c r="N764" i="1"/>
  <c r="S763" i="1"/>
  <c r="R763" i="1"/>
  <c r="Q763" i="1"/>
  <c r="P763" i="1"/>
  <c r="O763" i="1"/>
  <c r="N763" i="1"/>
  <c r="S762" i="1"/>
  <c r="R762" i="1"/>
  <c r="Q762" i="1"/>
  <c r="P762" i="1"/>
  <c r="O762" i="1"/>
  <c r="N762" i="1"/>
  <c r="S761" i="1"/>
  <c r="R761" i="1"/>
  <c r="Q761" i="1"/>
  <c r="P761" i="1"/>
  <c r="O761" i="1"/>
  <c r="N761" i="1"/>
  <c r="S760" i="1"/>
  <c r="R760" i="1"/>
  <c r="Q760" i="1"/>
  <c r="P760" i="1"/>
  <c r="O760" i="1"/>
  <c r="N760" i="1"/>
  <c r="S759" i="1"/>
  <c r="R759" i="1"/>
  <c r="Q759" i="1"/>
  <c r="P759" i="1"/>
  <c r="O759" i="1"/>
  <c r="N759" i="1"/>
  <c r="S758" i="1"/>
  <c r="R758" i="1"/>
  <c r="Q758" i="1"/>
  <c r="P758" i="1"/>
  <c r="O758" i="1"/>
  <c r="N758" i="1"/>
  <c r="S757" i="1"/>
  <c r="R757" i="1"/>
  <c r="Q757" i="1"/>
  <c r="P757" i="1"/>
  <c r="O757" i="1"/>
  <c r="N757" i="1"/>
  <c r="S756" i="1"/>
  <c r="R756" i="1"/>
  <c r="Q756" i="1"/>
  <c r="P756" i="1"/>
  <c r="O756" i="1"/>
  <c r="N756" i="1"/>
  <c r="S755" i="1"/>
  <c r="R755" i="1"/>
  <c r="Q755" i="1"/>
  <c r="P755" i="1"/>
  <c r="O755" i="1"/>
  <c r="N755" i="1"/>
  <c r="S754" i="1"/>
  <c r="R754" i="1"/>
  <c r="Q754" i="1"/>
  <c r="P754" i="1"/>
  <c r="O754" i="1"/>
  <c r="N754" i="1"/>
  <c r="S753" i="1"/>
  <c r="R753" i="1"/>
  <c r="Q753" i="1"/>
  <c r="P753" i="1"/>
  <c r="O753" i="1"/>
  <c r="N753" i="1"/>
  <c r="S752" i="1"/>
  <c r="R752" i="1"/>
  <c r="Q752" i="1"/>
  <c r="P752" i="1"/>
  <c r="O752" i="1"/>
  <c r="N752" i="1"/>
  <c r="S751" i="1"/>
  <c r="R751" i="1"/>
  <c r="Q751" i="1"/>
  <c r="P751" i="1"/>
  <c r="O751" i="1"/>
  <c r="N751" i="1"/>
  <c r="S750" i="1"/>
  <c r="R750" i="1"/>
  <c r="Q750" i="1"/>
  <c r="P750" i="1"/>
  <c r="O750" i="1"/>
  <c r="N750" i="1"/>
  <c r="S749" i="1"/>
  <c r="R749" i="1"/>
  <c r="Q749" i="1"/>
  <c r="P749" i="1"/>
  <c r="O749" i="1"/>
  <c r="N749" i="1"/>
  <c r="S748" i="1"/>
  <c r="R748" i="1"/>
  <c r="Q748" i="1"/>
  <c r="P748" i="1"/>
  <c r="O748" i="1"/>
  <c r="N748" i="1"/>
  <c r="S747" i="1"/>
  <c r="R747" i="1"/>
  <c r="Q747" i="1"/>
  <c r="P747" i="1"/>
  <c r="O747" i="1"/>
  <c r="N747" i="1"/>
  <c r="S746" i="1"/>
  <c r="R746" i="1"/>
  <c r="Q746" i="1"/>
  <c r="P746" i="1"/>
  <c r="O746" i="1"/>
  <c r="N746" i="1"/>
  <c r="S745" i="1"/>
  <c r="R745" i="1"/>
  <c r="Q745" i="1"/>
  <c r="P745" i="1"/>
  <c r="O745" i="1"/>
  <c r="N745" i="1"/>
  <c r="S744" i="1"/>
  <c r="R744" i="1"/>
  <c r="Q744" i="1"/>
  <c r="P744" i="1"/>
  <c r="O744" i="1"/>
  <c r="N744" i="1"/>
  <c r="S743" i="1"/>
  <c r="R743" i="1"/>
  <c r="Q743" i="1"/>
  <c r="P743" i="1"/>
  <c r="O743" i="1"/>
  <c r="N743" i="1"/>
  <c r="S742" i="1"/>
  <c r="R742" i="1"/>
  <c r="Q742" i="1"/>
  <c r="P742" i="1"/>
  <c r="O742" i="1"/>
  <c r="N742" i="1"/>
  <c r="S741" i="1"/>
  <c r="R741" i="1"/>
  <c r="Q741" i="1"/>
  <c r="P741" i="1"/>
  <c r="O741" i="1"/>
  <c r="N741" i="1"/>
  <c r="S740" i="1"/>
  <c r="R740" i="1"/>
  <c r="Q740" i="1"/>
  <c r="P740" i="1"/>
  <c r="O740" i="1"/>
  <c r="N740" i="1"/>
  <c r="S739" i="1"/>
  <c r="R739" i="1"/>
  <c r="Q739" i="1"/>
  <c r="P739" i="1"/>
  <c r="O739" i="1"/>
  <c r="N739" i="1"/>
  <c r="S738" i="1"/>
  <c r="R738" i="1"/>
  <c r="Q738" i="1"/>
  <c r="P738" i="1"/>
  <c r="O738" i="1"/>
  <c r="N738" i="1"/>
  <c r="S737" i="1"/>
  <c r="R737" i="1"/>
  <c r="Q737" i="1"/>
  <c r="P737" i="1"/>
  <c r="O737" i="1"/>
  <c r="N737" i="1"/>
  <c r="S736" i="1"/>
  <c r="R736" i="1"/>
  <c r="Q736" i="1"/>
  <c r="P736" i="1"/>
  <c r="O736" i="1"/>
  <c r="N736" i="1"/>
  <c r="S735" i="1"/>
  <c r="R735" i="1"/>
  <c r="Q735" i="1"/>
  <c r="P735" i="1"/>
  <c r="O735" i="1"/>
  <c r="N735" i="1"/>
  <c r="S734" i="1"/>
  <c r="R734" i="1"/>
  <c r="Q734" i="1"/>
  <c r="P734" i="1"/>
  <c r="O734" i="1"/>
  <c r="N734" i="1"/>
  <c r="S733" i="1"/>
  <c r="R733" i="1"/>
  <c r="Q733" i="1"/>
  <c r="P733" i="1"/>
  <c r="O733" i="1"/>
  <c r="N733" i="1"/>
  <c r="S732" i="1"/>
  <c r="R732" i="1"/>
  <c r="Q732" i="1"/>
  <c r="P732" i="1"/>
  <c r="O732" i="1"/>
  <c r="N732" i="1"/>
  <c r="S731" i="1"/>
  <c r="R731" i="1"/>
  <c r="Q731" i="1"/>
  <c r="P731" i="1"/>
  <c r="O731" i="1"/>
  <c r="N731" i="1"/>
  <c r="S730" i="1"/>
  <c r="R730" i="1"/>
  <c r="Q730" i="1"/>
  <c r="P730" i="1"/>
  <c r="O730" i="1"/>
  <c r="N730" i="1"/>
  <c r="S729" i="1"/>
  <c r="R729" i="1"/>
  <c r="Q729" i="1"/>
  <c r="P729" i="1"/>
  <c r="O729" i="1"/>
  <c r="N729" i="1"/>
  <c r="S728" i="1"/>
  <c r="R728" i="1"/>
  <c r="Q728" i="1"/>
  <c r="P728" i="1"/>
  <c r="O728" i="1"/>
  <c r="N728" i="1"/>
  <c r="S727" i="1"/>
  <c r="R727" i="1"/>
  <c r="Q727" i="1"/>
  <c r="P727" i="1"/>
  <c r="O727" i="1"/>
  <c r="N727" i="1"/>
  <c r="S726" i="1"/>
  <c r="R726" i="1"/>
  <c r="Q726" i="1"/>
  <c r="P726" i="1"/>
  <c r="O726" i="1"/>
  <c r="N726" i="1"/>
  <c r="S725" i="1"/>
  <c r="R725" i="1"/>
  <c r="Q725" i="1"/>
  <c r="P725" i="1"/>
  <c r="O725" i="1"/>
  <c r="N725" i="1"/>
  <c r="S724" i="1"/>
  <c r="R724" i="1"/>
  <c r="Q724" i="1"/>
  <c r="P724" i="1"/>
  <c r="O724" i="1"/>
  <c r="N724" i="1"/>
  <c r="S723" i="1"/>
  <c r="R723" i="1"/>
  <c r="Q723" i="1"/>
  <c r="P723" i="1"/>
  <c r="O723" i="1"/>
  <c r="N723" i="1"/>
  <c r="S722" i="1"/>
  <c r="R722" i="1"/>
  <c r="Q722" i="1"/>
  <c r="P722" i="1"/>
  <c r="O722" i="1"/>
  <c r="N722" i="1"/>
  <c r="S721" i="1"/>
  <c r="R721" i="1"/>
  <c r="Q721" i="1"/>
  <c r="P721" i="1"/>
  <c r="O721" i="1"/>
  <c r="N721" i="1"/>
  <c r="S720" i="1"/>
  <c r="R720" i="1"/>
  <c r="Q720" i="1"/>
  <c r="P720" i="1"/>
  <c r="O720" i="1"/>
  <c r="N720" i="1"/>
  <c r="S719" i="1"/>
  <c r="R719" i="1"/>
  <c r="Q719" i="1"/>
  <c r="P719" i="1"/>
  <c r="O719" i="1"/>
  <c r="N719" i="1"/>
  <c r="S718" i="1"/>
  <c r="R718" i="1"/>
  <c r="Q718" i="1"/>
  <c r="P718" i="1"/>
  <c r="O718" i="1"/>
  <c r="N718" i="1"/>
  <c r="S717" i="1"/>
  <c r="R717" i="1"/>
  <c r="Q717" i="1"/>
  <c r="P717" i="1"/>
  <c r="O717" i="1"/>
  <c r="N717" i="1"/>
  <c r="S716" i="1"/>
  <c r="R716" i="1"/>
  <c r="Q716" i="1"/>
  <c r="P716" i="1"/>
  <c r="O716" i="1"/>
  <c r="N716" i="1"/>
  <c r="S715" i="1"/>
  <c r="R715" i="1"/>
  <c r="Q715" i="1"/>
  <c r="P715" i="1"/>
  <c r="O715" i="1"/>
  <c r="N715" i="1"/>
  <c r="S714" i="1"/>
  <c r="R714" i="1"/>
  <c r="Q714" i="1"/>
  <c r="P714" i="1"/>
  <c r="O714" i="1"/>
  <c r="N714" i="1"/>
  <c r="S713" i="1"/>
  <c r="R713" i="1"/>
  <c r="Q713" i="1"/>
  <c r="P713" i="1"/>
  <c r="O713" i="1"/>
  <c r="N713" i="1"/>
  <c r="S712" i="1"/>
  <c r="R712" i="1"/>
  <c r="Q712" i="1"/>
  <c r="P712" i="1"/>
  <c r="O712" i="1"/>
  <c r="N712" i="1"/>
  <c r="S711" i="1"/>
  <c r="R711" i="1"/>
  <c r="Q711" i="1"/>
  <c r="P711" i="1"/>
  <c r="O711" i="1"/>
  <c r="N711" i="1"/>
  <c r="S710" i="1"/>
  <c r="R710" i="1"/>
  <c r="Q710" i="1"/>
  <c r="P710" i="1"/>
  <c r="O710" i="1"/>
  <c r="N710" i="1"/>
  <c r="S709" i="1"/>
  <c r="R709" i="1"/>
  <c r="Q709" i="1"/>
  <c r="P709" i="1"/>
  <c r="O709" i="1"/>
  <c r="N709" i="1"/>
  <c r="S708" i="1"/>
  <c r="R708" i="1"/>
  <c r="Q708" i="1"/>
  <c r="P708" i="1"/>
  <c r="O708" i="1"/>
  <c r="N708" i="1"/>
  <c r="S707" i="1"/>
  <c r="R707" i="1"/>
  <c r="Q707" i="1"/>
  <c r="P707" i="1"/>
  <c r="O707" i="1"/>
  <c r="N707" i="1"/>
  <c r="S706" i="1"/>
  <c r="R706" i="1"/>
  <c r="Q706" i="1"/>
  <c r="P706" i="1"/>
  <c r="O706" i="1"/>
  <c r="N706" i="1"/>
  <c r="S705" i="1"/>
  <c r="R705" i="1"/>
  <c r="Q705" i="1"/>
  <c r="P705" i="1"/>
  <c r="O705" i="1"/>
  <c r="N705" i="1"/>
  <c r="S704" i="1"/>
  <c r="R704" i="1"/>
  <c r="Q704" i="1"/>
  <c r="P704" i="1"/>
  <c r="O704" i="1"/>
  <c r="N704" i="1"/>
  <c r="S703" i="1"/>
  <c r="R703" i="1"/>
  <c r="Q703" i="1"/>
  <c r="P703" i="1"/>
  <c r="O703" i="1"/>
  <c r="N703" i="1"/>
  <c r="S702" i="1"/>
  <c r="R702" i="1"/>
  <c r="Q702" i="1"/>
  <c r="P702" i="1"/>
  <c r="O702" i="1"/>
  <c r="N702" i="1"/>
  <c r="S701" i="1"/>
  <c r="R701" i="1"/>
  <c r="Q701" i="1"/>
  <c r="P701" i="1"/>
  <c r="O701" i="1"/>
  <c r="N701" i="1"/>
  <c r="S700" i="1"/>
  <c r="R700" i="1"/>
  <c r="Q700" i="1"/>
  <c r="P700" i="1"/>
  <c r="O700" i="1"/>
  <c r="N700" i="1"/>
  <c r="S699" i="1"/>
  <c r="R699" i="1"/>
  <c r="Q699" i="1"/>
  <c r="P699" i="1"/>
  <c r="O699" i="1"/>
  <c r="N699" i="1"/>
  <c r="S698" i="1"/>
  <c r="R698" i="1"/>
  <c r="Q698" i="1"/>
  <c r="P698" i="1"/>
  <c r="O698" i="1"/>
  <c r="N698" i="1"/>
  <c r="S697" i="1"/>
  <c r="R697" i="1"/>
  <c r="Q697" i="1"/>
  <c r="P697" i="1"/>
  <c r="O697" i="1"/>
  <c r="N697" i="1"/>
  <c r="S696" i="1"/>
  <c r="R696" i="1"/>
  <c r="Q696" i="1"/>
  <c r="P696" i="1"/>
  <c r="O696" i="1"/>
  <c r="N696" i="1"/>
  <c r="S695" i="1"/>
  <c r="R695" i="1"/>
  <c r="Q695" i="1"/>
  <c r="P695" i="1"/>
  <c r="O695" i="1"/>
  <c r="N695" i="1"/>
  <c r="S694" i="1"/>
  <c r="R694" i="1"/>
  <c r="Q694" i="1"/>
  <c r="P694" i="1"/>
  <c r="O694" i="1"/>
  <c r="N694" i="1"/>
  <c r="S693" i="1"/>
  <c r="R693" i="1"/>
  <c r="Q693" i="1"/>
  <c r="P693" i="1"/>
  <c r="O693" i="1"/>
  <c r="N693" i="1"/>
  <c r="S692" i="1"/>
  <c r="R692" i="1"/>
  <c r="Q692" i="1"/>
  <c r="P692" i="1"/>
  <c r="O692" i="1"/>
  <c r="N692" i="1"/>
  <c r="S691" i="1"/>
  <c r="R691" i="1"/>
  <c r="Q691" i="1"/>
  <c r="P691" i="1"/>
  <c r="O691" i="1"/>
  <c r="N691" i="1"/>
  <c r="S690" i="1"/>
  <c r="R690" i="1"/>
  <c r="Q690" i="1"/>
  <c r="P690" i="1"/>
  <c r="O690" i="1"/>
  <c r="N690" i="1"/>
  <c r="S689" i="1"/>
  <c r="R689" i="1"/>
  <c r="Q689" i="1"/>
  <c r="P689" i="1"/>
  <c r="O689" i="1"/>
  <c r="N689" i="1"/>
  <c r="S688" i="1"/>
  <c r="R688" i="1"/>
  <c r="Q688" i="1"/>
  <c r="P688" i="1"/>
  <c r="O688" i="1"/>
  <c r="N688" i="1"/>
  <c r="S687" i="1"/>
  <c r="R687" i="1"/>
  <c r="Q687" i="1"/>
  <c r="P687" i="1"/>
  <c r="O687" i="1"/>
  <c r="N687" i="1"/>
  <c r="S686" i="1"/>
  <c r="R686" i="1"/>
  <c r="Q686" i="1"/>
  <c r="P686" i="1"/>
  <c r="O686" i="1"/>
  <c r="N686" i="1"/>
  <c r="S685" i="1"/>
  <c r="R685" i="1"/>
  <c r="Q685" i="1"/>
  <c r="P685" i="1"/>
  <c r="O685" i="1"/>
  <c r="N685" i="1"/>
  <c r="S684" i="1"/>
  <c r="R684" i="1"/>
  <c r="Q684" i="1"/>
  <c r="P684" i="1"/>
  <c r="O684" i="1"/>
  <c r="N684" i="1"/>
  <c r="S683" i="1"/>
  <c r="R683" i="1"/>
  <c r="Q683" i="1"/>
  <c r="P683" i="1"/>
  <c r="O683" i="1"/>
  <c r="N683" i="1"/>
  <c r="S682" i="1"/>
  <c r="R682" i="1"/>
  <c r="Q682" i="1"/>
  <c r="P682" i="1"/>
  <c r="O682" i="1"/>
  <c r="N682" i="1"/>
  <c r="S681" i="1"/>
  <c r="R681" i="1"/>
  <c r="Q681" i="1"/>
  <c r="P681" i="1"/>
  <c r="O681" i="1"/>
  <c r="N681" i="1"/>
  <c r="S680" i="1"/>
  <c r="R680" i="1"/>
  <c r="Q680" i="1"/>
  <c r="P680" i="1"/>
  <c r="O680" i="1"/>
  <c r="N680" i="1"/>
  <c r="S679" i="1"/>
  <c r="R679" i="1"/>
  <c r="Q679" i="1"/>
  <c r="P679" i="1"/>
  <c r="O679" i="1"/>
  <c r="N679" i="1"/>
  <c r="S678" i="1"/>
  <c r="R678" i="1"/>
  <c r="Q678" i="1"/>
  <c r="P678" i="1"/>
  <c r="O678" i="1"/>
  <c r="N678" i="1"/>
  <c r="S677" i="1"/>
  <c r="R677" i="1"/>
  <c r="Q677" i="1"/>
  <c r="P677" i="1"/>
  <c r="O677" i="1"/>
  <c r="N677" i="1"/>
  <c r="S676" i="1"/>
  <c r="R676" i="1"/>
  <c r="Q676" i="1"/>
  <c r="P676" i="1"/>
  <c r="O676" i="1"/>
  <c r="N676" i="1"/>
  <c r="S675" i="1"/>
  <c r="R675" i="1"/>
  <c r="Q675" i="1"/>
  <c r="P675" i="1"/>
  <c r="O675" i="1"/>
  <c r="N675" i="1"/>
  <c r="S674" i="1"/>
  <c r="R674" i="1"/>
  <c r="Q674" i="1"/>
  <c r="P674" i="1"/>
  <c r="O674" i="1"/>
  <c r="N674" i="1"/>
  <c r="S673" i="1"/>
  <c r="R673" i="1"/>
  <c r="Q673" i="1"/>
  <c r="P673" i="1"/>
  <c r="O673" i="1"/>
  <c r="N673" i="1"/>
  <c r="S672" i="1"/>
  <c r="R672" i="1"/>
  <c r="Q672" i="1"/>
  <c r="P672" i="1"/>
  <c r="O672" i="1"/>
  <c r="N672" i="1"/>
  <c r="S671" i="1"/>
  <c r="R671" i="1"/>
  <c r="Q671" i="1"/>
  <c r="P671" i="1"/>
  <c r="O671" i="1"/>
  <c r="N671" i="1"/>
  <c r="S670" i="1"/>
  <c r="R670" i="1"/>
  <c r="Q670" i="1"/>
  <c r="P670" i="1"/>
  <c r="O670" i="1"/>
  <c r="N670" i="1"/>
  <c r="S669" i="1"/>
  <c r="R669" i="1"/>
  <c r="Q669" i="1"/>
  <c r="P669" i="1"/>
  <c r="O669" i="1"/>
  <c r="N669" i="1"/>
  <c r="S668" i="1"/>
  <c r="R668" i="1"/>
  <c r="Q668" i="1"/>
  <c r="P668" i="1"/>
  <c r="O668" i="1"/>
  <c r="N668" i="1"/>
  <c r="S667" i="1"/>
  <c r="R667" i="1"/>
  <c r="Q667" i="1"/>
  <c r="P667" i="1"/>
  <c r="O667" i="1"/>
  <c r="N667" i="1"/>
  <c r="S666" i="1"/>
  <c r="R666" i="1"/>
  <c r="Q666" i="1"/>
  <c r="P666" i="1"/>
  <c r="O666" i="1"/>
  <c r="N666" i="1"/>
  <c r="S665" i="1"/>
  <c r="R665" i="1"/>
  <c r="Q665" i="1"/>
  <c r="P665" i="1"/>
  <c r="O665" i="1"/>
  <c r="N665" i="1"/>
  <c r="S664" i="1"/>
  <c r="R664" i="1"/>
  <c r="Q664" i="1"/>
  <c r="P664" i="1"/>
  <c r="O664" i="1"/>
  <c r="N664" i="1"/>
  <c r="S663" i="1"/>
  <c r="R663" i="1"/>
  <c r="Q663" i="1"/>
  <c r="P663" i="1"/>
  <c r="O663" i="1"/>
  <c r="N663" i="1"/>
  <c r="S662" i="1"/>
  <c r="R662" i="1"/>
  <c r="Q662" i="1"/>
  <c r="P662" i="1"/>
  <c r="O662" i="1"/>
  <c r="N662" i="1"/>
  <c r="S661" i="1"/>
  <c r="R661" i="1"/>
  <c r="Q661" i="1"/>
  <c r="P661" i="1"/>
  <c r="O661" i="1"/>
  <c r="N661" i="1"/>
  <c r="S660" i="1"/>
  <c r="R660" i="1"/>
  <c r="Q660" i="1"/>
  <c r="P660" i="1"/>
  <c r="O660" i="1"/>
  <c r="N660" i="1"/>
  <c r="S659" i="1"/>
  <c r="R659" i="1"/>
  <c r="Q659" i="1"/>
  <c r="P659" i="1"/>
  <c r="O659" i="1"/>
  <c r="N659" i="1"/>
  <c r="S658" i="1"/>
  <c r="R658" i="1"/>
  <c r="Q658" i="1"/>
  <c r="P658" i="1"/>
  <c r="O658" i="1"/>
  <c r="N658" i="1"/>
  <c r="S657" i="1"/>
  <c r="R657" i="1"/>
  <c r="Q657" i="1"/>
  <c r="P657" i="1"/>
  <c r="O657" i="1"/>
  <c r="N657" i="1"/>
  <c r="S656" i="1"/>
  <c r="R656" i="1"/>
  <c r="Q656" i="1"/>
  <c r="P656" i="1"/>
  <c r="O656" i="1"/>
  <c r="N656" i="1"/>
  <c r="S655" i="1"/>
  <c r="R655" i="1"/>
  <c r="Q655" i="1"/>
  <c r="P655" i="1"/>
  <c r="O655" i="1"/>
  <c r="N655" i="1"/>
  <c r="S654" i="1"/>
  <c r="R654" i="1"/>
  <c r="Q654" i="1"/>
  <c r="P654" i="1"/>
  <c r="O654" i="1"/>
  <c r="N654" i="1"/>
  <c r="S653" i="1"/>
  <c r="R653" i="1"/>
  <c r="Q653" i="1"/>
  <c r="P653" i="1"/>
  <c r="O653" i="1"/>
  <c r="N653" i="1"/>
  <c r="S652" i="1"/>
  <c r="R652" i="1"/>
  <c r="Q652" i="1"/>
  <c r="P652" i="1"/>
  <c r="O652" i="1"/>
  <c r="N652" i="1"/>
  <c r="S651" i="1"/>
  <c r="R651" i="1"/>
  <c r="Q651" i="1"/>
  <c r="P651" i="1"/>
  <c r="O651" i="1"/>
  <c r="N651" i="1"/>
  <c r="S650" i="1"/>
  <c r="R650" i="1"/>
  <c r="Q650" i="1"/>
  <c r="P650" i="1"/>
  <c r="O650" i="1"/>
  <c r="N650" i="1"/>
  <c r="S649" i="1"/>
  <c r="R649" i="1"/>
  <c r="Q649" i="1"/>
  <c r="P649" i="1"/>
  <c r="O649" i="1"/>
  <c r="N649" i="1"/>
  <c r="S648" i="1"/>
  <c r="R648" i="1"/>
  <c r="Q648" i="1"/>
  <c r="P648" i="1"/>
  <c r="O648" i="1"/>
  <c r="N648" i="1"/>
  <c r="S647" i="1"/>
  <c r="R647" i="1"/>
  <c r="Q647" i="1"/>
  <c r="P647" i="1"/>
  <c r="O647" i="1"/>
  <c r="N647" i="1"/>
  <c r="S646" i="1"/>
  <c r="R646" i="1"/>
  <c r="Q646" i="1"/>
  <c r="P646" i="1"/>
  <c r="O646" i="1"/>
  <c r="N646" i="1"/>
  <c r="S645" i="1"/>
  <c r="R645" i="1"/>
  <c r="Q645" i="1"/>
  <c r="P645" i="1"/>
  <c r="O645" i="1"/>
  <c r="N645" i="1"/>
  <c r="S644" i="1"/>
  <c r="R644" i="1"/>
  <c r="Q644" i="1"/>
  <c r="P644" i="1"/>
  <c r="O644" i="1"/>
  <c r="N644" i="1"/>
  <c r="S643" i="1"/>
  <c r="R643" i="1"/>
  <c r="Q643" i="1"/>
  <c r="P643" i="1"/>
  <c r="O643" i="1"/>
  <c r="N643" i="1"/>
  <c r="S642" i="1"/>
  <c r="R642" i="1"/>
  <c r="Q642" i="1"/>
  <c r="P642" i="1"/>
  <c r="O642" i="1"/>
  <c r="N642" i="1"/>
  <c r="S641" i="1"/>
  <c r="R641" i="1"/>
  <c r="Q641" i="1"/>
  <c r="P641" i="1"/>
  <c r="O641" i="1"/>
  <c r="N641" i="1"/>
  <c r="S640" i="1"/>
  <c r="R640" i="1"/>
  <c r="Q640" i="1"/>
  <c r="P640" i="1"/>
  <c r="O640" i="1"/>
  <c r="N640" i="1"/>
  <c r="S639" i="1"/>
  <c r="R639" i="1"/>
  <c r="Q639" i="1"/>
  <c r="P639" i="1"/>
  <c r="O639" i="1"/>
  <c r="N639" i="1"/>
  <c r="S638" i="1"/>
  <c r="R638" i="1"/>
  <c r="Q638" i="1"/>
  <c r="P638" i="1"/>
  <c r="O638" i="1"/>
  <c r="N638" i="1"/>
  <c r="S637" i="1"/>
  <c r="R637" i="1"/>
  <c r="Q637" i="1"/>
  <c r="P637" i="1"/>
  <c r="O637" i="1"/>
  <c r="N637" i="1"/>
  <c r="S636" i="1"/>
  <c r="R636" i="1"/>
  <c r="Q636" i="1"/>
  <c r="P636" i="1"/>
  <c r="O636" i="1"/>
  <c r="N636" i="1"/>
  <c r="S635" i="1"/>
  <c r="R635" i="1"/>
  <c r="Q635" i="1"/>
  <c r="P635" i="1"/>
  <c r="O635" i="1"/>
  <c r="N635" i="1"/>
  <c r="S634" i="1"/>
  <c r="R634" i="1"/>
  <c r="Q634" i="1"/>
  <c r="P634" i="1"/>
  <c r="O634" i="1"/>
  <c r="N634" i="1"/>
  <c r="S633" i="1"/>
  <c r="R633" i="1"/>
  <c r="Q633" i="1"/>
  <c r="P633" i="1"/>
  <c r="O633" i="1"/>
  <c r="N633" i="1"/>
  <c r="S632" i="1"/>
  <c r="R632" i="1"/>
  <c r="Q632" i="1"/>
  <c r="P632" i="1"/>
  <c r="O632" i="1"/>
  <c r="N632" i="1"/>
  <c r="S631" i="1"/>
  <c r="R631" i="1"/>
  <c r="Q631" i="1"/>
  <c r="P631" i="1"/>
  <c r="O631" i="1"/>
  <c r="N631" i="1"/>
  <c r="S630" i="1"/>
  <c r="R630" i="1"/>
  <c r="Q630" i="1"/>
  <c r="P630" i="1"/>
  <c r="O630" i="1"/>
  <c r="N630" i="1"/>
  <c r="S629" i="1"/>
  <c r="R629" i="1"/>
  <c r="Q629" i="1"/>
  <c r="P629" i="1"/>
  <c r="O629" i="1"/>
  <c r="N629" i="1"/>
  <c r="S628" i="1"/>
  <c r="R628" i="1"/>
  <c r="Q628" i="1"/>
  <c r="P628" i="1"/>
  <c r="O628" i="1"/>
  <c r="N628" i="1"/>
  <c r="S627" i="1"/>
  <c r="R627" i="1"/>
  <c r="Q627" i="1"/>
  <c r="P627" i="1"/>
  <c r="O627" i="1"/>
  <c r="N627" i="1"/>
  <c r="S626" i="1"/>
  <c r="R626" i="1"/>
  <c r="Q626" i="1"/>
  <c r="P626" i="1"/>
  <c r="O626" i="1"/>
  <c r="N626" i="1"/>
  <c r="S625" i="1"/>
  <c r="R625" i="1"/>
  <c r="Q625" i="1"/>
  <c r="P625" i="1"/>
  <c r="O625" i="1"/>
  <c r="N625" i="1"/>
  <c r="S624" i="1"/>
  <c r="R624" i="1"/>
  <c r="Q624" i="1"/>
  <c r="P624" i="1"/>
  <c r="O624" i="1"/>
  <c r="N624" i="1"/>
  <c r="S623" i="1"/>
  <c r="R623" i="1"/>
  <c r="Q623" i="1"/>
  <c r="P623" i="1"/>
  <c r="O623" i="1"/>
  <c r="N623" i="1"/>
  <c r="S622" i="1"/>
  <c r="R622" i="1"/>
  <c r="Q622" i="1"/>
  <c r="P622" i="1"/>
  <c r="O622" i="1"/>
  <c r="N622" i="1"/>
  <c r="S621" i="1"/>
  <c r="R621" i="1"/>
  <c r="Q621" i="1"/>
  <c r="P621" i="1"/>
  <c r="O621" i="1"/>
  <c r="N621" i="1"/>
  <c r="S620" i="1"/>
  <c r="R620" i="1"/>
  <c r="Q620" i="1"/>
  <c r="P620" i="1"/>
  <c r="O620" i="1"/>
  <c r="N620" i="1"/>
  <c r="S619" i="1"/>
  <c r="R619" i="1"/>
  <c r="Q619" i="1"/>
  <c r="P619" i="1"/>
  <c r="O619" i="1"/>
  <c r="N619" i="1"/>
  <c r="S618" i="1"/>
  <c r="R618" i="1"/>
  <c r="Q618" i="1"/>
  <c r="P618" i="1"/>
  <c r="O618" i="1"/>
  <c r="N618" i="1"/>
  <c r="S617" i="1"/>
  <c r="R617" i="1"/>
  <c r="Q617" i="1"/>
  <c r="P617" i="1"/>
  <c r="O617" i="1"/>
  <c r="N617" i="1"/>
  <c r="S616" i="1"/>
  <c r="R616" i="1"/>
  <c r="Q616" i="1"/>
  <c r="P616" i="1"/>
  <c r="O616" i="1"/>
  <c r="N616" i="1"/>
  <c r="S615" i="1"/>
  <c r="R615" i="1"/>
  <c r="Q615" i="1"/>
  <c r="P615" i="1"/>
  <c r="O615" i="1"/>
  <c r="N615" i="1"/>
  <c r="S614" i="1"/>
  <c r="R614" i="1"/>
  <c r="Q614" i="1"/>
  <c r="P614" i="1"/>
  <c r="O614" i="1"/>
  <c r="N614" i="1"/>
  <c r="S613" i="1"/>
  <c r="R613" i="1"/>
  <c r="Q613" i="1"/>
  <c r="P613" i="1"/>
  <c r="O613" i="1"/>
  <c r="N613" i="1"/>
  <c r="S612" i="1"/>
  <c r="R612" i="1"/>
  <c r="Q612" i="1"/>
  <c r="P612" i="1"/>
  <c r="O612" i="1"/>
  <c r="N612" i="1"/>
  <c r="S611" i="1"/>
  <c r="R611" i="1"/>
  <c r="Q611" i="1"/>
  <c r="P611" i="1"/>
  <c r="O611" i="1"/>
  <c r="N611" i="1"/>
  <c r="S610" i="1"/>
  <c r="R610" i="1"/>
  <c r="Q610" i="1"/>
  <c r="P610" i="1"/>
  <c r="O610" i="1"/>
  <c r="N610" i="1"/>
  <c r="S609" i="1"/>
  <c r="R609" i="1"/>
  <c r="Q609" i="1"/>
  <c r="P609" i="1"/>
  <c r="O609" i="1"/>
  <c r="N609" i="1"/>
  <c r="S608" i="1"/>
  <c r="R608" i="1"/>
  <c r="Q608" i="1"/>
  <c r="P608" i="1"/>
  <c r="O608" i="1"/>
  <c r="N608" i="1"/>
  <c r="S607" i="1"/>
  <c r="R607" i="1"/>
  <c r="Q607" i="1"/>
  <c r="P607" i="1"/>
  <c r="O607" i="1"/>
  <c r="N607" i="1"/>
  <c r="S606" i="1"/>
  <c r="R606" i="1"/>
  <c r="Q606" i="1"/>
  <c r="P606" i="1"/>
  <c r="O606" i="1"/>
  <c r="N606" i="1"/>
  <c r="S605" i="1"/>
  <c r="R605" i="1"/>
  <c r="Q605" i="1"/>
  <c r="P605" i="1"/>
  <c r="O605" i="1"/>
  <c r="N605" i="1"/>
  <c r="S604" i="1"/>
  <c r="R604" i="1"/>
  <c r="Q604" i="1"/>
  <c r="P604" i="1"/>
  <c r="O604" i="1"/>
  <c r="N604" i="1"/>
  <c r="S603" i="1"/>
  <c r="R603" i="1"/>
  <c r="Q603" i="1"/>
  <c r="P603" i="1"/>
  <c r="O603" i="1"/>
  <c r="N603" i="1"/>
  <c r="S602" i="1"/>
  <c r="R602" i="1"/>
  <c r="Q602" i="1"/>
  <c r="P602" i="1"/>
  <c r="O602" i="1"/>
  <c r="N602" i="1"/>
  <c r="S601" i="1"/>
  <c r="R601" i="1"/>
  <c r="Q601" i="1"/>
  <c r="P601" i="1"/>
  <c r="O601" i="1"/>
  <c r="N601" i="1"/>
  <c r="S600" i="1"/>
  <c r="R600" i="1"/>
  <c r="Q600" i="1"/>
  <c r="P600" i="1"/>
  <c r="O600" i="1"/>
  <c r="N600" i="1"/>
  <c r="S599" i="1"/>
  <c r="R599" i="1"/>
  <c r="Q599" i="1"/>
  <c r="P599" i="1"/>
  <c r="O599" i="1"/>
  <c r="N599" i="1"/>
  <c r="S598" i="1"/>
  <c r="R598" i="1"/>
  <c r="Q598" i="1"/>
  <c r="P598" i="1"/>
  <c r="O598" i="1"/>
  <c r="N598" i="1"/>
  <c r="S597" i="1"/>
  <c r="R597" i="1"/>
  <c r="Q597" i="1"/>
  <c r="P597" i="1"/>
  <c r="O597" i="1"/>
  <c r="N597" i="1"/>
  <c r="S596" i="1"/>
  <c r="R596" i="1"/>
  <c r="Q596" i="1"/>
  <c r="P596" i="1"/>
  <c r="O596" i="1"/>
  <c r="N596" i="1"/>
  <c r="S595" i="1"/>
  <c r="R595" i="1"/>
  <c r="Q595" i="1"/>
  <c r="P595" i="1"/>
  <c r="O595" i="1"/>
  <c r="N595" i="1"/>
  <c r="S594" i="1"/>
  <c r="R594" i="1"/>
  <c r="Q594" i="1"/>
  <c r="P594" i="1"/>
  <c r="O594" i="1"/>
  <c r="N594" i="1"/>
  <c r="S593" i="1"/>
  <c r="R593" i="1"/>
  <c r="Q593" i="1"/>
  <c r="P593" i="1"/>
  <c r="O593" i="1"/>
  <c r="N593" i="1"/>
  <c r="S592" i="1"/>
  <c r="R592" i="1"/>
  <c r="Q592" i="1"/>
  <c r="P592" i="1"/>
  <c r="O592" i="1"/>
  <c r="N592" i="1"/>
  <c r="S591" i="1"/>
  <c r="R591" i="1"/>
  <c r="Q591" i="1"/>
  <c r="P591" i="1"/>
  <c r="O591" i="1"/>
  <c r="N591" i="1"/>
  <c r="S590" i="1"/>
  <c r="R590" i="1"/>
  <c r="Q590" i="1"/>
  <c r="P590" i="1"/>
  <c r="O590" i="1"/>
  <c r="N590" i="1"/>
  <c r="S589" i="1"/>
  <c r="R589" i="1"/>
  <c r="Q589" i="1"/>
  <c r="P589" i="1"/>
  <c r="O589" i="1"/>
  <c r="N589" i="1"/>
  <c r="S588" i="1"/>
  <c r="R588" i="1"/>
  <c r="Q588" i="1"/>
  <c r="P588" i="1"/>
  <c r="O588" i="1"/>
  <c r="N588" i="1"/>
  <c r="S587" i="1"/>
  <c r="R587" i="1"/>
  <c r="Q587" i="1"/>
  <c r="P587" i="1"/>
  <c r="O587" i="1"/>
  <c r="N587" i="1"/>
  <c r="S586" i="1"/>
  <c r="R586" i="1"/>
  <c r="Q586" i="1"/>
  <c r="P586" i="1"/>
  <c r="O586" i="1"/>
  <c r="N586" i="1"/>
  <c r="S585" i="1"/>
  <c r="R585" i="1"/>
  <c r="Q585" i="1"/>
  <c r="P585" i="1"/>
  <c r="O585" i="1"/>
  <c r="N585" i="1"/>
  <c r="S584" i="1"/>
  <c r="R584" i="1"/>
  <c r="Q584" i="1"/>
  <c r="P584" i="1"/>
  <c r="O584" i="1"/>
  <c r="N584" i="1"/>
  <c r="S583" i="1"/>
  <c r="R583" i="1"/>
  <c r="Q583" i="1"/>
  <c r="P583" i="1"/>
  <c r="O583" i="1"/>
  <c r="N583" i="1"/>
  <c r="S582" i="1"/>
  <c r="R582" i="1"/>
  <c r="Q582" i="1"/>
  <c r="P582" i="1"/>
  <c r="O582" i="1"/>
  <c r="N582" i="1"/>
  <c r="S581" i="1"/>
  <c r="R581" i="1"/>
  <c r="Q581" i="1"/>
  <c r="P581" i="1"/>
  <c r="O581" i="1"/>
  <c r="N581" i="1"/>
  <c r="S580" i="1"/>
  <c r="R580" i="1"/>
  <c r="Q580" i="1"/>
  <c r="P580" i="1"/>
  <c r="O580" i="1"/>
  <c r="N580" i="1"/>
  <c r="S579" i="1"/>
  <c r="R579" i="1"/>
  <c r="Q579" i="1"/>
  <c r="P579" i="1"/>
  <c r="O579" i="1"/>
  <c r="N579" i="1"/>
  <c r="S578" i="1"/>
  <c r="R578" i="1"/>
  <c r="Q578" i="1"/>
  <c r="P578" i="1"/>
  <c r="O578" i="1"/>
  <c r="N578" i="1"/>
  <c r="S577" i="1"/>
  <c r="R577" i="1"/>
  <c r="Q577" i="1"/>
  <c r="P577" i="1"/>
  <c r="O577" i="1"/>
  <c r="N577" i="1"/>
  <c r="S576" i="1"/>
  <c r="R576" i="1"/>
  <c r="Q576" i="1"/>
  <c r="P576" i="1"/>
  <c r="O576" i="1"/>
  <c r="N576" i="1"/>
  <c r="S575" i="1"/>
  <c r="R575" i="1"/>
  <c r="Q575" i="1"/>
  <c r="P575" i="1"/>
  <c r="O575" i="1"/>
  <c r="N575" i="1"/>
  <c r="S574" i="1"/>
  <c r="R574" i="1"/>
  <c r="Q574" i="1"/>
  <c r="P574" i="1"/>
  <c r="O574" i="1"/>
  <c r="N574" i="1"/>
  <c r="S573" i="1"/>
  <c r="R573" i="1"/>
  <c r="Q573" i="1"/>
  <c r="P573" i="1"/>
  <c r="O573" i="1"/>
  <c r="N573" i="1"/>
  <c r="S572" i="1"/>
  <c r="R572" i="1"/>
  <c r="Q572" i="1"/>
  <c r="P572" i="1"/>
  <c r="O572" i="1"/>
  <c r="N572" i="1"/>
  <c r="S571" i="1"/>
  <c r="R571" i="1"/>
  <c r="Q571" i="1"/>
  <c r="P571" i="1"/>
  <c r="O571" i="1"/>
  <c r="N571" i="1"/>
  <c r="S570" i="1"/>
  <c r="R570" i="1"/>
  <c r="Q570" i="1"/>
  <c r="P570" i="1"/>
  <c r="O570" i="1"/>
  <c r="N570" i="1"/>
  <c r="S569" i="1"/>
  <c r="R569" i="1"/>
  <c r="Q569" i="1"/>
  <c r="P569" i="1"/>
  <c r="O569" i="1"/>
  <c r="N569" i="1"/>
  <c r="S568" i="1"/>
  <c r="R568" i="1"/>
  <c r="Q568" i="1"/>
  <c r="P568" i="1"/>
  <c r="O568" i="1"/>
  <c r="N568" i="1"/>
  <c r="S567" i="1"/>
  <c r="R567" i="1"/>
  <c r="Q567" i="1"/>
  <c r="P567" i="1"/>
  <c r="O567" i="1"/>
  <c r="N567" i="1"/>
  <c r="S566" i="1"/>
  <c r="R566" i="1"/>
  <c r="Q566" i="1"/>
  <c r="P566" i="1"/>
  <c r="O566" i="1"/>
  <c r="N566" i="1"/>
  <c r="S565" i="1"/>
  <c r="R565" i="1"/>
  <c r="Q565" i="1"/>
  <c r="P565" i="1"/>
  <c r="O565" i="1"/>
  <c r="N565" i="1"/>
  <c r="S564" i="1"/>
  <c r="R564" i="1"/>
  <c r="Q564" i="1"/>
  <c r="P564" i="1"/>
  <c r="O564" i="1"/>
  <c r="N564" i="1"/>
  <c r="S563" i="1"/>
  <c r="R563" i="1"/>
  <c r="Q563" i="1"/>
  <c r="P563" i="1"/>
  <c r="O563" i="1"/>
  <c r="N563" i="1"/>
  <c r="S562" i="1"/>
  <c r="R562" i="1"/>
  <c r="Q562" i="1"/>
  <c r="P562" i="1"/>
  <c r="O562" i="1"/>
  <c r="N562" i="1"/>
  <c r="S561" i="1"/>
  <c r="R561" i="1"/>
  <c r="Q561" i="1"/>
  <c r="P561" i="1"/>
  <c r="O561" i="1"/>
  <c r="N561" i="1"/>
  <c r="S560" i="1"/>
  <c r="R560" i="1"/>
  <c r="Q560" i="1"/>
  <c r="P560" i="1"/>
  <c r="O560" i="1"/>
  <c r="N560" i="1"/>
  <c r="S559" i="1"/>
  <c r="R559" i="1"/>
  <c r="Q559" i="1"/>
  <c r="P559" i="1"/>
  <c r="O559" i="1"/>
  <c r="N559" i="1"/>
  <c r="S558" i="1"/>
  <c r="R558" i="1"/>
  <c r="Q558" i="1"/>
  <c r="P558" i="1"/>
  <c r="O558" i="1"/>
  <c r="N558" i="1"/>
  <c r="S557" i="1"/>
  <c r="R557" i="1"/>
  <c r="Q557" i="1"/>
  <c r="P557" i="1"/>
  <c r="O557" i="1"/>
  <c r="N557" i="1"/>
  <c r="S556" i="1"/>
  <c r="R556" i="1"/>
  <c r="Q556" i="1"/>
  <c r="P556" i="1"/>
  <c r="O556" i="1"/>
  <c r="N556" i="1"/>
  <c r="S555" i="1"/>
  <c r="R555" i="1"/>
  <c r="Q555" i="1"/>
  <c r="P555" i="1"/>
  <c r="O555" i="1"/>
  <c r="N555" i="1"/>
  <c r="S554" i="1"/>
  <c r="R554" i="1"/>
  <c r="Q554" i="1"/>
  <c r="P554" i="1"/>
  <c r="O554" i="1"/>
  <c r="N554" i="1"/>
  <c r="S553" i="1"/>
  <c r="R553" i="1"/>
  <c r="Q553" i="1"/>
  <c r="P553" i="1"/>
  <c r="O553" i="1"/>
  <c r="N553" i="1"/>
  <c r="S552" i="1"/>
  <c r="R552" i="1"/>
  <c r="Q552" i="1"/>
  <c r="P552" i="1"/>
  <c r="O552" i="1"/>
  <c r="N552" i="1"/>
  <c r="S551" i="1"/>
  <c r="R551" i="1"/>
  <c r="Q551" i="1"/>
  <c r="P551" i="1"/>
  <c r="O551" i="1"/>
  <c r="N551" i="1"/>
  <c r="S550" i="1"/>
  <c r="R550" i="1"/>
  <c r="Q550" i="1"/>
  <c r="P550" i="1"/>
  <c r="O550" i="1"/>
  <c r="N550" i="1"/>
  <c r="S549" i="1"/>
  <c r="R549" i="1"/>
  <c r="Q549" i="1"/>
  <c r="P549" i="1"/>
  <c r="O549" i="1"/>
  <c r="N549" i="1"/>
  <c r="S548" i="1"/>
  <c r="R548" i="1"/>
  <c r="Q548" i="1"/>
  <c r="P548" i="1"/>
  <c r="O548" i="1"/>
  <c r="N548" i="1"/>
  <c r="S547" i="1"/>
  <c r="R547" i="1"/>
  <c r="Q547" i="1"/>
  <c r="P547" i="1"/>
  <c r="O547" i="1"/>
  <c r="N547" i="1"/>
  <c r="S546" i="1"/>
  <c r="R546" i="1"/>
  <c r="Q546" i="1"/>
  <c r="P546" i="1"/>
  <c r="O546" i="1"/>
  <c r="N546" i="1"/>
  <c r="S545" i="1"/>
  <c r="R545" i="1"/>
  <c r="Q545" i="1"/>
  <c r="P545" i="1"/>
  <c r="O545" i="1"/>
  <c r="N545" i="1"/>
  <c r="S544" i="1"/>
  <c r="R544" i="1"/>
  <c r="Q544" i="1"/>
  <c r="P544" i="1"/>
  <c r="O544" i="1"/>
  <c r="N544" i="1"/>
  <c r="S543" i="1"/>
  <c r="R543" i="1"/>
  <c r="Q543" i="1"/>
  <c r="P543" i="1"/>
  <c r="O543" i="1"/>
  <c r="N543" i="1"/>
  <c r="S542" i="1"/>
  <c r="R542" i="1"/>
  <c r="Q542" i="1"/>
  <c r="P542" i="1"/>
  <c r="O542" i="1"/>
  <c r="N542" i="1"/>
  <c r="S541" i="1"/>
  <c r="R541" i="1"/>
  <c r="Q541" i="1"/>
  <c r="P541" i="1"/>
  <c r="O541" i="1"/>
  <c r="N541" i="1"/>
  <c r="S540" i="1"/>
  <c r="R540" i="1"/>
  <c r="Q540" i="1"/>
  <c r="P540" i="1"/>
  <c r="O540" i="1"/>
  <c r="N540" i="1"/>
  <c r="S539" i="1"/>
  <c r="R539" i="1"/>
  <c r="Q539" i="1"/>
  <c r="P539" i="1"/>
  <c r="O539" i="1"/>
  <c r="N539" i="1"/>
  <c r="S538" i="1"/>
  <c r="R538" i="1"/>
  <c r="Q538" i="1"/>
  <c r="P538" i="1"/>
  <c r="O538" i="1"/>
  <c r="N538" i="1"/>
  <c r="S537" i="1"/>
  <c r="R537" i="1"/>
  <c r="Q537" i="1"/>
  <c r="P537" i="1"/>
  <c r="O537" i="1"/>
  <c r="N537" i="1"/>
  <c r="S536" i="1"/>
  <c r="R536" i="1"/>
  <c r="Q536" i="1"/>
  <c r="P536" i="1"/>
  <c r="O536" i="1"/>
  <c r="N536" i="1"/>
  <c r="S535" i="1"/>
  <c r="R535" i="1"/>
  <c r="Q535" i="1"/>
  <c r="P535" i="1"/>
  <c r="O535" i="1"/>
  <c r="N535" i="1"/>
  <c r="S534" i="1"/>
  <c r="R534" i="1"/>
  <c r="Q534" i="1"/>
  <c r="P534" i="1"/>
  <c r="O534" i="1"/>
  <c r="N534" i="1"/>
  <c r="S533" i="1"/>
  <c r="R533" i="1"/>
  <c r="Q533" i="1"/>
  <c r="P533" i="1"/>
  <c r="O533" i="1"/>
  <c r="N533" i="1"/>
  <c r="S532" i="1"/>
  <c r="R532" i="1"/>
  <c r="Q532" i="1"/>
  <c r="P532" i="1"/>
  <c r="O532" i="1"/>
  <c r="N532" i="1"/>
  <c r="S531" i="1"/>
  <c r="R531" i="1"/>
  <c r="Q531" i="1"/>
  <c r="P531" i="1"/>
  <c r="O531" i="1"/>
  <c r="N531" i="1"/>
  <c r="S530" i="1"/>
  <c r="R530" i="1"/>
  <c r="Q530" i="1"/>
  <c r="P530" i="1"/>
  <c r="O530" i="1"/>
  <c r="N530" i="1"/>
  <c r="S529" i="1"/>
  <c r="R529" i="1"/>
  <c r="Q529" i="1"/>
  <c r="P529" i="1"/>
  <c r="O529" i="1"/>
  <c r="N529" i="1"/>
  <c r="S528" i="1"/>
  <c r="R528" i="1"/>
  <c r="Q528" i="1"/>
  <c r="P528" i="1"/>
  <c r="O528" i="1"/>
  <c r="N528" i="1"/>
  <c r="S527" i="1"/>
  <c r="R527" i="1"/>
  <c r="Q527" i="1"/>
  <c r="P527" i="1"/>
  <c r="O527" i="1"/>
  <c r="N527" i="1"/>
  <c r="S526" i="1"/>
  <c r="R526" i="1"/>
  <c r="Q526" i="1"/>
  <c r="P526" i="1"/>
  <c r="O526" i="1"/>
  <c r="N526" i="1"/>
  <c r="S525" i="1"/>
  <c r="R525" i="1"/>
  <c r="Q525" i="1"/>
  <c r="P525" i="1"/>
  <c r="O525" i="1"/>
  <c r="N525" i="1"/>
  <c r="S524" i="1"/>
  <c r="R524" i="1"/>
  <c r="Q524" i="1"/>
  <c r="P524" i="1"/>
  <c r="O524" i="1"/>
  <c r="N524" i="1"/>
  <c r="S523" i="1"/>
  <c r="R523" i="1"/>
  <c r="Q523" i="1"/>
  <c r="P523" i="1"/>
  <c r="O523" i="1"/>
  <c r="N523" i="1"/>
  <c r="S522" i="1"/>
  <c r="R522" i="1"/>
  <c r="Q522" i="1"/>
  <c r="P522" i="1"/>
  <c r="O522" i="1"/>
  <c r="N522" i="1"/>
  <c r="S521" i="1"/>
  <c r="R521" i="1"/>
  <c r="Q521" i="1"/>
  <c r="P521" i="1"/>
  <c r="O521" i="1"/>
  <c r="N521" i="1"/>
  <c r="S520" i="1"/>
  <c r="R520" i="1"/>
  <c r="Q520" i="1"/>
  <c r="P520" i="1"/>
  <c r="O520" i="1"/>
  <c r="N520" i="1"/>
  <c r="S519" i="1"/>
  <c r="R519" i="1"/>
  <c r="Q519" i="1"/>
  <c r="P519" i="1"/>
  <c r="O519" i="1"/>
  <c r="N519" i="1"/>
  <c r="S518" i="1"/>
  <c r="R518" i="1"/>
  <c r="Q518" i="1"/>
  <c r="P518" i="1"/>
  <c r="O518" i="1"/>
  <c r="N518" i="1"/>
  <c r="S517" i="1"/>
  <c r="R517" i="1"/>
  <c r="Q517" i="1"/>
  <c r="P517" i="1"/>
  <c r="O517" i="1"/>
  <c r="N517" i="1"/>
  <c r="S516" i="1"/>
  <c r="R516" i="1"/>
  <c r="Q516" i="1"/>
  <c r="P516" i="1"/>
  <c r="O516" i="1"/>
  <c r="N516" i="1"/>
  <c r="S515" i="1"/>
  <c r="R515" i="1"/>
  <c r="Q515" i="1"/>
  <c r="P515" i="1"/>
  <c r="O515" i="1"/>
  <c r="N515" i="1"/>
  <c r="S514" i="1"/>
  <c r="R514" i="1"/>
  <c r="Q514" i="1"/>
  <c r="P514" i="1"/>
  <c r="O514" i="1"/>
  <c r="N514" i="1"/>
  <c r="S513" i="1"/>
  <c r="R513" i="1"/>
  <c r="Q513" i="1"/>
  <c r="P513" i="1"/>
  <c r="O513" i="1"/>
  <c r="N513" i="1"/>
  <c r="S512" i="1"/>
  <c r="R512" i="1"/>
  <c r="Q512" i="1"/>
  <c r="P512" i="1"/>
  <c r="O512" i="1"/>
  <c r="N512" i="1"/>
  <c r="S511" i="1"/>
  <c r="R511" i="1"/>
  <c r="Q511" i="1"/>
  <c r="P511" i="1"/>
  <c r="O511" i="1"/>
  <c r="N511" i="1"/>
  <c r="S510" i="1"/>
  <c r="R510" i="1"/>
  <c r="Q510" i="1"/>
  <c r="P510" i="1"/>
  <c r="O510" i="1"/>
  <c r="N510" i="1"/>
  <c r="S509" i="1"/>
  <c r="R509" i="1"/>
  <c r="Q509" i="1"/>
  <c r="P509" i="1"/>
  <c r="O509" i="1"/>
  <c r="N509" i="1"/>
  <c r="S508" i="1"/>
  <c r="R508" i="1"/>
  <c r="Q508" i="1"/>
  <c r="P508" i="1"/>
  <c r="O508" i="1"/>
  <c r="N508" i="1"/>
  <c r="S507" i="1"/>
  <c r="R507" i="1"/>
  <c r="Q507" i="1"/>
  <c r="P507" i="1"/>
  <c r="O507" i="1"/>
  <c r="N507" i="1"/>
  <c r="S506" i="1"/>
  <c r="R506" i="1"/>
  <c r="Q506" i="1"/>
  <c r="P506" i="1"/>
  <c r="O506" i="1"/>
  <c r="N506" i="1"/>
  <c r="S505" i="1"/>
  <c r="R505" i="1"/>
  <c r="Q505" i="1"/>
  <c r="P505" i="1"/>
  <c r="O505" i="1"/>
  <c r="N505" i="1"/>
  <c r="S504" i="1"/>
  <c r="R504" i="1"/>
  <c r="Q504" i="1"/>
  <c r="P504" i="1"/>
  <c r="O504" i="1"/>
  <c r="N504" i="1"/>
  <c r="S503" i="1"/>
  <c r="R503" i="1"/>
  <c r="Q503" i="1"/>
  <c r="P503" i="1"/>
  <c r="O503" i="1"/>
  <c r="N503" i="1"/>
  <c r="S502" i="1"/>
  <c r="R502" i="1"/>
  <c r="Q502" i="1"/>
  <c r="P502" i="1"/>
  <c r="O502" i="1"/>
  <c r="N502" i="1"/>
  <c r="S501" i="1"/>
  <c r="R501" i="1"/>
  <c r="Q501" i="1"/>
  <c r="P501" i="1"/>
  <c r="O501" i="1"/>
  <c r="N501" i="1"/>
  <c r="S500" i="1"/>
  <c r="R500" i="1"/>
  <c r="Q500" i="1"/>
  <c r="P500" i="1"/>
  <c r="O500" i="1"/>
  <c r="N500" i="1"/>
  <c r="S499" i="1"/>
  <c r="R499" i="1"/>
  <c r="Q499" i="1"/>
  <c r="P499" i="1"/>
  <c r="O499" i="1"/>
  <c r="N499" i="1"/>
  <c r="S498" i="1"/>
  <c r="R498" i="1"/>
  <c r="Q498" i="1"/>
  <c r="P498" i="1"/>
  <c r="O498" i="1"/>
  <c r="N498" i="1"/>
  <c r="S497" i="1"/>
  <c r="R497" i="1"/>
  <c r="Q497" i="1"/>
  <c r="P497" i="1"/>
  <c r="O497" i="1"/>
  <c r="N497" i="1"/>
  <c r="S496" i="1"/>
  <c r="R496" i="1"/>
  <c r="Q496" i="1"/>
  <c r="P496" i="1"/>
  <c r="O496" i="1"/>
  <c r="N496" i="1"/>
  <c r="S495" i="1"/>
  <c r="R495" i="1"/>
  <c r="Q495" i="1"/>
  <c r="P495" i="1"/>
  <c r="O495" i="1"/>
  <c r="N495" i="1"/>
  <c r="S494" i="1"/>
  <c r="R494" i="1"/>
  <c r="Q494" i="1"/>
  <c r="P494" i="1"/>
  <c r="O494" i="1"/>
  <c r="N494" i="1"/>
  <c r="S493" i="1"/>
  <c r="R493" i="1"/>
  <c r="Q493" i="1"/>
  <c r="P493" i="1"/>
  <c r="O493" i="1"/>
  <c r="N493" i="1"/>
  <c r="S492" i="1"/>
  <c r="R492" i="1"/>
  <c r="Q492" i="1"/>
  <c r="P492" i="1"/>
  <c r="O492" i="1"/>
  <c r="N492" i="1"/>
  <c r="S491" i="1"/>
  <c r="R491" i="1"/>
  <c r="Q491" i="1"/>
  <c r="P491" i="1"/>
  <c r="O491" i="1"/>
  <c r="N491" i="1"/>
  <c r="S490" i="1"/>
  <c r="R490" i="1"/>
  <c r="Q490" i="1"/>
  <c r="P490" i="1"/>
  <c r="O490" i="1"/>
  <c r="N490" i="1"/>
  <c r="S489" i="1"/>
  <c r="R489" i="1"/>
  <c r="Q489" i="1"/>
  <c r="P489" i="1"/>
  <c r="O489" i="1"/>
  <c r="N489" i="1"/>
  <c r="S488" i="1"/>
  <c r="R488" i="1"/>
  <c r="Q488" i="1"/>
  <c r="P488" i="1"/>
  <c r="O488" i="1"/>
  <c r="N488" i="1"/>
  <c r="S487" i="1"/>
  <c r="R487" i="1"/>
  <c r="Q487" i="1"/>
  <c r="P487" i="1"/>
  <c r="O487" i="1"/>
  <c r="N487" i="1"/>
  <c r="S486" i="1"/>
  <c r="R486" i="1"/>
  <c r="Q486" i="1"/>
  <c r="P486" i="1"/>
  <c r="O486" i="1"/>
  <c r="N486" i="1"/>
  <c r="S485" i="1"/>
  <c r="R485" i="1"/>
  <c r="Q485" i="1"/>
  <c r="P485" i="1"/>
  <c r="O485" i="1"/>
  <c r="N485" i="1"/>
  <c r="S484" i="1"/>
  <c r="R484" i="1"/>
  <c r="Q484" i="1"/>
  <c r="P484" i="1"/>
  <c r="O484" i="1"/>
  <c r="N484" i="1"/>
  <c r="S483" i="1"/>
  <c r="R483" i="1"/>
  <c r="Q483" i="1"/>
  <c r="P483" i="1"/>
  <c r="O483" i="1"/>
  <c r="N483" i="1"/>
  <c r="S482" i="1"/>
  <c r="R482" i="1"/>
  <c r="Q482" i="1"/>
  <c r="P482" i="1"/>
  <c r="O482" i="1"/>
  <c r="N482" i="1"/>
  <c r="S481" i="1"/>
  <c r="R481" i="1"/>
  <c r="Q481" i="1"/>
  <c r="P481" i="1"/>
  <c r="O481" i="1"/>
  <c r="N481" i="1"/>
  <c r="S480" i="1"/>
  <c r="R480" i="1"/>
  <c r="Q480" i="1"/>
  <c r="P480" i="1"/>
  <c r="O480" i="1"/>
  <c r="N480" i="1"/>
  <c r="S479" i="1"/>
  <c r="R479" i="1"/>
  <c r="Q479" i="1"/>
  <c r="P479" i="1"/>
  <c r="O479" i="1"/>
  <c r="N479" i="1"/>
  <c r="S478" i="1"/>
  <c r="R478" i="1"/>
  <c r="Q478" i="1"/>
  <c r="P478" i="1"/>
  <c r="O478" i="1"/>
  <c r="N478" i="1"/>
  <c r="S477" i="1"/>
  <c r="R477" i="1"/>
  <c r="Q477" i="1"/>
  <c r="P477" i="1"/>
  <c r="O477" i="1"/>
  <c r="N477" i="1"/>
  <c r="S476" i="1"/>
  <c r="R476" i="1"/>
  <c r="Q476" i="1"/>
  <c r="P476" i="1"/>
  <c r="O476" i="1"/>
  <c r="N476" i="1"/>
  <c r="S475" i="1"/>
  <c r="R475" i="1"/>
  <c r="Q475" i="1"/>
  <c r="P475" i="1"/>
  <c r="O475" i="1"/>
  <c r="N475" i="1"/>
  <c r="S474" i="1"/>
  <c r="R474" i="1"/>
  <c r="Q474" i="1"/>
  <c r="P474" i="1"/>
  <c r="O474" i="1"/>
  <c r="N474" i="1"/>
  <c r="S473" i="1"/>
  <c r="R473" i="1"/>
  <c r="Q473" i="1"/>
  <c r="P473" i="1"/>
  <c r="O473" i="1"/>
  <c r="N473" i="1"/>
  <c r="S472" i="1"/>
  <c r="R472" i="1"/>
  <c r="Q472" i="1"/>
  <c r="P472" i="1"/>
  <c r="O472" i="1"/>
  <c r="N472" i="1"/>
  <c r="S471" i="1"/>
  <c r="R471" i="1"/>
  <c r="Q471" i="1"/>
  <c r="P471" i="1"/>
  <c r="O471" i="1"/>
  <c r="N471" i="1"/>
  <c r="S470" i="1"/>
  <c r="R470" i="1"/>
  <c r="Q470" i="1"/>
  <c r="P470" i="1"/>
  <c r="O470" i="1"/>
  <c r="N470" i="1"/>
  <c r="S469" i="1"/>
  <c r="R469" i="1"/>
  <c r="Q469" i="1"/>
  <c r="P469" i="1"/>
  <c r="O469" i="1"/>
  <c r="N469" i="1"/>
  <c r="S468" i="1"/>
  <c r="R468" i="1"/>
  <c r="Q468" i="1"/>
  <c r="P468" i="1"/>
  <c r="O468" i="1"/>
  <c r="N468" i="1"/>
  <c r="S467" i="1"/>
  <c r="R467" i="1"/>
  <c r="Q467" i="1"/>
  <c r="P467" i="1"/>
  <c r="O467" i="1"/>
  <c r="N467" i="1"/>
  <c r="S466" i="1"/>
  <c r="R466" i="1"/>
  <c r="Q466" i="1"/>
  <c r="P466" i="1"/>
  <c r="O466" i="1"/>
  <c r="N466" i="1"/>
  <c r="S465" i="1"/>
  <c r="R465" i="1"/>
  <c r="Q465" i="1"/>
  <c r="P465" i="1"/>
  <c r="O465" i="1"/>
  <c r="N465" i="1"/>
  <c r="S464" i="1"/>
  <c r="R464" i="1"/>
  <c r="Q464" i="1"/>
  <c r="P464" i="1"/>
  <c r="O464" i="1"/>
  <c r="N464" i="1"/>
  <c r="S463" i="1"/>
  <c r="R463" i="1"/>
  <c r="Q463" i="1"/>
  <c r="P463" i="1"/>
  <c r="O463" i="1"/>
  <c r="N463" i="1"/>
  <c r="S462" i="1"/>
  <c r="R462" i="1"/>
  <c r="Q462" i="1"/>
  <c r="P462" i="1"/>
  <c r="O462" i="1"/>
  <c r="N462" i="1"/>
  <c r="S461" i="1"/>
  <c r="R461" i="1"/>
  <c r="Q461" i="1"/>
  <c r="P461" i="1"/>
  <c r="O461" i="1"/>
  <c r="N461" i="1"/>
  <c r="S460" i="1"/>
  <c r="R460" i="1"/>
  <c r="Q460" i="1"/>
  <c r="P460" i="1"/>
  <c r="O460" i="1"/>
  <c r="N460" i="1"/>
  <c r="S459" i="1"/>
  <c r="R459" i="1"/>
  <c r="Q459" i="1"/>
  <c r="P459" i="1"/>
  <c r="O459" i="1"/>
  <c r="N459" i="1"/>
  <c r="S458" i="1"/>
  <c r="R458" i="1"/>
  <c r="Q458" i="1"/>
  <c r="P458" i="1"/>
  <c r="O458" i="1"/>
  <c r="N458" i="1"/>
  <c r="S457" i="1"/>
  <c r="R457" i="1"/>
  <c r="Q457" i="1"/>
  <c r="P457" i="1"/>
  <c r="O457" i="1"/>
  <c r="N457" i="1"/>
  <c r="S456" i="1"/>
  <c r="R456" i="1"/>
  <c r="Q456" i="1"/>
  <c r="P456" i="1"/>
  <c r="O456" i="1"/>
  <c r="N456" i="1"/>
  <c r="S455" i="1"/>
  <c r="R455" i="1"/>
  <c r="Q455" i="1"/>
  <c r="P455" i="1"/>
  <c r="O455" i="1"/>
  <c r="N455" i="1"/>
  <c r="S454" i="1"/>
  <c r="R454" i="1"/>
  <c r="Q454" i="1"/>
  <c r="P454" i="1"/>
  <c r="O454" i="1"/>
  <c r="N454" i="1"/>
  <c r="S453" i="1"/>
  <c r="R453" i="1"/>
  <c r="Q453" i="1"/>
  <c r="P453" i="1"/>
  <c r="O453" i="1"/>
  <c r="N453" i="1"/>
  <c r="S452" i="1"/>
  <c r="R452" i="1"/>
  <c r="Q452" i="1"/>
  <c r="P452" i="1"/>
  <c r="O452" i="1"/>
  <c r="N452" i="1"/>
  <c r="S451" i="1"/>
  <c r="R451" i="1"/>
  <c r="Q451" i="1"/>
  <c r="P451" i="1"/>
  <c r="O451" i="1"/>
  <c r="N451" i="1"/>
  <c r="S450" i="1"/>
  <c r="R450" i="1"/>
  <c r="Q450" i="1"/>
  <c r="P450" i="1"/>
  <c r="O450" i="1"/>
  <c r="N450" i="1"/>
  <c r="S449" i="1"/>
  <c r="R449" i="1"/>
  <c r="Q449" i="1"/>
  <c r="P449" i="1"/>
  <c r="O449" i="1"/>
  <c r="N449" i="1"/>
  <c r="S448" i="1"/>
  <c r="R448" i="1"/>
  <c r="Q448" i="1"/>
  <c r="P448" i="1"/>
  <c r="O448" i="1"/>
  <c r="N448" i="1"/>
  <c r="S447" i="1"/>
  <c r="R447" i="1"/>
  <c r="Q447" i="1"/>
  <c r="P447" i="1"/>
  <c r="O447" i="1"/>
  <c r="N447" i="1"/>
  <c r="S446" i="1"/>
  <c r="R446" i="1"/>
  <c r="Q446" i="1"/>
  <c r="P446" i="1"/>
  <c r="O446" i="1"/>
  <c r="N446" i="1"/>
  <c r="S445" i="1"/>
  <c r="R445" i="1"/>
  <c r="Q445" i="1"/>
  <c r="P445" i="1"/>
  <c r="O445" i="1"/>
  <c r="N445" i="1"/>
  <c r="S444" i="1"/>
  <c r="R444" i="1"/>
  <c r="Q444" i="1"/>
  <c r="P444" i="1"/>
  <c r="O444" i="1"/>
  <c r="N444" i="1"/>
  <c r="S443" i="1"/>
  <c r="R443" i="1"/>
  <c r="Q443" i="1"/>
  <c r="P443" i="1"/>
  <c r="O443" i="1"/>
  <c r="N443" i="1"/>
  <c r="S442" i="1"/>
  <c r="R442" i="1"/>
  <c r="Q442" i="1"/>
  <c r="P442" i="1"/>
  <c r="O442" i="1"/>
  <c r="N442" i="1"/>
  <c r="S441" i="1"/>
  <c r="R441" i="1"/>
  <c r="Q441" i="1"/>
  <c r="P441" i="1"/>
  <c r="O441" i="1"/>
  <c r="N441" i="1"/>
  <c r="S440" i="1"/>
  <c r="R440" i="1"/>
  <c r="Q440" i="1"/>
  <c r="P440" i="1"/>
  <c r="O440" i="1"/>
  <c r="N440" i="1"/>
  <c r="S439" i="1"/>
  <c r="R439" i="1"/>
  <c r="Q439" i="1"/>
  <c r="P439" i="1"/>
  <c r="O439" i="1"/>
  <c r="N439" i="1"/>
  <c r="S438" i="1"/>
  <c r="R438" i="1"/>
  <c r="Q438" i="1"/>
  <c r="P438" i="1"/>
  <c r="O438" i="1"/>
  <c r="N438" i="1"/>
  <c r="S437" i="1"/>
  <c r="R437" i="1"/>
  <c r="Q437" i="1"/>
  <c r="P437" i="1"/>
  <c r="O437" i="1"/>
  <c r="N437" i="1"/>
  <c r="S436" i="1"/>
  <c r="R436" i="1"/>
  <c r="Q436" i="1"/>
  <c r="P436" i="1"/>
  <c r="O436" i="1"/>
  <c r="N436" i="1"/>
  <c r="S435" i="1"/>
  <c r="R435" i="1"/>
  <c r="Q435" i="1"/>
  <c r="P435" i="1"/>
  <c r="O435" i="1"/>
  <c r="N435" i="1"/>
  <c r="S434" i="1"/>
  <c r="R434" i="1"/>
  <c r="Q434" i="1"/>
  <c r="P434" i="1"/>
  <c r="O434" i="1"/>
  <c r="N434" i="1"/>
  <c r="S433" i="1"/>
  <c r="R433" i="1"/>
  <c r="Q433" i="1"/>
  <c r="P433" i="1"/>
  <c r="O433" i="1"/>
  <c r="N433" i="1"/>
  <c r="S432" i="1"/>
  <c r="R432" i="1"/>
  <c r="Q432" i="1"/>
  <c r="P432" i="1"/>
  <c r="O432" i="1"/>
  <c r="N432" i="1"/>
  <c r="S431" i="1"/>
  <c r="R431" i="1"/>
  <c r="Q431" i="1"/>
  <c r="P431" i="1"/>
  <c r="O431" i="1"/>
  <c r="N431" i="1"/>
  <c r="S430" i="1"/>
  <c r="R430" i="1"/>
  <c r="Q430" i="1"/>
  <c r="P430" i="1"/>
  <c r="O430" i="1"/>
  <c r="N430" i="1"/>
  <c r="S429" i="1"/>
  <c r="R429" i="1"/>
  <c r="Q429" i="1"/>
  <c r="P429" i="1"/>
  <c r="O429" i="1"/>
  <c r="N429" i="1"/>
  <c r="S428" i="1"/>
  <c r="R428" i="1"/>
  <c r="Q428" i="1"/>
  <c r="P428" i="1"/>
  <c r="O428" i="1"/>
  <c r="N428" i="1"/>
  <c r="S427" i="1"/>
  <c r="R427" i="1"/>
  <c r="Q427" i="1"/>
  <c r="P427" i="1"/>
  <c r="O427" i="1"/>
  <c r="N427" i="1"/>
  <c r="S426" i="1"/>
  <c r="R426" i="1"/>
  <c r="Q426" i="1"/>
  <c r="P426" i="1"/>
  <c r="O426" i="1"/>
  <c r="N426" i="1"/>
  <c r="S425" i="1"/>
  <c r="R425" i="1"/>
  <c r="Q425" i="1"/>
  <c r="P425" i="1"/>
  <c r="O425" i="1"/>
  <c r="N425" i="1"/>
  <c r="S424" i="1"/>
  <c r="R424" i="1"/>
  <c r="Q424" i="1"/>
  <c r="P424" i="1"/>
  <c r="O424" i="1"/>
  <c r="N424" i="1"/>
  <c r="S423" i="1"/>
  <c r="R423" i="1"/>
  <c r="Q423" i="1"/>
  <c r="P423" i="1"/>
  <c r="O423" i="1"/>
  <c r="N423" i="1"/>
  <c r="S422" i="1"/>
  <c r="R422" i="1"/>
  <c r="Q422" i="1"/>
  <c r="P422" i="1"/>
  <c r="O422" i="1"/>
  <c r="N422" i="1"/>
  <c r="S421" i="1"/>
  <c r="R421" i="1"/>
  <c r="Q421" i="1"/>
  <c r="P421" i="1"/>
  <c r="O421" i="1"/>
  <c r="N421" i="1"/>
  <c r="S420" i="1"/>
  <c r="R420" i="1"/>
  <c r="Q420" i="1"/>
  <c r="P420" i="1"/>
  <c r="O420" i="1"/>
  <c r="N420" i="1"/>
  <c r="S419" i="1"/>
  <c r="R419" i="1"/>
  <c r="Q419" i="1"/>
  <c r="P419" i="1"/>
  <c r="O419" i="1"/>
  <c r="N419" i="1"/>
  <c r="S418" i="1"/>
  <c r="R418" i="1"/>
  <c r="Q418" i="1"/>
  <c r="P418" i="1"/>
  <c r="O418" i="1"/>
  <c r="N418" i="1"/>
  <c r="S417" i="1"/>
  <c r="R417" i="1"/>
  <c r="Q417" i="1"/>
  <c r="P417" i="1"/>
  <c r="O417" i="1"/>
  <c r="N417" i="1"/>
  <c r="S416" i="1"/>
  <c r="R416" i="1"/>
  <c r="Q416" i="1"/>
  <c r="P416" i="1"/>
  <c r="O416" i="1"/>
  <c r="N416" i="1"/>
  <c r="S415" i="1"/>
  <c r="R415" i="1"/>
  <c r="Q415" i="1"/>
  <c r="P415" i="1"/>
  <c r="O415" i="1"/>
  <c r="N415" i="1"/>
  <c r="S414" i="1"/>
  <c r="R414" i="1"/>
  <c r="Q414" i="1"/>
  <c r="P414" i="1"/>
  <c r="O414" i="1"/>
  <c r="N414" i="1"/>
  <c r="S413" i="1"/>
  <c r="R413" i="1"/>
  <c r="Q413" i="1"/>
  <c r="P413" i="1"/>
  <c r="O413" i="1"/>
  <c r="N413" i="1"/>
  <c r="S412" i="1"/>
  <c r="R412" i="1"/>
  <c r="Q412" i="1"/>
  <c r="P412" i="1"/>
  <c r="O412" i="1"/>
  <c r="N412" i="1"/>
  <c r="S411" i="1"/>
  <c r="R411" i="1"/>
  <c r="Q411" i="1"/>
  <c r="P411" i="1"/>
  <c r="O411" i="1"/>
  <c r="N411" i="1"/>
  <c r="S410" i="1"/>
  <c r="R410" i="1"/>
  <c r="Q410" i="1"/>
  <c r="P410" i="1"/>
  <c r="O410" i="1"/>
  <c r="N410" i="1"/>
  <c r="S409" i="1"/>
  <c r="R409" i="1"/>
  <c r="Q409" i="1"/>
  <c r="P409" i="1"/>
  <c r="O409" i="1"/>
  <c r="N409" i="1"/>
  <c r="S408" i="1"/>
  <c r="R408" i="1"/>
  <c r="Q408" i="1"/>
  <c r="P408" i="1"/>
  <c r="O408" i="1"/>
  <c r="N408" i="1"/>
  <c r="S407" i="1"/>
  <c r="R407" i="1"/>
  <c r="Q407" i="1"/>
  <c r="P407" i="1"/>
  <c r="O407" i="1"/>
  <c r="N407" i="1"/>
  <c r="S406" i="1"/>
  <c r="R406" i="1"/>
  <c r="Q406" i="1"/>
  <c r="P406" i="1"/>
  <c r="O406" i="1"/>
  <c r="N406" i="1"/>
  <c r="S405" i="1"/>
  <c r="R405" i="1"/>
  <c r="Q405" i="1"/>
  <c r="P405" i="1"/>
  <c r="O405" i="1"/>
  <c r="N405" i="1"/>
  <c r="S404" i="1"/>
  <c r="R404" i="1"/>
  <c r="Q404" i="1"/>
  <c r="P404" i="1"/>
  <c r="O404" i="1"/>
  <c r="N404" i="1"/>
  <c r="S403" i="1"/>
  <c r="R403" i="1"/>
  <c r="Q403" i="1"/>
  <c r="P403" i="1"/>
  <c r="O403" i="1"/>
  <c r="N403" i="1"/>
  <c r="S402" i="1"/>
  <c r="R402" i="1"/>
  <c r="Q402" i="1"/>
  <c r="P402" i="1"/>
  <c r="O402" i="1"/>
  <c r="N402" i="1"/>
  <c r="S401" i="1"/>
  <c r="R401" i="1"/>
  <c r="Q401" i="1"/>
  <c r="P401" i="1"/>
  <c r="O401" i="1"/>
  <c r="N401" i="1"/>
  <c r="S400" i="1"/>
  <c r="R400" i="1"/>
  <c r="Q400" i="1"/>
  <c r="P400" i="1"/>
  <c r="O400" i="1"/>
  <c r="N400" i="1"/>
  <c r="S399" i="1"/>
  <c r="R399" i="1"/>
  <c r="Q399" i="1"/>
  <c r="P399" i="1"/>
  <c r="O399" i="1"/>
  <c r="N399" i="1"/>
  <c r="S398" i="1"/>
  <c r="R398" i="1"/>
  <c r="Q398" i="1"/>
  <c r="P398" i="1"/>
  <c r="O398" i="1"/>
  <c r="N398" i="1"/>
  <c r="S397" i="1"/>
  <c r="R397" i="1"/>
  <c r="Q397" i="1"/>
  <c r="P397" i="1"/>
  <c r="O397" i="1"/>
  <c r="N397" i="1"/>
  <c r="S396" i="1"/>
  <c r="R396" i="1"/>
  <c r="Q396" i="1"/>
  <c r="P396" i="1"/>
  <c r="O396" i="1"/>
  <c r="N396" i="1"/>
  <c r="S395" i="1"/>
  <c r="R395" i="1"/>
  <c r="Q395" i="1"/>
  <c r="P395" i="1"/>
  <c r="O395" i="1"/>
  <c r="N395" i="1"/>
  <c r="S394" i="1"/>
  <c r="R394" i="1"/>
  <c r="Q394" i="1"/>
  <c r="P394" i="1"/>
  <c r="O394" i="1"/>
  <c r="N394" i="1"/>
  <c r="S393" i="1"/>
  <c r="R393" i="1"/>
  <c r="Q393" i="1"/>
  <c r="P393" i="1"/>
  <c r="O393" i="1"/>
  <c r="N393" i="1"/>
  <c r="S392" i="1"/>
  <c r="R392" i="1"/>
  <c r="Q392" i="1"/>
  <c r="P392" i="1"/>
  <c r="O392" i="1"/>
  <c r="N392" i="1"/>
  <c r="S391" i="1"/>
  <c r="R391" i="1"/>
  <c r="Q391" i="1"/>
  <c r="P391" i="1"/>
  <c r="O391" i="1"/>
  <c r="N391" i="1"/>
  <c r="S390" i="1"/>
  <c r="R390" i="1"/>
  <c r="Q390" i="1"/>
  <c r="P390" i="1"/>
  <c r="O390" i="1"/>
  <c r="N390" i="1"/>
  <c r="S389" i="1"/>
  <c r="R389" i="1"/>
  <c r="Q389" i="1"/>
  <c r="P389" i="1"/>
  <c r="O389" i="1"/>
  <c r="N389" i="1"/>
  <c r="S388" i="1"/>
  <c r="R388" i="1"/>
  <c r="Q388" i="1"/>
  <c r="P388" i="1"/>
  <c r="O388" i="1"/>
  <c r="N388" i="1"/>
  <c r="S387" i="1"/>
  <c r="R387" i="1"/>
  <c r="Q387" i="1"/>
  <c r="P387" i="1"/>
  <c r="O387" i="1"/>
  <c r="N387" i="1"/>
  <c r="S386" i="1"/>
  <c r="R386" i="1"/>
  <c r="Q386" i="1"/>
  <c r="P386" i="1"/>
  <c r="O386" i="1"/>
  <c r="N386" i="1"/>
  <c r="S385" i="1"/>
  <c r="R385" i="1"/>
  <c r="Q385" i="1"/>
  <c r="P385" i="1"/>
  <c r="O385" i="1"/>
  <c r="N385" i="1"/>
  <c r="S384" i="1"/>
  <c r="R384" i="1"/>
  <c r="Q384" i="1"/>
  <c r="P384" i="1"/>
  <c r="O384" i="1"/>
  <c r="N384" i="1"/>
  <c r="S383" i="1"/>
  <c r="R383" i="1"/>
  <c r="Q383" i="1"/>
  <c r="P383" i="1"/>
  <c r="O383" i="1"/>
  <c r="N383" i="1"/>
  <c r="S382" i="1"/>
  <c r="R382" i="1"/>
  <c r="Q382" i="1"/>
  <c r="P382" i="1"/>
  <c r="O382" i="1"/>
  <c r="N382" i="1"/>
  <c r="S381" i="1"/>
  <c r="R381" i="1"/>
  <c r="Q381" i="1"/>
  <c r="P381" i="1"/>
  <c r="O381" i="1"/>
  <c r="N381" i="1"/>
  <c r="S380" i="1"/>
  <c r="R380" i="1"/>
  <c r="Q380" i="1"/>
  <c r="P380" i="1"/>
  <c r="O380" i="1"/>
  <c r="N380" i="1"/>
  <c r="S379" i="1"/>
  <c r="R379" i="1"/>
  <c r="Q379" i="1"/>
  <c r="P379" i="1"/>
  <c r="O379" i="1"/>
  <c r="N379" i="1"/>
  <c r="S378" i="1"/>
  <c r="R378" i="1"/>
  <c r="Q378" i="1"/>
  <c r="P378" i="1"/>
  <c r="O378" i="1"/>
  <c r="N378" i="1"/>
  <c r="S377" i="1"/>
  <c r="R377" i="1"/>
  <c r="Q377" i="1"/>
  <c r="P377" i="1"/>
  <c r="O377" i="1"/>
  <c r="N377" i="1"/>
  <c r="S376" i="1"/>
  <c r="R376" i="1"/>
  <c r="Q376" i="1"/>
  <c r="P376" i="1"/>
  <c r="O376" i="1"/>
  <c r="N376" i="1"/>
  <c r="S375" i="1"/>
  <c r="R375" i="1"/>
  <c r="Q375" i="1"/>
  <c r="P375" i="1"/>
  <c r="O375" i="1"/>
  <c r="N375" i="1"/>
  <c r="S374" i="1"/>
  <c r="R374" i="1"/>
  <c r="Q374" i="1"/>
  <c r="P374" i="1"/>
  <c r="O374" i="1"/>
  <c r="N374" i="1"/>
  <c r="S373" i="1"/>
  <c r="R373" i="1"/>
  <c r="Q373" i="1"/>
  <c r="P373" i="1"/>
  <c r="O373" i="1"/>
  <c r="N373" i="1"/>
  <c r="S372" i="1"/>
  <c r="R372" i="1"/>
  <c r="Q372" i="1"/>
  <c r="P372" i="1"/>
  <c r="O372" i="1"/>
  <c r="N372" i="1"/>
  <c r="S371" i="1"/>
  <c r="R371" i="1"/>
  <c r="Q371" i="1"/>
  <c r="P371" i="1"/>
  <c r="O371" i="1"/>
  <c r="N371" i="1"/>
  <c r="S370" i="1"/>
  <c r="R370" i="1"/>
  <c r="Q370" i="1"/>
  <c r="P370" i="1"/>
  <c r="O370" i="1"/>
  <c r="N370" i="1"/>
  <c r="S369" i="1"/>
  <c r="R369" i="1"/>
  <c r="Q369" i="1"/>
  <c r="P369" i="1"/>
  <c r="O369" i="1"/>
  <c r="N369" i="1"/>
  <c r="S368" i="1"/>
  <c r="R368" i="1"/>
  <c r="Q368" i="1"/>
  <c r="P368" i="1"/>
  <c r="O368" i="1"/>
  <c r="N368" i="1"/>
  <c r="S367" i="1"/>
  <c r="R367" i="1"/>
  <c r="Q367" i="1"/>
  <c r="P367" i="1"/>
  <c r="O367" i="1"/>
  <c r="N367" i="1"/>
  <c r="S366" i="1"/>
  <c r="R366" i="1"/>
  <c r="Q366" i="1"/>
  <c r="P366" i="1"/>
  <c r="O366" i="1"/>
  <c r="N366" i="1"/>
  <c r="S365" i="1"/>
  <c r="R365" i="1"/>
  <c r="Q365" i="1"/>
  <c r="P365" i="1"/>
  <c r="O365" i="1"/>
  <c r="N365" i="1"/>
  <c r="S364" i="1"/>
  <c r="R364" i="1"/>
  <c r="Q364" i="1"/>
  <c r="P364" i="1"/>
  <c r="O364" i="1"/>
  <c r="N364" i="1"/>
  <c r="S363" i="1"/>
  <c r="R363" i="1"/>
  <c r="Q363" i="1"/>
  <c r="P363" i="1"/>
  <c r="O363" i="1"/>
  <c r="N363" i="1"/>
  <c r="S362" i="1"/>
  <c r="R362" i="1"/>
  <c r="Q362" i="1"/>
  <c r="P362" i="1"/>
  <c r="O362" i="1"/>
  <c r="N362" i="1"/>
  <c r="S361" i="1"/>
  <c r="R361" i="1"/>
  <c r="Q361" i="1"/>
  <c r="P361" i="1"/>
  <c r="O361" i="1"/>
  <c r="N361" i="1"/>
  <c r="S360" i="1"/>
  <c r="R360" i="1"/>
  <c r="Q360" i="1"/>
  <c r="P360" i="1"/>
  <c r="O360" i="1"/>
  <c r="N360" i="1"/>
  <c r="S359" i="1"/>
  <c r="R359" i="1"/>
  <c r="Q359" i="1"/>
  <c r="P359" i="1"/>
  <c r="O359" i="1"/>
  <c r="N359" i="1"/>
  <c r="S358" i="1"/>
  <c r="R358" i="1"/>
  <c r="Q358" i="1"/>
  <c r="P358" i="1"/>
  <c r="O358" i="1"/>
  <c r="N358" i="1"/>
  <c r="S357" i="1"/>
  <c r="R357" i="1"/>
  <c r="Q357" i="1"/>
  <c r="P357" i="1"/>
  <c r="O357" i="1"/>
  <c r="N357" i="1"/>
  <c r="S356" i="1"/>
  <c r="R356" i="1"/>
  <c r="Q356" i="1"/>
  <c r="P356" i="1"/>
  <c r="O356" i="1"/>
  <c r="N356" i="1"/>
  <c r="S355" i="1"/>
  <c r="R355" i="1"/>
  <c r="Q355" i="1"/>
  <c r="P355" i="1"/>
  <c r="O355" i="1"/>
  <c r="N355" i="1"/>
  <c r="S354" i="1"/>
  <c r="R354" i="1"/>
  <c r="Q354" i="1"/>
  <c r="P354" i="1"/>
  <c r="O354" i="1"/>
  <c r="N354" i="1"/>
  <c r="S353" i="1"/>
  <c r="R353" i="1"/>
  <c r="Q353" i="1"/>
  <c r="P353" i="1"/>
  <c r="O353" i="1"/>
  <c r="N353" i="1"/>
  <c r="S352" i="1"/>
  <c r="R352" i="1"/>
  <c r="Q352" i="1"/>
  <c r="P352" i="1"/>
  <c r="O352" i="1"/>
  <c r="N352" i="1"/>
  <c r="S351" i="1"/>
  <c r="R351" i="1"/>
  <c r="Q351" i="1"/>
  <c r="P351" i="1"/>
  <c r="O351" i="1"/>
  <c r="N351" i="1"/>
  <c r="S350" i="1"/>
  <c r="R350" i="1"/>
  <c r="Q350" i="1"/>
  <c r="P350" i="1"/>
  <c r="O350" i="1"/>
  <c r="N350" i="1"/>
  <c r="S349" i="1"/>
  <c r="R349" i="1"/>
  <c r="Q349" i="1"/>
  <c r="P349" i="1"/>
  <c r="O349" i="1"/>
  <c r="N349" i="1"/>
  <c r="S348" i="1"/>
  <c r="R348" i="1"/>
  <c r="Q348" i="1"/>
  <c r="P348" i="1"/>
  <c r="O348" i="1"/>
  <c r="N348" i="1"/>
  <c r="S347" i="1"/>
  <c r="R347" i="1"/>
  <c r="Q347" i="1"/>
  <c r="P347" i="1"/>
  <c r="O347" i="1"/>
  <c r="N347" i="1"/>
  <c r="S346" i="1"/>
  <c r="R346" i="1"/>
  <c r="Q346" i="1"/>
  <c r="P346" i="1"/>
  <c r="O346" i="1"/>
  <c r="N346" i="1"/>
  <c r="S345" i="1"/>
  <c r="R345" i="1"/>
  <c r="Q345" i="1"/>
  <c r="P345" i="1"/>
  <c r="O345" i="1"/>
  <c r="N345" i="1"/>
  <c r="S344" i="1"/>
  <c r="R344" i="1"/>
  <c r="Q344" i="1"/>
  <c r="P344" i="1"/>
  <c r="O344" i="1"/>
  <c r="N344" i="1"/>
  <c r="S343" i="1"/>
  <c r="R343" i="1"/>
  <c r="Q343" i="1"/>
  <c r="P343" i="1"/>
  <c r="O343" i="1"/>
  <c r="N343" i="1"/>
  <c r="S342" i="1"/>
  <c r="R342" i="1"/>
  <c r="Q342" i="1"/>
  <c r="P342" i="1"/>
  <c r="O342" i="1"/>
  <c r="N342" i="1"/>
  <c r="S341" i="1"/>
  <c r="R341" i="1"/>
  <c r="Q341" i="1"/>
  <c r="P341" i="1"/>
  <c r="O341" i="1"/>
  <c r="N341" i="1"/>
  <c r="S340" i="1"/>
  <c r="R340" i="1"/>
  <c r="Q340" i="1"/>
  <c r="P340" i="1"/>
  <c r="O340" i="1"/>
  <c r="N340" i="1"/>
  <c r="S339" i="1"/>
  <c r="R339" i="1"/>
  <c r="Q339" i="1"/>
  <c r="P339" i="1"/>
  <c r="O339" i="1"/>
  <c r="N339" i="1"/>
  <c r="S338" i="1"/>
  <c r="R338" i="1"/>
  <c r="Q338" i="1"/>
  <c r="P338" i="1"/>
  <c r="O338" i="1"/>
  <c r="N338" i="1"/>
  <c r="S337" i="1"/>
  <c r="R337" i="1"/>
  <c r="Q337" i="1"/>
  <c r="P337" i="1"/>
  <c r="O337" i="1"/>
  <c r="N337" i="1"/>
  <c r="S336" i="1"/>
  <c r="R336" i="1"/>
  <c r="Q336" i="1"/>
  <c r="P336" i="1"/>
  <c r="O336" i="1"/>
  <c r="N336" i="1"/>
  <c r="S335" i="1"/>
  <c r="R335" i="1"/>
  <c r="Q335" i="1"/>
  <c r="P335" i="1"/>
  <c r="O335" i="1"/>
  <c r="N335" i="1"/>
  <c r="S334" i="1"/>
  <c r="R334" i="1"/>
  <c r="Q334" i="1"/>
  <c r="P334" i="1"/>
  <c r="O334" i="1"/>
  <c r="N334" i="1"/>
  <c r="S333" i="1"/>
  <c r="R333" i="1"/>
  <c r="Q333" i="1"/>
  <c r="P333" i="1"/>
  <c r="O333" i="1"/>
  <c r="N333" i="1"/>
  <c r="S332" i="1"/>
  <c r="R332" i="1"/>
  <c r="Q332" i="1"/>
  <c r="P332" i="1"/>
  <c r="O332" i="1"/>
  <c r="N332" i="1"/>
  <c r="S331" i="1"/>
  <c r="R331" i="1"/>
  <c r="Q331" i="1"/>
  <c r="P331" i="1"/>
  <c r="O331" i="1"/>
  <c r="N331" i="1"/>
  <c r="S330" i="1"/>
  <c r="R330" i="1"/>
  <c r="Q330" i="1"/>
  <c r="P330" i="1"/>
  <c r="O330" i="1"/>
  <c r="N330" i="1"/>
  <c r="S329" i="1"/>
  <c r="R329" i="1"/>
  <c r="Q329" i="1"/>
  <c r="P329" i="1"/>
  <c r="O329" i="1"/>
  <c r="N329" i="1"/>
  <c r="S328" i="1"/>
  <c r="R328" i="1"/>
  <c r="Q328" i="1"/>
  <c r="P328" i="1"/>
  <c r="O328" i="1"/>
  <c r="N328" i="1"/>
  <c r="S327" i="1"/>
  <c r="R327" i="1"/>
  <c r="Q327" i="1"/>
  <c r="P327" i="1"/>
  <c r="O327" i="1"/>
  <c r="N327" i="1"/>
  <c r="S326" i="1"/>
  <c r="R326" i="1"/>
  <c r="Q326" i="1"/>
  <c r="P326" i="1"/>
  <c r="O326" i="1"/>
  <c r="N326" i="1"/>
  <c r="S325" i="1"/>
  <c r="R325" i="1"/>
  <c r="Q325" i="1"/>
  <c r="P325" i="1"/>
  <c r="O325" i="1"/>
  <c r="N325" i="1"/>
  <c r="S324" i="1"/>
  <c r="R324" i="1"/>
  <c r="Q324" i="1"/>
  <c r="P324" i="1"/>
  <c r="O324" i="1"/>
  <c r="N324" i="1"/>
  <c r="S323" i="1"/>
  <c r="R323" i="1"/>
  <c r="Q323" i="1"/>
  <c r="P323" i="1"/>
  <c r="O323" i="1"/>
  <c r="N323" i="1"/>
  <c r="S322" i="1"/>
  <c r="R322" i="1"/>
  <c r="Q322" i="1"/>
  <c r="P322" i="1"/>
  <c r="O322" i="1"/>
  <c r="N322" i="1"/>
  <c r="S321" i="1"/>
  <c r="R321" i="1"/>
  <c r="Q321" i="1"/>
  <c r="P321" i="1"/>
  <c r="O321" i="1"/>
  <c r="N321" i="1"/>
  <c r="S320" i="1"/>
  <c r="R320" i="1"/>
  <c r="Q320" i="1"/>
  <c r="P320" i="1"/>
  <c r="O320" i="1"/>
  <c r="N320" i="1"/>
  <c r="S319" i="1"/>
  <c r="R319" i="1"/>
  <c r="Q319" i="1"/>
  <c r="P319" i="1"/>
  <c r="O319" i="1"/>
  <c r="N319" i="1"/>
  <c r="S318" i="1"/>
  <c r="R318" i="1"/>
  <c r="Q318" i="1"/>
  <c r="P318" i="1"/>
  <c r="O318" i="1"/>
  <c r="N318" i="1"/>
  <c r="S317" i="1"/>
  <c r="R317" i="1"/>
  <c r="Q317" i="1"/>
  <c r="P317" i="1"/>
  <c r="O317" i="1"/>
  <c r="N317" i="1"/>
  <c r="S316" i="1"/>
  <c r="R316" i="1"/>
  <c r="Q316" i="1"/>
  <c r="P316" i="1"/>
  <c r="O316" i="1"/>
  <c r="N316" i="1"/>
  <c r="S315" i="1"/>
  <c r="R315" i="1"/>
  <c r="Q315" i="1"/>
  <c r="P315" i="1"/>
  <c r="O315" i="1"/>
  <c r="N315" i="1"/>
  <c r="S314" i="1"/>
  <c r="R314" i="1"/>
  <c r="Q314" i="1"/>
  <c r="P314" i="1"/>
  <c r="O314" i="1"/>
  <c r="N314" i="1"/>
  <c r="S313" i="1"/>
  <c r="R313" i="1"/>
  <c r="Q313" i="1"/>
  <c r="P313" i="1"/>
  <c r="O313" i="1"/>
  <c r="N313" i="1"/>
  <c r="S312" i="1"/>
  <c r="R312" i="1"/>
  <c r="Q312" i="1"/>
  <c r="P312" i="1"/>
  <c r="O312" i="1"/>
  <c r="N312" i="1"/>
  <c r="S311" i="1"/>
  <c r="R311" i="1"/>
  <c r="Q311" i="1"/>
  <c r="P311" i="1"/>
  <c r="O311" i="1"/>
  <c r="N311" i="1"/>
  <c r="S310" i="1"/>
  <c r="R310" i="1"/>
  <c r="Q310" i="1"/>
  <c r="P310" i="1"/>
  <c r="O310" i="1"/>
  <c r="N310" i="1"/>
  <c r="S309" i="1"/>
  <c r="R309" i="1"/>
  <c r="Q309" i="1"/>
  <c r="P309" i="1"/>
  <c r="O309" i="1"/>
  <c r="N309" i="1"/>
  <c r="S308" i="1"/>
  <c r="R308" i="1"/>
  <c r="Q308" i="1"/>
  <c r="P308" i="1"/>
  <c r="O308" i="1"/>
  <c r="N308" i="1"/>
  <c r="S307" i="1"/>
  <c r="R307" i="1"/>
  <c r="Q307" i="1"/>
  <c r="P307" i="1"/>
  <c r="O307" i="1"/>
  <c r="N307" i="1"/>
  <c r="S306" i="1"/>
  <c r="R306" i="1"/>
  <c r="Q306" i="1"/>
  <c r="P306" i="1"/>
  <c r="O306" i="1"/>
  <c r="N306" i="1"/>
  <c r="S305" i="1"/>
  <c r="R305" i="1"/>
  <c r="Q305" i="1"/>
  <c r="P305" i="1"/>
  <c r="O305" i="1"/>
  <c r="N305" i="1"/>
  <c r="S304" i="1"/>
  <c r="R304" i="1"/>
  <c r="Q304" i="1"/>
  <c r="P304" i="1"/>
  <c r="O304" i="1"/>
  <c r="N304" i="1"/>
  <c r="S303" i="1"/>
  <c r="R303" i="1"/>
  <c r="Q303" i="1"/>
  <c r="P303" i="1"/>
  <c r="O303" i="1"/>
  <c r="N303" i="1"/>
  <c r="S302" i="1"/>
  <c r="R302" i="1"/>
  <c r="Q302" i="1"/>
  <c r="P302" i="1"/>
  <c r="O302" i="1"/>
  <c r="N302" i="1"/>
  <c r="S301" i="1"/>
  <c r="R301" i="1"/>
  <c r="Q301" i="1"/>
  <c r="P301" i="1"/>
  <c r="O301" i="1"/>
  <c r="N301" i="1"/>
  <c r="S300" i="1"/>
  <c r="R300" i="1"/>
  <c r="Q300" i="1"/>
  <c r="P300" i="1"/>
  <c r="O300" i="1"/>
  <c r="N300" i="1"/>
  <c r="S299" i="1"/>
  <c r="R299" i="1"/>
  <c r="Q299" i="1"/>
  <c r="P299" i="1"/>
  <c r="O299" i="1"/>
  <c r="N299" i="1"/>
  <c r="S298" i="1"/>
  <c r="R298" i="1"/>
  <c r="Q298" i="1"/>
  <c r="P298" i="1"/>
  <c r="O298" i="1"/>
  <c r="N298" i="1"/>
  <c r="S297" i="1"/>
  <c r="R297" i="1"/>
  <c r="Q297" i="1"/>
  <c r="P297" i="1"/>
  <c r="O297" i="1"/>
  <c r="N297" i="1"/>
  <c r="S296" i="1"/>
  <c r="R296" i="1"/>
  <c r="Q296" i="1"/>
  <c r="P296" i="1"/>
  <c r="O296" i="1"/>
  <c r="N296" i="1"/>
  <c r="S295" i="1"/>
  <c r="R295" i="1"/>
  <c r="Q295" i="1"/>
  <c r="P295" i="1"/>
  <c r="O295" i="1"/>
  <c r="N295" i="1"/>
  <c r="S294" i="1"/>
  <c r="R294" i="1"/>
  <c r="Q294" i="1"/>
  <c r="P294" i="1"/>
  <c r="O294" i="1"/>
  <c r="N294" i="1"/>
  <c r="S293" i="1"/>
  <c r="R293" i="1"/>
  <c r="Q293" i="1"/>
  <c r="P293" i="1"/>
  <c r="O293" i="1"/>
  <c r="N293" i="1"/>
  <c r="S292" i="1"/>
  <c r="R292" i="1"/>
  <c r="Q292" i="1"/>
  <c r="P292" i="1"/>
  <c r="O292" i="1"/>
  <c r="N292" i="1"/>
  <c r="S291" i="1"/>
  <c r="R291" i="1"/>
  <c r="Q291" i="1"/>
  <c r="P291" i="1"/>
  <c r="O291" i="1"/>
  <c r="N291" i="1"/>
  <c r="S290" i="1"/>
  <c r="R290" i="1"/>
  <c r="Q290" i="1"/>
  <c r="P290" i="1"/>
  <c r="O290" i="1"/>
  <c r="N290" i="1"/>
  <c r="S289" i="1"/>
  <c r="R289" i="1"/>
  <c r="Q289" i="1"/>
  <c r="P289" i="1"/>
  <c r="O289" i="1"/>
  <c r="N289" i="1"/>
  <c r="S288" i="1"/>
  <c r="R288" i="1"/>
  <c r="Q288" i="1"/>
  <c r="P288" i="1"/>
  <c r="O288" i="1"/>
  <c r="N288" i="1"/>
  <c r="S287" i="1"/>
  <c r="R287" i="1"/>
  <c r="Q287" i="1"/>
  <c r="P287" i="1"/>
  <c r="O287" i="1"/>
  <c r="N287" i="1"/>
  <c r="S286" i="1"/>
  <c r="R286" i="1"/>
  <c r="Q286" i="1"/>
  <c r="P286" i="1"/>
  <c r="O286" i="1"/>
  <c r="N286" i="1"/>
  <c r="S285" i="1"/>
  <c r="R285" i="1"/>
  <c r="Q285" i="1"/>
  <c r="P285" i="1"/>
  <c r="O285" i="1"/>
  <c r="N285" i="1"/>
  <c r="S284" i="1"/>
  <c r="R284" i="1"/>
  <c r="Q284" i="1"/>
  <c r="P284" i="1"/>
  <c r="O284" i="1"/>
  <c r="N284" i="1"/>
  <c r="S283" i="1"/>
  <c r="R283" i="1"/>
  <c r="Q283" i="1"/>
  <c r="P283" i="1"/>
  <c r="O283" i="1"/>
  <c r="N283" i="1"/>
  <c r="S282" i="1"/>
  <c r="R282" i="1"/>
  <c r="Q282" i="1"/>
  <c r="P282" i="1"/>
  <c r="O282" i="1"/>
  <c r="N282" i="1"/>
  <c r="S281" i="1"/>
  <c r="R281" i="1"/>
  <c r="Q281" i="1"/>
  <c r="P281" i="1"/>
  <c r="O281" i="1"/>
  <c r="N281" i="1"/>
  <c r="S280" i="1"/>
  <c r="R280" i="1"/>
  <c r="Q280" i="1"/>
  <c r="P280" i="1"/>
  <c r="O280" i="1"/>
  <c r="N280" i="1"/>
  <c r="S279" i="1"/>
  <c r="R279" i="1"/>
  <c r="Q279" i="1"/>
  <c r="P279" i="1"/>
  <c r="O279" i="1"/>
  <c r="N279" i="1"/>
  <c r="S278" i="1"/>
  <c r="R278" i="1"/>
  <c r="Q278" i="1"/>
  <c r="P278" i="1"/>
  <c r="O278" i="1"/>
  <c r="N278" i="1"/>
  <c r="S277" i="1"/>
  <c r="R277" i="1"/>
  <c r="Q277" i="1"/>
  <c r="P277" i="1"/>
  <c r="O277" i="1"/>
  <c r="N277" i="1"/>
  <c r="S276" i="1"/>
  <c r="R276" i="1"/>
  <c r="Q276" i="1"/>
  <c r="P276" i="1"/>
  <c r="O276" i="1"/>
  <c r="N276" i="1"/>
  <c r="S275" i="1"/>
  <c r="R275" i="1"/>
  <c r="Q275" i="1"/>
  <c r="P275" i="1"/>
  <c r="O275" i="1"/>
  <c r="N275" i="1"/>
  <c r="S274" i="1"/>
  <c r="R274" i="1"/>
  <c r="Q274" i="1"/>
  <c r="P274" i="1"/>
  <c r="O274" i="1"/>
  <c r="N274" i="1"/>
  <c r="S273" i="1"/>
  <c r="R273" i="1"/>
  <c r="Q273" i="1"/>
  <c r="P273" i="1"/>
  <c r="O273" i="1"/>
  <c r="N273" i="1"/>
  <c r="S272" i="1"/>
  <c r="R272" i="1"/>
  <c r="Q272" i="1"/>
  <c r="P272" i="1"/>
  <c r="O272" i="1"/>
  <c r="N272" i="1"/>
  <c r="S271" i="1"/>
  <c r="R271" i="1"/>
  <c r="Q271" i="1"/>
  <c r="P271" i="1"/>
  <c r="O271" i="1"/>
  <c r="N271" i="1"/>
  <c r="S270" i="1"/>
  <c r="R270" i="1"/>
  <c r="Q270" i="1"/>
  <c r="P270" i="1"/>
  <c r="O270" i="1"/>
  <c r="N270" i="1"/>
  <c r="S269" i="1"/>
  <c r="R269" i="1"/>
  <c r="Q269" i="1"/>
  <c r="P269" i="1"/>
  <c r="O269" i="1"/>
  <c r="N269" i="1"/>
  <c r="S268" i="1"/>
  <c r="R268" i="1"/>
  <c r="Q268" i="1"/>
  <c r="P268" i="1"/>
  <c r="O268" i="1"/>
  <c r="N268" i="1"/>
  <c r="S267" i="1"/>
  <c r="R267" i="1"/>
  <c r="Q267" i="1"/>
  <c r="P267" i="1"/>
  <c r="O267" i="1"/>
  <c r="N267" i="1"/>
  <c r="S266" i="1"/>
  <c r="R266" i="1"/>
  <c r="Q266" i="1"/>
  <c r="P266" i="1"/>
  <c r="O266" i="1"/>
  <c r="N266" i="1"/>
  <c r="S265" i="1"/>
  <c r="R265" i="1"/>
  <c r="Q265" i="1"/>
  <c r="P265" i="1"/>
  <c r="O265" i="1"/>
  <c r="N265" i="1"/>
  <c r="S264" i="1"/>
  <c r="R264" i="1"/>
  <c r="Q264" i="1"/>
  <c r="P264" i="1"/>
  <c r="O264" i="1"/>
  <c r="N264" i="1"/>
  <c r="S263" i="1"/>
  <c r="R263" i="1"/>
  <c r="Q263" i="1"/>
  <c r="P263" i="1"/>
  <c r="O263" i="1"/>
  <c r="N263" i="1"/>
  <c r="S262" i="1"/>
  <c r="R262" i="1"/>
  <c r="Q262" i="1"/>
  <c r="P262" i="1"/>
  <c r="O262" i="1"/>
  <c r="N262" i="1"/>
  <c r="S261" i="1"/>
  <c r="R261" i="1"/>
  <c r="Q261" i="1"/>
  <c r="P261" i="1"/>
  <c r="O261" i="1"/>
  <c r="N261" i="1"/>
  <c r="S260" i="1"/>
  <c r="R260" i="1"/>
  <c r="Q260" i="1"/>
  <c r="P260" i="1"/>
  <c r="O260" i="1"/>
  <c r="N260" i="1"/>
  <c r="S259" i="1"/>
  <c r="R259" i="1"/>
  <c r="Q259" i="1"/>
  <c r="P259" i="1"/>
  <c r="O259" i="1"/>
  <c r="N259" i="1"/>
  <c r="S258" i="1"/>
  <c r="R258" i="1"/>
  <c r="Q258" i="1"/>
  <c r="P258" i="1"/>
  <c r="O258" i="1"/>
  <c r="N258" i="1"/>
  <c r="S257" i="1"/>
  <c r="R257" i="1"/>
  <c r="Q257" i="1"/>
  <c r="P257" i="1"/>
  <c r="O257" i="1"/>
  <c r="N257" i="1"/>
  <c r="S256" i="1"/>
  <c r="R256" i="1"/>
  <c r="Q256" i="1"/>
  <c r="P256" i="1"/>
  <c r="O256" i="1"/>
  <c r="N256" i="1"/>
  <c r="S255" i="1"/>
  <c r="R255" i="1"/>
  <c r="Q255" i="1"/>
  <c r="P255" i="1"/>
  <c r="O255" i="1"/>
  <c r="N255" i="1"/>
  <c r="S254" i="1"/>
  <c r="R254" i="1"/>
  <c r="Q254" i="1"/>
  <c r="P254" i="1"/>
  <c r="O254" i="1"/>
  <c r="N254" i="1"/>
  <c r="S253" i="1"/>
  <c r="R253" i="1"/>
  <c r="Q253" i="1"/>
  <c r="P253" i="1"/>
  <c r="O253" i="1"/>
  <c r="N253" i="1"/>
  <c r="S252" i="1"/>
  <c r="R252" i="1"/>
  <c r="Q252" i="1"/>
  <c r="P252" i="1"/>
  <c r="O252" i="1"/>
  <c r="N252" i="1"/>
  <c r="S251" i="1"/>
  <c r="R251" i="1"/>
  <c r="Q251" i="1"/>
  <c r="P251" i="1"/>
  <c r="O251" i="1"/>
  <c r="N251" i="1"/>
  <c r="S250" i="1"/>
  <c r="R250" i="1"/>
  <c r="Q250" i="1"/>
  <c r="P250" i="1"/>
  <c r="O250" i="1"/>
  <c r="N250" i="1"/>
  <c r="S249" i="1"/>
  <c r="R249" i="1"/>
  <c r="Q249" i="1"/>
  <c r="P249" i="1"/>
  <c r="O249" i="1"/>
  <c r="N249" i="1"/>
  <c r="S248" i="1"/>
  <c r="R248" i="1"/>
  <c r="Q248" i="1"/>
  <c r="P248" i="1"/>
  <c r="O248" i="1"/>
  <c r="N248" i="1"/>
  <c r="S247" i="1"/>
  <c r="R247" i="1"/>
  <c r="Q247" i="1"/>
  <c r="P247" i="1"/>
  <c r="O247" i="1"/>
  <c r="N247" i="1"/>
  <c r="S246" i="1"/>
  <c r="R246" i="1"/>
  <c r="Q246" i="1"/>
  <c r="P246" i="1"/>
  <c r="O246" i="1"/>
  <c r="N246" i="1"/>
  <c r="S245" i="1"/>
  <c r="R245" i="1"/>
  <c r="Q245" i="1"/>
  <c r="P245" i="1"/>
  <c r="O245" i="1"/>
  <c r="N245" i="1"/>
  <c r="S244" i="1"/>
  <c r="R244" i="1"/>
  <c r="Q244" i="1"/>
  <c r="P244" i="1"/>
  <c r="O244" i="1"/>
  <c r="N244" i="1"/>
  <c r="S243" i="1"/>
  <c r="R243" i="1"/>
  <c r="Q243" i="1"/>
  <c r="P243" i="1"/>
  <c r="O243" i="1"/>
  <c r="N243" i="1"/>
  <c r="S242" i="1"/>
  <c r="R242" i="1"/>
  <c r="Q242" i="1"/>
  <c r="P242" i="1"/>
  <c r="O242" i="1"/>
  <c r="N242" i="1"/>
  <c r="S241" i="1"/>
  <c r="R241" i="1"/>
  <c r="Q241" i="1"/>
  <c r="P241" i="1"/>
  <c r="O241" i="1"/>
  <c r="N241" i="1"/>
  <c r="S240" i="1"/>
  <c r="R240" i="1"/>
  <c r="Q240" i="1"/>
  <c r="P240" i="1"/>
  <c r="O240" i="1"/>
  <c r="N240" i="1"/>
  <c r="S239" i="1"/>
  <c r="R239" i="1"/>
  <c r="Q239" i="1"/>
  <c r="P239" i="1"/>
  <c r="O239" i="1"/>
  <c r="N239" i="1"/>
  <c r="S238" i="1"/>
  <c r="R238" i="1"/>
  <c r="Q238" i="1"/>
  <c r="P238" i="1"/>
  <c r="O238" i="1"/>
  <c r="N238" i="1"/>
  <c r="S237" i="1"/>
  <c r="R237" i="1"/>
  <c r="Q237" i="1"/>
  <c r="P237" i="1"/>
  <c r="O237" i="1"/>
  <c r="N237" i="1"/>
  <c r="S236" i="1"/>
  <c r="R236" i="1"/>
  <c r="Q236" i="1"/>
  <c r="P236" i="1"/>
  <c r="O236" i="1"/>
  <c r="N236" i="1"/>
  <c r="S235" i="1"/>
  <c r="R235" i="1"/>
  <c r="Q235" i="1"/>
  <c r="P235" i="1"/>
  <c r="O235" i="1"/>
  <c r="N235" i="1"/>
  <c r="S234" i="1"/>
  <c r="R234" i="1"/>
  <c r="Q234" i="1"/>
  <c r="P234" i="1"/>
  <c r="O234" i="1"/>
  <c r="N234" i="1"/>
  <c r="S233" i="1"/>
  <c r="R233" i="1"/>
  <c r="Q233" i="1"/>
  <c r="P233" i="1"/>
  <c r="O233" i="1"/>
  <c r="N233" i="1"/>
  <c r="S232" i="1"/>
  <c r="R232" i="1"/>
  <c r="Q232" i="1"/>
  <c r="P232" i="1"/>
  <c r="O232" i="1"/>
  <c r="N232" i="1"/>
  <c r="S231" i="1"/>
  <c r="R231" i="1"/>
  <c r="Q231" i="1"/>
  <c r="P231" i="1"/>
  <c r="O231" i="1"/>
  <c r="N231" i="1"/>
  <c r="S230" i="1"/>
  <c r="R230" i="1"/>
  <c r="Q230" i="1"/>
  <c r="P230" i="1"/>
  <c r="O230" i="1"/>
  <c r="N230" i="1"/>
  <c r="S229" i="1"/>
  <c r="R229" i="1"/>
  <c r="Q229" i="1"/>
  <c r="P229" i="1"/>
  <c r="O229" i="1"/>
  <c r="N229" i="1"/>
  <c r="S228" i="1"/>
  <c r="R228" i="1"/>
  <c r="Q228" i="1"/>
  <c r="P228" i="1"/>
  <c r="O228" i="1"/>
  <c r="N228" i="1"/>
  <c r="S227" i="1"/>
  <c r="R227" i="1"/>
  <c r="Q227" i="1"/>
  <c r="P227" i="1"/>
  <c r="O227" i="1"/>
  <c r="N227" i="1"/>
  <c r="S226" i="1"/>
  <c r="R226" i="1"/>
  <c r="Q226" i="1"/>
  <c r="P226" i="1"/>
  <c r="O226" i="1"/>
  <c r="N226" i="1"/>
  <c r="S225" i="1"/>
  <c r="R225" i="1"/>
  <c r="Q225" i="1"/>
  <c r="P225" i="1"/>
  <c r="O225" i="1"/>
  <c r="N225" i="1"/>
  <c r="S224" i="1"/>
  <c r="R224" i="1"/>
  <c r="Q224" i="1"/>
  <c r="P224" i="1"/>
  <c r="O224" i="1"/>
  <c r="N224" i="1"/>
  <c r="S223" i="1"/>
  <c r="R223" i="1"/>
  <c r="Q223" i="1"/>
  <c r="P223" i="1"/>
  <c r="O223" i="1"/>
  <c r="N223" i="1"/>
  <c r="S222" i="1"/>
  <c r="R222" i="1"/>
  <c r="Q222" i="1"/>
  <c r="P222" i="1"/>
  <c r="O222" i="1"/>
  <c r="N222" i="1"/>
  <c r="S221" i="1"/>
  <c r="R221" i="1"/>
  <c r="Q221" i="1"/>
  <c r="P221" i="1"/>
  <c r="O221" i="1"/>
  <c r="N221" i="1"/>
  <c r="S220" i="1"/>
  <c r="R220" i="1"/>
  <c r="Q220" i="1"/>
  <c r="P220" i="1"/>
  <c r="O220" i="1"/>
  <c r="N220" i="1"/>
  <c r="S219" i="1"/>
  <c r="R219" i="1"/>
  <c r="Q219" i="1"/>
  <c r="P219" i="1"/>
  <c r="O219" i="1"/>
  <c r="N219" i="1"/>
  <c r="S218" i="1"/>
  <c r="R218" i="1"/>
  <c r="Q218" i="1"/>
  <c r="P218" i="1"/>
  <c r="O218" i="1"/>
  <c r="N218" i="1"/>
  <c r="S217" i="1"/>
  <c r="R217" i="1"/>
  <c r="Q217" i="1"/>
  <c r="P217" i="1"/>
  <c r="O217" i="1"/>
  <c r="N217" i="1"/>
  <c r="S216" i="1"/>
  <c r="R216" i="1"/>
  <c r="Q216" i="1"/>
  <c r="P216" i="1"/>
  <c r="O216" i="1"/>
  <c r="N216" i="1"/>
  <c r="S215" i="1"/>
  <c r="R215" i="1"/>
  <c r="Q215" i="1"/>
  <c r="P215" i="1"/>
  <c r="O215" i="1"/>
  <c r="N215" i="1"/>
  <c r="S214" i="1"/>
  <c r="R214" i="1"/>
  <c r="Q214" i="1"/>
  <c r="P214" i="1"/>
  <c r="O214" i="1"/>
  <c r="N214" i="1"/>
  <c r="S213" i="1"/>
  <c r="R213" i="1"/>
  <c r="Q213" i="1"/>
  <c r="P213" i="1"/>
  <c r="O213" i="1"/>
  <c r="N213" i="1"/>
  <c r="S212" i="1"/>
  <c r="R212" i="1"/>
  <c r="Q212" i="1"/>
  <c r="P212" i="1"/>
  <c r="O212" i="1"/>
  <c r="N212" i="1"/>
  <c r="S211" i="1"/>
  <c r="R211" i="1"/>
  <c r="Q211" i="1"/>
  <c r="P211" i="1"/>
  <c r="O211" i="1"/>
  <c r="N211" i="1"/>
  <c r="S210" i="1"/>
  <c r="R210" i="1"/>
  <c r="Q210" i="1"/>
  <c r="P210" i="1"/>
  <c r="O210" i="1"/>
  <c r="N210" i="1"/>
  <c r="S209" i="1"/>
  <c r="R209" i="1"/>
  <c r="Q209" i="1"/>
  <c r="P209" i="1"/>
  <c r="O209" i="1"/>
  <c r="N209" i="1"/>
  <c r="S208" i="1"/>
  <c r="R208" i="1"/>
  <c r="Q208" i="1"/>
  <c r="P208" i="1"/>
  <c r="O208" i="1"/>
  <c r="N208" i="1"/>
  <c r="S207" i="1"/>
  <c r="R207" i="1"/>
  <c r="Q207" i="1"/>
  <c r="P207" i="1"/>
  <c r="O207" i="1"/>
  <c r="N207" i="1"/>
  <c r="S206" i="1"/>
  <c r="R206" i="1"/>
  <c r="Q206" i="1"/>
  <c r="P206" i="1"/>
  <c r="O206" i="1"/>
  <c r="N206" i="1"/>
  <c r="S205" i="1"/>
  <c r="R205" i="1"/>
  <c r="Q205" i="1"/>
  <c r="P205" i="1"/>
  <c r="O205" i="1"/>
  <c r="N205" i="1"/>
  <c r="S204" i="1"/>
  <c r="R204" i="1"/>
  <c r="Q204" i="1"/>
  <c r="P204" i="1"/>
  <c r="O204" i="1"/>
  <c r="N204" i="1"/>
  <c r="S203" i="1"/>
  <c r="R203" i="1"/>
  <c r="Q203" i="1"/>
  <c r="P203" i="1"/>
  <c r="O203" i="1"/>
  <c r="N203" i="1"/>
  <c r="S202" i="1"/>
  <c r="R202" i="1"/>
  <c r="Q202" i="1"/>
  <c r="P202" i="1"/>
  <c r="O202" i="1"/>
  <c r="N202" i="1"/>
  <c r="S201" i="1"/>
  <c r="R201" i="1"/>
  <c r="Q201" i="1"/>
  <c r="P201" i="1"/>
  <c r="O201" i="1"/>
  <c r="N201" i="1"/>
  <c r="S200" i="1"/>
  <c r="R200" i="1"/>
  <c r="Q200" i="1"/>
  <c r="P200" i="1"/>
  <c r="O200" i="1"/>
  <c r="N200" i="1"/>
  <c r="S199" i="1"/>
  <c r="R199" i="1"/>
  <c r="Q199" i="1"/>
  <c r="P199" i="1"/>
  <c r="O199" i="1"/>
  <c r="N199" i="1"/>
  <c r="S198" i="1"/>
  <c r="R198" i="1"/>
  <c r="Q198" i="1"/>
  <c r="P198" i="1"/>
  <c r="O198" i="1"/>
  <c r="N198" i="1"/>
  <c r="S197" i="1"/>
  <c r="R197" i="1"/>
  <c r="Q197" i="1"/>
  <c r="P197" i="1"/>
  <c r="O197" i="1"/>
  <c r="N197" i="1"/>
  <c r="S196" i="1"/>
  <c r="R196" i="1"/>
  <c r="Q196" i="1"/>
  <c r="P196" i="1"/>
  <c r="O196" i="1"/>
  <c r="N196" i="1"/>
  <c r="S195" i="1"/>
  <c r="R195" i="1"/>
  <c r="Q195" i="1"/>
  <c r="P195" i="1"/>
  <c r="O195" i="1"/>
  <c r="N195" i="1"/>
  <c r="S194" i="1"/>
  <c r="R194" i="1"/>
  <c r="Q194" i="1"/>
  <c r="P194" i="1"/>
  <c r="O194" i="1"/>
  <c r="N194" i="1"/>
  <c r="S193" i="1"/>
  <c r="R193" i="1"/>
  <c r="Q193" i="1"/>
  <c r="P193" i="1"/>
  <c r="O193" i="1"/>
  <c r="N193" i="1"/>
  <c r="S192" i="1"/>
  <c r="R192" i="1"/>
  <c r="Q192" i="1"/>
  <c r="P192" i="1"/>
  <c r="O192" i="1"/>
  <c r="N192" i="1"/>
  <c r="S191" i="1"/>
  <c r="R191" i="1"/>
  <c r="Q191" i="1"/>
  <c r="P191" i="1"/>
  <c r="O191" i="1"/>
  <c r="N191" i="1"/>
  <c r="S190" i="1"/>
  <c r="R190" i="1"/>
  <c r="Q190" i="1"/>
  <c r="P190" i="1"/>
  <c r="O190" i="1"/>
  <c r="N190" i="1"/>
  <c r="S189" i="1"/>
  <c r="R189" i="1"/>
  <c r="Q189" i="1"/>
  <c r="P189" i="1"/>
  <c r="O189" i="1"/>
  <c r="N189" i="1"/>
  <c r="S188" i="1"/>
  <c r="R188" i="1"/>
  <c r="Q188" i="1"/>
  <c r="P188" i="1"/>
  <c r="O188" i="1"/>
  <c r="N188" i="1"/>
  <c r="S187" i="1"/>
  <c r="R187" i="1"/>
  <c r="Q187" i="1"/>
  <c r="P187" i="1"/>
  <c r="O187" i="1"/>
  <c r="N187" i="1"/>
  <c r="S186" i="1"/>
  <c r="R186" i="1"/>
  <c r="Q186" i="1"/>
  <c r="P186" i="1"/>
  <c r="O186" i="1"/>
  <c r="N186" i="1"/>
  <c r="S185" i="1"/>
  <c r="R185" i="1"/>
  <c r="Q185" i="1"/>
  <c r="P185" i="1"/>
  <c r="O185" i="1"/>
  <c r="N185" i="1"/>
  <c r="S184" i="1"/>
  <c r="R184" i="1"/>
  <c r="Q184" i="1"/>
  <c r="P184" i="1"/>
  <c r="O184" i="1"/>
  <c r="N184" i="1"/>
  <c r="S183" i="1"/>
  <c r="R183" i="1"/>
  <c r="Q183" i="1"/>
  <c r="P183" i="1"/>
  <c r="O183" i="1"/>
  <c r="N183" i="1"/>
  <c r="S182" i="1"/>
  <c r="R182" i="1"/>
  <c r="Q182" i="1"/>
  <c r="P182" i="1"/>
  <c r="O182" i="1"/>
  <c r="N182" i="1"/>
  <c r="S181" i="1"/>
  <c r="R181" i="1"/>
  <c r="Q181" i="1"/>
  <c r="P181" i="1"/>
  <c r="O181" i="1"/>
  <c r="N181" i="1"/>
  <c r="S180" i="1"/>
  <c r="R180" i="1"/>
  <c r="Q180" i="1"/>
  <c r="P180" i="1"/>
  <c r="O180" i="1"/>
  <c r="N180" i="1"/>
  <c r="S179" i="1"/>
  <c r="R179" i="1"/>
  <c r="Q179" i="1"/>
  <c r="P179" i="1"/>
  <c r="O179" i="1"/>
  <c r="N179" i="1"/>
  <c r="S178" i="1"/>
  <c r="R178" i="1"/>
  <c r="Q178" i="1"/>
  <c r="P178" i="1"/>
  <c r="O178" i="1"/>
  <c r="N178" i="1"/>
  <c r="S177" i="1"/>
  <c r="R177" i="1"/>
  <c r="Q177" i="1"/>
  <c r="P177" i="1"/>
  <c r="O177" i="1"/>
  <c r="N177" i="1"/>
  <c r="S176" i="1"/>
  <c r="R176" i="1"/>
  <c r="Q176" i="1"/>
  <c r="P176" i="1"/>
  <c r="O176" i="1"/>
  <c r="N176" i="1"/>
  <c r="S175" i="1"/>
  <c r="R175" i="1"/>
  <c r="Q175" i="1"/>
  <c r="P175" i="1"/>
  <c r="O175" i="1"/>
  <c r="N175" i="1"/>
  <c r="S174" i="1"/>
  <c r="R174" i="1"/>
  <c r="Q174" i="1"/>
  <c r="P174" i="1"/>
  <c r="O174" i="1"/>
  <c r="N174" i="1"/>
  <c r="S173" i="1"/>
  <c r="R173" i="1"/>
  <c r="Q173" i="1"/>
  <c r="P173" i="1"/>
  <c r="O173" i="1"/>
  <c r="N173" i="1"/>
  <c r="S172" i="1"/>
  <c r="R172" i="1"/>
  <c r="Q172" i="1"/>
  <c r="P172" i="1"/>
  <c r="O172" i="1"/>
  <c r="N172" i="1"/>
  <c r="S171" i="1"/>
  <c r="R171" i="1"/>
  <c r="Q171" i="1"/>
  <c r="P171" i="1"/>
  <c r="O171" i="1"/>
  <c r="N171" i="1"/>
  <c r="S170" i="1"/>
  <c r="R170" i="1"/>
  <c r="Q170" i="1"/>
  <c r="P170" i="1"/>
  <c r="O170" i="1"/>
  <c r="N170" i="1"/>
  <c r="S169" i="1"/>
  <c r="R169" i="1"/>
  <c r="Q169" i="1"/>
  <c r="P169" i="1"/>
  <c r="O169" i="1"/>
  <c r="N169" i="1"/>
  <c r="S168" i="1"/>
  <c r="R168" i="1"/>
  <c r="Q168" i="1"/>
  <c r="P168" i="1"/>
  <c r="O168" i="1"/>
  <c r="N168" i="1"/>
  <c r="S167" i="1"/>
  <c r="R167" i="1"/>
  <c r="Q167" i="1"/>
  <c r="P167" i="1"/>
  <c r="O167" i="1"/>
  <c r="N167" i="1"/>
  <c r="S166" i="1"/>
  <c r="R166" i="1"/>
  <c r="Q166" i="1"/>
  <c r="P166" i="1"/>
  <c r="O166" i="1"/>
  <c r="N166" i="1"/>
  <c r="S165" i="1"/>
  <c r="R165" i="1"/>
  <c r="Q165" i="1"/>
  <c r="P165" i="1"/>
  <c r="O165" i="1"/>
  <c r="N165" i="1"/>
  <c r="S164" i="1"/>
  <c r="R164" i="1"/>
  <c r="Q164" i="1"/>
  <c r="P164" i="1"/>
  <c r="O164" i="1"/>
  <c r="N164" i="1"/>
  <c r="S163" i="1"/>
  <c r="R163" i="1"/>
  <c r="Q163" i="1"/>
  <c r="P163" i="1"/>
  <c r="O163" i="1"/>
  <c r="N163" i="1"/>
  <c r="S162" i="1"/>
  <c r="R162" i="1"/>
  <c r="Q162" i="1"/>
  <c r="P162" i="1"/>
  <c r="O162" i="1"/>
  <c r="N162" i="1"/>
  <c r="S161" i="1"/>
  <c r="R161" i="1"/>
  <c r="Q161" i="1"/>
  <c r="P161" i="1"/>
  <c r="O161" i="1"/>
  <c r="N161" i="1"/>
  <c r="S160" i="1"/>
  <c r="R160" i="1"/>
  <c r="Q160" i="1"/>
  <c r="P160" i="1"/>
  <c r="O160" i="1"/>
  <c r="N160" i="1"/>
  <c r="S159" i="1"/>
  <c r="R159" i="1"/>
  <c r="Q159" i="1"/>
  <c r="P159" i="1"/>
  <c r="O159" i="1"/>
  <c r="N159" i="1"/>
  <c r="S158" i="1"/>
  <c r="R158" i="1"/>
  <c r="Q158" i="1"/>
  <c r="P158" i="1"/>
  <c r="O158" i="1"/>
  <c r="N158" i="1"/>
  <c r="S157" i="1"/>
  <c r="R157" i="1"/>
  <c r="Q157" i="1"/>
  <c r="P157" i="1"/>
  <c r="O157" i="1"/>
  <c r="N157" i="1"/>
  <c r="S156" i="1"/>
  <c r="R156" i="1"/>
  <c r="Q156" i="1"/>
  <c r="P156" i="1"/>
  <c r="O156" i="1"/>
  <c r="N156" i="1"/>
  <c r="S155" i="1"/>
  <c r="R155" i="1"/>
  <c r="Q155" i="1"/>
  <c r="P155" i="1"/>
  <c r="O155" i="1"/>
  <c r="N155" i="1"/>
  <c r="S154" i="1"/>
  <c r="R154" i="1"/>
  <c r="Q154" i="1"/>
  <c r="P154" i="1"/>
  <c r="O154" i="1"/>
  <c r="N154" i="1"/>
  <c r="S153" i="1"/>
  <c r="R153" i="1"/>
  <c r="Q153" i="1"/>
  <c r="P153" i="1"/>
  <c r="O153" i="1"/>
  <c r="N153" i="1"/>
  <c r="S152" i="1"/>
  <c r="R152" i="1"/>
  <c r="Q152" i="1"/>
  <c r="P152" i="1"/>
  <c r="O152" i="1"/>
  <c r="N152" i="1"/>
  <c r="S151" i="1"/>
  <c r="R151" i="1"/>
  <c r="Q151" i="1"/>
  <c r="P151" i="1"/>
  <c r="O151" i="1"/>
  <c r="N151" i="1"/>
  <c r="S150" i="1"/>
  <c r="R150" i="1"/>
  <c r="Q150" i="1"/>
  <c r="P150" i="1"/>
  <c r="O150" i="1"/>
  <c r="N150" i="1"/>
  <c r="S149" i="1"/>
  <c r="R149" i="1"/>
  <c r="Q149" i="1"/>
  <c r="P149" i="1"/>
  <c r="O149" i="1"/>
  <c r="N149" i="1"/>
  <c r="S148" i="1"/>
  <c r="R148" i="1"/>
  <c r="Q148" i="1"/>
  <c r="P148" i="1"/>
  <c r="O148" i="1"/>
  <c r="N148" i="1"/>
  <c r="S147" i="1"/>
  <c r="R147" i="1"/>
  <c r="Q147" i="1"/>
  <c r="P147" i="1"/>
  <c r="O147" i="1"/>
  <c r="N147" i="1"/>
  <c r="S146" i="1"/>
  <c r="R146" i="1"/>
  <c r="Q146" i="1"/>
  <c r="P146" i="1"/>
  <c r="O146" i="1"/>
  <c r="N146" i="1"/>
  <c r="S145" i="1"/>
  <c r="R145" i="1"/>
  <c r="Q145" i="1"/>
  <c r="P145" i="1"/>
  <c r="O145" i="1"/>
  <c r="N145" i="1"/>
  <c r="S144" i="1"/>
  <c r="R144" i="1"/>
  <c r="Q144" i="1"/>
  <c r="P144" i="1"/>
  <c r="O144" i="1"/>
  <c r="N144" i="1"/>
  <c r="S143" i="1"/>
  <c r="R143" i="1"/>
  <c r="Q143" i="1"/>
  <c r="P143" i="1"/>
  <c r="O143" i="1"/>
  <c r="N143" i="1"/>
  <c r="S142" i="1"/>
  <c r="R142" i="1"/>
  <c r="Q142" i="1"/>
  <c r="P142" i="1"/>
  <c r="O142" i="1"/>
  <c r="N142" i="1"/>
  <c r="S141" i="1"/>
  <c r="R141" i="1"/>
  <c r="Q141" i="1"/>
  <c r="P141" i="1"/>
  <c r="O141" i="1"/>
  <c r="N141" i="1"/>
  <c r="S140" i="1"/>
  <c r="R140" i="1"/>
  <c r="Q140" i="1"/>
  <c r="P140" i="1"/>
  <c r="O140" i="1"/>
  <c r="N140" i="1"/>
  <c r="S139" i="1"/>
  <c r="R139" i="1"/>
  <c r="Q139" i="1"/>
  <c r="P139" i="1"/>
  <c r="O139" i="1"/>
  <c r="N139" i="1"/>
  <c r="S138" i="1"/>
  <c r="R138" i="1"/>
  <c r="Q138" i="1"/>
  <c r="P138" i="1"/>
  <c r="O138" i="1"/>
  <c r="N138" i="1"/>
  <c r="S137" i="1"/>
  <c r="R137" i="1"/>
  <c r="Q137" i="1"/>
  <c r="P137" i="1"/>
  <c r="O137" i="1"/>
  <c r="N137" i="1"/>
  <c r="S136" i="1"/>
  <c r="R136" i="1"/>
  <c r="Q136" i="1"/>
  <c r="P136" i="1"/>
  <c r="O136" i="1"/>
  <c r="N136" i="1"/>
  <c r="S135" i="1"/>
  <c r="R135" i="1"/>
  <c r="Q135" i="1"/>
  <c r="P135" i="1"/>
  <c r="O135" i="1"/>
  <c r="N135" i="1"/>
  <c r="S134" i="1"/>
  <c r="R134" i="1"/>
  <c r="Q134" i="1"/>
  <c r="P134" i="1"/>
  <c r="O134" i="1"/>
  <c r="N134" i="1"/>
  <c r="S133" i="1"/>
  <c r="R133" i="1"/>
  <c r="Q133" i="1"/>
  <c r="P133" i="1"/>
  <c r="O133" i="1"/>
  <c r="N133" i="1"/>
  <c r="S132" i="1"/>
  <c r="R132" i="1"/>
  <c r="Q132" i="1"/>
  <c r="P132" i="1"/>
  <c r="O132" i="1"/>
  <c r="N132" i="1"/>
  <c r="S131" i="1"/>
  <c r="R131" i="1"/>
  <c r="Q131" i="1"/>
  <c r="P131" i="1"/>
  <c r="O131" i="1"/>
  <c r="N131" i="1"/>
  <c r="S130" i="1"/>
  <c r="R130" i="1"/>
  <c r="Q130" i="1"/>
  <c r="P130" i="1"/>
  <c r="O130" i="1"/>
  <c r="N130" i="1"/>
  <c r="S129" i="1"/>
  <c r="R129" i="1"/>
  <c r="Q129" i="1"/>
  <c r="P129" i="1"/>
  <c r="O129" i="1"/>
  <c r="N129" i="1"/>
  <c r="S128" i="1"/>
  <c r="R128" i="1"/>
  <c r="Q128" i="1"/>
  <c r="P128" i="1"/>
  <c r="O128" i="1"/>
  <c r="N128" i="1"/>
  <c r="S127" i="1"/>
  <c r="R127" i="1"/>
  <c r="Q127" i="1"/>
  <c r="P127" i="1"/>
  <c r="O127" i="1"/>
  <c r="N127" i="1"/>
  <c r="S126" i="1"/>
  <c r="R126" i="1"/>
  <c r="Q126" i="1"/>
  <c r="P126" i="1"/>
  <c r="O126" i="1"/>
  <c r="N126" i="1"/>
  <c r="S125" i="1"/>
  <c r="R125" i="1"/>
  <c r="Q125" i="1"/>
  <c r="P125" i="1"/>
  <c r="O125" i="1"/>
  <c r="N125" i="1"/>
  <c r="S124" i="1"/>
  <c r="R124" i="1"/>
  <c r="Q124" i="1"/>
  <c r="P124" i="1"/>
  <c r="O124" i="1"/>
  <c r="N124" i="1"/>
  <c r="S123" i="1"/>
  <c r="R123" i="1"/>
  <c r="Q123" i="1"/>
  <c r="P123" i="1"/>
  <c r="O123" i="1"/>
  <c r="N123" i="1"/>
  <c r="S122" i="1"/>
  <c r="R122" i="1"/>
  <c r="Q122" i="1"/>
  <c r="P122" i="1"/>
  <c r="O122" i="1"/>
  <c r="N122" i="1"/>
  <c r="S121" i="1"/>
  <c r="R121" i="1"/>
  <c r="Q121" i="1"/>
  <c r="P121" i="1"/>
  <c r="O121" i="1"/>
  <c r="N121" i="1"/>
  <c r="S120" i="1"/>
  <c r="R120" i="1"/>
  <c r="Q120" i="1"/>
  <c r="P120" i="1"/>
  <c r="O120" i="1"/>
  <c r="N120" i="1"/>
  <c r="S119" i="1"/>
  <c r="R119" i="1"/>
  <c r="Q119" i="1"/>
  <c r="P119" i="1"/>
  <c r="O119" i="1"/>
  <c r="N119" i="1"/>
  <c r="S118" i="1"/>
  <c r="R118" i="1"/>
  <c r="Q118" i="1"/>
  <c r="P118" i="1"/>
  <c r="O118" i="1"/>
  <c r="N118" i="1"/>
  <c r="S117" i="1"/>
  <c r="R117" i="1"/>
  <c r="Q117" i="1"/>
  <c r="P117" i="1"/>
  <c r="O117" i="1"/>
  <c r="N117" i="1"/>
  <c r="S116" i="1"/>
  <c r="R116" i="1"/>
  <c r="Q116" i="1"/>
  <c r="P116" i="1"/>
  <c r="O116" i="1"/>
  <c r="N116" i="1"/>
  <c r="S115" i="1"/>
  <c r="R115" i="1"/>
  <c r="Q115" i="1"/>
  <c r="P115" i="1"/>
  <c r="O115" i="1"/>
  <c r="N115" i="1"/>
  <c r="S114" i="1"/>
  <c r="R114" i="1"/>
  <c r="Q114" i="1"/>
  <c r="P114" i="1"/>
  <c r="O114" i="1"/>
  <c r="N114" i="1"/>
  <c r="S113" i="1"/>
  <c r="R113" i="1"/>
  <c r="Q113" i="1"/>
  <c r="P113" i="1"/>
  <c r="O113" i="1"/>
  <c r="N113" i="1"/>
  <c r="S112" i="1"/>
  <c r="R112" i="1"/>
  <c r="Q112" i="1"/>
  <c r="P112" i="1"/>
  <c r="O112" i="1"/>
  <c r="N112" i="1"/>
  <c r="S111" i="1"/>
  <c r="R111" i="1"/>
  <c r="Q111" i="1"/>
  <c r="P111" i="1"/>
  <c r="O111" i="1"/>
  <c r="N111" i="1"/>
  <c r="S110" i="1"/>
  <c r="R110" i="1"/>
  <c r="Q110" i="1"/>
  <c r="P110" i="1"/>
  <c r="O110" i="1"/>
  <c r="N110" i="1"/>
  <c r="S109" i="1"/>
  <c r="R109" i="1"/>
  <c r="Q109" i="1"/>
  <c r="P109" i="1"/>
  <c r="O109" i="1"/>
  <c r="N109" i="1"/>
  <c r="S108" i="1"/>
  <c r="R108" i="1"/>
  <c r="Q108" i="1"/>
  <c r="P108" i="1"/>
  <c r="O108" i="1"/>
  <c r="N108" i="1"/>
  <c r="S107" i="1"/>
  <c r="R107" i="1"/>
  <c r="Q107" i="1"/>
  <c r="P107" i="1"/>
  <c r="O107" i="1"/>
  <c r="N107" i="1"/>
  <c r="S106" i="1"/>
  <c r="R106" i="1"/>
  <c r="Q106" i="1"/>
  <c r="P106" i="1"/>
  <c r="O106" i="1"/>
  <c r="N106" i="1"/>
  <c r="S105" i="1"/>
  <c r="R105" i="1"/>
  <c r="Q105" i="1"/>
  <c r="P105" i="1"/>
  <c r="O105" i="1"/>
  <c r="N105" i="1"/>
  <c r="S104" i="1"/>
  <c r="R104" i="1"/>
  <c r="Q104" i="1"/>
  <c r="P104" i="1"/>
  <c r="O104" i="1"/>
  <c r="N104" i="1"/>
  <c r="S103" i="1"/>
  <c r="R103" i="1"/>
  <c r="Q103" i="1"/>
  <c r="P103" i="1"/>
  <c r="O103" i="1"/>
  <c r="N103" i="1"/>
  <c r="S102" i="1"/>
  <c r="R102" i="1"/>
  <c r="Q102" i="1"/>
  <c r="P102" i="1"/>
  <c r="O102" i="1"/>
  <c r="N102" i="1"/>
  <c r="S101" i="1"/>
  <c r="R101" i="1"/>
  <c r="Q101" i="1"/>
  <c r="P101" i="1"/>
  <c r="O101" i="1"/>
  <c r="N101" i="1"/>
  <c r="S100" i="1"/>
  <c r="R100" i="1"/>
  <c r="Q100" i="1"/>
  <c r="P100" i="1"/>
  <c r="O100" i="1"/>
  <c r="N100" i="1"/>
  <c r="S99" i="1"/>
  <c r="R99" i="1"/>
  <c r="Q99" i="1"/>
  <c r="P99" i="1"/>
  <c r="O99" i="1"/>
  <c r="N99" i="1"/>
  <c r="S98" i="1"/>
  <c r="R98" i="1"/>
  <c r="Q98" i="1"/>
  <c r="P98" i="1"/>
  <c r="O98" i="1"/>
  <c r="N98" i="1"/>
  <c r="S97" i="1"/>
  <c r="R97" i="1"/>
  <c r="Q97" i="1"/>
  <c r="P97" i="1"/>
  <c r="O97" i="1"/>
  <c r="N97" i="1"/>
  <c r="S96" i="1"/>
  <c r="R96" i="1"/>
  <c r="Q96" i="1"/>
  <c r="P96" i="1"/>
  <c r="O96" i="1"/>
  <c r="N96" i="1"/>
  <c r="S95" i="1"/>
  <c r="R95" i="1"/>
  <c r="Q95" i="1"/>
  <c r="P95" i="1"/>
  <c r="O95" i="1"/>
  <c r="N95" i="1"/>
  <c r="S94" i="1"/>
  <c r="R94" i="1"/>
  <c r="Q94" i="1"/>
  <c r="P94" i="1"/>
  <c r="O94" i="1"/>
  <c r="N94" i="1"/>
  <c r="S93" i="1"/>
  <c r="R93" i="1"/>
  <c r="Q93" i="1"/>
  <c r="P93" i="1"/>
  <c r="O93" i="1"/>
  <c r="N93" i="1"/>
  <c r="S92" i="1"/>
  <c r="R92" i="1"/>
  <c r="Q92" i="1"/>
  <c r="P92" i="1"/>
  <c r="O92" i="1"/>
  <c r="N92" i="1"/>
  <c r="S91" i="1"/>
  <c r="R91" i="1"/>
  <c r="Q91" i="1"/>
  <c r="P91" i="1"/>
  <c r="O91" i="1"/>
  <c r="N91" i="1"/>
  <c r="S90" i="1"/>
  <c r="R90" i="1"/>
  <c r="Q90" i="1"/>
  <c r="P90" i="1"/>
  <c r="O90" i="1"/>
  <c r="N90" i="1"/>
  <c r="S89" i="1"/>
  <c r="R89" i="1"/>
  <c r="Q89" i="1"/>
  <c r="P89" i="1"/>
  <c r="O89" i="1"/>
  <c r="N89" i="1"/>
  <c r="S88" i="1"/>
  <c r="R88" i="1"/>
  <c r="Q88" i="1"/>
  <c r="P88" i="1"/>
  <c r="O88" i="1"/>
  <c r="N88" i="1"/>
  <c r="S87" i="1"/>
  <c r="R87" i="1"/>
  <c r="Q87" i="1"/>
  <c r="P87" i="1"/>
  <c r="O87" i="1"/>
  <c r="N87" i="1"/>
  <c r="S86" i="1"/>
  <c r="R86" i="1"/>
  <c r="Q86" i="1"/>
  <c r="P86" i="1"/>
  <c r="O86" i="1"/>
  <c r="N86" i="1"/>
  <c r="S85" i="1"/>
  <c r="R85" i="1"/>
  <c r="Q85" i="1"/>
  <c r="P85" i="1"/>
  <c r="O85" i="1"/>
  <c r="N85" i="1"/>
  <c r="S84" i="1"/>
  <c r="R84" i="1"/>
  <c r="Q84" i="1"/>
  <c r="P84" i="1"/>
  <c r="O84" i="1"/>
  <c r="N84" i="1"/>
  <c r="S83" i="1"/>
  <c r="R83" i="1"/>
  <c r="Q83" i="1"/>
  <c r="P83" i="1"/>
  <c r="O83" i="1"/>
  <c r="N83" i="1"/>
  <c r="S82" i="1"/>
  <c r="R82" i="1"/>
  <c r="Q82" i="1"/>
  <c r="P82" i="1"/>
  <c r="O82" i="1"/>
  <c r="N82" i="1"/>
  <c r="S81" i="1"/>
  <c r="R81" i="1"/>
  <c r="Q81" i="1"/>
  <c r="P81" i="1"/>
  <c r="O81" i="1"/>
  <c r="N81" i="1"/>
  <c r="S80" i="1"/>
  <c r="R80" i="1"/>
  <c r="Q80" i="1"/>
  <c r="P80" i="1"/>
  <c r="O80" i="1"/>
  <c r="N80" i="1"/>
  <c r="S79" i="1"/>
  <c r="R79" i="1"/>
  <c r="Q79" i="1"/>
  <c r="P79" i="1"/>
  <c r="O79" i="1"/>
  <c r="N79" i="1"/>
  <c r="S78" i="1"/>
  <c r="R78" i="1"/>
  <c r="Q78" i="1"/>
  <c r="P78" i="1"/>
  <c r="O78" i="1"/>
  <c r="N78" i="1"/>
  <c r="S77" i="1"/>
  <c r="R77" i="1"/>
  <c r="Q77" i="1"/>
  <c r="P77" i="1"/>
  <c r="O77" i="1"/>
  <c r="N77" i="1"/>
  <c r="S76" i="1"/>
  <c r="R76" i="1"/>
  <c r="Q76" i="1"/>
  <c r="P76" i="1"/>
  <c r="O76" i="1"/>
  <c r="N76" i="1"/>
  <c r="S75" i="1"/>
  <c r="R75" i="1"/>
  <c r="Q75" i="1"/>
  <c r="P75" i="1"/>
  <c r="O75" i="1"/>
  <c r="N75" i="1"/>
  <c r="S74" i="1"/>
  <c r="R74" i="1"/>
  <c r="Q74" i="1"/>
  <c r="P74" i="1"/>
  <c r="O74" i="1"/>
  <c r="N74" i="1"/>
  <c r="S73" i="1"/>
  <c r="R73" i="1"/>
  <c r="Q73" i="1"/>
  <c r="P73" i="1"/>
  <c r="O73" i="1"/>
  <c r="N73" i="1"/>
  <c r="S72" i="1"/>
  <c r="R72" i="1"/>
  <c r="Q72" i="1"/>
  <c r="P72" i="1"/>
  <c r="O72" i="1"/>
  <c r="N72" i="1"/>
  <c r="S71" i="1"/>
  <c r="R71" i="1"/>
  <c r="Q71" i="1"/>
  <c r="P71" i="1"/>
  <c r="O71" i="1"/>
  <c r="N71" i="1"/>
  <c r="S70" i="1"/>
  <c r="R70" i="1"/>
  <c r="Q70" i="1"/>
  <c r="P70" i="1"/>
  <c r="O70" i="1"/>
  <c r="N70" i="1"/>
  <c r="S69" i="1"/>
  <c r="R69" i="1"/>
  <c r="Q69" i="1"/>
  <c r="P69" i="1"/>
  <c r="O69" i="1"/>
  <c r="N69" i="1"/>
  <c r="S68" i="1"/>
  <c r="R68" i="1"/>
  <c r="Q68" i="1"/>
  <c r="P68" i="1"/>
  <c r="O68" i="1"/>
  <c r="N68" i="1"/>
  <c r="S67" i="1"/>
  <c r="R67" i="1"/>
  <c r="Q67" i="1"/>
  <c r="P67" i="1"/>
  <c r="O67" i="1"/>
  <c r="N67" i="1"/>
  <c r="S66" i="1"/>
  <c r="R66" i="1"/>
  <c r="Q66" i="1"/>
  <c r="P66" i="1"/>
  <c r="O66" i="1"/>
  <c r="N66" i="1"/>
  <c r="S65" i="1"/>
  <c r="R65" i="1"/>
  <c r="Q65" i="1"/>
  <c r="P65" i="1"/>
  <c r="O65" i="1"/>
  <c r="N65" i="1"/>
  <c r="S64" i="1"/>
  <c r="R64" i="1"/>
  <c r="Q64" i="1"/>
  <c r="P64" i="1"/>
  <c r="O64" i="1"/>
  <c r="N64" i="1"/>
  <c r="S63" i="1"/>
  <c r="R63" i="1"/>
  <c r="Q63" i="1"/>
  <c r="P63" i="1"/>
  <c r="O63" i="1"/>
  <c r="N63" i="1"/>
  <c r="S62" i="1"/>
  <c r="R62" i="1"/>
  <c r="Q62" i="1"/>
  <c r="P62" i="1"/>
  <c r="O62" i="1"/>
  <c r="N62" i="1"/>
  <c r="S61" i="1"/>
  <c r="R61" i="1"/>
  <c r="Q61" i="1"/>
  <c r="P61" i="1"/>
  <c r="O61" i="1"/>
  <c r="N61" i="1"/>
  <c r="S60" i="1"/>
  <c r="R60" i="1"/>
  <c r="Q60" i="1"/>
  <c r="P60" i="1"/>
  <c r="O60" i="1"/>
  <c r="N60" i="1"/>
  <c r="S59" i="1"/>
  <c r="R59" i="1"/>
  <c r="Q59" i="1"/>
  <c r="P59" i="1"/>
  <c r="O59" i="1"/>
  <c r="N59" i="1"/>
  <c r="S58" i="1"/>
  <c r="R58" i="1"/>
  <c r="Q58" i="1"/>
  <c r="P58" i="1"/>
  <c r="O58" i="1"/>
  <c r="N58" i="1"/>
  <c r="S57" i="1"/>
  <c r="R57" i="1"/>
  <c r="Q57" i="1"/>
  <c r="P57" i="1"/>
  <c r="O57" i="1"/>
  <c r="N57" i="1"/>
  <c r="S56" i="1"/>
  <c r="R56" i="1"/>
  <c r="Q56" i="1"/>
  <c r="P56" i="1"/>
  <c r="O56" i="1"/>
  <c r="N56" i="1"/>
  <c r="S55" i="1"/>
  <c r="R55" i="1"/>
  <c r="Q55" i="1"/>
  <c r="P55" i="1"/>
  <c r="O55" i="1"/>
  <c r="N55" i="1"/>
  <c r="S54" i="1"/>
  <c r="R54" i="1"/>
  <c r="Q54" i="1"/>
  <c r="P54" i="1"/>
  <c r="O54" i="1"/>
  <c r="N54" i="1"/>
  <c r="S53" i="1"/>
  <c r="R53" i="1"/>
  <c r="Q53" i="1"/>
  <c r="P53" i="1"/>
  <c r="O53" i="1"/>
  <c r="N53" i="1"/>
  <c r="S52" i="1"/>
  <c r="R52" i="1"/>
  <c r="Q52" i="1"/>
  <c r="P52" i="1"/>
  <c r="O52" i="1"/>
  <c r="N52" i="1"/>
  <c r="S51" i="1"/>
  <c r="R51" i="1"/>
  <c r="Q51" i="1"/>
  <c r="P51" i="1"/>
  <c r="O51" i="1"/>
  <c r="N51" i="1"/>
  <c r="S50" i="1"/>
  <c r="R50" i="1"/>
  <c r="Q50" i="1"/>
  <c r="P50" i="1"/>
  <c r="O50" i="1"/>
  <c r="N50" i="1"/>
  <c r="S49" i="1"/>
  <c r="R49" i="1"/>
  <c r="Q49" i="1"/>
  <c r="P49" i="1"/>
  <c r="O49" i="1"/>
  <c r="N49" i="1"/>
  <c r="S48" i="1"/>
  <c r="R48" i="1"/>
  <c r="Q48" i="1"/>
  <c r="P48" i="1"/>
  <c r="O48" i="1"/>
  <c r="N48" i="1"/>
  <c r="S47" i="1"/>
  <c r="R47" i="1"/>
  <c r="Q47" i="1"/>
  <c r="P47" i="1"/>
  <c r="O47" i="1"/>
  <c r="N47" i="1"/>
  <c r="S46" i="1"/>
  <c r="R46" i="1"/>
  <c r="Q46" i="1"/>
  <c r="P46" i="1"/>
  <c r="O46" i="1"/>
  <c r="N46" i="1"/>
  <c r="S45" i="1"/>
  <c r="R45" i="1"/>
  <c r="Q45" i="1"/>
  <c r="P45" i="1"/>
  <c r="O45" i="1"/>
  <c r="N45" i="1"/>
  <c r="S44" i="1"/>
  <c r="R44" i="1"/>
  <c r="Q44" i="1"/>
  <c r="P44" i="1"/>
  <c r="O44" i="1"/>
  <c r="N44" i="1"/>
  <c r="S43" i="1"/>
  <c r="R43" i="1"/>
  <c r="Q43" i="1"/>
  <c r="P43" i="1"/>
  <c r="O43" i="1"/>
  <c r="N43" i="1"/>
  <c r="S42" i="1"/>
  <c r="R42" i="1"/>
  <c r="Q42" i="1"/>
  <c r="P42" i="1"/>
  <c r="O42" i="1"/>
  <c r="N42" i="1"/>
  <c r="S41" i="1"/>
  <c r="R41" i="1"/>
  <c r="Q41" i="1"/>
  <c r="P41" i="1"/>
  <c r="O41" i="1"/>
  <c r="N41" i="1"/>
  <c r="S40" i="1"/>
  <c r="R40" i="1"/>
  <c r="Q40" i="1"/>
  <c r="P40" i="1"/>
  <c r="O40" i="1"/>
  <c r="N40" i="1"/>
  <c r="S39" i="1"/>
  <c r="R39" i="1"/>
  <c r="Q39" i="1"/>
  <c r="P39" i="1"/>
  <c r="O39" i="1"/>
  <c r="N39" i="1"/>
  <c r="S38" i="1"/>
  <c r="R38" i="1"/>
  <c r="Q38" i="1"/>
  <c r="P38" i="1"/>
  <c r="O38" i="1"/>
  <c r="N38" i="1"/>
  <c r="S37" i="1"/>
  <c r="R37" i="1"/>
  <c r="Q37" i="1"/>
  <c r="P37" i="1"/>
  <c r="O37" i="1"/>
  <c r="N37" i="1"/>
  <c r="S36" i="1"/>
  <c r="R36" i="1"/>
  <c r="Q36" i="1"/>
  <c r="P36" i="1"/>
  <c r="O36" i="1"/>
  <c r="N36" i="1"/>
  <c r="S35" i="1"/>
  <c r="R35" i="1"/>
  <c r="Q35" i="1"/>
  <c r="P35" i="1"/>
  <c r="O35" i="1"/>
  <c r="N35" i="1"/>
  <c r="S34" i="1"/>
  <c r="R34" i="1"/>
  <c r="Q34" i="1"/>
  <c r="P34" i="1"/>
  <c r="O34" i="1"/>
  <c r="N34" i="1"/>
  <c r="S33" i="1"/>
  <c r="R33" i="1"/>
  <c r="Q33" i="1"/>
  <c r="P33" i="1"/>
  <c r="O33" i="1"/>
  <c r="N33" i="1"/>
  <c r="S32" i="1"/>
  <c r="R32" i="1"/>
  <c r="Q32" i="1"/>
  <c r="P32" i="1"/>
  <c r="O32" i="1"/>
  <c r="N32" i="1"/>
  <c r="S31" i="1"/>
  <c r="R31" i="1"/>
  <c r="Q31" i="1"/>
  <c r="P31" i="1"/>
  <c r="O31" i="1"/>
  <c r="N31" i="1"/>
  <c r="S30" i="1"/>
  <c r="R30" i="1"/>
  <c r="Q30" i="1"/>
  <c r="P30" i="1"/>
  <c r="O30" i="1"/>
  <c r="N30" i="1"/>
  <c r="S29" i="1"/>
  <c r="R29" i="1"/>
  <c r="Q29" i="1"/>
  <c r="P29" i="1"/>
  <c r="O29" i="1"/>
  <c r="N29" i="1"/>
  <c r="S28" i="1"/>
  <c r="R28" i="1"/>
  <c r="Q28" i="1"/>
  <c r="P28" i="1"/>
  <c r="O28" i="1"/>
  <c r="N28" i="1"/>
  <c r="S27" i="1"/>
  <c r="R27" i="1"/>
  <c r="Q27" i="1"/>
  <c r="P27" i="1"/>
  <c r="O27" i="1"/>
  <c r="N27" i="1"/>
  <c r="S26" i="1"/>
  <c r="R26" i="1"/>
  <c r="Q26" i="1"/>
  <c r="P26" i="1"/>
  <c r="O26" i="1"/>
  <c r="N26" i="1"/>
  <c r="S25" i="1"/>
  <c r="R25" i="1"/>
  <c r="Q25" i="1"/>
  <c r="P25" i="1"/>
  <c r="O25" i="1"/>
  <c r="N25" i="1"/>
  <c r="S24" i="1"/>
  <c r="R24" i="1"/>
  <c r="Q24" i="1"/>
  <c r="P24" i="1"/>
  <c r="O24" i="1"/>
  <c r="N24" i="1"/>
  <c r="S23" i="1"/>
  <c r="R23" i="1"/>
  <c r="Q23" i="1"/>
  <c r="P23" i="1"/>
  <c r="O23" i="1"/>
  <c r="N23" i="1"/>
  <c r="S22" i="1"/>
  <c r="R22" i="1"/>
  <c r="Q22" i="1"/>
  <c r="P22" i="1"/>
  <c r="O22" i="1"/>
  <c r="N22" i="1"/>
  <c r="S21" i="1"/>
  <c r="R21" i="1"/>
  <c r="Q21" i="1"/>
  <c r="P21" i="1"/>
  <c r="O21" i="1"/>
  <c r="N21" i="1"/>
  <c r="S20" i="1"/>
  <c r="R20" i="1"/>
  <c r="Q20" i="1"/>
  <c r="P20" i="1"/>
  <c r="O20" i="1"/>
  <c r="N20" i="1"/>
  <c r="S19" i="1"/>
  <c r="R19" i="1"/>
  <c r="Q19" i="1"/>
  <c r="P19" i="1"/>
  <c r="O19" i="1"/>
  <c r="N19" i="1"/>
  <c r="S18" i="1"/>
  <c r="R18" i="1"/>
  <c r="Q18" i="1"/>
  <c r="P18" i="1"/>
  <c r="O18" i="1"/>
  <c r="N18" i="1"/>
  <c r="S17" i="1"/>
  <c r="R17" i="1"/>
  <c r="Q17" i="1"/>
  <c r="P17" i="1"/>
  <c r="O17" i="1"/>
  <c r="N17" i="1"/>
  <c r="S16" i="1"/>
  <c r="R16" i="1"/>
  <c r="Q16" i="1"/>
  <c r="P16" i="1"/>
  <c r="O16" i="1"/>
  <c r="N16" i="1"/>
  <c r="S15" i="1"/>
  <c r="R15" i="1"/>
  <c r="Q15" i="1"/>
  <c r="P15" i="1"/>
  <c r="O15" i="1"/>
  <c r="N15" i="1"/>
  <c r="S14" i="1"/>
  <c r="R14" i="1"/>
  <c r="Q14" i="1"/>
  <c r="P14" i="1"/>
  <c r="O14" i="1"/>
  <c r="N14" i="1"/>
  <c r="S13" i="1"/>
  <c r="R13" i="1"/>
  <c r="Q13" i="1"/>
  <c r="P13" i="1"/>
  <c r="O13" i="1"/>
  <c r="N13" i="1"/>
  <c r="U12" i="1"/>
  <c r="S12" i="1"/>
  <c r="R12" i="1"/>
  <c r="Q12" i="1"/>
  <c r="P12" i="1"/>
  <c r="O12" i="1"/>
  <c r="N12" i="1"/>
  <c r="S11" i="1"/>
  <c r="R11" i="1"/>
  <c r="Q11" i="1"/>
  <c r="P11" i="1"/>
  <c r="O11" i="1"/>
  <c r="N11" i="1"/>
  <c r="U10" i="1"/>
  <c r="S10" i="1"/>
  <c r="R10" i="1"/>
  <c r="Q10" i="1"/>
  <c r="P10" i="1"/>
  <c r="O10" i="1"/>
  <c r="N10" i="1"/>
  <c r="S9" i="1"/>
  <c r="R9" i="1"/>
  <c r="Q9" i="1"/>
  <c r="P9" i="1"/>
  <c r="O9" i="1"/>
  <c r="N9" i="1"/>
  <c r="U8" i="1"/>
  <c r="S8" i="1"/>
  <c r="R8" i="1"/>
  <c r="Q8" i="1"/>
  <c r="P8" i="1"/>
  <c r="O8" i="1"/>
  <c r="N8" i="1"/>
  <c r="S7" i="1"/>
  <c r="R7" i="1"/>
  <c r="Q7" i="1"/>
  <c r="P7" i="1"/>
  <c r="O7" i="1"/>
  <c r="N7" i="1"/>
  <c r="X6" i="1"/>
  <c r="U6" i="1"/>
  <c r="S6" i="1"/>
  <c r="R6" i="1"/>
  <c r="Q6" i="1"/>
  <c r="P6" i="1"/>
  <c r="O6" i="1"/>
  <c r="N6" i="1"/>
  <c r="S5" i="1"/>
  <c r="R5" i="1"/>
  <c r="Q5" i="1"/>
  <c r="P5" i="1"/>
  <c r="O5" i="1"/>
  <c r="N5" i="1"/>
  <c r="S4" i="1"/>
  <c r="R4" i="1"/>
  <c r="Q4" i="1"/>
  <c r="P4" i="1"/>
  <c r="O4" i="1"/>
  <c r="N4" i="1"/>
  <c r="S3" i="1"/>
  <c r="R3" i="1"/>
  <c r="Q3" i="1"/>
  <c r="P3" i="1"/>
  <c r="O3" i="1"/>
  <c r="N3" i="1"/>
  <c r="S2" i="1"/>
  <c r="R2" i="1"/>
  <c r="Q2" i="1"/>
  <c r="P2" i="1"/>
  <c r="O2" i="1"/>
  <c r="N2"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loan_approval_dataset.csv!LoanData" type="102" refreshedVersion="6" minRefreshableVersion="5">
    <extLst>
      <ext xmlns:x15="http://schemas.microsoft.com/office/spreadsheetml/2010/11/main" uri="{DE250136-89BD-433C-8126-D09CA5730AF9}">
        <x15:connection id="LoanData" autoDelete="1">
          <x15:rangePr sourceName="_xlcn.WorksheetConnection_loan_approval_dataset.csvLoanData1"/>
        </x15:connection>
      </ext>
    </extLst>
  </connection>
</connections>
</file>

<file path=xl/sharedStrings.xml><?xml version="1.0" encoding="utf-8"?>
<sst xmlns="http://schemas.openxmlformats.org/spreadsheetml/2006/main" count="12889" uniqueCount="45">
  <si>
    <t>loan_id</t>
  </si>
  <si>
    <t>no_of_dependents</t>
  </si>
  <si>
    <t>education</t>
  </si>
  <si>
    <t>self_employed</t>
  </si>
  <si>
    <t>income_annum</t>
  </si>
  <si>
    <t>loan_amount</t>
  </si>
  <si>
    <t>loan_term</t>
  </si>
  <si>
    <t>cibil_score</t>
  </si>
  <si>
    <t>residential_assets_value</t>
  </si>
  <si>
    <t>commercial_assets_value</t>
  </si>
  <si>
    <t>luxury_assets_value</t>
  </si>
  <si>
    <t>bank_asset_value</t>
  </si>
  <si>
    <t>loan_status</t>
  </si>
  <si>
    <t>cibil_band</t>
  </si>
  <si>
    <t>income_group</t>
  </si>
  <si>
    <t>loan_amount_group</t>
  </si>
  <si>
    <t>total_assets</t>
  </si>
  <si>
    <t>asset_strength</t>
  </si>
  <si>
    <t>Row Labels</t>
  </si>
  <si>
    <t>Grand Total</t>
  </si>
  <si>
    <t>Excellent</t>
  </si>
  <si>
    <t>Good</t>
  </si>
  <si>
    <t>Low</t>
  </si>
  <si>
    <t>Medium</t>
  </si>
  <si>
    <t>approval_flag</t>
  </si>
  <si>
    <t>Total Applications</t>
  </si>
  <si>
    <t>Total Approved Loans</t>
  </si>
  <si>
    <t>Approval Rate</t>
  </si>
  <si>
    <t>Average Loan Amount</t>
  </si>
  <si>
    <t>KPIs</t>
  </si>
  <si>
    <t>Graduate</t>
  </si>
  <si>
    <t>Not Graduate</t>
  </si>
  <si>
    <t>No</t>
  </si>
  <si>
    <t>Yes</t>
  </si>
  <si>
    <t>Approved</t>
  </si>
  <si>
    <t>Rejected</t>
  </si>
  <si>
    <t>Sum of approval_flag</t>
  </si>
  <si>
    <t>Moderate</t>
  </si>
  <si>
    <t>Strong</t>
  </si>
  <si>
    <t>Weak</t>
  </si>
  <si>
    <t>Count of loan_id</t>
  </si>
  <si>
    <t>Average of approval_flag</t>
  </si>
  <si>
    <t>High</t>
  </si>
  <si>
    <t>Middle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</si>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</sst>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applyBorder="1" applyAlignment="1">
      <alignment horizontal="center"/>
    </xf>
    <xf numFmtId="3" fontId="18" fillId="33" borderId="0" xfId="0" applyNumberFormat="1" applyFont="1" applyFill="1" applyBorder="1" applyAlignment="1">
      <alignment horizontal="center"/>
    </xf>
    <xf numFmtId="0" fontId="18" fillId="0" borderId="0" xfId="0" applyFont="1" applyAlignment="1">
      <alignment horizontal="center"/>
    </xf>
    <xf numFmtId="0" fontId="0" fillId="0" borderId="0" xfId="0" applyAlignment="1">
      <alignment horizontal="center"/>
    </xf>
    <xf numFmtId="10" fontId="18" fillId="0" borderId="0" xfId="0" applyNumberFormat="1" applyFont="1" applyAlignment="1">
      <alignment horizontal="center"/>
    </xf>
    <xf numFmtId="4" fontId="18" fillId="0" borderId="0" xfId="0" applyNumberFormat="1" applyFont="1" applyAlignment="1">
      <alignment horizontal="center"/>
    </xf>
    <xf numFmtId="3" fontId="0" fillId="0" borderId="0" xfId="0" applyNumberFormat="1"/>
    <xf numFmtId="0" fontId="0" fillId="33"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4" formatCode="0.00%"/>
    </dxf>
    <dxf>
      <numFmt numFmtId="14" formatCode="0.00%"/>
    </dxf>
    <dxf>
      <numFmt numFmtId="34" formatCode="_-&quot;Rs&quot;* #,##0.00_-;\-&quot;Rs&quot;* #,##0.00_-;_-&quot;Rs&quot;* &quot;-&quot;??_-;_-@_-"/>
    </dxf>
    <dxf>
      <numFmt numFmtId="34" formatCode="_-&quot;Rs&quot;* #,##0.00_-;\-&quot;Rs&quot;* #,##0.00_-;_-&quot;Rs&quot;* &quot;-&quot;??_-;_-@_-"/>
    </dxf>
    <dxf>
      <numFmt numFmtId="14" formatCode="0.00%"/>
    </dxf>
    <dxf>
      <numFmt numFmtId="14" formatCode="0.00%"/>
    </dxf>
    <dxf>
      <numFmt numFmtId="14" formatCode="0.00%"/>
    </dxf>
  </dxfs>
  <tableStyles count="0" defaultTableStyle="TableStyleMedium2" defaultPivotStyle="PivotStyleLight16"/>
  <colors>
    <mruColors>
      <color rgb="FF335B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4.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[Loan_Approval_Risk_Dashboard.xlsx]Approval Rate by Education!PivotTable6</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800" b="0" i="0" baseline="0">
                <a:solidFill>
                  <a:schemeClr val="bg1"/>
                </a:solidFill>
                <a:effectLst/>
              </a:rPr>
              <a:t>Approval Rate By CIBIL </a:t>
            </a:r>
            <a:endParaRPr lang="en-US" sz="800" b="0">
              <a:solidFill>
                <a:schemeClr val="bg1"/>
              </a:solidFill>
              <a:effectLst/>
            </a:endParaRPr>
          </a:p>
        </c:rich>
      </c:tx>
      <c:layout>
        <c:manualLayout>
          <c:xMode val="edge"/>
          <c:yMode val="edge"/>
          <c:x val="0.26256193954490764"/>
          <c:y val="0"/>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pivotFmt>
      <c:pivotFmt>
        <c:idx val="9"/>
        <c:spPr>
          <a:solidFill>
            <a:srgbClr val="FF0000"/>
          </a:solidFill>
          <a:ln>
            <a:noFill/>
          </a:ln>
          <a:effectLst/>
        </c:spPr>
      </c:pivotFmt>
      <c:pivotFmt>
        <c:idx val="10"/>
        <c:spPr>
          <a:solidFill>
            <a:schemeClr val="accent6">
              <a:lumMod val="50000"/>
            </a:schemeClr>
          </a:solidFill>
          <a:ln>
            <a:noFill/>
          </a:ln>
          <a:effectLst/>
        </c:spPr>
        <c:marker>
          <c:symbol val="none"/>
        </c:marker>
        <c:dLbl>
          <c:idx val="0"/>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15:layout/>
            </c:ext>
          </c:extLst>
        </c:dLbl>
      </c:pivotFmt>
    </c:pivotFmts>
    <c:plotArea>
      <c:layout>
        <c:manualLayout>
          <c:layoutTarget val="inner"/>
          <c:xMode val="edge"/>
          <c:yMode val="edge"/>
          <c:x val="1.4166895521373729E-2"/>
          <c:y val="0.10168437357912989"/>
          <c:w val="0.98578019825426755"/>
          <c:h val="0.74537565502802872"/>
        </c:manualLayout>
      </c:layout>
      <c:barChart>
        <c:barDir val="col"/>
        <c:grouping val="clustered"/>
        <c:varyColors val="0"/>
        <c:ser>
          <c:idx val="0"/>
          <c:order val="0"/>
          <c:tx>
            <c:strRef>
              <c:f>'Approval Rate by Education'!$AJ$4</c:f>
              <c:strCache>
                <c:ptCount val="1"/>
                <c:pt idx="0">
                  <c:v>Total</c:v>
                </c:pt>
              </c:strCache>
            </c:strRef>
          </c:tx>
          <c:spPr>
            <a:solidFill>
              <a:schemeClr val="accent6">
                <a:lumMod val="50000"/>
              </a:schemeClr>
            </a:solidFill>
            <a:ln>
              <a:noFill/>
            </a:ln>
            <a:effectLst/>
          </c:spPr>
          <c:invertIfNegative val="0"/>
          <c:dPt>
            <c:idx val="2"/>
            <c:invertIfNegative val="0"/>
            <c:bubble3D val="0"/>
            <c:spPr>
              <a:solidFill>
                <a:srgbClr val="FF0000"/>
              </a:solidFill>
              <a:ln>
                <a:noFill/>
              </a:ln>
              <a:effectLst/>
            </c:spPr>
            <c:extLst>
              <c:ext xmlns:c16="http://schemas.microsoft.com/office/drawing/2014/chart" uri="{C3380CC4-5D6E-409C-BE32-E72D297353CC}">
                <c16:uniqueId val="{00000001-95DF-4552-8D67-B7D36D26271C}"/>
              </c:ext>
            </c:extLst>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downArrowCallout">
                    <a:avLst/>
                  </a:prstGeom>
                  <a:noFill/>
                  <a:ln>
                    <a:noFill/>
                  </a:ln>
                </c15:spPr>
                <c15:layout/>
                <c15:showLeaderLines val="1"/>
                <c15:leaderLines>
                  <c:spPr>
                    <a:ln w="9525">
                      <a:solidFill>
                        <a:schemeClr val="tx1">
                          <a:lumMod val="35000"/>
                          <a:lumOff val="65000"/>
                        </a:schemeClr>
                      </a:solidFill>
                    </a:ln>
                    <a:effectLst/>
                  </c:spPr>
                </c15:leaderLines>
              </c:ext>
            </c:extLst>
          </c:dLbls>
          <c:cat>
            <c:strRef>
              <c:f>'Approval Rate by Education'!$AI$5:$AI$9</c:f>
              <c:strCache>
                <c:ptCount val="4"/>
                <c:pt idx="0">
                  <c:v>Excellent</c:v>
                </c:pt>
                <c:pt idx="1">
                  <c:v>Good</c:v>
                </c:pt>
                <c:pt idx="2">
                  <c:v>Low</c:v>
                </c:pt>
                <c:pt idx="3">
                  <c:v>Medium</c:v>
                </c:pt>
              </c:strCache>
            </c:strRef>
          </c:cat>
          <c:val>
            <c:numRef>
              <c:f>'Approval Rate by Education'!$AJ$5:$AJ$9</c:f>
              <c:numCache>
                <c:formatCode>0.00%</c:formatCode>
                <c:ptCount val="4"/>
                <c:pt idx="0">
                  <c:v>0.99431818181818177</c:v>
                </c:pt>
                <c:pt idx="1">
                  <c:v>0.99732620320855614</c:v>
                </c:pt>
                <c:pt idx="2">
                  <c:v>0.35089141004862234</c:v>
                </c:pt>
                <c:pt idx="3">
                  <c:v>0.98921832884097038</c:v>
                </c:pt>
              </c:numCache>
            </c:numRef>
          </c:val>
          <c:extLst>
            <c:ext xmlns:c16="http://schemas.microsoft.com/office/drawing/2014/chart" uri="{C3380CC4-5D6E-409C-BE32-E72D297353CC}">
              <c16:uniqueId val="{00000002-95DF-4552-8D67-B7D36D26271C}"/>
            </c:ext>
          </c:extLst>
        </c:ser>
        <c:dLbls>
          <c:dLblPos val="outEnd"/>
          <c:showLegendKey val="0"/>
          <c:showVal val="1"/>
          <c:showCatName val="0"/>
          <c:showSerName val="0"/>
          <c:showPercent val="0"/>
          <c:showBubbleSize val="0"/>
        </c:dLbls>
        <c:gapWidth val="444"/>
        <c:overlap val="-90"/>
        <c:axId val="1930343263"/>
        <c:axId val="1930343679"/>
      </c:barChart>
      <c:catAx>
        <c:axId val="193034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ln>
                  <a:solidFill>
                    <a:schemeClr val="bg1"/>
                  </a:solidFill>
                </a:ln>
                <a:solidFill>
                  <a:schemeClr val="bg1"/>
                </a:solidFill>
                <a:latin typeface="+mn-lt"/>
                <a:ea typeface="+mn-ea"/>
                <a:cs typeface="+mn-cs"/>
              </a:defRPr>
            </a:pPr>
            <a:endParaRPr lang="en-US"/>
          </a:p>
        </c:txPr>
        <c:crossAx val="1930343679"/>
        <c:crosses val="autoZero"/>
        <c:auto val="1"/>
        <c:lblAlgn val="ctr"/>
        <c:lblOffset val="100"/>
        <c:noMultiLvlLbl val="0"/>
      </c:catAx>
      <c:valAx>
        <c:axId val="1930343679"/>
        <c:scaling>
          <c:orientation val="minMax"/>
        </c:scaling>
        <c:delete val="1"/>
        <c:axPos val="l"/>
        <c:numFmt formatCode="0.00%" sourceLinked="1"/>
        <c:majorTickMark val="none"/>
        <c:minorTickMark val="none"/>
        <c:tickLblPos val="nextTo"/>
        <c:crossAx val="19303432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[Loan_Approval_Risk_Dashboard.xlsx]Approval Rate by Education!PivotTable7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0">
                <a:solidFill>
                  <a:schemeClr val="bg1"/>
                </a:solidFill>
              </a:rPr>
              <a:t>APPROVAL RATE BY INCOME</a:t>
            </a:r>
          </a:p>
        </c:rich>
      </c:tx>
      <c:layout>
        <c:manualLayout>
          <c:xMode val="edge"/>
          <c:yMode val="edge"/>
          <c:x val="0.27090036730893191"/>
          <c:y val="5.5008847867817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6">
              <a:lumMod val="50000"/>
            </a:schemeClr>
          </a:solidFill>
          <a:ln>
            <a:no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layout/>
            </c:ext>
          </c:extLst>
        </c:dLbl>
      </c:pivotFmt>
      <c:pivotFmt>
        <c:idx val="5"/>
        <c:spPr>
          <a:solidFill>
            <a:srgbClr val="FF0000"/>
          </a:solidFill>
          <a:ln>
            <a:noFill/>
          </a:ln>
          <a:effectLst/>
        </c:spPr>
      </c:pivotFmt>
      <c:pivotFmt>
        <c:idx val="6"/>
        <c:spPr>
          <a:solidFill>
            <a:schemeClr val="accent6">
              <a:lumMod val="50000"/>
            </a:schemeClr>
          </a:solidFill>
          <a:ln>
            <a:noFill/>
          </a:ln>
          <a:effectLst/>
        </c:spPr>
        <c:dLbl>
          <c:idx val="0"/>
          <c:layout>
            <c:manualLayout>
              <c:x val="-3.6394266572365365E-2"/>
              <c:y val="-9.526340733264920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911E70-93AD-4AE0-9AE3-902C1A3A0E7C}" type="VALUE">
                  <a:rPr lang="en-US" baseline="0"/>
                  <a:pPr>
                    <a:defRPr/>
                  </a:pPr>
                  <a:t>[VALUE]</a:t>
                </a:fld>
                <a:endParaRPr lang="en-US"/>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borderCallout1">
                  <a:avLst>
                    <a:gd name="adj1" fmla="val 155358"/>
                    <a:gd name="adj2" fmla="val 44153"/>
                    <a:gd name="adj3" fmla="val 92107"/>
                    <a:gd name="adj4" fmla="val 39474"/>
                  </a:avLst>
                </a:prstGeom>
                <a:noFill/>
                <a:ln>
                  <a:noFill/>
                </a:ln>
              </c15:spPr>
              <c15:layout>
                <c:manualLayout>
                  <c:w val="0.11209437161056922"/>
                  <c:h val="0.10552591112581022"/>
                </c:manualLayout>
              </c15:layout>
              <c15:dlblFieldTable/>
              <c15:showDataLabelsRange val="0"/>
            </c:ext>
          </c:extLst>
        </c:dLbl>
      </c:pivotFmt>
    </c:pivotFmts>
    <c:plotArea>
      <c:layout>
        <c:manualLayout>
          <c:layoutTarget val="inner"/>
          <c:xMode val="edge"/>
          <c:yMode val="edge"/>
          <c:x val="0"/>
          <c:y val="0"/>
          <c:w val="0.99604132083741204"/>
          <c:h val="0.84862737135802302"/>
        </c:manualLayout>
      </c:layout>
      <c:barChart>
        <c:barDir val="col"/>
        <c:grouping val="clustered"/>
        <c:varyColors val="0"/>
        <c:ser>
          <c:idx val="0"/>
          <c:order val="0"/>
          <c:tx>
            <c:strRef>
              <c:f>'Approval Rate by Education'!$BH$12</c:f>
              <c:strCache>
                <c:ptCount val="1"/>
                <c:pt idx="0">
                  <c:v>Total</c:v>
                </c:pt>
              </c:strCache>
            </c:strRef>
          </c:tx>
          <c:spPr>
            <a:solidFill>
              <a:schemeClr val="accent6">
                <a:lumMod val="50000"/>
              </a:schemeClr>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A339-4665-B84B-5DBAE2607C1A}"/>
              </c:ext>
            </c:extLst>
          </c:dPt>
          <c:dPt>
            <c:idx val="2"/>
            <c:invertIfNegative val="0"/>
            <c:bubble3D val="0"/>
            <c:extLst>
              <c:ext xmlns:c16="http://schemas.microsoft.com/office/drawing/2014/chart" uri="{C3380CC4-5D6E-409C-BE32-E72D297353CC}">
                <c16:uniqueId val="{00000004-A339-4665-B84B-5DBAE2607C1A}"/>
              </c:ext>
            </c:extLst>
          </c:dPt>
          <c:dLbls>
            <c:dLbl>
              <c:idx val="2"/>
              <c:layout>
                <c:manualLayout>
                  <c:x val="-3.6394266572365365E-2"/>
                  <c:y val="-9.526340733264920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911E70-93AD-4AE0-9AE3-902C1A3A0E7C}" type="VALUE">
                      <a:rPr lang="en-US" baseline="0"/>
                      <a:pPr>
                        <a:defRPr/>
                      </a:pPr>
                      <a:t>[VALUE]</a:t>
                    </a:fld>
                    <a:endParaRPr lang="en-US"/>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borderCallout1">
                      <a:avLst>
                        <a:gd name="adj1" fmla="val 155358"/>
                        <a:gd name="adj2" fmla="val 44153"/>
                        <a:gd name="adj3" fmla="val 92107"/>
                        <a:gd name="adj4" fmla="val 39474"/>
                      </a:avLst>
                    </a:prstGeom>
                    <a:noFill/>
                    <a:ln>
                      <a:noFill/>
                    </a:ln>
                  </c15:spPr>
                  <c15:layout>
                    <c:manualLayout>
                      <c:w val="0.11209437161056922"/>
                      <c:h val="0.10552591112581022"/>
                    </c:manualLayout>
                  </c15:layout>
                  <c15:dlblFieldTable/>
                  <c15:showDataLabelsRange val="0"/>
                </c:ext>
                <c:ext xmlns:c16="http://schemas.microsoft.com/office/drawing/2014/chart" uri="{C3380CC4-5D6E-409C-BE32-E72D297353CC}">
                  <c16:uniqueId val="{00000004-A339-4665-B84B-5DBAE2607C1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'Approval Rate by Education'!$BG$13:$BG$16</c:f>
              <c:strCache>
                <c:ptCount val="3"/>
                <c:pt idx="0">
                  <c:v>High</c:v>
                </c:pt>
                <c:pt idx="1">
                  <c:v>Low</c:v>
                </c:pt>
                <c:pt idx="2">
                  <c:v>Middle</c:v>
                </c:pt>
              </c:strCache>
            </c:strRef>
          </c:cat>
          <c:val>
            <c:numRef>
              <c:f>'Approval Rate by Education'!$BH$13:$BH$16</c:f>
              <c:numCache>
                <c:formatCode>General</c:formatCode>
                <c:ptCount val="3"/>
                <c:pt idx="0">
                  <c:v>2515</c:v>
                </c:pt>
                <c:pt idx="1">
                  <c:v>29</c:v>
                </c:pt>
                <c:pt idx="2">
                  <c:v>112</c:v>
                </c:pt>
              </c:numCache>
            </c:numRef>
          </c:val>
          <c:extLst>
            <c:ext xmlns:c16="http://schemas.microsoft.com/office/drawing/2014/chart" uri="{C3380CC4-5D6E-409C-BE32-E72D297353CC}">
              <c16:uniqueId val="{00000002-A339-4665-B84B-5DBAE2607C1A}"/>
            </c:ext>
          </c:extLst>
        </c:ser>
        <c:dLbls>
          <c:dLblPos val="outEnd"/>
          <c:showLegendKey val="0"/>
          <c:showVal val="1"/>
          <c:showCatName val="0"/>
          <c:showSerName val="0"/>
          <c:showPercent val="0"/>
          <c:showBubbleSize val="0"/>
        </c:dLbls>
        <c:gapWidth val="219"/>
        <c:overlap val="-27"/>
        <c:axId val="978938000"/>
        <c:axId val="978938832"/>
      </c:barChart>
      <c:catAx>
        <c:axId val="97893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8938832"/>
        <c:crosses val="autoZero"/>
        <c:auto val="1"/>
        <c:lblAlgn val="ctr"/>
        <c:lblOffset val="100"/>
        <c:noMultiLvlLbl val="0"/>
      </c:catAx>
      <c:valAx>
        <c:axId val="978938832"/>
        <c:scaling>
          <c:orientation val="minMax"/>
        </c:scaling>
        <c:delete val="1"/>
        <c:axPos val="l"/>
        <c:numFmt formatCode="General" sourceLinked="1"/>
        <c:majorTickMark val="none"/>
        <c:minorTickMark val="none"/>
        <c:tickLblPos val="nextTo"/>
        <c:crossAx val="9789380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[Loan_Approval_Risk_Dashboard.xlsx]Approval Rate by Education!PivotTable2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0" i="0" cap="all" baseline="0">
                <a:solidFill>
                  <a:schemeClr val="bg1"/>
                </a:solidFill>
                <a:effectLst/>
              </a:rPr>
              <a:t>Approval Rate by InCOME GROUP &amp; CIBIL Band</a:t>
            </a:r>
            <a:endParaRPr lang="en-US" sz="200" b="0">
              <a:solidFill>
                <a:schemeClr val="bg1"/>
              </a:solidFill>
              <a:effectLst/>
            </a:endParaRPr>
          </a:p>
        </c:rich>
      </c:tx>
      <c:layout>
        <c:manualLayout>
          <c:xMode val="edge"/>
          <c:yMode val="edge"/>
          <c:x val="0.31845491887744287"/>
          <c:y val="3.05626219728261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lumMod val="75000"/>
            </a:schemeClr>
          </a:solidFill>
          <a:ln>
            <a:noFill/>
          </a:ln>
          <a:effectLst/>
        </c:spPr>
        <c:marker>
          <c:symbol val="none"/>
        </c:marker>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FF0000"/>
          </a:solidFill>
          <a:ln>
            <a:noFill/>
          </a:ln>
          <a:effectLst/>
        </c:spPr>
      </c:pivotFmt>
      <c:pivotFmt>
        <c:idx val="7"/>
        <c:spPr>
          <a:solidFill>
            <a:schemeClr val="accent6">
              <a:lumMod val="50000"/>
            </a:schemeClr>
          </a:solidFill>
          <a:ln>
            <a:noFill/>
          </a:ln>
          <a:effectLst/>
        </c:spPr>
        <c:marker>
          <c:symbol val="none"/>
        </c:marke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0000"/>
          </a:solidFill>
          <a:ln>
            <a:noFill/>
          </a:ln>
          <a:effectLst/>
        </c:spPr>
      </c:pivotFmt>
    </c:pivotFmts>
    <c:plotArea>
      <c:layout>
        <c:manualLayout>
          <c:layoutTarget val="inner"/>
          <c:xMode val="edge"/>
          <c:yMode val="edge"/>
          <c:x val="2.2087070721045519E-2"/>
          <c:y val="0"/>
          <c:w val="0.9648173210055524"/>
          <c:h val="0.70741375985710375"/>
        </c:manualLayout>
      </c:layout>
      <c:barChart>
        <c:barDir val="col"/>
        <c:grouping val="clustered"/>
        <c:varyColors val="0"/>
        <c:ser>
          <c:idx val="0"/>
          <c:order val="0"/>
          <c:tx>
            <c:strRef>
              <c:f>'Approval Rate by Education'!$BC$8</c:f>
              <c:strCache>
                <c:ptCount val="1"/>
                <c:pt idx="0">
                  <c:v>Total</c:v>
                </c:pt>
              </c:strCache>
            </c:strRef>
          </c:tx>
          <c:spPr>
            <a:solidFill>
              <a:schemeClr val="accent6">
                <a:lumMod val="50000"/>
              </a:schemeClr>
            </a:solidFill>
            <a:ln>
              <a:noFill/>
            </a:ln>
            <a:effectLst/>
          </c:spPr>
          <c:invertIfNegative val="0"/>
          <c:dPt>
            <c:idx val="6"/>
            <c:invertIfNegative val="0"/>
            <c:bubble3D val="0"/>
            <c:spPr>
              <a:solidFill>
                <a:srgbClr val="FF0000"/>
              </a:solidFill>
              <a:ln>
                <a:noFill/>
              </a:ln>
              <a:effectLst/>
            </c:spPr>
            <c:extLst>
              <c:ext xmlns:c16="http://schemas.microsoft.com/office/drawing/2014/chart" uri="{C3380CC4-5D6E-409C-BE32-E72D297353CC}">
                <c16:uniqueId val="{00000001-E504-4BCF-8919-50163736A795}"/>
              </c:ext>
            </c:extLst>
          </c:dPt>
          <c:dPt>
            <c:idx val="7"/>
            <c:invertIfNegative val="0"/>
            <c:bubble3D val="0"/>
            <c:spPr>
              <a:solidFill>
                <a:srgbClr val="FF0000"/>
              </a:solidFill>
              <a:ln>
                <a:noFill/>
              </a:ln>
              <a:effectLst/>
            </c:spPr>
            <c:extLst>
              <c:ext xmlns:c16="http://schemas.microsoft.com/office/drawing/2014/chart" uri="{C3380CC4-5D6E-409C-BE32-E72D297353CC}">
                <c16:uniqueId val="{00000003-E504-4BCF-8919-50163736A795}"/>
              </c:ext>
            </c:extLst>
          </c:dPt>
          <c:dPt>
            <c:idx val="8"/>
            <c:invertIfNegative val="0"/>
            <c:bubble3D val="0"/>
            <c:spPr>
              <a:solidFill>
                <a:srgbClr val="FF0000"/>
              </a:solidFill>
              <a:ln>
                <a:noFill/>
              </a:ln>
              <a:effectLst/>
            </c:spPr>
            <c:extLst>
              <c:ext xmlns:c16="http://schemas.microsoft.com/office/drawing/2014/chart" uri="{C3380CC4-5D6E-409C-BE32-E72D297353CC}">
                <c16:uniqueId val="{00000005-E504-4BCF-8919-50163736A795}"/>
              </c:ext>
            </c:extLst>
          </c:dPt>
          <c:cat>
            <c:multiLvlStrRef>
              <c:f>'Approval Rate by Education'!$BB$9:$BB$25</c:f>
              <c:multiLvlStrCache>
                <c:ptCount val="12"/>
                <c:lvl>
                  <c:pt idx="0">
                    <c:v>High</c:v>
                  </c:pt>
                  <c:pt idx="1">
                    <c:v>Low</c:v>
                  </c:pt>
                  <c:pt idx="2">
                    <c:v>Middle</c:v>
                  </c:pt>
                  <c:pt idx="3">
                    <c:v>High</c:v>
                  </c:pt>
                  <c:pt idx="4">
                    <c:v>Low</c:v>
                  </c:pt>
                  <c:pt idx="5">
                    <c:v>Middle</c:v>
                  </c:pt>
                  <c:pt idx="6">
                    <c:v>High</c:v>
                  </c:pt>
                  <c:pt idx="7">
                    <c:v>Low</c:v>
                  </c:pt>
                  <c:pt idx="8">
                    <c:v>Middle</c:v>
                  </c:pt>
                  <c:pt idx="9">
                    <c:v>High</c:v>
                  </c:pt>
                  <c:pt idx="10">
                    <c:v>Low</c:v>
                  </c:pt>
                  <c:pt idx="11">
                    <c:v>Middle</c:v>
                  </c:pt>
                </c:lvl>
                <c:lvl>
                  <c:pt idx="0">
                    <c:v>Excellent</c:v>
                  </c:pt>
                  <c:pt idx="3">
                    <c:v>Good</c:v>
                  </c:pt>
                  <c:pt idx="6">
                    <c:v>Low</c:v>
                  </c:pt>
                  <c:pt idx="9">
                    <c:v>Medium</c:v>
                  </c:pt>
                </c:lvl>
              </c:multiLvlStrCache>
            </c:multiLvlStrRef>
          </c:cat>
          <c:val>
            <c:numRef>
              <c:f>'Approval Rate by Education'!$BC$9:$BC$25</c:f>
              <c:numCache>
                <c:formatCode>0.00%</c:formatCode>
                <c:ptCount val="12"/>
                <c:pt idx="0">
                  <c:v>0.99494949494949492</c:v>
                </c:pt>
                <c:pt idx="1">
                  <c:v>0.90909090909090906</c:v>
                </c:pt>
                <c:pt idx="2">
                  <c:v>1</c:v>
                </c:pt>
                <c:pt idx="3">
                  <c:v>1</c:v>
                </c:pt>
                <c:pt idx="4">
                  <c:v>1</c:v>
                </c:pt>
                <c:pt idx="5">
                  <c:v>0.875</c:v>
                </c:pt>
                <c:pt idx="6">
                  <c:v>0.35012809564474806</c:v>
                </c:pt>
                <c:pt idx="7">
                  <c:v>0.42857142857142855</c:v>
                </c:pt>
                <c:pt idx="8">
                  <c:v>0.35238095238095241</c:v>
                </c:pt>
                <c:pt idx="9">
                  <c:v>0.9887323943661972</c:v>
                </c:pt>
                <c:pt idx="10">
                  <c:v>1</c:v>
                </c:pt>
                <c:pt idx="11">
                  <c:v>1</c:v>
                </c:pt>
              </c:numCache>
            </c:numRef>
          </c:val>
          <c:extLst>
            <c:ext xmlns:c16="http://schemas.microsoft.com/office/drawing/2014/chart" uri="{C3380CC4-5D6E-409C-BE32-E72D297353CC}">
              <c16:uniqueId val="{00000006-E7F4-4035-9155-0FBC67DCBD3C}"/>
            </c:ext>
          </c:extLst>
        </c:ser>
        <c:dLbls>
          <c:showLegendKey val="0"/>
          <c:showVal val="0"/>
          <c:showCatName val="0"/>
          <c:showSerName val="0"/>
          <c:showPercent val="0"/>
          <c:showBubbleSize val="0"/>
        </c:dLbls>
        <c:gapWidth val="219"/>
        <c:overlap val="-27"/>
        <c:axId val="780756656"/>
        <c:axId val="780757488"/>
      </c:barChart>
      <c:catAx>
        <c:axId val="780756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80757488"/>
        <c:crosses val="autoZero"/>
        <c:auto val="1"/>
        <c:lblAlgn val="ctr"/>
        <c:lblOffset val="100"/>
        <c:noMultiLvlLbl val="0"/>
      </c:catAx>
      <c:valAx>
        <c:axId val="780757488"/>
        <c:scaling>
          <c:orientation val="minMax"/>
        </c:scaling>
        <c:delete val="1"/>
        <c:axPos val="l"/>
        <c:numFmt formatCode="0.00%" sourceLinked="1"/>
        <c:majorTickMark val="out"/>
        <c:minorTickMark val="none"/>
        <c:tickLblPos val="nextTo"/>
        <c:crossAx val="7807566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[Loan_Approval_Risk_Dashboard.xlsx]Approval Rate by Education!PivotTable3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0" i="0" u="none" strike="noStrike" baseline="0">
                <a:solidFill>
                  <a:schemeClr val="bg1"/>
                </a:solidFill>
              </a:rPr>
              <a:t>EDUCATION vs APPROVAL </a:t>
            </a:r>
            <a:endParaRPr lang="en-US" sz="800">
              <a:solidFill>
                <a:schemeClr val="bg1"/>
              </a:solidFill>
            </a:endParaRPr>
          </a:p>
        </c:rich>
      </c:tx>
      <c:layout>
        <c:manualLayout>
          <c:xMode val="edge"/>
          <c:yMode val="edge"/>
          <c:x val="0.31131610743073257"/>
          <c:y val="8.714615630859285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7"/>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8"/>
        <c:spPr>
          <a:solidFill>
            <a:schemeClr val="accent2"/>
          </a:solidFill>
          <a:ln>
            <a:noFill/>
          </a:ln>
          <a:effectLst/>
        </c:spPr>
        <c:dLbl>
          <c:idx val="0"/>
          <c:layout>
            <c:manualLayout>
              <c:x val="-3.8826842371887365E-3"/>
              <c:y val="-4.21647500135994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9"/>
        <c:spPr>
          <a:solidFill>
            <a:schemeClr val="accent2"/>
          </a:solidFill>
          <a:ln>
            <a:noFill/>
          </a:ln>
          <a:effectLst/>
        </c:spPr>
        <c:dLbl>
          <c:idx val="0"/>
          <c:layout>
            <c:manualLayout>
              <c:x val="-1.9413421185942971E-3"/>
              <c:y val="-4.54081923223379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10"/>
        <c:spPr>
          <a:solidFill>
            <a:schemeClr val="accent6">
              <a:lumMod val="50000"/>
            </a:schemeClr>
          </a:solidFill>
          <a:ln>
            <a:noFill/>
          </a:ln>
          <a:effectLst/>
        </c:spPr>
        <c:dLbl>
          <c:idx val="0"/>
          <c:layout>
            <c:manualLayout>
              <c:x val="0.14560065889457227"/>
              <c:y val="-1.94606538524305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1"/>
        <c:spPr>
          <a:solidFill>
            <a:schemeClr val="accent6">
              <a:lumMod val="50000"/>
            </a:schemeClr>
          </a:solidFill>
          <a:ln>
            <a:noFill/>
          </a:ln>
          <a:effectLst/>
        </c:spPr>
        <c:dLbl>
          <c:idx val="0"/>
          <c:layout>
            <c:manualLayout>
              <c:x val="0.16893511225109842"/>
              <c:y val="-5.8657167828190027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gd name="adj1" fmla="val 18750"/>
                    <a:gd name="adj2" fmla="val -8333"/>
                    <a:gd name="adj3" fmla="val -125168"/>
                    <a:gd name="adj4" fmla="val 422144"/>
                    <a:gd name="adj5" fmla="val 57143"/>
                    <a:gd name="adj6" fmla="val -51693"/>
                  </a:avLst>
                </a:prstGeom>
                <a:noFill/>
                <a:ln>
                  <a:noFill/>
                </a:ln>
              </c15:spPr>
              <c15:layout>
                <c:manualLayout>
                  <c:w val="6.6723264738863877E-2"/>
                  <c:h val="5.5906572444799213E-2"/>
                </c:manualLayout>
              </c15:layout>
            </c:ext>
          </c:extLst>
        </c:dLbl>
      </c:pivotFmt>
      <c:pivotFmt>
        <c:idx val="12"/>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3"/>
        <c:spPr>
          <a:solidFill>
            <a:schemeClr val="accent6">
              <a:lumMod val="50000"/>
            </a:schemeClr>
          </a:solidFill>
          <a:ln>
            <a:noFill/>
          </a:ln>
          <a:effectLst/>
        </c:spPr>
        <c:dLbl>
          <c:idx val="0"/>
          <c:layout>
            <c:manualLayout>
              <c:x val="0.16893511225109842"/>
              <c:y val="-5.86571678281900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15:layout>
                <c:manualLayout>
                  <c:w val="6.6723264738863877E-2"/>
                  <c:h val="5.5906572444799213E-2"/>
                </c:manualLayout>
              </c15:layout>
            </c:ext>
          </c:extLst>
        </c:dLbl>
      </c:pivotFmt>
      <c:pivotFmt>
        <c:idx val="14"/>
        <c:spPr>
          <a:solidFill>
            <a:schemeClr val="accent6">
              <a:lumMod val="50000"/>
            </a:schemeClr>
          </a:solidFill>
          <a:ln>
            <a:noFill/>
          </a:ln>
          <a:effectLst/>
        </c:spPr>
        <c:dLbl>
          <c:idx val="0"/>
          <c:layout>
            <c:manualLayout>
              <c:x val="0.14560065889457227"/>
              <c:y val="-1.94606538524305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5"/>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16"/>
        <c:spPr>
          <a:solidFill>
            <a:schemeClr val="accent2"/>
          </a:solidFill>
          <a:ln>
            <a:noFill/>
          </a:ln>
          <a:effectLst/>
        </c:spPr>
        <c:dLbl>
          <c:idx val="0"/>
          <c:layout>
            <c:manualLayout>
              <c:x val="-1.9413421185942971E-3"/>
              <c:y val="-4.54081923223379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17"/>
        <c:spPr>
          <a:solidFill>
            <a:schemeClr val="accent2"/>
          </a:solidFill>
          <a:ln>
            <a:noFill/>
          </a:ln>
          <a:effectLst/>
        </c:spPr>
        <c:dLbl>
          <c:idx val="0"/>
          <c:layout>
            <c:manualLayout>
              <c:x val="-3.8826842371887365E-3"/>
              <c:y val="-4.21647500135994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18"/>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leftArrowCallout">
                  <a:avLst/>
                </a:prstGeom>
                <a:noFill/>
                <a:ln>
                  <a:noFill/>
                </a:ln>
              </c15:spPr>
            </c:ext>
          </c:extLst>
        </c:dLbl>
      </c:pivotFmt>
      <c:pivotFmt>
        <c:idx val="19"/>
        <c:spPr>
          <a:solidFill>
            <a:schemeClr val="accent6">
              <a:lumMod val="50000"/>
            </a:schemeClr>
          </a:solidFill>
          <a:ln>
            <a:noFill/>
          </a:ln>
          <a:effectLst/>
        </c:spPr>
        <c:dLbl>
          <c:idx val="0"/>
          <c:layout>
            <c:manualLayout>
              <c:x val="-0.13029495075491804"/>
              <c:y val="0.1243487211157428"/>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fld id="{760817FA-D7E1-4947-8EB2-05B61DD01349}" type="VALUE">
                  <a:rPr lang="en-US" sz="800"/>
                  <a:pPr>
                    <a:defRPr/>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ightArrowCallout">
                  <a:avLst/>
                </a:prstGeom>
                <a:noFill/>
                <a:ln>
                  <a:noFill/>
                </a:ln>
              </c15:spPr>
              <c15:layout>
                <c:manualLayout>
                  <c:w val="0.17233370581152604"/>
                  <c:h val="0.14305251059303858"/>
                </c:manualLayout>
              </c15:layout>
              <c15:dlblFieldTable/>
              <c15:showDataLabelsRange val="0"/>
            </c:ext>
          </c:extLst>
        </c:dLbl>
      </c:pivotFmt>
      <c:pivotFmt>
        <c:idx val="20"/>
        <c:spPr>
          <a:solidFill>
            <a:schemeClr val="accent6">
              <a:lumMod val="50000"/>
            </a:schemeClr>
          </a:solidFill>
          <a:ln>
            <a:noFill/>
          </a:ln>
          <a:effectLst/>
        </c:spPr>
        <c:dLbl>
          <c:idx val="0"/>
          <c:layout>
            <c:manualLayout>
              <c:x val="0.14560065889457227"/>
              <c:y val="-1.94606538524305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leftArrowCallout">
                  <a:avLst/>
                </a:prstGeom>
                <a:noFill/>
                <a:ln>
                  <a:noFill/>
                </a:ln>
              </c15:spPr>
              <c15:layout/>
            </c:ext>
          </c:extLst>
        </c:dLbl>
      </c:pivotFmt>
      <c:pivotFmt>
        <c:idx val="21"/>
        <c:spPr>
          <a:solidFill>
            <a:schemeClr val="accent1"/>
          </a:solidFill>
          <a:ln>
            <a:noFill/>
          </a:ln>
          <a:effectLst/>
        </c:spPr>
        <c:marker>
          <c:symbol val="none"/>
        </c:marker>
        <c:dLbl>
          <c:idx val="0"/>
          <c:spPr>
            <a:no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22"/>
        <c:spPr>
          <a:solidFill>
            <a:schemeClr val="accent1"/>
          </a:solidFill>
          <a:ln>
            <a:noFill/>
          </a:ln>
          <a:effectLst/>
        </c:spPr>
        <c:dLbl>
          <c:idx val="0"/>
          <c:layout>
            <c:manualLayout>
              <c:x val="-4.1414377658238154E-3"/>
              <c:y val="-5.4122450379977011E-2"/>
            </c:manualLayout>
          </c:layout>
          <c:spPr>
            <a:solidFill>
              <a:schemeClr val="bg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15:layout>
                <c:manualLayout>
                  <c:w val="0.16732413398820198"/>
                  <c:h val="0.11718937093647608"/>
                </c:manualLayout>
              </c15:layout>
            </c:ext>
          </c:extLst>
        </c:dLbl>
      </c:pivotFmt>
      <c:pivotFmt>
        <c:idx val="23"/>
        <c:spPr>
          <a:solidFill>
            <a:schemeClr val="accent1"/>
          </a:solidFill>
          <a:ln>
            <a:noFill/>
          </a:ln>
          <a:effectLst/>
        </c:spPr>
        <c:dLbl>
          <c:idx val="0"/>
          <c:layout>
            <c:manualLayout>
              <c:x val="-1.6825619569832613E-3"/>
              <c:y val="-9.4451820973358719E-2"/>
            </c:manualLayout>
          </c:layout>
          <c:spPr>
            <a:solidFill>
              <a:schemeClr val="bg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15:layout>
                <c:manualLayout>
                  <c:w val="0.1497223738121844"/>
                  <c:h val="0.15204775873604034"/>
                </c:manualLayout>
              </c15:layout>
            </c:ext>
          </c:extLst>
        </c:dLbl>
      </c:pivotFmt>
    </c:pivotFmts>
    <c:plotArea>
      <c:layout>
        <c:manualLayout>
          <c:layoutTarget val="inner"/>
          <c:xMode val="edge"/>
          <c:yMode val="edge"/>
          <c:x val="4.8404840484048403E-2"/>
          <c:y val="0.12725595597824357"/>
          <c:w val="0.90319031903190317"/>
          <c:h val="0.70938148301295989"/>
        </c:manualLayout>
      </c:layout>
      <c:barChart>
        <c:barDir val="col"/>
        <c:grouping val="stacked"/>
        <c:varyColors val="0"/>
        <c:ser>
          <c:idx val="0"/>
          <c:order val="0"/>
          <c:tx>
            <c:strRef>
              <c:f>'Approval Rate by Education'!$D$4</c:f>
              <c:strCache>
                <c:ptCount val="1"/>
                <c:pt idx="0">
                  <c:v>Count of loan_id</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0-5700-4E04-8097-BF8F362D623B}"/>
              </c:ext>
            </c:extLst>
          </c:dPt>
          <c:dPt>
            <c:idx val="1"/>
            <c:invertIfNegative val="0"/>
            <c:bubble3D val="0"/>
            <c:extLst>
              <c:ext xmlns:c16="http://schemas.microsoft.com/office/drawing/2014/chart" uri="{C3380CC4-5D6E-409C-BE32-E72D297353CC}">
                <c16:uniqueId val="{00000001-5700-4E04-8097-BF8F362D623B}"/>
              </c:ext>
            </c:extLst>
          </c:dPt>
          <c:dLbls>
            <c:dLbl>
              <c:idx val="0"/>
              <c:layout>
                <c:manualLayout>
                  <c:x val="-0.13029495075491804"/>
                  <c:y val="0.1243487211157428"/>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fld id="{760817FA-D7E1-4947-8EB2-05B61DD01349}" type="VALUE">
                      <a:rPr lang="en-US" sz="800"/>
                      <a:pPr>
                        <a:defRPr/>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ightArrowCallout">
                      <a:avLst/>
                    </a:prstGeom>
                    <a:noFill/>
                    <a:ln>
                      <a:noFill/>
                    </a:ln>
                  </c15:spPr>
                  <c15:layout>
                    <c:manualLayout>
                      <c:w val="0.17233370581152604"/>
                      <c:h val="0.14305251059303858"/>
                    </c:manualLayout>
                  </c15:layout>
                  <c15:dlblFieldTable/>
                  <c15:showDataLabelsRange val="0"/>
                </c:ext>
                <c:ext xmlns:c16="http://schemas.microsoft.com/office/drawing/2014/chart" uri="{C3380CC4-5D6E-409C-BE32-E72D297353CC}">
                  <c16:uniqueId val="{00000000-5700-4E04-8097-BF8F362D623B}"/>
                </c:ext>
              </c:extLst>
            </c:dLbl>
            <c:dLbl>
              <c:idx val="1"/>
              <c:layout>
                <c:manualLayout>
                  <c:x val="0.14560065889457227"/>
                  <c:y val="-1.9460653852430527E-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5700-4E04-8097-BF8F362D623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leftArrow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'Approval Rate by Education'!$C$5:$C$7</c:f>
              <c:strCache>
                <c:ptCount val="2"/>
                <c:pt idx="0">
                  <c:v>Graduate</c:v>
                </c:pt>
                <c:pt idx="1">
                  <c:v>Not Graduate</c:v>
                </c:pt>
              </c:strCache>
            </c:strRef>
          </c:cat>
          <c:val>
            <c:numRef>
              <c:f>'Approval Rate by Education'!$D$5:$D$7</c:f>
              <c:numCache>
                <c:formatCode>General</c:formatCode>
                <c:ptCount val="2"/>
                <c:pt idx="0">
                  <c:v>2144</c:v>
                </c:pt>
                <c:pt idx="1">
                  <c:v>2125</c:v>
                </c:pt>
              </c:numCache>
            </c:numRef>
          </c:val>
          <c:extLst>
            <c:ext xmlns:c16="http://schemas.microsoft.com/office/drawing/2014/chart" uri="{C3380CC4-5D6E-409C-BE32-E72D297353CC}">
              <c16:uniqueId val="{00000002-5700-4E04-8097-BF8F362D623B}"/>
            </c:ext>
          </c:extLst>
        </c:ser>
        <c:ser>
          <c:idx val="1"/>
          <c:order val="1"/>
          <c:tx>
            <c:strRef>
              <c:f>'Approval Rate by Education'!$E$4</c:f>
              <c:strCache>
                <c:ptCount val="1"/>
                <c:pt idx="0">
                  <c:v>Average of approval_flag</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3-5700-4E04-8097-BF8F362D623B}"/>
              </c:ext>
            </c:extLst>
          </c:dPt>
          <c:dPt>
            <c:idx val="1"/>
            <c:invertIfNegative val="0"/>
            <c:bubble3D val="0"/>
            <c:extLst>
              <c:ext xmlns:c16="http://schemas.microsoft.com/office/drawing/2014/chart" uri="{C3380CC4-5D6E-409C-BE32-E72D297353CC}">
                <c16:uniqueId val="{00000004-5700-4E04-8097-BF8F362D623B}"/>
              </c:ext>
            </c:extLst>
          </c:dPt>
          <c:dLbls>
            <c:dLbl>
              <c:idx val="0"/>
              <c:layout>
                <c:manualLayout>
                  <c:x val="-4.1414377658238154E-3"/>
                  <c:y val="-5.4122450379977011E-2"/>
                </c:manualLayout>
              </c:layout>
              <c:spPr>
                <a:solidFill>
                  <a:schemeClr val="bg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15:layout>
                    <c:manualLayout>
                      <c:w val="0.16732413398820198"/>
                      <c:h val="0.11718937093647608"/>
                    </c:manualLayout>
                  </c15:layout>
                </c:ext>
                <c:ext xmlns:c16="http://schemas.microsoft.com/office/drawing/2014/chart" uri="{C3380CC4-5D6E-409C-BE32-E72D297353CC}">
                  <c16:uniqueId val="{00000003-5700-4E04-8097-BF8F362D623B}"/>
                </c:ext>
              </c:extLst>
            </c:dLbl>
            <c:dLbl>
              <c:idx val="1"/>
              <c:layout>
                <c:manualLayout>
                  <c:x val="-1.6825619569832613E-3"/>
                  <c:y val="-9.4451820973358719E-2"/>
                </c:manualLayout>
              </c:layout>
              <c:spPr>
                <a:solidFill>
                  <a:schemeClr val="bg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15:layout>
                    <c:manualLayout>
                      <c:w val="0.1497223738121844"/>
                      <c:h val="0.15204775873604034"/>
                    </c:manualLayout>
                  </c15:layout>
                </c:ext>
                <c:ext xmlns:c16="http://schemas.microsoft.com/office/drawing/2014/chart" uri="{C3380CC4-5D6E-409C-BE32-E72D297353CC}">
                  <c16:uniqueId val="{00000004-5700-4E04-8097-BF8F362D623B}"/>
                </c:ext>
              </c:extLst>
            </c:dLbl>
            <c:spPr>
              <a:no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downArrow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'Approval Rate by Education'!$C$5:$C$7</c:f>
              <c:strCache>
                <c:ptCount val="2"/>
                <c:pt idx="0">
                  <c:v>Graduate</c:v>
                </c:pt>
                <c:pt idx="1">
                  <c:v>Not Graduate</c:v>
                </c:pt>
              </c:strCache>
            </c:strRef>
          </c:cat>
          <c:val>
            <c:numRef>
              <c:f>'Approval Rate by Education'!$E$5:$E$7</c:f>
              <c:numCache>
                <c:formatCode>0.00%</c:formatCode>
                <c:ptCount val="2"/>
                <c:pt idx="0">
                  <c:v>0.62453358208955223</c:v>
                </c:pt>
                <c:pt idx="1">
                  <c:v>0.619764705882353</c:v>
                </c:pt>
              </c:numCache>
            </c:numRef>
          </c:val>
          <c:extLst>
            <c:ext xmlns:c16="http://schemas.microsoft.com/office/drawing/2014/chart" uri="{C3380CC4-5D6E-409C-BE32-E72D297353CC}">
              <c16:uniqueId val="{00000005-5700-4E04-8097-BF8F362D623B}"/>
            </c:ext>
          </c:extLst>
        </c:ser>
        <c:dLbls>
          <c:dLblPos val="ctr"/>
          <c:showLegendKey val="0"/>
          <c:showVal val="1"/>
          <c:showCatName val="0"/>
          <c:showSerName val="0"/>
          <c:showPercent val="0"/>
          <c:showBubbleSize val="0"/>
        </c:dLbls>
        <c:gapWidth val="219"/>
        <c:overlap val="100"/>
        <c:axId val="473725440"/>
        <c:axId val="188257984"/>
      </c:barChart>
      <c:valAx>
        <c:axId val="188257984"/>
        <c:scaling>
          <c:orientation val="minMax"/>
        </c:scaling>
        <c:delete val="1"/>
        <c:axPos val="r"/>
        <c:numFmt formatCode="General" sourceLinked="1"/>
        <c:majorTickMark val="out"/>
        <c:minorTickMark val="none"/>
        <c:tickLblPos val="nextTo"/>
        <c:crossAx val="473725440"/>
        <c:crosses val="max"/>
        <c:crossBetween val="between"/>
      </c:valAx>
      <c:catAx>
        <c:axId val="473725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257984"/>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[Loan_Approval_Risk_Dashboard.xlsx]Approval Rate by Education!PivotTable4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'Approval Rate by Education'!$Q$4</c:f>
              <c:strCache>
                <c:ptCount val="1"/>
                <c:pt idx="0">
                  <c:v>Total</c:v>
                </c:pt>
              </c:strCache>
            </c:strRef>
          </c:tx>
          <c:spPr>
            <a:solidFill>
              <a:schemeClr val="accent1"/>
            </a:solidFill>
            <a:ln>
              <a:noFill/>
            </a:ln>
            <a:effectLst/>
          </c:spPr>
          <c:invertIfNegative val="0"/>
          <c:cat>
            <c:strRef>
              <c:f>'Approval Rate by Education'!$P$5:$P$7</c:f>
              <c:strCache>
                <c:ptCount val="2"/>
                <c:pt idx="0">
                  <c:v>No</c:v>
                </c:pt>
                <c:pt idx="1">
                  <c:v>Yes</c:v>
                </c:pt>
              </c:strCache>
            </c:strRef>
          </c:cat>
          <c:val>
            <c:numRef>
              <c:f>'Approval Rate by Education'!$Q$5:$Q$7</c:f>
              <c:numCache>
                <c:formatCode>General</c:formatCode>
                <c:ptCount val="2"/>
                <c:pt idx="0">
                  <c:v>1318</c:v>
                </c:pt>
                <c:pt idx="1">
                  <c:v>1338</c:v>
                </c:pt>
              </c:numCache>
            </c:numRef>
          </c:val>
          <c:extLst>
            <c:ext xmlns:c16="http://schemas.microsoft.com/office/drawing/2014/chart" uri="{C3380CC4-5D6E-409C-BE32-E72D297353CC}">
              <c16:uniqueId val="{00000000-72A9-4D71-AC54-DD532AD64A63}"/>
            </c:ext>
          </c:extLst>
        </c:ser>
        <c:dLbls>
          <c:showLegendKey val="0"/>
          <c:showVal val="0"/>
          <c:showCatName val="0"/>
          <c:showSerName val="0"/>
          <c:showPercent val="0"/>
          <c:showBubbleSize val="0"/>
        </c:dLbls>
        <c:gapWidth val="219"/>
        <c:overlap val="-27"/>
        <c:axId val="13106159"/>
        <c:axId val="13122799"/>
      </c:barChart>
      <c:catAx>
        <c:axId val="1310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799"/>
        <c:crosses val="autoZero"/>
        <c:auto val="1"/>
        <c:lblAlgn val="ctr"/>
        <c:lblOffset val="100"/>
        <c:noMultiLvlLbl val="0"/>
      </c:catAx>
      <c:valAx>
        <c:axId val="1312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[Loan_Approval_Risk_Dashboard.xlsx]Approval Rate by Education!PivotTable5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Approved Loans by CIBIL Band (Sum)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manualLayout>
          <c:layoutTarget val="inner"/>
          <c:xMode val="edge"/>
          <c:yMode val="edge"/>
          <c:x val="1.5975882916276704E-3"/>
          <c:y val="0.23860957729169691"/>
          <c:w val="0.7399484196514825"/>
          <c:h val="0.67998097870739138"/>
        </c:manualLayout>
      </c:layout>
      <c:barChart>
        <c:barDir val="col"/>
        <c:grouping val="clustered"/>
        <c:varyColors val="0"/>
        <c:ser>
          <c:idx val="0"/>
          <c:order val="0"/>
          <c:tx>
            <c:strRef>
              <c:f>'Approval Rate by Education'!$AF$5</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5DC-492D-94B0-B4F4A68D536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15DC-492D-94B0-B4F4A68D536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15DC-492D-94B0-B4F4A68D5361}"/>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15DC-492D-94B0-B4F4A68D53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'Approval Rate by Education'!$AE$6:$AE$10</c:f>
              <c:strCache>
                <c:ptCount val="4"/>
                <c:pt idx="0">
                  <c:v>Excellent</c:v>
                </c:pt>
                <c:pt idx="1">
                  <c:v>Good</c:v>
                </c:pt>
                <c:pt idx="2">
                  <c:v>Low</c:v>
                </c:pt>
                <c:pt idx="3">
                  <c:v>Medium</c:v>
                </c:pt>
              </c:strCache>
            </c:strRef>
          </c:cat>
          <c:val>
            <c:numRef>
              <c:f>'Approval Rate by Education'!$AF$6:$AF$10</c:f>
              <c:numCache>
                <c:formatCode>General</c:formatCode>
                <c:ptCount val="4"/>
                <c:pt idx="0">
                  <c:v>1050</c:v>
                </c:pt>
                <c:pt idx="1">
                  <c:v>373</c:v>
                </c:pt>
                <c:pt idx="2">
                  <c:v>866</c:v>
                </c:pt>
                <c:pt idx="3">
                  <c:v>367</c:v>
                </c:pt>
              </c:numCache>
            </c:numRef>
          </c:val>
          <c:extLst>
            <c:ext xmlns:c16="http://schemas.microsoft.com/office/drawing/2014/chart" uri="{C3380CC4-5D6E-409C-BE32-E72D297353CC}">
              <c16:uniqueId val="{00000008-15DC-492D-94B0-B4F4A68D5361}"/>
            </c:ext>
          </c:extLst>
        </c:ser>
        <c:dLbls>
          <c:dLblPos val="outEnd"/>
          <c:showLegendKey val="0"/>
          <c:showVal val="1"/>
          <c:showCatName val="0"/>
          <c:showSerName val="0"/>
          <c:showPercent val="0"/>
          <c:showBubbleSize val="0"/>
        </c:dLbls>
        <c:gapWidth val="100"/>
        <c:axId val="1697675168"/>
        <c:axId val="1697706784"/>
      </c:barChart>
      <c:catAx>
        <c:axId val="169767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706784"/>
        <c:crosses val="autoZero"/>
        <c:auto val="1"/>
        <c:lblAlgn val="ctr"/>
        <c:lblOffset val="100"/>
        <c:noMultiLvlLbl val="0"/>
      </c:catAx>
      <c:valAx>
        <c:axId val="1697706784"/>
        <c:scaling>
          <c:orientation val="minMax"/>
        </c:scaling>
        <c:delete val="1"/>
        <c:axPos val="l"/>
        <c:numFmt formatCode="General" sourceLinked="1"/>
        <c:majorTickMark val="out"/>
        <c:minorTickMark val="none"/>
        <c:tickLblPos val="nextTo"/>
        <c:crossAx val="169767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[Loan_Approval_Risk_Dashboard.xlsx]Approval Rate by Education!PivotTable1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s>
    <c:plotArea>
      <c:layout/>
      <c:pieChart>
        <c:varyColors val="1"/>
        <c:ser>
          <c:idx val="0"/>
          <c:order val="0"/>
          <c:tx>
            <c:strRef>
              <c:f>'Approval Rate by Education'!$AU$8</c:f>
              <c:strCache>
                <c:ptCount val="1"/>
                <c:pt idx="0">
                  <c:v>Count of loan_id</c:v>
                </c:pt>
              </c:strCache>
            </c:strRef>
          </c:tx>
          <c:dPt>
            <c:idx val="0"/>
            <c:bubble3D val="0"/>
            <c:spPr>
              <a:solidFill>
                <a:schemeClr val="accent1"/>
              </a:solidFill>
              <a:ln>
                <a:noFill/>
              </a:ln>
              <a:effectLst/>
            </c:spPr>
            <c:extLst>
              <c:ext xmlns:c16="http://schemas.microsoft.com/office/drawing/2014/chart" uri="{C3380CC4-5D6E-409C-BE32-E72D297353CC}">
                <c16:uniqueId val="{00000001-573F-4F6D-A439-EF1D3C6B6043}"/>
              </c:ext>
            </c:extLst>
          </c:dPt>
          <c:dPt>
            <c:idx val="1"/>
            <c:bubble3D val="0"/>
            <c:spPr>
              <a:solidFill>
                <a:schemeClr val="accent2"/>
              </a:solidFill>
              <a:ln>
                <a:noFill/>
              </a:ln>
              <a:effectLst/>
            </c:spPr>
            <c:extLst>
              <c:ext xmlns:c16="http://schemas.microsoft.com/office/drawing/2014/chart" uri="{C3380CC4-5D6E-409C-BE32-E72D297353CC}">
                <c16:uniqueId val="{00000003-573F-4F6D-A439-EF1D3C6B6043}"/>
              </c:ext>
            </c:extLst>
          </c:dPt>
          <c:dPt>
            <c:idx val="2"/>
            <c:bubble3D val="0"/>
            <c:spPr>
              <a:solidFill>
                <a:schemeClr val="accent3"/>
              </a:solidFill>
              <a:ln>
                <a:noFill/>
              </a:ln>
              <a:effectLst/>
            </c:spPr>
            <c:extLst>
              <c:ext xmlns:c16="http://schemas.microsoft.com/office/drawing/2014/chart" uri="{C3380CC4-5D6E-409C-BE32-E72D297353CC}">
                <c16:uniqueId val="{00000005-573F-4F6D-A439-EF1D3C6B6043}"/>
              </c:ext>
            </c:extLst>
          </c:dPt>
          <c:cat>
            <c:strRef>
              <c:f>'Approval Rate by Education'!$AT$9:$AT$12</c:f>
              <c:strCache>
                <c:ptCount val="3"/>
                <c:pt idx="0">
                  <c:v>Moderate</c:v>
                </c:pt>
                <c:pt idx="1">
                  <c:v>Strong</c:v>
                </c:pt>
                <c:pt idx="2">
                  <c:v>Weak</c:v>
                </c:pt>
              </c:strCache>
            </c:strRef>
          </c:cat>
          <c:val>
            <c:numRef>
              <c:f>'Approval Rate by Education'!$AU$9:$AU$12</c:f>
              <c:numCache>
                <c:formatCode>General</c:formatCode>
                <c:ptCount val="3"/>
                <c:pt idx="0">
                  <c:v>350</c:v>
                </c:pt>
                <c:pt idx="1">
                  <c:v>3626</c:v>
                </c:pt>
                <c:pt idx="2">
                  <c:v>293</c:v>
                </c:pt>
              </c:numCache>
            </c:numRef>
          </c:val>
          <c:extLst>
            <c:ext xmlns:c16="http://schemas.microsoft.com/office/drawing/2014/chart" uri="{C3380CC4-5D6E-409C-BE32-E72D297353CC}">
              <c16:uniqueId val="{00000006-573F-4F6D-A439-EF1D3C6B6043}"/>
            </c:ext>
          </c:extLst>
        </c:ser>
        <c:ser>
          <c:idx val="1"/>
          <c:order val="1"/>
          <c:tx>
            <c:strRef>
              <c:f>'Approval Rate by Education'!$AV$8</c:f>
              <c:strCache>
                <c:ptCount val="1"/>
                <c:pt idx="0">
                  <c:v>Average of approval_flag</c:v>
                </c:pt>
              </c:strCache>
            </c:strRef>
          </c:tx>
          <c:dPt>
            <c:idx val="0"/>
            <c:bubble3D val="0"/>
            <c:spPr>
              <a:solidFill>
                <a:schemeClr val="accent1"/>
              </a:solidFill>
              <a:ln>
                <a:noFill/>
              </a:ln>
              <a:effectLst/>
            </c:spPr>
            <c:extLst>
              <c:ext xmlns:c16="http://schemas.microsoft.com/office/drawing/2014/chart" uri="{C3380CC4-5D6E-409C-BE32-E72D297353CC}">
                <c16:uniqueId val="{00000008-573F-4F6D-A439-EF1D3C6B6043}"/>
              </c:ext>
            </c:extLst>
          </c:dPt>
          <c:dPt>
            <c:idx val="1"/>
            <c:bubble3D val="0"/>
            <c:spPr>
              <a:solidFill>
                <a:schemeClr val="accent2"/>
              </a:solidFill>
              <a:ln>
                <a:noFill/>
              </a:ln>
              <a:effectLst/>
            </c:spPr>
            <c:extLst>
              <c:ext xmlns:c16="http://schemas.microsoft.com/office/drawing/2014/chart" uri="{C3380CC4-5D6E-409C-BE32-E72D297353CC}">
                <c16:uniqueId val="{0000000A-573F-4F6D-A439-EF1D3C6B6043}"/>
              </c:ext>
            </c:extLst>
          </c:dPt>
          <c:dPt>
            <c:idx val="2"/>
            <c:bubble3D val="0"/>
            <c:spPr>
              <a:solidFill>
                <a:schemeClr val="accent3"/>
              </a:solidFill>
              <a:ln>
                <a:noFill/>
              </a:ln>
              <a:effectLst/>
            </c:spPr>
            <c:extLst>
              <c:ext xmlns:c16="http://schemas.microsoft.com/office/drawing/2014/chart" uri="{C3380CC4-5D6E-409C-BE32-E72D297353CC}">
                <c16:uniqueId val="{0000000C-573F-4F6D-A439-EF1D3C6B6043}"/>
              </c:ext>
            </c:extLst>
          </c:dPt>
          <c:cat>
            <c:strRef>
              <c:f>'Approval Rate by Education'!$AT$9:$AT$12</c:f>
              <c:strCache>
                <c:ptCount val="3"/>
                <c:pt idx="0">
                  <c:v>Moderate</c:v>
                </c:pt>
                <c:pt idx="1">
                  <c:v>Strong</c:v>
                </c:pt>
                <c:pt idx="2">
                  <c:v>Weak</c:v>
                </c:pt>
              </c:strCache>
            </c:strRef>
          </c:cat>
          <c:val>
            <c:numRef>
              <c:f>'Approval Rate by Education'!$AV$9:$AV$12</c:f>
              <c:numCache>
                <c:formatCode>0.00%</c:formatCode>
                <c:ptCount val="3"/>
                <c:pt idx="0">
                  <c:v>0.60285714285714287</c:v>
                </c:pt>
                <c:pt idx="1">
                  <c:v>0.62217319360176504</c:v>
                </c:pt>
                <c:pt idx="2">
                  <c:v>0.6450511945392492</c:v>
                </c:pt>
              </c:numCache>
            </c:numRef>
          </c:val>
          <c:extLst>
            <c:ext xmlns:c16="http://schemas.microsoft.com/office/drawing/2014/chart" uri="{C3380CC4-5D6E-409C-BE32-E72D297353CC}">
              <c16:uniqueId val="{0000000D-573F-4F6D-A439-EF1D3C6B60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[Loan_Approval_Risk_Dashboard.xlsx]Approval Rate by Education!PivotTable4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0" i="0" u="none" strike="noStrike" baseline="0">
                <a:solidFill>
                  <a:schemeClr val="bg1"/>
                </a:solidFill>
              </a:rPr>
              <a:t>SELF EMPLOYED vs APPROVAL</a:t>
            </a:r>
            <a:endParaRPr lang="en-US" sz="800">
              <a:solidFill>
                <a:schemeClr val="bg1"/>
              </a:solidFill>
            </a:endParaRPr>
          </a:p>
        </c:rich>
      </c:tx>
      <c:layout>
        <c:manualLayout>
          <c:xMode val="edge"/>
          <c:yMode val="edge"/>
          <c:x val="0.22308229525954221"/>
          <c:y val="1.89119367424882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972222113468458E-2"/>
          <c:y val="0.21945637672549315"/>
          <c:w val="0.9005555577306309"/>
          <c:h val="0.62700437862518743"/>
        </c:manualLayout>
      </c:layout>
      <c:barChart>
        <c:barDir val="col"/>
        <c:grouping val="clustered"/>
        <c:varyColors val="0"/>
        <c:ser>
          <c:idx val="0"/>
          <c:order val="0"/>
          <c:tx>
            <c:strRef>
              <c:f>'Approval Rate by Education'!$Q$4</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'Approval Rate by Education'!$P$5:$P$7</c:f>
              <c:strCache>
                <c:ptCount val="2"/>
                <c:pt idx="0">
                  <c:v>No</c:v>
                </c:pt>
                <c:pt idx="1">
                  <c:v>Yes</c:v>
                </c:pt>
              </c:strCache>
            </c:strRef>
          </c:cat>
          <c:val>
            <c:numRef>
              <c:f>'Approval Rate by Education'!$Q$5:$Q$7</c:f>
              <c:numCache>
                <c:formatCode>General</c:formatCode>
                <c:ptCount val="2"/>
                <c:pt idx="0">
                  <c:v>1318</c:v>
                </c:pt>
                <c:pt idx="1">
                  <c:v>1338</c:v>
                </c:pt>
              </c:numCache>
            </c:numRef>
          </c:val>
          <c:extLst>
            <c:ext xmlns:c16="http://schemas.microsoft.com/office/drawing/2014/chart" uri="{C3380CC4-5D6E-409C-BE32-E72D297353CC}">
              <c16:uniqueId val="{00000000-E257-4B27-9DB9-239E349651DB}"/>
            </c:ext>
          </c:extLst>
        </c:ser>
        <c:dLbls>
          <c:dLblPos val="outEnd"/>
          <c:showLegendKey val="0"/>
          <c:showVal val="1"/>
          <c:showCatName val="0"/>
          <c:showSerName val="0"/>
          <c:showPercent val="0"/>
          <c:showBubbleSize val="0"/>
        </c:dLbls>
        <c:gapWidth val="219"/>
        <c:overlap val="-27"/>
        <c:axId val="1776290208"/>
        <c:axId val="1776290624"/>
      </c:barChart>
      <c:catAx>
        <c:axId val="177629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6290624"/>
        <c:crosses val="autoZero"/>
        <c:auto val="1"/>
        <c:lblAlgn val="ctr"/>
        <c:lblOffset val="100"/>
        <c:noMultiLvlLbl val="0"/>
      </c:catAx>
      <c:valAx>
        <c:axId val="1776290624"/>
        <c:scaling>
          <c:orientation val="minMax"/>
        </c:scaling>
        <c:delete val="1"/>
        <c:axPos val="l"/>
        <c:numFmt formatCode="General" sourceLinked="1"/>
        <c:majorTickMark val="out"/>
        <c:minorTickMark val="none"/>
        <c:tickLblPos val="nextTo"/>
        <c:crossAx val="17762902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30079</xdr:colOff>
      <xdr:row>0</xdr:row>
      <xdr:rowOff>0</xdr:rowOff>
    </xdr:from>
    <xdr:to>
      <xdr:col>13</xdr:col>
      <xdr:colOff>487278</xdr:colOff>
      <xdr:row>24</xdr:row>
      <xdr:rowOff>95612</xdr:rowOff>
    </xdr:to>
    <xdr:sp macro="" textlink="">
      <xdr:nvSpPr>
        <xdr:cNvPr id="2" name="Rounded Rectangle 1"/>
        <xdr:cNvSpPr/>
      </xdr:nvSpPr>
      <xdr:spPr>
        <a:xfrm>
          <a:off x="30079" y="0"/>
          <a:ext cx="12448673" cy="4938323"/>
        </a:xfrm>
        <a:prstGeom prst="roundRect">
          <a:avLst>
            <a:gd name="adj" fmla="val 79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160759</xdr:colOff>
      <xdr:row>3</xdr:row>
      <xdr:rowOff>109613</xdr:rowOff>
    </xdr:from>
    <xdr:to>
      <xdr:col>1</xdr:col>
      <xdr:colOff>1266392</xdr:colOff>
      <xdr:row>5</xdr:row>
      <xdr:rowOff>157689</xdr:rowOff>
    </xdr:to>
    <xdr:sp macro="" textlink="">
      <xdr:nvSpPr>
        <xdr:cNvPr id="3" name="Rounded Rectangle 2"/>
        <xdr:cNvSpPr/>
      </xdr:nvSpPr>
      <xdr:spPr>
        <a:xfrm>
          <a:off x="160759" y="694102"/>
          <a:ext cx="1711769" cy="697507"/>
        </a:xfrm>
        <a:prstGeom prst="roundRect">
          <a:avLst/>
        </a:prstGeom>
        <a:solidFill>
          <a:schemeClr val="accent5">
            <a:lumMod val="60000"/>
            <a:lumOff val="40000"/>
          </a:schemeClr>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xdr:colOff>
      <xdr:row>3</xdr:row>
      <xdr:rowOff>119139</xdr:rowOff>
    </xdr:from>
    <xdr:to>
      <xdr:col>1</xdr:col>
      <xdr:colOff>984973</xdr:colOff>
      <xdr:row>3</xdr:row>
      <xdr:rowOff>324716</xdr:rowOff>
    </xdr:to>
    <xdr:sp macro="" textlink="">
      <xdr:nvSpPr>
        <xdr:cNvPr id="4" name="Rounded Rectangle 3"/>
        <xdr:cNvSpPr/>
      </xdr:nvSpPr>
      <xdr:spPr>
        <a:xfrm>
          <a:off x="1" y="703628"/>
          <a:ext cx="1591108" cy="205577"/>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50" b="0"/>
            <a:t>Total</a:t>
          </a:r>
          <a:r>
            <a:rPr lang="en-US" sz="1050" b="0" baseline="0"/>
            <a:t> Applicants</a:t>
          </a:r>
          <a:endParaRPr lang="en-US" sz="1050" b="0"/>
        </a:p>
      </xdr:txBody>
    </xdr:sp>
    <xdr:clientData/>
  </xdr:twoCellAnchor>
  <xdr:twoCellAnchor>
    <xdr:from>
      <xdr:col>0</xdr:col>
      <xdr:colOff>272940</xdr:colOff>
      <xdr:row>3</xdr:row>
      <xdr:rowOff>357187</xdr:rowOff>
    </xdr:from>
    <xdr:to>
      <xdr:col>1</xdr:col>
      <xdr:colOff>1158153</xdr:colOff>
      <xdr:row>5</xdr:row>
      <xdr:rowOff>54119</xdr:rowOff>
    </xdr:to>
    <xdr:sp macro="" textlink="">
      <xdr:nvSpPr>
        <xdr:cNvPr id="5" name="Rounded Rectangle 4"/>
        <xdr:cNvSpPr/>
      </xdr:nvSpPr>
      <xdr:spPr>
        <a:xfrm>
          <a:off x="272940" y="941676"/>
          <a:ext cx="1491349" cy="34636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 </a:t>
          </a:r>
          <a:r>
            <a:rPr lang="en-US" sz="2800" b="0" i="0" u="none" strike="noStrike">
              <a:solidFill>
                <a:schemeClr val="lt1"/>
              </a:solidFill>
              <a:effectLst/>
              <a:latin typeface="+mn-lt"/>
              <a:ea typeface="+mn-ea"/>
              <a:cs typeface="+mn-cs"/>
            </a:rPr>
            <a:t>4269</a:t>
          </a:r>
          <a:r>
            <a:rPr lang="en-US" sz="1800"/>
            <a:t> </a:t>
          </a:r>
        </a:p>
      </xdr:txBody>
    </xdr:sp>
    <xdr:clientData/>
  </xdr:twoCellAnchor>
  <xdr:twoCellAnchor>
    <xdr:from>
      <xdr:col>1</xdr:col>
      <xdr:colOff>1280221</xdr:colOff>
      <xdr:row>3</xdr:row>
      <xdr:rowOff>109613</xdr:rowOff>
    </xdr:from>
    <xdr:to>
      <xdr:col>3</xdr:col>
      <xdr:colOff>768494</xdr:colOff>
      <xdr:row>5</xdr:row>
      <xdr:rowOff>157689</xdr:rowOff>
    </xdr:to>
    <xdr:sp macro="" textlink="">
      <xdr:nvSpPr>
        <xdr:cNvPr id="11" name="Rounded Rectangle 10"/>
        <xdr:cNvSpPr/>
      </xdr:nvSpPr>
      <xdr:spPr>
        <a:xfrm>
          <a:off x="1886357" y="694102"/>
          <a:ext cx="1523160" cy="697507"/>
        </a:xfrm>
        <a:prstGeom prst="roundRect">
          <a:avLst/>
        </a:prstGeom>
        <a:solidFill>
          <a:schemeClr val="accent5">
            <a:lumMod val="60000"/>
            <a:lumOff val="40000"/>
          </a:schemeClr>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1219611</xdr:colOff>
      <xdr:row>3</xdr:row>
      <xdr:rowOff>128662</xdr:rowOff>
    </xdr:from>
    <xdr:to>
      <xdr:col>3</xdr:col>
      <xdr:colOff>821816</xdr:colOff>
      <xdr:row>3</xdr:row>
      <xdr:rowOff>355056</xdr:rowOff>
    </xdr:to>
    <xdr:sp macro="" textlink="">
      <xdr:nvSpPr>
        <xdr:cNvPr id="12" name="Rounded Rectangle 11"/>
        <xdr:cNvSpPr/>
      </xdr:nvSpPr>
      <xdr:spPr>
        <a:xfrm>
          <a:off x="1825747" y="713151"/>
          <a:ext cx="1637092" cy="22639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0"/>
            <a:t>Approved</a:t>
          </a:r>
          <a:endParaRPr lang="en-US" sz="1200" b="0"/>
        </a:p>
      </xdr:txBody>
    </xdr:sp>
    <xdr:clientData/>
  </xdr:twoCellAnchor>
  <xdr:twoCellAnchor>
    <xdr:from>
      <xdr:col>1</xdr:col>
      <xdr:colOff>1381476</xdr:colOff>
      <xdr:row>3</xdr:row>
      <xdr:rowOff>349149</xdr:rowOff>
    </xdr:from>
    <xdr:to>
      <xdr:col>3</xdr:col>
      <xdr:colOff>597799</xdr:colOff>
      <xdr:row>5</xdr:row>
      <xdr:rowOff>43296</xdr:rowOff>
    </xdr:to>
    <xdr:sp macro="" textlink="">
      <xdr:nvSpPr>
        <xdr:cNvPr id="13" name="Rounded Rectangle 12"/>
        <xdr:cNvSpPr/>
      </xdr:nvSpPr>
      <xdr:spPr>
        <a:xfrm>
          <a:off x="1987612" y="933638"/>
          <a:ext cx="1251210" cy="34357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 </a:t>
          </a:r>
          <a:r>
            <a:rPr lang="en-US" sz="2800" b="0" i="0" u="none" strike="noStrike">
              <a:solidFill>
                <a:schemeClr val="lt1"/>
              </a:solidFill>
              <a:effectLst/>
              <a:latin typeface="+mn-lt"/>
              <a:ea typeface="+mn-ea"/>
              <a:cs typeface="+mn-cs"/>
            </a:rPr>
            <a:t>2656</a:t>
          </a:r>
          <a:r>
            <a:rPr lang="en-US" sz="3600"/>
            <a:t> </a:t>
          </a:r>
          <a:r>
            <a:rPr lang="en-US" sz="2400"/>
            <a:t> </a:t>
          </a:r>
        </a:p>
      </xdr:txBody>
    </xdr:sp>
    <xdr:clientData/>
  </xdr:twoCellAnchor>
  <xdr:twoCellAnchor>
    <xdr:from>
      <xdr:col>3</xdr:col>
      <xdr:colOff>786623</xdr:colOff>
      <xdr:row>3</xdr:row>
      <xdr:rowOff>109613</xdr:rowOff>
    </xdr:from>
    <xdr:to>
      <xdr:col>5</xdr:col>
      <xdr:colOff>368011</xdr:colOff>
      <xdr:row>5</xdr:row>
      <xdr:rowOff>157689</xdr:rowOff>
    </xdr:to>
    <xdr:sp macro="" textlink="">
      <xdr:nvSpPr>
        <xdr:cNvPr id="14" name="Rounded Rectangle 13"/>
        <xdr:cNvSpPr/>
      </xdr:nvSpPr>
      <xdr:spPr>
        <a:xfrm>
          <a:off x="3427646" y="694102"/>
          <a:ext cx="1497212" cy="697507"/>
        </a:xfrm>
        <a:prstGeom prst="roundRect">
          <a:avLst/>
        </a:prstGeom>
        <a:solidFill>
          <a:schemeClr val="accent5">
            <a:lumMod val="60000"/>
            <a:lumOff val="40000"/>
          </a:schemeClr>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651652</xdr:colOff>
      <xdr:row>3</xdr:row>
      <xdr:rowOff>115467</xdr:rowOff>
    </xdr:from>
    <xdr:to>
      <xdr:col>5</xdr:col>
      <xdr:colOff>520090</xdr:colOff>
      <xdr:row>3</xdr:row>
      <xdr:rowOff>367380</xdr:rowOff>
    </xdr:to>
    <xdr:sp macro="" textlink="">
      <xdr:nvSpPr>
        <xdr:cNvPr id="15" name="Rounded Rectangle 14"/>
        <xdr:cNvSpPr/>
      </xdr:nvSpPr>
      <xdr:spPr>
        <a:xfrm>
          <a:off x="3292675" y="699956"/>
          <a:ext cx="1784262" cy="25191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0"/>
            <a:t>Rejected</a:t>
          </a:r>
          <a:endParaRPr lang="en-US" sz="1400" b="0"/>
        </a:p>
      </xdr:txBody>
    </xdr:sp>
    <xdr:clientData/>
  </xdr:twoCellAnchor>
  <xdr:twoCellAnchor>
    <xdr:from>
      <xdr:col>3</xdr:col>
      <xdr:colOff>876888</xdr:colOff>
      <xdr:row>3</xdr:row>
      <xdr:rowOff>340547</xdr:rowOff>
    </xdr:from>
    <xdr:to>
      <xdr:col>5</xdr:col>
      <xdr:colOff>216477</xdr:colOff>
      <xdr:row>5</xdr:row>
      <xdr:rowOff>64943</xdr:rowOff>
    </xdr:to>
    <xdr:sp macro="" textlink="">
      <xdr:nvSpPr>
        <xdr:cNvPr id="16" name="Rounded Rectangle 15"/>
        <xdr:cNvSpPr/>
      </xdr:nvSpPr>
      <xdr:spPr>
        <a:xfrm>
          <a:off x="3517911" y="925036"/>
          <a:ext cx="1255413" cy="373827"/>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 </a:t>
          </a:r>
          <a:r>
            <a:rPr lang="en-US" sz="2800" b="0" i="0" u="none" strike="noStrike">
              <a:solidFill>
                <a:schemeClr val="lt1"/>
              </a:solidFill>
              <a:effectLst/>
              <a:latin typeface="+mn-lt"/>
              <a:ea typeface="+mn-ea"/>
              <a:cs typeface="+mn-cs"/>
            </a:rPr>
            <a:t>1613</a:t>
          </a:r>
          <a:r>
            <a:rPr lang="en-US" sz="3600"/>
            <a:t>  </a:t>
          </a:r>
        </a:p>
      </xdr:txBody>
    </xdr:sp>
    <xdr:clientData/>
  </xdr:twoCellAnchor>
  <xdr:twoCellAnchor>
    <xdr:from>
      <xdr:col>5</xdr:col>
      <xdr:colOff>389660</xdr:colOff>
      <xdr:row>3</xdr:row>
      <xdr:rowOff>109613</xdr:rowOff>
    </xdr:from>
    <xdr:to>
      <xdr:col>7</xdr:col>
      <xdr:colOff>559051</xdr:colOff>
      <xdr:row>5</xdr:row>
      <xdr:rowOff>157689</xdr:rowOff>
    </xdr:to>
    <xdr:sp macro="" textlink="">
      <xdr:nvSpPr>
        <xdr:cNvPr id="17" name="Rounded Rectangle 16"/>
        <xdr:cNvSpPr/>
      </xdr:nvSpPr>
      <xdr:spPr>
        <a:xfrm>
          <a:off x="4946507" y="694102"/>
          <a:ext cx="1630612" cy="697507"/>
        </a:xfrm>
        <a:prstGeom prst="roundRect">
          <a:avLst/>
        </a:prstGeom>
        <a:solidFill>
          <a:schemeClr val="accent5">
            <a:lumMod val="60000"/>
            <a:lumOff val="40000"/>
          </a:schemeClr>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310611</xdr:colOff>
      <xdr:row>3</xdr:row>
      <xdr:rowOff>125172</xdr:rowOff>
    </xdr:from>
    <xdr:to>
      <xdr:col>8</xdr:col>
      <xdr:colOff>5969</xdr:colOff>
      <xdr:row>3</xdr:row>
      <xdr:rowOff>337901</xdr:rowOff>
    </xdr:to>
    <xdr:sp macro="" textlink="">
      <xdr:nvSpPr>
        <xdr:cNvPr id="18" name="Rounded Rectangle 17"/>
        <xdr:cNvSpPr/>
      </xdr:nvSpPr>
      <xdr:spPr>
        <a:xfrm>
          <a:off x="4867458" y="709661"/>
          <a:ext cx="1762716" cy="21272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0"/>
            <a:t>Approval Rate </a:t>
          </a:r>
        </a:p>
      </xdr:txBody>
    </xdr:sp>
    <xdr:clientData/>
  </xdr:twoCellAnchor>
  <xdr:twoCellAnchor>
    <xdr:from>
      <xdr:col>5</xdr:col>
      <xdr:colOff>407770</xdr:colOff>
      <xdr:row>3</xdr:row>
      <xdr:rowOff>417925</xdr:rowOff>
    </xdr:from>
    <xdr:to>
      <xdr:col>8</xdr:col>
      <xdr:colOff>54119</xdr:colOff>
      <xdr:row>5</xdr:row>
      <xdr:rowOff>31341</xdr:rowOff>
    </xdr:to>
    <xdr:sp macro="" textlink="">
      <xdr:nvSpPr>
        <xdr:cNvPr id="19" name="Rounded Rectangle 18"/>
        <xdr:cNvSpPr/>
      </xdr:nvSpPr>
      <xdr:spPr>
        <a:xfrm>
          <a:off x="4964617" y="1002414"/>
          <a:ext cx="1713707" cy="262847"/>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cap="none" spc="0">
              <a:ln w="10160">
                <a:noFill/>
                <a:prstDash val="solid"/>
              </a:ln>
              <a:solidFill>
                <a:srgbClr val="FFFFFF"/>
              </a:solidFill>
              <a:effectLst>
                <a:outerShdw blurRad="38100" dist="22860" dir="5400000" algn="tl" rotWithShape="0">
                  <a:srgbClr val="000000">
                    <a:alpha val="30000"/>
                  </a:srgbClr>
                </a:outerShdw>
              </a:effectLst>
            </a:rPr>
            <a:t>📈</a:t>
          </a:r>
          <a:r>
            <a:rPr lang="en-US" sz="2000"/>
            <a:t> </a:t>
          </a:r>
          <a:r>
            <a:rPr lang="en-US" sz="2800" b="0" i="0" u="none" strike="noStrike">
              <a:solidFill>
                <a:schemeClr val="lt1"/>
              </a:solidFill>
              <a:effectLst/>
              <a:latin typeface="+mn-lt"/>
              <a:ea typeface="+mn-ea"/>
              <a:cs typeface="+mn-cs"/>
            </a:rPr>
            <a:t>62.22%</a:t>
          </a:r>
          <a:r>
            <a:rPr lang="en-US" sz="2800"/>
            <a:t>  </a:t>
          </a:r>
        </a:p>
      </xdr:txBody>
    </xdr:sp>
    <xdr:clientData/>
  </xdr:twoCellAnchor>
  <xdr:twoCellAnchor>
    <xdr:from>
      <xdr:col>7</xdr:col>
      <xdr:colOff>584489</xdr:colOff>
      <xdr:row>3</xdr:row>
      <xdr:rowOff>109613</xdr:rowOff>
    </xdr:from>
    <xdr:to>
      <xdr:col>10</xdr:col>
      <xdr:colOff>235325</xdr:colOff>
      <xdr:row>5</xdr:row>
      <xdr:rowOff>157689</xdr:rowOff>
    </xdr:to>
    <xdr:sp macro="" textlink="">
      <xdr:nvSpPr>
        <xdr:cNvPr id="26" name="Rounded Rectangle 25"/>
        <xdr:cNvSpPr/>
      </xdr:nvSpPr>
      <xdr:spPr>
        <a:xfrm>
          <a:off x="6602557" y="694102"/>
          <a:ext cx="2086206" cy="697507"/>
        </a:xfrm>
        <a:prstGeom prst="roundRect">
          <a:avLst/>
        </a:prstGeom>
        <a:solidFill>
          <a:schemeClr val="accent5">
            <a:lumMod val="60000"/>
            <a:lumOff val="40000"/>
          </a:schemeClr>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340604</xdr:colOff>
      <xdr:row>3</xdr:row>
      <xdr:rowOff>117008</xdr:rowOff>
    </xdr:from>
    <xdr:to>
      <xdr:col>10</xdr:col>
      <xdr:colOff>371759</xdr:colOff>
      <xdr:row>3</xdr:row>
      <xdr:rowOff>367345</xdr:rowOff>
    </xdr:to>
    <xdr:sp macro="" textlink="">
      <xdr:nvSpPr>
        <xdr:cNvPr id="27" name="Rounded Rectangle 26"/>
        <xdr:cNvSpPr/>
      </xdr:nvSpPr>
      <xdr:spPr>
        <a:xfrm>
          <a:off x="6358672" y="701497"/>
          <a:ext cx="2466525" cy="250337"/>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0"/>
            <a:t>Avg Loan Amount</a:t>
          </a:r>
        </a:p>
      </xdr:txBody>
    </xdr:sp>
    <xdr:clientData/>
  </xdr:twoCellAnchor>
  <xdr:twoCellAnchor>
    <xdr:from>
      <xdr:col>7</xdr:col>
      <xdr:colOff>527816</xdr:colOff>
      <xdr:row>3</xdr:row>
      <xdr:rowOff>383846</xdr:rowOff>
    </xdr:from>
    <xdr:to>
      <xdr:col>10</xdr:col>
      <xdr:colOff>292244</xdr:colOff>
      <xdr:row>5</xdr:row>
      <xdr:rowOff>55665</xdr:rowOff>
    </xdr:to>
    <xdr:sp macro="" textlink="">
      <xdr:nvSpPr>
        <xdr:cNvPr id="28" name="Rounded Rectangle 27"/>
        <xdr:cNvSpPr/>
      </xdr:nvSpPr>
      <xdr:spPr>
        <a:xfrm>
          <a:off x="6545884" y="968335"/>
          <a:ext cx="2199798" cy="3212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a:t>
          </a:r>
          <a:r>
            <a:rPr lang="en-US" sz="2800" b="0" i="0" u="none" strike="noStrike">
              <a:solidFill>
                <a:schemeClr val="lt1"/>
              </a:solidFill>
              <a:effectLst/>
              <a:latin typeface="+mn-lt"/>
              <a:ea typeface="+mn-ea"/>
              <a:cs typeface="+mn-cs"/>
            </a:rPr>
            <a:t>15,133,450</a:t>
          </a:r>
          <a:r>
            <a:rPr lang="en-US" sz="2800"/>
            <a:t>    </a:t>
          </a:r>
        </a:p>
      </xdr:txBody>
    </xdr:sp>
    <xdr:clientData/>
  </xdr:twoCellAnchor>
  <xdr:twoCellAnchor>
    <xdr:from>
      <xdr:col>0</xdr:col>
      <xdr:colOff>150394</xdr:colOff>
      <xdr:row>0</xdr:row>
      <xdr:rowOff>113205</xdr:rowOff>
    </xdr:from>
    <xdr:to>
      <xdr:col>13</xdr:col>
      <xdr:colOff>340893</xdr:colOff>
      <xdr:row>3</xdr:row>
      <xdr:rowOff>79947</xdr:rowOff>
    </xdr:to>
    <xdr:sp macro="" textlink="">
      <xdr:nvSpPr>
        <xdr:cNvPr id="29" name="Rounded Rectangle 28"/>
        <xdr:cNvSpPr/>
      </xdr:nvSpPr>
      <xdr:spPr>
        <a:xfrm>
          <a:off x="150394" y="113205"/>
          <a:ext cx="12181973" cy="538242"/>
        </a:xfrm>
        <a:prstGeom prst="roundRect">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a:p>
      </xdr:txBody>
    </xdr:sp>
    <xdr:clientData/>
  </xdr:twoCellAnchor>
  <xdr:twoCellAnchor>
    <xdr:from>
      <xdr:col>1</xdr:col>
      <xdr:colOff>1201973</xdr:colOff>
      <xdr:row>0</xdr:row>
      <xdr:rowOff>46141</xdr:rowOff>
    </xdr:from>
    <xdr:to>
      <xdr:col>11</xdr:col>
      <xdr:colOff>381000</xdr:colOff>
      <xdr:row>3</xdr:row>
      <xdr:rowOff>15039</xdr:rowOff>
    </xdr:to>
    <xdr:sp macro="" textlink="">
      <xdr:nvSpPr>
        <xdr:cNvPr id="30" name="Rounded Rectangle 29"/>
        <xdr:cNvSpPr/>
      </xdr:nvSpPr>
      <xdr:spPr>
        <a:xfrm>
          <a:off x="1813578" y="46141"/>
          <a:ext cx="7671317" cy="54039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800"/>
            <a:t>       🏦    Loan Approval Risk Analysis Dashboard</a:t>
          </a:r>
          <a:endParaRPr lang="en-US" sz="2800">
            <a:effectLst/>
          </a:endParaRPr>
        </a:p>
        <a:p>
          <a:pPr algn="ctr"/>
          <a:endParaRPr lang="en-US" sz="2800"/>
        </a:p>
      </xdr:txBody>
    </xdr:sp>
    <xdr:clientData/>
  </xdr:twoCellAnchor>
  <xdr:twoCellAnchor>
    <xdr:from>
      <xdr:col>0</xdr:col>
      <xdr:colOff>153000</xdr:colOff>
      <xdr:row>6</xdr:row>
      <xdr:rowOff>12377</xdr:rowOff>
    </xdr:from>
    <xdr:to>
      <xdr:col>3</xdr:col>
      <xdr:colOff>339903</xdr:colOff>
      <xdr:row>13</xdr:row>
      <xdr:rowOff>146761</xdr:rowOff>
    </xdr:to>
    <xdr:sp macro="" textlink="">
      <xdr:nvSpPr>
        <xdr:cNvPr id="37" name="Rounded Rectangle 36"/>
        <xdr:cNvSpPr/>
      </xdr:nvSpPr>
      <xdr:spPr>
        <a:xfrm>
          <a:off x="153000" y="1426088"/>
          <a:ext cx="2843877" cy="1467884"/>
        </a:xfrm>
        <a:prstGeom prst="round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382504</xdr:colOff>
      <xdr:row>6</xdr:row>
      <xdr:rowOff>20053</xdr:rowOff>
    </xdr:from>
    <xdr:to>
      <xdr:col>6</xdr:col>
      <xdr:colOff>731872</xdr:colOff>
      <xdr:row>13</xdr:row>
      <xdr:rowOff>155954</xdr:rowOff>
    </xdr:to>
    <xdr:sp macro="" textlink="">
      <xdr:nvSpPr>
        <xdr:cNvPr id="39" name="Rounded Rectangle 38"/>
        <xdr:cNvSpPr/>
      </xdr:nvSpPr>
      <xdr:spPr>
        <a:xfrm>
          <a:off x="3039478" y="1433764"/>
          <a:ext cx="2875999" cy="1469401"/>
        </a:xfrm>
        <a:prstGeom prst="round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152556</xdr:colOff>
      <xdr:row>6</xdr:row>
      <xdr:rowOff>60551</xdr:rowOff>
    </xdr:from>
    <xdr:to>
      <xdr:col>3</xdr:col>
      <xdr:colOff>87230</xdr:colOff>
      <xdr:row>13</xdr:row>
      <xdr:rowOff>107340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639678</xdr:colOff>
      <xdr:row>6</xdr:row>
      <xdr:rowOff>37720</xdr:rowOff>
    </xdr:from>
    <xdr:to>
      <xdr:col>6</xdr:col>
      <xdr:colOff>734861</xdr:colOff>
      <xdr:row>13</xdr:row>
      <xdr:rowOff>140368</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130342</xdr:colOff>
      <xdr:row>14</xdr:row>
      <xdr:rowOff>10026</xdr:rowOff>
    </xdr:from>
    <xdr:to>
      <xdr:col>6</xdr:col>
      <xdr:colOff>677078</xdr:colOff>
      <xdr:row>22</xdr:row>
      <xdr:rowOff>20676</xdr:rowOff>
    </xdr:to>
    <xdr:sp macro="" textlink="">
      <xdr:nvSpPr>
        <xdr:cNvPr id="43" name="Rounded Rectangle 42"/>
        <xdr:cNvSpPr/>
      </xdr:nvSpPr>
      <xdr:spPr>
        <a:xfrm>
          <a:off x="130342" y="2947737"/>
          <a:ext cx="5730341" cy="1534650"/>
        </a:xfrm>
        <a:prstGeom prst="round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200525</xdr:colOff>
      <xdr:row>14</xdr:row>
      <xdr:rowOff>59274</xdr:rowOff>
    </xdr:from>
    <xdr:to>
      <xdr:col>6</xdr:col>
      <xdr:colOff>573795</xdr:colOff>
      <xdr:row>22</xdr:row>
      <xdr:rowOff>13269</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752475</xdr:colOff>
      <xdr:row>6</xdr:row>
      <xdr:rowOff>30079</xdr:rowOff>
    </xdr:from>
    <xdr:to>
      <xdr:col>10</xdr:col>
      <xdr:colOff>330318</xdr:colOff>
      <xdr:row>13</xdr:row>
      <xdr:rowOff>147217</xdr:rowOff>
    </xdr:to>
    <xdr:sp macro="" textlink="">
      <xdr:nvSpPr>
        <xdr:cNvPr id="66" name="Rounded Rectangle 65"/>
        <xdr:cNvSpPr/>
      </xdr:nvSpPr>
      <xdr:spPr>
        <a:xfrm>
          <a:off x="5936080" y="1443790"/>
          <a:ext cx="2886527" cy="1450638"/>
        </a:xfrm>
        <a:prstGeom prst="round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721895</xdr:colOff>
      <xdr:row>13</xdr:row>
      <xdr:rowOff>180473</xdr:rowOff>
    </xdr:from>
    <xdr:to>
      <xdr:col>10</xdr:col>
      <xdr:colOff>330318</xdr:colOff>
      <xdr:row>21</xdr:row>
      <xdr:rowOff>189326</xdr:rowOff>
    </xdr:to>
    <xdr:sp macro="" textlink="">
      <xdr:nvSpPr>
        <xdr:cNvPr id="67" name="Rounded Rectangle 66"/>
        <xdr:cNvSpPr/>
      </xdr:nvSpPr>
      <xdr:spPr>
        <a:xfrm>
          <a:off x="5905500" y="2927684"/>
          <a:ext cx="2917107" cy="1532853"/>
        </a:xfrm>
        <a:prstGeom prst="round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852237</xdr:colOff>
      <xdr:row>6</xdr:row>
      <xdr:rowOff>64943</xdr:rowOff>
    </xdr:from>
    <xdr:to>
      <xdr:col>10</xdr:col>
      <xdr:colOff>180474</xdr:colOff>
      <xdr:row>13</xdr:row>
      <xdr:rowOff>115891</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154223</xdr:colOff>
      <xdr:row>7</xdr:row>
      <xdr:rowOff>38207</xdr:rowOff>
    </xdr:from>
    <xdr:to>
      <xdr:col>23</xdr:col>
      <xdr:colOff>38977</xdr:colOff>
      <xdr:row>20</xdr:row>
      <xdr:rowOff>75689</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84838</xdr:colOff>
      <xdr:row>2</xdr:row>
      <xdr:rowOff>125840</xdr:rowOff>
    </xdr:from>
    <xdr:to>
      <xdr:col>35</xdr:col>
      <xdr:colOff>131777</xdr:colOff>
      <xdr:row>8</xdr:row>
      <xdr:rowOff>100114</xdr:rowOff>
    </xdr:to>
    <xdr:graphicFrame macro="">
      <xdr:nvGraphicFramePr>
        <xdr:cNvPr id="70"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118582</xdr:colOff>
      <xdr:row>28</xdr:row>
      <xdr:rowOff>99752</xdr:rowOff>
    </xdr:from>
    <xdr:to>
      <xdr:col>41</xdr:col>
      <xdr:colOff>271221</xdr:colOff>
      <xdr:row>38</xdr:row>
      <xdr:rowOff>85888</xdr:rowOff>
    </xdr:to>
    <xdr:graphicFrame macro="">
      <xdr:nvGraphicFramePr>
        <xdr:cNvPr id="71"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747921</xdr:colOff>
      <xdr:row>14</xdr:row>
      <xdr:rowOff>43980</xdr:rowOff>
    </xdr:from>
    <xdr:to>
      <xdr:col>10</xdr:col>
      <xdr:colOff>263946</xdr:colOff>
      <xdr:row>21</xdr:row>
      <xdr:rowOff>183615</xdr:rowOff>
    </xdr:to>
    <xdr:graphicFrame macro="">
      <xdr:nvGraphicFramePr>
        <xdr:cNvPr id="72"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401053</xdr:colOff>
      <xdr:row>3</xdr:row>
      <xdr:rowOff>110289</xdr:rowOff>
    </xdr:from>
    <xdr:to>
      <xdr:col>13</xdr:col>
      <xdr:colOff>310815</xdr:colOff>
      <xdr:row>9</xdr:row>
      <xdr:rowOff>150393</xdr:rowOff>
    </xdr:to>
    <mc:AlternateContent xmlns:mc="http://schemas.openxmlformats.org/markup-compatibility/2006" xmlns:a14="http://schemas.microsoft.com/office/drawing/2010/main">
      <mc:Choice Requires="a14">
        <xdr:graphicFrame macro="">
          <xdr:nvGraphicFramePr>
            <xdr:cNvPr id="6" name="cibil_band"/>
            <xdr:cNvGraphicFramePr/>
          </xdr:nvGraphicFramePr>
          <xdr:xfrm>
            <a:off x="0" y="0"/>
            <a:ext cx="0" cy="0"/>
          </xdr:xfrm>
          <a:graphic>
            <a:graphicData uri="http://schemas.microsoft.com/office/drawing/2010/slicer">
              <sle:slicer xmlns:sle="http://schemas.microsoft.com/office/drawing/2010/slicer" name="cibil_band"/>
            </a:graphicData>
          </a:graphic>
        </xdr:graphicFrame>
      </mc:Choice>
      <mc:Fallback xmlns="">
        <xdr:sp macro="" textlink="">
          <xdr:nvSpPr>
            <xdr:cNvPr id="0" name=""/>
            <xdr:cNvSpPr>
              <a:spLocks noTextEdit="1"/>
            </xdr:cNvSpPr>
          </xdr:nvSpPr>
          <xdr:spPr>
            <a:xfrm>
              <a:off x="8893342" y="681789"/>
              <a:ext cx="3408947" cy="1453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401053</xdr:colOff>
      <xdr:row>9</xdr:row>
      <xdr:rowOff>180474</xdr:rowOff>
    </xdr:from>
    <xdr:to>
      <xdr:col>11</xdr:col>
      <xdr:colOff>1463842</xdr:colOff>
      <xdr:row>16</xdr:row>
      <xdr:rowOff>110288</xdr:rowOff>
    </xdr:to>
    <mc:AlternateContent xmlns:mc="http://schemas.openxmlformats.org/markup-compatibility/2006" xmlns:a14="http://schemas.microsoft.com/office/drawing/2010/main">
      <mc:Choice Requires="a14">
        <xdr:graphicFrame macro="">
          <xdr:nvGraphicFramePr>
            <xdr:cNvPr id="7" name="income_group"/>
            <xdr:cNvGraphicFramePr/>
          </xdr:nvGraphicFramePr>
          <xdr:xfrm>
            <a:off x="0" y="0"/>
            <a:ext cx="0" cy="0"/>
          </xdr:xfrm>
          <a:graphic>
            <a:graphicData uri="http://schemas.microsoft.com/office/drawing/2010/slicer">
              <sle:slicer xmlns:sle="http://schemas.microsoft.com/office/drawing/2010/slicer" name="income_group"/>
            </a:graphicData>
          </a:graphic>
        </xdr:graphicFrame>
      </mc:Choice>
      <mc:Fallback xmlns="">
        <xdr:sp macro="" textlink="">
          <xdr:nvSpPr>
            <xdr:cNvPr id="0" name=""/>
            <xdr:cNvSpPr>
              <a:spLocks noTextEdit="1"/>
            </xdr:cNvSpPr>
          </xdr:nvSpPr>
          <xdr:spPr>
            <a:xfrm>
              <a:off x="8893342" y="2165685"/>
              <a:ext cx="1674395" cy="1263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394032</xdr:colOff>
      <xdr:row>16</xdr:row>
      <xdr:rowOff>144378</xdr:rowOff>
    </xdr:from>
    <xdr:to>
      <xdr:col>11</xdr:col>
      <xdr:colOff>1483893</xdr:colOff>
      <xdr:row>21</xdr:row>
      <xdr:rowOff>190499</xdr:rowOff>
    </xdr:to>
    <mc:AlternateContent xmlns:mc="http://schemas.openxmlformats.org/markup-compatibility/2006" xmlns:a14="http://schemas.microsoft.com/office/drawing/2010/main">
      <mc:Choice Requires="a14">
        <xdr:graphicFrame macro="">
          <xdr:nvGraphicFramePr>
            <xdr:cNvPr id="8" name="self_employed"/>
            <xdr:cNvGraphicFramePr/>
          </xdr:nvGraphicFramePr>
          <xdr:xfrm>
            <a:off x="0" y="0"/>
            <a:ext cx="0" cy="0"/>
          </xdr:xfrm>
          <a:graphic>
            <a:graphicData uri="http://schemas.microsoft.com/office/drawing/2010/slicer">
              <sle:slicer xmlns:sle="http://schemas.microsoft.com/office/drawing/2010/slicer" name="self_employed"/>
            </a:graphicData>
          </a:graphic>
        </xdr:graphicFrame>
      </mc:Choice>
      <mc:Fallback xmlns="">
        <xdr:sp macro="" textlink="">
          <xdr:nvSpPr>
            <xdr:cNvPr id="0" name=""/>
            <xdr:cNvSpPr>
              <a:spLocks noTextEdit="1"/>
            </xdr:cNvSpPr>
          </xdr:nvSpPr>
          <xdr:spPr>
            <a:xfrm>
              <a:off x="8886321" y="3463089"/>
              <a:ext cx="1701467" cy="9986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1521996</xdr:colOff>
      <xdr:row>16</xdr:row>
      <xdr:rowOff>130341</xdr:rowOff>
    </xdr:from>
    <xdr:to>
      <xdr:col>13</xdr:col>
      <xdr:colOff>280737</xdr:colOff>
      <xdr:row>21</xdr:row>
      <xdr:rowOff>170446</xdr:rowOff>
    </xdr:to>
    <mc:AlternateContent xmlns:mc="http://schemas.openxmlformats.org/markup-compatibility/2006" xmlns:a14="http://schemas.microsoft.com/office/drawing/2010/main">
      <mc:Choice Requires="a14">
        <xdr:graphicFrame macro="">
          <xdr:nvGraphicFramePr>
            <xdr:cNvPr id="9"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625891" y="3449052"/>
              <a:ext cx="1646320" cy="992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1506955</xdr:colOff>
      <xdr:row>10</xdr:row>
      <xdr:rowOff>0</xdr:rowOff>
    </xdr:from>
    <xdr:to>
      <xdr:col>13</xdr:col>
      <xdr:colOff>290763</xdr:colOff>
      <xdr:row>16</xdr:row>
      <xdr:rowOff>100262</xdr:rowOff>
    </xdr:to>
    <mc:AlternateContent xmlns:mc="http://schemas.openxmlformats.org/markup-compatibility/2006" xmlns:a14="http://schemas.microsoft.com/office/drawing/2010/main">
      <mc:Choice Requires="a14">
        <xdr:graphicFrame macro="">
          <xdr:nvGraphicFramePr>
            <xdr:cNvPr id="10" name="asset_strength"/>
            <xdr:cNvGraphicFramePr/>
          </xdr:nvGraphicFramePr>
          <xdr:xfrm>
            <a:off x="0" y="0"/>
            <a:ext cx="0" cy="0"/>
          </xdr:xfrm>
          <a:graphic>
            <a:graphicData uri="http://schemas.microsoft.com/office/drawing/2010/slicer">
              <sle:slicer xmlns:sle="http://schemas.microsoft.com/office/drawing/2010/slicer" name="asset_strength"/>
            </a:graphicData>
          </a:graphic>
        </xdr:graphicFrame>
      </mc:Choice>
      <mc:Fallback xmlns="">
        <xdr:sp macro="" textlink="">
          <xdr:nvSpPr>
            <xdr:cNvPr id="0" name=""/>
            <xdr:cNvSpPr>
              <a:spLocks noTextEdit="1"/>
            </xdr:cNvSpPr>
          </xdr:nvSpPr>
          <xdr:spPr>
            <a:xfrm>
              <a:off x="10610850" y="2175711"/>
              <a:ext cx="1671387" cy="1243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momina ramzaan" refreshedDate="46073.846275462965" backgroundQuery="1" createdVersion="6" refreshedVersion="6" minRefreshableVersion="3" recordCount="0" supportSubquery="1" supportAdvancedDrill="1">
  <cacheSource type="external" connectionId="1"/>
  <cacheFields count="3">
    <cacheField name="[LoanData].[cibil_band].[cibil_band]" caption="cibil_band" numFmtId="0" hierarchy="14" level="1">
      <sharedItems count="4">
        <s v="Excellent"/>
        <s v="Good"/>
        <s v="Low"/>
        <s v="Medium"/>
      </sharedItems>
    </cacheField>
    <cacheField name="[LoanData].[income_group].[income_group]" caption="income_group" numFmtId="0" hierarchy="15" level="1">
      <sharedItems count="3">
        <s v="High"/>
        <s v="Low"/>
        <s v="Middle"/>
      </sharedItems>
    </cacheField>
    <cacheField name="[Measures].[Average of approval_flag]" caption="Average of approval_flag" numFmtId="0" hierarchy="24" level="32767"/>
  </cacheFields>
  <cacheHierarchies count="27">
    <cacheHierarchy uniqueName="[LoanData].[loan_id]" caption="loan_id" attribute="1" defaultMemberUniqueName="[LoanData].[loan_id].[All]" allUniqueName="[LoanData].[loan_id].[All]" dimensionUniqueName="[LoanData]" displayFolder="" count="2" memberValueDatatype="20" unbalanced="0"/>
    <cacheHierarchy uniqueName="[LoanData].[no_of_dependents]" caption="no_of_dependents" attribute="1" defaultMemberUniqueName="[LoanData].[no_of_dependents].[All]" allUniqueName="[LoanData].[no_of_dependents].[All]" dimensionUniqueName="[LoanData]" displayFolder="" count="2" memberValueDatatype="20" unbalanced="0"/>
    <cacheHierarchy uniqueName="[LoanData].[education]" caption="education" attribute="1" defaultMemberUniqueName="[LoanData].[education].[All]" allUniqueName="[LoanData].[education].[All]" dimensionUniqueName="[LoanData]" displayFolder="" count="2" memberValueDatatype="130" unbalanced="0"/>
    <cacheHierarchy uniqueName="[LoanData].[self_employed]" caption="self_employed" attribute="1" defaultMemberUniqueName="[LoanData].[self_employed].[All]" allUniqueName="[LoanData].[self_employed].[All]" dimensionUniqueName="[LoanData]" displayFolder="" count="2" memberValueDatatype="130" unbalanced="0"/>
    <cacheHierarchy uniqueName="[LoanData].[income_annum]" caption="income_annum" attribute="1" defaultMemberUniqueName="[LoanData].[income_annum].[All]" allUniqueName="[LoanData].[income_annum].[All]" dimensionUniqueName="[LoanData]" displayFolder="" count="2" memberValueDatatype="20" unbalanced="0"/>
    <cacheHierarchy uniqueName="[LoanData].[loan_amount]" caption="loan_amount" attribute="1" defaultMemberUniqueName="[LoanData].[loan_amount].[All]" allUniqueName="[LoanData].[loan_amount].[All]" dimensionUniqueName="[LoanData]" displayFolder="" count="2" memberValueDatatype="20" unbalanced="0"/>
    <cacheHierarchy uniqueName="[LoanData].[loan_term]" caption="loan_term" attribute="1" defaultMemberUniqueName="[LoanData].[loan_term].[All]" allUniqueName="[LoanData].[loan_term].[All]" dimensionUniqueName="[LoanData]" displayFolder="" count="2" memberValueDatatype="20" unbalanced="0"/>
    <cacheHierarchy uniqueName="[LoanData].[cibil_score]" caption="cibil_score" attribute="1" defaultMemberUniqueName="[LoanData].[cibil_score].[All]" allUniqueName="[LoanData].[cibil_score].[All]" dimensionUniqueName="[LoanData]" displayFolder="" count="2" memberValueDatatype="20" unbalanced="0"/>
    <cacheHierarchy uniqueName="[LoanData].[residential_assets_value]" caption="residential_assets_value" attribute="1" defaultMemberUniqueName="[LoanData].[residential_assets_value].[All]" allUniqueName="[LoanData].[residential_assets_value].[All]" dimensionUniqueName="[LoanData]" displayFolder="" count="2" memberValueDatatype="20" unbalanced="0"/>
    <cacheHierarchy uniqueName="[LoanData].[commercial_assets_value]" caption="commercial_assets_value" attribute="1" defaultMemberUniqueName="[LoanData].[commercial_assets_value].[All]" allUniqueName="[LoanData].[commercial_assets_value].[All]" dimensionUniqueName="[LoanData]" displayFolder="" count="2" memberValueDatatype="20" unbalanced="0"/>
    <cacheHierarchy uniqueName="[LoanData].[luxury_assets_value]" caption="luxury_assets_value" attribute="1" defaultMemberUniqueName="[LoanData].[luxury_assets_value].[All]" allUniqueName="[LoanData].[luxury_assets_value].[All]" dimensionUniqueName="[LoanData]" displayFolder="" count="2" memberValueDatatype="20" unbalanced="0"/>
    <cacheHierarchy uniqueName="[LoanData].[bank_asset_value]" caption="bank_asset_value" attribute="1" defaultMemberUniqueName="[LoanData].[bank_asset_value].[All]" allUniqueName="[LoanData].[bank_asset_value].[All]" dimensionUniqueName="[LoanData]" displayFolder="" count="2" memberValueDatatype="20" unbalanced="0"/>
    <cacheHierarchy uniqueName="[LoanData].[loan_status]" caption="loan_status" attribute="1" defaultMemberUniqueName="[LoanData].[loan_status].[All]" allUniqueName="[LoanData].[loan_status].[All]" dimensionUniqueName="[LoanData]" displayFolder="" count="2" memberValueDatatype="130" unbalanced="0"/>
    <cacheHierarchy uniqueName="[LoanData].[approval_flag]" caption="approval_flag" attribute="1" defaultMemberUniqueName="[LoanData].[approval_flag].[All]" allUniqueName="[LoanData].[approval_flag].[All]" dimensionUniqueName="[LoanData]" displayFolder="" count="2" memberValueDatatype="20" unbalanced="0"/>
    <cacheHierarchy uniqueName="[LoanData].[cibil_band]" caption="cibil_band" attribute="1" defaultMemberUniqueName="[LoanData].[cibil_band].[All]" allUniqueName="[LoanData].[cibil_band].[All]" dimensionUniqueName="[LoanData]" displayFolder="" count="2" memberValueDatatype="130" unbalanced="0">
      <fieldsUsage count="2">
        <fieldUsage x="-1"/>
        <fieldUsage x="0"/>
      </fieldsUsage>
    </cacheHierarchy>
    <cacheHierarchy uniqueName="[LoanData].[income_group]" caption="income_group" attribute="1" defaultMemberUniqueName="[LoanData].[income_group].[All]" allUniqueName="[LoanData].[income_group].[All]" dimensionUniqueName="[LoanData]" displayFolder="" count="2" memberValueDatatype="130" unbalanced="0">
      <fieldsUsage count="2">
        <fieldUsage x="-1"/>
        <fieldUsage x="1"/>
      </fieldsUsage>
    </cacheHierarchy>
    <cacheHierarchy uniqueName="[LoanData].[loan_amount_group]" caption="loan_amount_group" attribute="1" defaultMemberUniqueName="[LoanData].[loan_amount_group].[All]" allUniqueName="[LoanData].[loan_amount_group].[All]" dimensionUniqueName="[LoanData]" displayFolder="" count="2" memberValueDatatype="130" unbalanced="0"/>
    <cacheHierarchy uniqueName="[LoanData].[total_assets]" caption="total_assets" attribute="1" defaultMemberUniqueName="[LoanData].[total_assets].[All]" allUniqueName="[LoanData].[total_assets].[All]" dimensionUniqueName="[LoanData]" displayFolder="" count="2" memberValueDatatype="20" unbalanced="0"/>
    <cacheHierarchy uniqueName="[LoanData].[asset_strength]" caption="asset_strength" attribute="1" defaultMemberUniqueName="[LoanData].[asset_strength].[All]" allUniqueName="[LoanData].[asset_strength].[All]" dimensionUniqueName="[LoanData]" displayFolder="" count="2" memberValueDatatype="130" unbalanced="0"/>
    <cacheHierarchy uniqueName="[Measures].[__XL_Count LoanData]" caption="__XL_Count LoanData" measure="1" displayFolder="" measureGroup="LoanData" count="0" hidden="1"/>
    <cacheHierarchy uniqueName="[Measures].[__No measures defined]" caption="__No measures defined" measure="1" displayFolder="" count="0" hidden="1"/>
    <cacheHierarchy uniqueName="[Measures].[Sum of loan_id]" caption="Sum of loan_id" measure="1" displayFolder="" measureGroup="LoanData" count="0" hidden="1">
      <extLst>
        <ext xmlns:x15="http://schemas.microsoft.com/office/spreadsheetml/2010/11/main" uri="{B97F6D7D-B522-45F9-BDA1-12C45D357490}">
          <x15:cacheHierarchy aggregatedColumn="0"/>
        </ext>
      </extLst>
    </cacheHierarchy>
    <cacheHierarchy uniqueName="[Measures].[Sum of approval_flag]" caption="Sum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Count of loan_id]" caption="Count of loan_id" measure="1" displayFolder="" measureGroup="LoanData" count="0" hidden="1">
      <extLst>
        <ext xmlns:x15="http://schemas.microsoft.com/office/spreadsheetml/2010/11/main" uri="{B97F6D7D-B522-45F9-BDA1-12C45D357490}">
          <x15:cacheHierarchy aggregatedColumn="0"/>
        </ext>
      </extLst>
    </cacheHierarchy>
    <cacheHierarchy uniqueName="[Measures].[Average of approval_flag]" caption="Average of approval_flag" measure="1" displayFolder="" measureGroup="Loan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pproval_flag]" caption="Count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Sum of cibil_score]" caption="Sum of cibil_score" measure="1" displayFolder="" measureGroup="LoanData" count="0" hidden="1">
      <extLst>
        <ext xmlns:x15="http://schemas.microsoft.com/office/spreadsheetml/2010/11/main" uri="{B97F6D7D-B522-45F9-BDA1-12C45D357490}">
          <x15:cacheHierarchy aggregatedColumn="7"/>
        </ext>
      </extLst>
    </cacheHierarchy>
  </cacheHierarchies>
  <kpis count="0"/>
  <dimensions count="2">
    <dimension name="LoanData" uniqueName="[LoanData]" caption="LoanData"/>
    <dimension measure="1" name="Measures" uniqueName="[Measures]" caption="Measures"/>
  </dimensions>
  <measureGroups count="1">
    <measureGroup name="LoanData" caption="Lo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momina ramzaan" refreshedDate="46073.846276157405" backgroundQuery="1" createdVersion="6" refreshedVersion="6" minRefreshableVersion="3" recordCount="0" supportSubquery="1" supportAdvancedDrill="1">
  <cacheSource type="external" connectionId="1"/>
  <cacheFields count="4">
    <cacheField name="[LoanData].[asset_strength].[asset_strength]" caption="asset_strength" numFmtId="0" hierarchy="18" level="1">
      <sharedItems count="3">
        <s v="Moderate"/>
        <s v="Strong"/>
        <s v="Weak"/>
      </sharedItems>
    </cacheField>
    <cacheField name="[Measures].[Count of loan_id]" caption="Count of loan_id" numFmtId="0" hierarchy="23" level="32767"/>
    <cacheField name="[Measures].[Average of approval_flag]" caption="Average of approval_flag" numFmtId="0" hierarchy="24" level="32767"/>
    <cacheField name="[LoanData].[cibil_band].[cibil_band]" caption="cibil_band" numFmtId="0" hierarchy="14" level="1">
      <sharedItems containsSemiMixedTypes="0" containsNonDate="0" containsString="0"/>
    </cacheField>
  </cacheFields>
  <cacheHierarchies count="27">
    <cacheHierarchy uniqueName="[LoanData].[loan_id]" caption="loan_id" attribute="1" defaultMemberUniqueName="[LoanData].[loan_id].[All]" allUniqueName="[LoanData].[loan_id].[All]" dimensionUniqueName="[LoanData]" displayFolder="" count="0" memberValueDatatype="20" unbalanced="0"/>
    <cacheHierarchy uniqueName="[LoanData].[no_of_dependents]" caption="no_of_dependents" attribute="1" defaultMemberUniqueName="[LoanData].[no_of_dependents].[All]" allUniqueName="[LoanData].[no_of_dependents].[All]" dimensionUniqueName="[LoanData]" displayFolder="" count="0" memberValueDatatype="20" unbalanced="0"/>
    <cacheHierarchy uniqueName="[LoanData].[education]" caption="education" attribute="1" defaultMemberUniqueName="[LoanData].[education].[All]" allUniqueName="[LoanData].[education].[All]" dimensionUniqueName="[LoanData]" displayFolder="" count="2" memberValueDatatype="130" unbalanced="0"/>
    <cacheHierarchy uniqueName="[LoanData].[self_employed]" caption="self_employed" attribute="1" defaultMemberUniqueName="[LoanData].[self_employed].[All]" allUniqueName="[LoanData].[self_employed].[All]" dimensionUniqueName="[LoanData]" displayFolder="" count="2" memberValueDatatype="130" unbalanced="0"/>
    <cacheHierarchy uniqueName="[LoanData].[income_annum]" caption="income_annum" attribute="1" defaultMemberUniqueName="[LoanData].[income_annum].[All]" allUniqueName="[LoanData].[income_annum].[All]" dimensionUniqueName="[LoanData]" displayFolder="" count="0" memberValueDatatype="20" unbalanced="0"/>
    <cacheHierarchy uniqueName="[LoanData].[loan_amount]" caption="loan_amount" attribute="1" defaultMemberUniqueName="[LoanData].[loan_amount].[All]" allUniqueName="[LoanData].[loan_amount].[All]" dimensionUniqueName="[LoanData]" displayFolder="" count="0" memberValueDatatype="20" unbalanced="0"/>
    <cacheHierarchy uniqueName="[LoanData].[loan_term]" caption="loan_term" attribute="1" defaultMemberUniqueName="[LoanData].[loan_term].[All]" allUniqueName="[LoanData].[loan_term].[All]" dimensionUniqueName="[LoanData]" displayFolder="" count="0" memberValueDatatype="20" unbalanced="0"/>
    <cacheHierarchy uniqueName="[LoanData].[cibil_score]" caption="cibil_score" attribute="1" defaultMemberUniqueName="[LoanData].[cibil_score].[All]" allUniqueName="[LoanData].[cibil_score].[All]" dimensionUniqueName="[LoanData]" displayFolder="" count="0" memberValueDatatype="20" unbalanced="0"/>
    <cacheHierarchy uniqueName="[LoanData].[residential_assets_value]" caption="residential_assets_value" attribute="1" defaultMemberUniqueName="[LoanData].[residential_assets_value].[All]" allUniqueName="[LoanData].[residential_assets_value].[All]" dimensionUniqueName="[LoanData]" displayFolder="" count="0" memberValueDatatype="20" unbalanced="0"/>
    <cacheHierarchy uniqueName="[LoanData].[commercial_assets_value]" caption="commercial_assets_value" attribute="1" defaultMemberUniqueName="[LoanData].[commercial_assets_value].[All]" allUniqueName="[LoanData].[commercial_assets_value].[All]" dimensionUniqueName="[LoanData]" displayFolder="" count="0" memberValueDatatype="20" unbalanced="0"/>
    <cacheHierarchy uniqueName="[LoanData].[luxury_assets_value]" caption="luxury_assets_value" attribute="1" defaultMemberUniqueName="[LoanData].[luxury_assets_value].[All]" allUniqueName="[LoanData].[luxury_assets_value].[All]" dimensionUniqueName="[LoanData]" displayFolder="" count="0" memberValueDatatype="20" unbalanced="0"/>
    <cacheHierarchy uniqueName="[LoanData].[bank_asset_value]" caption="bank_asset_value" attribute="1" defaultMemberUniqueName="[LoanData].[bank_asset_value].[All]" allUniqueName="[LoanData].[bank_asset_value].[All]" dimensionUniqueName="[LoanData]" displayFolder="" count="0" memberValueDatatype="20" unbalanced="0"/>
    <cacheHierarchy uniqueName="[LoanData].[loan_status]" caption="loan_status" attribute="1" defaultMemberUniqueName="[LoanData].[loan_status].[All]" allUniqueName="[LoanData].[loan_status].[All]" dimensionUniqueName="[LoanData]" displayFolder="" count="0" memberValueDatatype="130" unbalanced="0"/>
    <cacheHierarchy uniqueName="[LoanData].[approval_flag]" caption="approval_flag" attribute="1" defaultMemberUniqueName="[LoanData].[approval_flag].[All]" allUniqueName="[LoanData].[approval_flag].[All]" dimensionUniqueName="[LoanData]" displayFolder="" count="0" memberValueDatatype="20" unbalanced="0"/>
    <cacheHierarchy uniqueName="[LoanData].[cibil_band]" caption="cibil_band" attribute="1" defaultMemberUniqueName="[LoanData].[cibil_band].[All]" allUniqueName="[LoanData].[cibil_band].[All]" dimensionUniqueName="[LoanData]" displayFolder="" count="2" memberValueDatatype="130" unbalanced="0">
      <fieldsUsage count="2">
        <fieldUsage x="-1"/>
        <fieldUsage x="3"/>
      </fieldsUsage>
    </cacheHierarchy>
    <cacheHierarchy uniqueName="[LoanData].[income_group]" caption="income_group" attribute="1" defaultMemberUniqueName="[LoanData].[income_group].[All]" allUniqueName="[LoanData].[income_group].[All]" dimensionUniqueName="[LoanData]" displayFolder="" count="2" memberValueDatatype="130" unbalanced="0"/>
    <cacheHierarchy uniqueName="[LoanData].[loan_amount_group]" caption="loan_amount_group" attribute="1" defaultMemberUniqueName="[LoanData].[loan_amount_group].[All]" allUniqueName="[LoanData].[loan_amount_group].[All]" dimensionUniqueName="[LoanData]" displayFolder="" count="0" memberValueDatatype="130" unbalanced="0"/>
    <cacheHierarchy uniqueName="[LoanData].[total_assets]" caption="total_assets" attribute="1" defaultMemberUniqueName="[LoanData].[total_assets].[All]" allUniqueName="[LoanData].[total_assets].[All]" dimensionUniqueName="[LoanData]" displayFolder="" count="0" memberValueDatatype="20" unbalanced="0"/>
    <cacheHierarchy uniqueName="[LoanData].[asset_strength]" caption="asset_strength" attribute="1" defaultMemberUniqueName="[LoanData].[asset_strength].[All]" allUniqueName="[LoanData].[asset_strength].[All]" dimensionUniqueName="[LoanData]" displayFolder="" count="2" memberValueDatatype="130" unbalanced="0">
      <fieldsUsage count="2">
        <fieldUsage x="-1"/>
        <fieldUsage x="0"/>
      </fieldsUsage>
    </cacheHierarchy>
    <cacheHierarchy uniqueName="[Measures].[__XL_Count LoanData]" caption="__XL_Count LoanData" measure="1" displayFolder="" measureGroup="LoanData" count="0" hidden="1"/>
    <cacheHierarchy uniqueName="[Measures].[__No measures defined]" caption="__No measures defined" measure="1" displayFolder="" count="0" hidden="1"/>
    <cacheHierarchy uniqueName="[Measures].[Sum of loan_id]" caption="Sum of loan_id" measure="1" displayFolder="" measureGroup="LoanData" count="0" hidden="1">
      <extLst>
        <ext xmlns:x15="http://schemas.microsoft.com/office/spreadsheetml/2010/11/main" uri="{B97F6D7D-B522-45F9-BDA1-12C45D357490}">
          <x15:cacheHierarchy aggregatedColumn="0"/>
        </ext>
      </extLst>
    </cacheHierarchy>
    <cacheHierarchy uniqueName="[Measures].[Sum of approval_flag]" caption="Sum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Count of loan_id]" caption="Count of loan_id" measure="1" displayFolder="" measureGroup="LoanData"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approval_flag]" caption="Average of approval_flag" measure="1" displayFolder="" measureGroup="Loan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pproval_flag]" caption="Count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Sum of cibil_score]" caption="Sum of cibil_score" measure="1" displayFolder="" measureGroup="LoanData" count="0" hidden="1">
      <extLst>
        <ext xmlns:x15="http://schemas.microsoft.com/office/spreadsheetml/2010/11/main" uri="{B97F6D7D-B522-45F9-BDA1-12C45D357490}">
          <x15:cacheHierarchy aggregatedColumn="7"/>
        </ext>
      </extLst>
    </cacheHierarchy>
  </cacheHierarchies>
  <kpis count="0"/>
  <dimensions count="2">
    <dimension name="LoanData" uniqueName="[LoanData]" caption="LoanData"/>
    <dimension measure="1" name="Measures" uniqueName="[Measures]" caption="Measures"/>
  </dimensions>
  <measureGroups count="1">
    <measureGroup name="LoanData" caption="Lo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momina ramzaan" refreshedDate="46073.846276736112" backgroundQuery="1" createdVersion="6" refreshedVersion="6" minRefreshableVersion="3" recordCount="0" supportSubquery="1" supportAdvancedDrill="1">
  <cacheSource type="external" connectionId="1"/>
  <cacheFields count="4">
    <cacheField name="[LoanData].[education].[education]" caption="education" numFmtId="0" hierarchy="2" level="1">
      <sharedItems count="2">
        <s v="Graduate"/>
        <s v="Not Graduate"/>
      </sharedItems>
    </cacheField>
    <cacheField name="[Measures].[Average of approval_flag]" caption="Average of approval_flag" numFmtId="0" hierarchy="24" level="32767"/>
    <cacheField name="[Measures].[Count of loan_id]" caption="Count of loan_id" numFmtId="0" hierarchy="23" level="32767"/>
    <cacheField name="[LoanData].[cibil_band].[cibil_band]" caption="cibil_band" numFmtId="0" hierarchy="14" level="1">
      <sharedItems containsSemiMixedTypes="0" containsNonDate="0" containsString="0"/>
    </cacheField>
  </cacheFields>
  <cacheHierarchies count="27">
    <cacheHierarchy uniqueName="[LoanData].[loan_id]" caption="loan_id" attribute="1" defaultMemberUniqueName="[LoanData].[loan_id].[All]" allUniqueName="[LoanData].[loan_id].[All]" dimensionUniqueName="[LoanData]" displayFolder="" count="0" memberValueDatatype="20" unbalanced="0"/>
    <cacheHierarchy uniqueName="[LoanData].[no_of_dependents]" caption="no_of_dependents" attribute="1" defaultMemberUniqueName="[LoanData].[no_of_dependents].[All]" allUniqueName="[LoanData].[no_of_dependents].[All]" dimensionUniqueName="[LoanData]" displayFolder="" count="0" memberValueDatatype="20" unbalanced="0"/>
    <cacheHierarchy uniqueName="[LoanData].[education]" caption="education" attribute="1" defaultMemberUniqueName="[LoanData].[education].[All]" allUniqueName="[LoanData].[education].[All]" dimensionUniqueName="[LoanData]" displayFolder="" count="2" memberValueDatatype="130" unbalanced="0">
      <fieldsUsage count="2">
        <fieldUsage x="-1"/>
        <fieldUsage x="0"/>
      </fieldsUsage>
    </cacheHierarchy>
    <cacheHierarchy uniqueName="[LoanData].[self_employed]" caption="self_employed" attribute="1" defaultMemberUniqueName="[LoanData].[self_employed].[All]" allUniqueName="[LoanData].[self_employed].[All]" dimensionUniqueName="[LoanData]" displayFolder="" count="2" memberValueDatatype="130" unbalanced="0"/>
    <cacheHierarchy uniqueName="[LoanData].[income_annum]" caption="income_annum" attribute="1" defaultMemberUniqueName="[LoanData].[income_annum].[All]" allUniqueName="[LoanData].[income_annum].[All]" dimensionUniqueName="[LoanData]" displayFolder="" count="0" memberValueDatatype="20" unbalanced="0"/>
    <cacheHierarchy uniqueName="[LoanData].[loan_amount]" caption="loan_amount" attribute="1" defaultMemberUniqueName="[LoanData].[loan_amount].[All]" allUniqueName="[LoanData].[loan_amount].[All]" dimensionUniqueName="[LoanData]" displayFolder="" count="0" memberValueDatatype="20" unbalanced="0"/>
    <cacheHierarchy uniqueName="[LoanData].[loan_term]" caption="loan_term" attribute="1" defaultMemberUniqueName="[LoanData].[loan_term].[All]" allUniqueName="[LoanData].[loan_term].[All]" dimensionUniqueName="[LoanData]" displayFolder="" count="0" memberValueDatatype="20" unbalanced="0"/>
    <cacheHierarchy uniqueName="[LoanData].[cibil_score]" caption="cibil_score" attribute="1" defaultMemberUniqueName="[LoanData].[cibil_score].[All]" allUniqueName="[LoanData].[cibil_score].[All]" dimensionUniqueName="[LoanData]" displayFolder="" count="0" memberValueDatatype="20" unbalanced="0"/>
    <cacheHierarchy uniqueName="[LoanData].[residential_assets_value]" caption="residential_assets_value" attribute="1" defaultMemberUniqueName="[LoanData].[residential_assets_value].[All]" allUniqueName="[LoanData].[residential_assets_value].[All]" dimensionUniqueName="[LoanData]" displayFolder="" count="0" memberValueDatatype="20" unbalanced="0"/>
    <cacheHierarchy uniqueName="[LoanData].[commercial_assets_value]" caption="commercial_assets_value" attribute="1" defaultMemberUniqueName="[LoanData].[commercial_assets_value].[All]" allUniqueName="[LoanData].[commercial_assets_value].[All]" dimensionUniqueName="[LoanData]" displayFolder="" count="0" memberValueDatatype="20" unbalanced="0"/>
    <cacheHierarchy uniqueName="[LoanData].[luxury_assets_value]" caption="luxury_assets_value" attribute="1" defaultMemberUniqueName="[LoanData].[luxury_assets_value].[All]" allUniqueName="[LoanData].[luxury_assets_value].[All]" dimensionUniqueName="[LoanData]" displayFolder="" count="0" memberValueDatatype="20" unbalanced="0"/>
    <cacheHierarchy uniqueName="[LoanData].[bank_asset_value]" caption="bank_asset_value" attribute="1" defaultMemberUniqueName="[LoanData].[bank_asset_value].[All]" allUniqueName="[LoanData].[bank_asset_value].[All]" dimensionUniqueName="[LoanData]" displayFolder="" count="0" memberValueDatatype="20" unbalanced="0"/>
    <cacheHierarchy uniqueName="[LoanData].[loan_status]" caption="loan_status" attribute="1" defaultMemberUniqueName="[LoanData].[loan_status].[All]" allUniqueName="[LoanData].[loan_status].[All]" dimensionUniqueName="[LoanData]" displayFolder="" count="0" memberValueDatatype="130" unbalanced="0"/>
    <cacheHierarchy uniqueName="[LoanData].[approval_flag]" caption="approval_flag" attribute="1" defaultMemberUniqueName="[LoanData].[approval_flag].[All]" allUniqueName="[LoanData].[approval_flag].[All]" dimensionUniqueName="[LoanData]" displayFolder="" count="0" memberValueDatatype="20" unbalanced="0"/>
    <cacheHierarchy uniqueName="[LoanData].[cibil_band]" caption="cibil_band" attribute="1" defaultMemberUniqueName="[LoanData].[cibil_band].[All]" allUniqueName="[LoanData].[cibil_band].[All]" dimensionUniqueName="[LoanData]" displayFolder="" count="2" memberValueDatatype="130" unbalanced="0">
      <fieldsUsage count="2">
        <fieldUsage x="-1"/>
        <fieldUsage x="3"/>
      </fieldsUsage>
    </cacheHierarchy>
    <cacheHierarchy uniqueName="[LoanData].[income_group]" caption="income_group" attribute="1" defaultMemberUniqueName="[LoanData].[income_group].[All]" allUniqueName="[LoanData].[income_group].[All]" dimensionUniqueName="[LoanData]" displayFolder="" count="2" memberValueDatatype="130" unbalanced="0"/>
    <cacheHierarchy uniqueName="[LoanData].[loan_amount_group]" caption="loan_amount_group" attribute="1" defaultMemberUniqueName="[LoanData].[loan_amount_group].[All]" allUniqueName="[LoanData].[loan_amount_group].[All]" dimensionUniqueName="[LoanData]" displayFolder="" count="0" memberValueDatatype="130" unbalanced="0"/>
    <cacheHierarchy uniqueName="[LoanData].[total_assets]" caption="total_assets" attribute="1" defaultMemberUniqueName="[LoanData].[total_assets].[All]" allUniqueName="[LoanData].[total_assets].[All]" dimensionUniqueName="[LoanData]" displayFolder="" count="0" memberValueDatatype="20" unbalanced="0"/>
    <cacheHierarchy uniqueName="[LoanData].[asset_strength]" caption="asset_strength" attribute="1" defaultMemberUniqueName="[LoanData].[asset_strength].[All]" allUniqueName="[LoanData].[asset_strength].[All]" dimensionUniqueName="[LoanData]" displayFolder="" count="2" memberValueDatatype="130" unbalanced="0"/>
    <cacheHierarchy uniqueName="[Measures].[__XL_Count LoanData]" caption="__XL_Count LoanData" measure="1" displayFolder="" measureGroup="LoanData" count="0" hidden="1"/>
    <cacheHierarchy uniqueName="[Measures].[__No measures defined]" caption="__No measures defined" measure="1" displayFolder="" count="0" hidden="1"/>
    <cacheHierarchy uniqueName="[Measures].[Sum of loan_id]" caption="Sum of loan_id" measure="1" displayFolder="" measureGroup="LoanData" count="0" hidden="1">
      <extLst>
        <ext xmlns:x15="http://schemas.microsoft.com/office/spreadsheetml/2010/11/main" uri="{B97F6D7D-B522-45F9-BDA1-12C45D357490}">
          <x15:cacheHierarchy aggregatedColumn="0"/>
        </ext>
      </extLst>
    </cacheHierarchy>
    <cacheHierarchy uniqueName="[Measures].[Sum of approval_flag]" caption="Sum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Count of loan_id]" caption="Count of loan_id" measure="1" displayFolder="" measureGroup="LoanData"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approval_flag]" caption="Average of approval_flag" measure="1" displayFolder="" measureGroup="Loan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pproval_flag]" caption="Count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Sum of cibil_score]" caption="Sum of cibil_score" measure="1" displayFolder="" measureGroup="LoanData" count="0" hidden="1">
      <extLst>
        <ext xmlns:x15="http://schemas.microsoft.com/office/spreadsheetml/2010/11/main" uri="{B97F6D7D-B522-45F9-BDA1-12C45D357490}">
          <x15:cacheHierarchy aggregatedColumn="7"/>
        </ext>
      </extLst>
    </cacheHierarchy>
  </cacheHierarchies>
  <kpis count="0"/>
  <dimensions count="2">
    <dimension name="LoanData" uniqueName="[LoanData]" caption="LoanData"/>
    <dimension measure="1" name="Measures" uniqueName="[Measures]" caption="Measures"/>
  </dimensions>
  <measureGroups count="1">
    <measureGroup name="LoanData" caption="Lo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momina ramzaan" refreshedDate="46073.846277662036" backgroundQuery="1" createdVersion="6" refreshedVersion="6" minRefreshableVersion="3" recordCount="0" supportSubquery="1" supportAdvancedDrill="1">
  <cacheSource type="external" connectionId="1"/>
  <cacheFields count="3">
    <cacheField name="[LoanData].[self_employed].[self_employed]" caption="self_employed" numFmtId="0" hierarchy="3" level="1">
      <sharedItems count="2">
        <s v="No"/>
        <s v="Yes"/>
      </sharedItems>
    </cacheField>
    <cacheField name="[Measures].[Sum of approval_flag]" caption="Sum of approval_flag" numFmtId="0" hierarchy="22" level="32767"/>
    <cacheField name="[LoanData].[cibil_band].[cibil_band]" caption="cibil_band" numFmtId="0" hierarchy="14" level="1">
      <sharedItems containsSemiMixedTypes="0" containsNonDate="0" containsString="0"/>
    </cacheField>
  </cacheFields>
  <cacheHierarchies count="27">
    <cacheHierarchy uniqueName="[LoanData].[loan_id]" caption="loan_id" attribute="1" defaultMemberUniqueName="[LoanData].[loan_id].[All]" allUniqueName="[LoanData].[loan_id].[All]" dimensionUniqueName="[LoanData]" displayFolder="" count="0" memberValueDatatype="20" unbalanced="0"/>
    <cacheHierarchy uniqueName="[LoanData].[no_of_dependents]" caption="no_of_dependents" attribute="1" defaultMemberUniqueName="[LoanData].[no_of_dependents].[All]" allUniqueName="[LoanData].[no_of_dependents].[All]" dimensionUniqueName="[LoanData]" displayFolder="" count="0" memberValueDatatype="20" unbalanced="0"/>
    <cacheHierarchy uniqueName="[LoanData].[education]" caption="education" attribute="1" defaultMemberUniqueName="[LoanData].[education].[All]" allUniqueName="[LoanData].[education].[All]" dimensionUniqueName="[LoanData]" displayFolder="" count="2" memberValueDatatype="130" unbalanced="0"/>
    <cacheHierarchy uniqueName="[LoanData].[self_employed]" caption="self_employed" attribute="1" defaultMemberUniqueName="[LoanData].[self_employed].[All]" allUniqueName="[LoanData].[self_employed].[All]" dimensionUniqueName="[LoanData]" displayFolder="" count="2" memberValueDatatype="130" unbalanced="0">
      <fieldsUsage count="2">
        <fieldUsage x="-1"/>
        <fieldUsage x="0"/>
      </fieldsUsage>
    </cacheHierarchy>
    <cacheHierarchy uniqueName="[LoanData].[income_annum]" caption="income_annum" attribute="1" defaultMemberUniqueName="[LoanData].[income_annum].[All]" allUniqueName="[LoanData].[income_annum].[All]" dimensionUniqueName="[LoanData]" displayFolder="" count="0" memberValueDatatype="20" unbalanced="0"/>
    <cacheHierarchy uniqueName="[LoanData].[loan_amount]" caption="loan_amount" attribute="1" defaultMemberUniqueName="[LoanData].[loan_amount].[All]" allUniqueName="[LoanData].[loan_amount].[All]" dimensionUniqueName="[LoanData]" displayFolder="" count="0" memberValueDatatype="20" unbalanced="0"/>
    <cacheHierarchy uniqueName="[LoanData].[loan_term]" caption="loan_term" attribute="1" defaultMemberUniqueName="[LoanData].[loan_term].[All]" allUniqueName="[LoanData].[loan_term].[All]" dimensionUniqueName="[LoanData]" displayFolder="" count="0" memberValueDatatype="20" unbalanced="0"/>
    <cacheHierarchy uniqueName="[LoanData].[cibil_score]" caption="cibil_score" attribute="1" defaultMemberUniqueName="[LoanData].[cibil_score].[All]" allUniqueName="[LoanData].[cibil_score].[All]" dimensionUniqueName="[LoanData]" displayFolder="" count="0" memberValueDatatype="20" unbalanced="0"/>
    <cacheHierarchy uniqueName="[LoanData].[residential_assets_value]" caption="residential_assets_value" attribute="1" defaultMemberUniqueName="[LoanData].[residential_assets_value].[All]" allUniqueName="[LoanData].[residential_assets_value].[All]" dimensionUniqueName="[LoanData]" displayFolder="" count="0" memberValueDatatype="20" unbalanced="0"/>
    <cacheHierarchy uniqueName="[LoanData].[commercial_assets_value]" caption="commercial_assets_value" attribute="1" defaultMemberUniqueName="[LoanData].[commercial_assets_value].[All]" allUniqueName="[LoanData].[commercial_assets_value].[All]" dimensionUniqueName="[LoanData]" displayFolder="" count="0" memberValueDatatype="20" unbalanced="0"/>
    <cacheHierarchy uniqueName="[LoanData].[luxury_assets_value]" caption="luxury_assets_value" attribute="1" defaultMemberUniqueName="[LoanData].[luxury_assets_value].[All]" allUniqueName="[LoanData].[luxury_assets_value].[All]" dimensionUniqueName="[LoanData]" displayFolder="" count="0" memberValueDatatype="20" unbalanced="0"/>
    <cacheHierarchy uniqueName="[LoanData].[bank_asset_value]" caption="bank_asset_value" attribute="1" defaultMemberUniqueName="[LoanData].[bank_asset_value].[All]" allUniqueName="[LoanData].[bank_asset_value].[All]" dimensionUniqueName="[LoanData]" displayFolder="" count="0" memberValueDatatype="20" unbalanced="0"/>
    <cacheHierarchy uniqueName="[LoanData].[loan_status]" caption="loan_status" attribute="1" defaultMemberUniqueName="[LoanData].[loan_status].[All]" allUniqueName="[LoanData].[loan_status].[All]" dimensionUniqueName="[LoanData]" displayFolder="" count="0" memberValueDatatype="130" unbalanced="0"/>
    <cacheHierarchy uniqueName="[LoanData].[approval_flag]" caption="approval_flag" attribute="1" defaultMemberUniqueName="[LoanData].[approval_flag].[All]" allUniqueName="[LoanData].[approval_flag].[All]" dimensionUniqueName="[LoanData]" displayFolder="" count="0" memberValueDatatype="20" unbalanced="0"/>
    <cacheHierarchy uniqueName="[LoanData].[cibil_band]" caption="cibil_band" attribute="1" defaultMemberUniqueName="[LoanData].[cibil_band].[All]" allUniqueName="[LoanData].[cibil_band].[All]" dimensionUniqueName="[LoanData]" displayFolder="" count="2" memberValueDatatype="130" unbalanced="0">
      <fieldsUsage count="2">
        <fieldUsage x="-1"/>
        <fieldUsage x="2"/>
      </fieldsUsage>
    </cacheHierarchy>
    <cacheHierarchy uniqueName="[LoanData].[income_group]" caption="income_group" attribute="1" defaultMemberUniqueName="[LoanData].[income_group].[All]" allUniqueName="[LoanData].[income_group].[All]" dimensionUniqueName="[LoanData]" displayFolder="" count="2" memberValueDatatype="130" unbalanced="0"/>
    <cacheHierarchy uniqueName="[LoanData].[loan_amount_group]" caption="loan_amount_group" attribute="1" defaultMemberUniqueName="[LoanData].[loan_amount_group].[All]" allUniqueName="[LoanData].[loan_amount_group].[All]" dimensionUniqueName="[LoanData]" displayFolder="" count="0" memberValueDatatype="130" unbalanced="0"/>
    <cacheHierarchy uniqueName="[LoanData].[total_assets]" caption="total_assets" attribute="1" defaultMemberUniqueName="[LoanData].[total_assets].[All]" allUniqueName="[LoanData].[total_assets].[All]" dimensionUniqueName="[LoanData]" displayFolder="" count="0" memberValueDatatype="20" unbalanced="0"/>
    <cacheHierarchy uniqueName="[LoanData].[asset_strength]" caption="asset_strength" attribute="1" defaultMemberUniqueName="[LoanData].[asset_strength].[All]" allUniqueName="[LoanData].[asset_strength].[All]" dimensionUniqueName="[LoanData]" displayFolder="" count="2" memberValueDatatype="130" unbalanced="0"/>
    <cacheHierarchy uniqueName="[Measures].[__XL_Count LoanData]" caption="__XL_Count LoanData" measure="1" displayFolder="" measureGroup="LoanData" count="0" hidden="1"/>
    <cacheHierarchy uniqueName="[Measures].[__No measures defined]" caption="__No measures defined" measure="1" displayFolder="" count="0" hidden="1"/>
    <cacheHierarchy uniqueName="[Measures].[Sum of loan_id]" caption="Sum of loan_id" measure="1" displayFolder="" measureGroup="LoanData" count="0" hidden="1">
      <extLst>
        <ext xmlns:x15="http://schemas.microsoft.com/office/spreadsheetml/2010/11/main" uri="{B97F6D7D-B522-45F9-BDA1-12C45D357490}">
          <x15:cacheHierarchy aggregatedColumn="0"/>
        </ext>
      </extLst>
    </cacheHierarchy>
    <cacheHierarchy uniqueName="[Measures].[Sum of approval_flag]" caption="Sum of approval_flag" measure="1" displayFolder="" measureGroup="Loan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loan_id]" caption="Count of loan_id" measure="1" displayFolder="" measureGroup="LoanData" count="0" hidden="1">
      <extLst>
        <ext xmlns:x15="http://schemas.microsoft.com/office/spreadsheetml/2010/11/main" uri="{B97F6D7D-B522-45F9-BDA1-12C45D357490}">
          <x15:cacheHierarchy aggregatedColumn="0"/>
        </ext>
      </extLst>
    </cacheHierarchy>
    <cacheHierarchy uniqueName="[Measures].[Average of approval_flag]" caption="Average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Count of approval_flag]" caption="Count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Sum of cibil_score]" caption="Sum of cibil_score" measure="1" displayFolder="" measureGroup="LoanData" count="0" hidden="1">
      <extLst>
        <ext xmlns:x15="http://schemas.microsoft.com/office/spreadsheetml/2010/11/main" uri="{B97F6D7D-B522-45F9-BDA1-12C45D357490}">
          <x15:cacheHierarchy aggregatedColumn="7"/>
        </ext>
      </extLst>
    </cacheHierarchy>
  </cacheHierarchies>
  <kpis count="0"/>
  <dimensions count="2">
    <dimension name="LoanData" uniqueName="[LoanData]" caption="LoanData"/>
    <dimension measure="1" name="Measures" uniqueName="[Measures]" caption="Measures"/>
  </dimensions>
  <measureGroups count="1">
    <measureGroup name="LoanData" caption="Lo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momina ramzaan" refreshedDate="46073.846278240744" backgroundQuery="1" createdVersion="6" refreshedVersion="6" minRefreshableVersion="3" recordCount="0" supportSubquery="1" supportAdvancedDrill="1">
  <cacheSource type="external" connectionId="1"/>
  <cacheFields count="2">
    <cacheField name="[LoanData].[cibil_band].[cibil_band]" caption="cibil_band" numFmtId="0" hierarchy="14" level="1">
      <sharedItems count="4">
        <s v="Excellent"/>
        <s v="Good"/>
        <s v="Low"/>
        <s v="Medium"/>
      </sharedItems>
    </cacheField>
    <cacheField name="[Measures].[Sum of approval_flag]" caption="Sum of approval_flag" numFmtId="0" hierarchy="22" level="32767"/>
  </cacheFields>
  <cacheHierarchies count="27">
    <cacheHierarchy uniqueName="[LoanData].[loan_id]" caption="loan_id" attribute="1" defaultMemberUniqueName="[LoanData].[loan_id].[All]" allUniqueName="[LoanData].[loan_id].[All]" dimensionUniqueName="[LoanData]" displayFolder="" count="0" memberValueDatatype="20" unbalanced="0"/>
    <cacheHierarchy uniqueName="[LoanData].[no_of_dependents]" caption="no_of_dependents" attribute="1" defaultMemberUniqueName="[LoanData].[no_of_dependents].[All]" allUniqueName="[LoanData].[no_of_dependents].[All]" dimensionUniqueName="[LoanData]" displayFolder="" count="0" memberValueDatatype="20" unbalanced="0"/>
    <cacheHierarchy uniqueName="[LoanData].[education]" caption="education" attribute="1" defaultMemberUniqueName="[LoanData].[education].[All]" allUniqueName="[LoanData].[education].[All]" dimensionUniqueName="[LoanData]" displayFolder="" count="2" memberValueDatatype="130" unbalanced="0"/>
    <cacheHierarchy uniqueName="[LoanData].[self_employed]" caption="self_employed" attribute="1" defaultMemberUniqueName="[LoanData].[self_employed].[All]" allUniqueName="[LoanData].[self_employed].[All]" dimensionUniqueName="[LoanData]" displayFolder="" count="2" memberValueDatatype="130" unbalanced="0"/>
    <cacheHierarchy uniqueName="[LoanData].[income_annum]" caption="income_annum" attribute="1" defaultMemberUniqueName="[LoanData].[income_annum].[All]" allUniqueName="[LoanData].[income_annum].[All]" dimensionUniqueName="[LoanData]" displayFolder="" count="0" memberValueDatatype="20" unbalanced="0"/>
    <cacheHierarchy uniqueName="[LoanData].[loan_amount]" caption="loan_amount" attribute="1" defaultMemberUniqueName="[LoanData].[loan_amount].[All]" allUniqueName="[LoanData].[loan_amount].[All]" dimensionUniqueName="[LoanData]" displayFolder="" count="0" memberValueDatatype="20" unbalanced="0"/>
    <cacheHierarchy uniqueName="[LoanData].[loan_term]" caption="loan_term" attribute="1" defaultMemberUniqueName="[LoanData].[loan_term].[All]" allUniqueName="[LoanData].[loan_term].[All]" dimensionUniqueName="[LoanData]" displayFolder="" count="0" memberValueDatatype="20" unbalanced="0"/>
    <cacheHierarchy uniqueName="[LoanData].[cibil_score]" caption="cibil_score" attribute="1" defaultMemberUniqueName="[LoanData].[cibil_score].[All]" allUniqueName="[LoanData].[cibil_score].[All]" dimensionUniqueName="[LoanData]" displayFolder="" count="0" memberValueDatatype="20" unbalanced="0"/>
    <cacheHierarchy uniqueName="[LoanData].[residential_assets_value]" caption="residential_assets_value" attribute="1" defaultMemberUniqueName="[LoanData].[residential_assets_value].[All]" allUniqueName="[LoanData].[residential_assets_value].[All]" dimensionUniqueName="[LoanData]" displayFolder="" count="0" memberValueDatatype="20" unbalanced="0"/>
    <cacheHierarchy uniqueName="[LoanData].[commercial_assets_value]" caption="commercial_assets_value" attribute="1" defaultMemberUniqueName="[LoanData].[commercial_assets_value].[All]" allUniqueName="[LoanData].[commercial_assets_value].[All]" dimensionUniqueName="[LoanData]" displayFolder="" count="0" memberValueDatatype="20" unbalanced="0"/>
    <cacheHierarchy uniqueName="[LoanData].[luxury_assets_value]" caption="luxury_assets_value" attribute="1" defaultMemberUniqueName="[LoanData].[luxury_assets_value].[All]" allUniqueName="[LoanData].[luxury_assets_value].[All]" dimensionUniqueName="[LoanData]" displayFolder="" count="0" memberValueDatatype="20" unbalanced="0"/>
    <cacheHierarchy uniqueName="[LoanData].[bank_asset_value]" caption="bank_asset_value" attribute="1" defaultMemberUniqueName="[LoanData].[bank_asset_value].[All]" allUniqueName="[LoanData].[bank_asset_value].[All]" dimensionUniqueName="[LoanData]" displayFolder="" count="0" memberValueDatatype="20" unbalanced="0"/>
    <cacheHierarchy uniqueName="[LoanData].[loan_status]" caption="loan_status" attribute="1" defaultMemberUniqueName="[LoanData].[loan_status].[All]" allUniqueName="[LoanData].[loan_status].[All]" dimensionUniqueName="[LoanData]" displayFolder="" count="0" memberValueDatatype="130" unbalanced="0"/>
    <cacheHierarchy uniqueName="[LoanData].[approval_flag]" caption="approval_flag" attribute="1" defaultMemberUniqueName="[LoanData].[approval_flag].[All]" allUniqueName="[LoanData].[approval_flag].[All]" dimensionUniqueName="[LoanData]" displayFolder="" count="0" memberValueDatatype="20" unbalanced="0"/>
    <cacheHierarchy uniqueName="[LoanData].[cibil_band]" caption="cibil_band" attribute="1" defaultMemberUniqueName="[LoanData].[cibil_band].[All]" allUniqueName="[LoanData].[cibil_band].[All]" dimensionUniqueName="[LoanData]" displayFolder="" count="2" memberValueDatatype="130" unbalanced="0">
      <fieldsUsage count="2">
        <fieldUsage x="-1"/>
        <fieldUsage x="0"/>
      </fieldsUsage>
    </cacheHierarchy>
    <cacheHierarchy uniqueName="[LoanData].[income_group]" caption="income_group" attribute="1" defaultMemberUniqueName="[LoanData].[income_group].[All]" allUniqueName="[LoanData].[income_group].[All]" dimensionUniqueName="[LoanData]" displayFolder="" count="2" memberValueDatatype="130" unbalanced="0"/>
    <cacheHierarchy uniqueName="[LoanData].[loan_amount_group]" caption="loan_amount_group" attribute="1" defaultMemberUniqueName="[LoanData].[loan_amount_group].[All]" allUniqueName="[LoanData].[loan_amount_group].[All]" dimensionUniqueName="[LoanData]" displayFolder="" count="0" memberValueDatatype="130" unbalanced="0"/>
    <cacheHierarchy uniqueName="[LoanData].[total_assets]" caption="total_assets" attribute="1" defaultMemberUniqueName="[LoanData].[total_assets].[All]" allUniqueName="[LoanData].[total_assets].[All]" dimensionUniqueName="[LoanData]" displayFolder="" count="0" memberValueDatatype="20" unbalanced="0"/>
    <cacheHierarchy uniqueName="[LoanData].[asset_strength]" caption="asset_strength" attribute="1" defaultMemberUniqueName="[LoanData].[asset_strength].[All]" allUniqueName="[LoanData].[asset_strength].[All]" dimensionUniqueName="[LoanData]" displayFolder="" count="2" memberValueDatatype="130" unbalanced="0"/>
    <cacheHierarchy uniqueName="[Measures].[__XL_Count LoanData]" caption="__XL_Count LoanData" measure="1" displayFolder="" measureGroup="LoanData" count="0" hidden="1"/>
    <cacheHierarchy uniqueName="[Measures].[__No measures defined]" caption="__No measures defined" measure="1" displayFolder="" count="0" hidden="1"/>
    <cacheHierarchy uniqueName="[Measures].[Sum of loan_id]" caption="Sum of loan_id" measure="1" displayFolder="" measureGroup="LoanData" count="0" hidden="1">
      <extLst>
        <ext xmlns:x15="http://schemas.microsoft.com/office/spreadsheetml/2010/11/main" uri="{B97F6D7D-B522-45F9-BDA1-12C45D357490}">
          <x15:cacheHierarchy aggregatedColumn="0"/>
        </ext>
      </extLst>
    </cacheHierarchy>
    <cacheHierarchy uniqueName="[Measures].[Sum of approval_flag]" caption="Sum of approval_flag" measure="1" displayFolder="" measureGroup="Loan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loan_id]" caption="Count of loan_id" measure="1" displayFolder="" measureGroup="LoanData" count="0" hidden="1">
      <extLst>
        <ext xmlns:x15="http://schemas.microsoft.com/office/spreadsheetml/2010/11/main" uri="{B97F6D7D-B522-45F9-BDA1-12C45D357490}">
          <x15:cacheHierarchy aggregatedColumn="0"/>
        </ext>
      </extLst>
    </cacheHierarchy>
    <cacheHierarchy uniqueName="[Measures].[Average of approval_flag]" caption="Average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Count of approval_flag]" caption="Count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Sum of cibil_score]" caption="Sum of cibil_score" measure="1" displayFolder="" measureGroup="LoanData" count="0" hidden="1">
      <extLst>
        <ext xmlns:x15="http://schemas.microsoft.com/office/spreadsheetml/2010/11/main" uri="{B97F6D7D-B522-45F9-BDA1-12C45D357490}">
          <x15:cacheHierarchy aggregatedColumn="7"/>
        </ext>
      </extLst>
    </cacheHierarchy>
  </cacheHierarchies>
  <kpis count="0"/>
  <dimensions count="2">
    <dimension name="LoanData" uniqueName="[LoanData]" caption="LoanData"/>
    <dimension measure="1" name="Measures" uniqueName="[Measures]" caption="Measures"/>
  </dimensions>
  <measureGroups count="1">
    <measureGroup name="LoanData" caption="Lo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momina ramzaan" refreshedDate="46073.846278819445" backgroundQuery="1" createdVersion="6" refreshedVersion="6" minRefreshableVersion="3" recordCount="0" supportSubquery="1" supportAdvancedDrill="1">
  <cacheSource type="external" connectionId="1"/>
  <cacheFields count="2">
    <cacheField name="[LoanData].[cibil_band].[cibil_band]" caption="cibil_band" numFmtId="0" hierarchy="14" level="1">
      <sharedItems count="4">
        <s v="Excellent"/>
        <s v="Good"/>
        <s v="Low"/>
        <s v="Medium"/>
      </sharedItems>
    </cacheField>
    <cacheField name="[Measures].[Average of approval_flag]" caption="Average of approval_flag" numFmtId="0" hierarchy="24" level="32767"/>
  </cacheFields>
  <cacheHierarchies count="27">
    <cacheHierarchy uniqueName="[LoanData].[loan_id]" caption="loan_id" attribute="1" defaultMemberUniqueName="[LoanData].[loan_id].[All]" allUniqueName="[LoanData].[loan_id].[All]" dimensionUniqueName="[LoanData]" displayFolder="" count="0" memberValueDatatype="20" unbalanced="0"/>
    <cacheHierarchy uniqueName="[LoanData].[no_of_dependents]" caption="no_of_dependents" attribute="1" defaultMemberUniqueName="[LoanData].[no_of_dependents].[All]" allUniqueName="[LoanData].[no_of_dependents].[All]" dimensionUniqueName="[LoanData]" displayFolder="" count="0" memberValueDatatype="20" unbalanced="0"/>
    <cacheHierarchy uniqueName="[LoanData].[education]" caption="education" attribute="1" defaultMemberUniqueName="[LoanData].[education].[All]" allUniqueName="[LoanData].[education].[All]" dimensionUniqueName="[LoanData]" displayFolder="" count="2" memberValueDatatype="130" unbalanced="0"/>
    <cacheHierarchy uniqueName="[LoanData].[self_employed]" caption="self_employed" attribute="1" defaultMemberUniqueName="[LoanData].[self_employed].[All]" allUniqueName="[LoanData].[self_employed].[All]" dimensionUniqueName="[LoanData]" displayFolder="" count="2" memberValueDatatype="130" unbalanced="0"/>
    <cacheHierarchy uniqueName="[LoanData].[income_annum]" caption="income_annum" attribute="1" defaultMemberUniqueName="[LoanData].[income_annum].[All]" allUniqueName="[LoanData].[income_annum].[All]" dimensionUniqueName="[LoanData]" displayFolder="" count="0" memberValueDatatype="20" unbalanced="0"/>
    <cacheHierarchy uniqueName="[LoanData].[loan_amount]" caption="loan_amount" attribute="1" defaultMemberUniqueName="[LoanData].[loan_amount].[All]" allUniqueName="[LoanData].[loan_amount].[All]" dimensionUniqueName="[LoanData]" displayFolder="" count="0" memberValueDatatype="20" unbalanced="0"/>
    <cacheHierarchy uniqueName="[LoanData].[loan_term]" caption="loan_term" attribute="1" defaultMemberUniqueName="[LoanData].[loan_term].[All]" allUniqueName="[LoanData].[loan_term].[All]" dimensionUniqueName="[LoanData]" displayFolder="" count="0" memberValueDatatype="20" unbalanced="0"/>
    <cacheHierarchy uniqueName="[LoanData].[cibil_score]" caption="cibil_score" attribute="1" defaultMemberUniqueName="[LoanData].[cibil_score].[All]" allUniqueName="[LoanData].[cibil_score].[All]" dimensionUniqueName="[LoanData]" displayFolder="" count="0" memberValueDatatype="20" unbalanced="0"/>
    <cacheHierarchy uniqueName="[LoanData].[residential_assets_value]" caption="residential_assets_value" attribute="1" defaultMemberUniqueName="[LoanData].[residential_assets_value].[All]" allUniqueName="[LoanData].[residential_assets_value].[All]" dimensionUniqueName="[LoanData]" displayFolder="" count="0" memberValueDatatype="20" unbalanced="0"/>
    <cacheHierarchy uniqueName="[LoanData].[commercial_assets_value]" caption="commercial_assets_value" attribute="1" defaultMemberUniqueName="[LoanData].[commercial_assets_value].[All]" allUniqueName="[LoanData].[commercial_assets_value].[All]" dimensionUniqueName="[LoanData]" displayFolder="" count="0" memberValueDatatype="20" unbalanced="0"/>
    <cacheHierarchy uniqueName="[LoanData].[luxury_assets_value]" caption="luxury_assets_value" attribute="1" defaultMemberUniqueName="[LoanData].[luxury_assets_value].[All]" allUniqueName="[LoanData].[luxury_assets_value].[All]" dimensionUniqueName="[LoanData]" displayFolder="" count="0" memberValueDatatype="20" unbalanced="0"/>
    <cacheHierarchy uniqueName="[LoanData].[bank_asset_value]" caption="bank_asset_value" attribute="1" defaultMemberUniqueName="[LoanData].[bank_asset_value].[All]" allUniqueName="[LoanData].[bank_asset_value].[All]" dimensionUniqueName="[LoanData]" displayFolder="" count="0" memberValueDatatype="20" unbalanced="0"/>
    <cacheHierarchy uniqueName="[LoanData].[loan_status]" caption="loan_status" attribute="1" defaultMemberUniqueName="[LoanData].[loan_status].[All]" allUniqueName="[LoanData].[loan_status].[All]" dimensionUniqueName="[LoanData]" displayFolder="" count="0" memberValueDatatype="130" unbalanced="0"/>
    <cacheHierarchy uniqueName="[LoanData].[approval_flag]" caption="approval_flag" attribute="1" defaultMemberUniqueName="[LoanData].[approval_flag].[All]" allUniqueName="[LoanData].[approval_flag].[All]" dimensionUniqueName="[LoanData]" displayFolder="" count="0" memberValueDatatype="20" unbalanced="0"/>
    <cacheHierarchy uniqueName="[LoanData].[cibil_band]" caption="cibil_band" attribute="1" defaultMemberUniqueName="[LoanData].[cibil_band].[All]" allUniqueName="[LoanData].[cibil_band].[All]" dimensionUniqueName="[LoanData]" displayFolder="" count="2" memberValueDatatype="130" unbalanced="0">
      <fieldsUsage count="2">
        <fieldUsage x="-1"/>
        <fieldUsage x="0"/>
      </fieldsUsage>
    </cacheHierarchy>
    <cacheHierarchy uniqueName="[LoanData].[income_group]" caption="income_group" attribute="1" defaultMemberUniqueName="[LoanData].[income_group].[All]" allUniqueName="[LoanData].[income_group].[All]" dimensionUniqueName="[LoanData]" displayFolder="" count="2" memberValueDatatype="130" unbalanced="0"/>
    <cacheHierarchy uniqueName="[LoanData].[loan_amount_group]" caption="loan_amount_group" attribute="1" defaultMemberUniqueName="[LoanData].[loan_amount_group].[All]" allUniqueName="[LoanData].[loan_amount_group].[All]" dimensionUniqueName="[LoanData]" displayFolder="" count="0" memberValueDatatype="130" unbalanced="0"/>
    <cacheHierarchy uniqueName="[LoanData].[total_assets]" caption="total_assets" attribute="1" defaultMemberUniqueName="[LoanData].[total_assets].[All]" allUniqueName="[LoanData].[total_assets].[All]" dimensionUniqueName="[LoanData]" displayFolder="" count="0" memberValueDatatype="20" unbalanced="0"/>
    <cacheHierarchy uniqueName="[LoanData].[asset_strength]" caption="asset_strength" attribute="1" defaultMemberUniqueName="[LoanData].[asset_strength].[All]" allUniqueName="[LoanData].[asset_strength].[All]" dimensionUniqueName="[LoanData]" displayFolder="" count="2" memberValueDatatype="130" unbalanced="0"/>
    <cacheHierarchy uniqueName="[Measures].[__XL_Count LoanData]" caption="__XL_Count LoanData" measure="1" displayFolder="" measureGroup="LoanData" count="0" hidden="1"/>
    <cacheHierarchy uniqueName="[Measures].[__No measures defined]" caption="__No measures defined" measure="1" displayFolder="" count="0" hidden="1"/>
    <cacheHierarchy uniqueName="[Measures].[Sum of loan_id]" caption="Sum of loan_id" measure="1" displayFolder="" measureGroup="LoanData" count="0" hidden="1">
      <extLst>
        <ext xmlns:x15="http://schemas.microsoft.com/office/spreadsheetml/2010/11/main" uri="{B97F6D7D-B522-45F9-BDA1-12C45D357490}">
          <x15:cacheHierarchy aggregatedColumn="0"/>
        </ext>
      </extLst>
    </cacheHierarchy>
    <cacheHierarchy uniqueName="[Measures].[Sum of approval_flag]" caption="Sum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Count of loan_id]" caption="Count of loan_id" measure="1" displayFolder="" measureGroup="LoanData" count="0" hidden="1">
      <extLst>
        <ext xmlns:x15="http://schemas.microsoft.com/office/spreadsheetml/2010/11/main" uri="{B97F6D7D-B522-45F9-BDA1-12C45D357490}">
          <x15:cacheHierarchy aggregatedColumn="0"/>
        </ext>
      </extLst>
    </cacheHierarchy>
    <cacheHierarchy uniqueName="[Measures].[Average of approval_flag]" caption="Average of approval_flag" measure="1" displayFolder="" measureGroup="Loan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pproval_flag]" caption="Count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Sum of cibil_score]" caption="Sum of cibil_score" measure="1" displayFolder="" measureGroup="LoanData" count="0" hidden="1">
      <extLst>
        <ext xmlns:x15="http://schemas.microsoft.com/office/spreadsheetml/2010/11/main" uri="{B97F6D7D-B522-45F9-BDA1-12C45D357490}">
          <x15:cacheHierarchy aggregatedColumn="7"/>
        </ext>
      </extLst>
    </cacheHierarchy>
  </cacheHierarchies>
  <kpis count="0"/>
  <dimensions count="2">
    <dimension name="LoanData" uniqueName="[LoanData]" caption="LoanData"/>
    <dimension measure="1" name="Measures" uniqueName="[Measures]" caption="Measures"/>
  </dimensions>
  <measureGroups count="1">
    <measureGroup name="LoanData" caption="Lo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momina ramzaan" refreshedDate="46073.846279398145" backgroundQuery="1" createdVersion="6" refreshedVersion="6" minRefreshableVersion="3" recordCount="0" supportSubquery="1" supportAdvancedDrill="1">
  <cacheSource type="external" connectionId="1"/>
  <cacheFields count="3">
    <cacheField name="[LoanData].[income_group].[income_group]" caption="income_group" numFmtId="0" hierarchy="15" level="1">
      <sharedItems count="3">
        <s v="High"/>
        <s v="Low"/>
        <s v="Middle"/>
      </sharedItems>
    </cacheField>
    <cacheField name="[Measures].[Sum of approval_flag]" caption="Sum of approval_flag" numFmtId="0" hierarchy="22" level="32767"/>
    <cacheField name="[LoanData].[cibil_band].[cibil_band]" caption="cibil_band" numFmtId="0" hierarchy="14" level="1">
      <sharedItems containsSemiMixedTypes="0" containsNonDate="0" containsString="0"/>
    </cacheField>
  </cacheFields>
  <cacheHierarchies count="27">
    <cacheHierarchy uniqueName="[LoanData].[loan_id]" caption="loan_id" attribute="1" defaultMemberUniqueName="[LoanData].[loan_id].[All]" allUniqueName="[LoanData].[loan_id].[All]" dimensionUniqueName="[LoanData]" displayFolder="" count="0" memberValueDatatype="20" unbalanced="0"/>
    <cacheHierarchy uniqueName="[LoanData].[no_of_dependents]" caption="no_of_dependents" attribute="1" defaultMemberUniqueName="[LoanData].[no_of_dependents].[All]" allUniqueName="[LoanData].[no_of_dependents].[All]" dimensionUniqueName="[LoanData]" displayFolder="" count="0" memberValueDatatype="20" unbalanced="0"/>
    <cacheHierarchy uniqueName="[LoanData].[education]" caption="education" attribute="1" defaultMemberUniqueName="[LoanData].[education].[All]" allUniqueName="[LoanData].[education].[All]" dimensionUniqueName="[LoanData]" displayFolder="" count="2" memberValueDatatype="130" unbalanced="0"/>
    <cacheHierarchy uniqueName="[LoanData].[self_employed]" caption="self_employed" attribute="1" defaultMemberUniqueName="[LoanData].[self_employed].[All]" allUniqueName="[LoanData].[self_employed].[All]" dimensionUniqueName="[LoanData]" displayFolder="" count="2" memberValueDatatype="130" unbalanced="0"/>
    <cacheHierarchy uniqueName="[LoanData].[income_annum]" caption="income_annum" attribute="1" defaultMemberUniqueName="[LoanData].[income_annum].[All]" allUniqueName="[LoanData].[income_annum].[All]" dimensionUniqueName="[LoanData]" displayFolder="" count="0" memberValueDatatype="20" unbalanced="0"/>
    <cacheHierarchy uniqueName="[LoanData].[loan_amount]" caption="loan_amount" attribute="1" defaultMemberUniqueName="[LoanData].[loan_amount].[All]" allUniqueName="[LoanData].[loan_amount].[All]" dimensionUniqueName="[LoanData]" displayFolder="" count="0" memberValueDatatype="20" unbalanced="0"/>
    <cacheHierarchy uniqueName="[LoanData].[loan_term]" caption="loan_term" attribute="1" defaultMemberUniqueName="[LoanData].[loan_term].[All]" allUniqueName="[LoanData].[loan_term].[All]" dimensionUniqueName="[LoanData]" displayFolder="" count="0" memberValueDatatype="20" unbalanced="0"/>
    <cacheHierarchy uniqueName="[LoanData].[cibil_score]" caption="cibil_score" attribute="1" defaultMemberUniqueName="[LoanData].[cibil_score].[All]" allUniqueName="[LoanData].[cibil_score].[All]" dimensionUniqueName="[LoanData]" displayFolder="" count="0" memberValueDatatype="20" unbalanced="0"/>
    <cacheHierarchy uniqueName="[LoanData].[residential_assets_value]" caption="residential_assets_value" attribute="1" defaultMemberUniqueName="[LoanData].[residential_assets_value].[All]" allUniqueName="[LoanData].[residential_assets_value].[All]" dimensionUniqueName="[LoanData]" displayFolder="" count="0" memberValueDatatype="20" unbalanced="0"/>
    <cacheHierarchy uniqueName="[LoanData].[commercial_assets_value]" caption="commercial_assets_value" attribute="1" defaultMemberUniqueName="[LoanData].[commercial_assets_value].[All]" allUniqueName="[LoanData].[commercial_assets_value].[All]" dimensionUniqueName="[LoanData]" displayFolder="" count="0" memberValueDatatype="20" unbalanced="0"/>
    <cacheHierarchy uniqueName="[LoanData].[luxury_assets_value]" caption="luxury_assets_value" attribute="1" defaultMemberUniqueName="[LoanData].[luxury_assets_value].[All]" allUniqueName="[LoanData].[luxury_assets_value].[All]" dimensionUniqueName="[LoanData]" displayFolder="" count="0" memberValueDatatype="20" unbalanced="0"/>
    <cacheHierarchy uniqueName="[LoanData].[bank_asset_value]" caption="bank_asset_value" attribute="1" defaultMemberUniqueName="[LoanData].[bank_asset_value].[All]" allUniqueName="[LoanData].[bank_asset_value].[All]" dimensionUniqueName="[LoanData]" displayFolder="" count="0" memberValueDatatype="20" unbalanced="0"/>
    <cacheHierarchy uniqueName="[LoanData].[loan_status]" caption="loan_status" attribute="1" defaultMemberUniqueName="[LoanData].[loan_status].[All]" allUniqueName="[LoanData].[loan_status].[All]" dimensionUniqueName="[LoanData]" displayFolder="" count="0" memberValueDatatype="130" unbalanced="0"/>
    <cacheHierarchy uniqueName="[LoanData].[approval_flag]" caption="approval_flag" attribute="1" defaultMemberUniqueName="[LoanData].[approval_flag].[All]" allUniqueName="[LoanData].[approval_flag].[All]" dimensionUniqueName="[LoanData]" displayFolder="" count="0" memberValueDatatype="20" unbalanced="0"/>
    <cacheHierarchy uniqueName="[LoanData].[cibil_band]" caption="cibil_band" attribute="1" defaultMemberUniqueName="[LoanData].[cibil_band].[All]" allUniqueName="[LoanData].[cibil_band].[All]" dimensionUniqueName="[LoanData]" displayFolder="" count="2" memberValueDatatype="130" unbalanced="0">
      <fieldsUsage count="2">
        <fieldUsage x="-1"/>
        <fieldUsage x="2"/>
      </fieldsUsage>
    </cacheHierarchy>
    <cacheHierarchy uniqueName="[LoanData].[income_group]" caption="income_group" attribute="1" defaultMemberUniqueName="[LoanData].[income_group].[All]" allUniqueName="[LoanData].[income_group].[All]" dimensionUniqueName="[LoanData]" displayFolder="" count="2" memberValueDatatype="130" unbalanced="0">
      <fieldsUsage count="2">
        <fieldUsage x="-1"/>
        <fieldUsage x="0"/>
      </fieldsUsage>
    </cacheHierarchy>
    <cacheHierarchy uniqueName="[LoanData].[loan_amount_group]" caption="loan_amount_group" attribute="1" defaultMemberUniqueName="[LoanData].[loan_amount_group].[All]" allUniqueName="[LoanData].[loan_amount_group].[All]" dimensionUniqueName="[LoanData]" displayFolder="" count="0" memberValueDatatype="130" unbalanced="0"/>
    <cacheHierarchy uniqueName="[LoanData].[total_assets]" caption="total_assets" attribute="1" defaultMemberUniqueName="[LoanData].[total_assets].[All]" allUniqueName="[LoanData].[total_assets].[All]" dimensionUniqueName="[LoanData]" displayFolder="" count="0" memberValueDatatype="20" unbalanced="0"/>
    <cacheHierarchy uniqueName="[LoanData].[asset_strength]" caption="asset_strength" attribute="1" defaultMemberUniqueName="[LoanData].[asset_strength].[All]" allUniqueName="[LoanData].[asset_strength].[All]" dimensionUniqueName="[LoanData]" displayFolder="" count="2" memberValueDatatype="130" unbalanced="0"/>
    <cacheHierarchy uniqueName="[Measures].[__XL_Count LoanData]" caption="__XL_Count LoanData" measure="1" displayFolder="" measureGroup="LoanData" count="0" hidden="1"/>
    <cacheHierarchy uniqueName="[Measures].[__No measures defined]" caption="__No measures defined" measure="1" displayFolder="" count="0" hidden="1"/>
    <cacheHierarchy uniqueName="[Measures].[Sum of loan_id]" caption="Sum of loan_id" measure="1" displayFolder="" measureGroup="LoanData" count="0" hidden="1">
      <extLst>
        <ext xmlns:x15="http://schemas.microsoft.com/office/spreadsheetml/2010/11/main" uri="{B97F6D7D-B522-45F9-BDA1-12C45D357490}">
          <x15:cacheHierarchy aggregatedColumn="0"/>
        </ext>
      </extLst>
    </cacheHierarchy>
    <cacheHierarchy uniqueName="[Measures].[Sum of approval_flag]" caption="Sum of approval_flag" measure="1" displayFolder="" measureGroup="Loan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loan_id]" caption="Count of loan_id" measure="1" displayFolder="" measureGroup="LoanData" count="0" hidden="1">
      <extLst>
        <ext xmlns:x15="http://schemas.microsoft.com/office/spreadsheetml/2010/11/main" uri="{B97F6D7D-B522-45F9-BDA1-12C45D357490}">
          <x15:cacheHierarchy aggregatedColumn="0"/>
        </ext>
      </extLst>
    </cacheHierarchy>
    <cacheHierarchy uniqueName="[Measures].[Average of approval_flag]" caption="Average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Count of approval_flag]" caption="Count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Sum of cibil_score]" caption="Sum of cibil_score" measure="1" displayFolder="" measureGroup="LoanData" count="0" hidden="1">
      <extLst>
        <ext xmlns:x15="http://schemas.microsoft.com/office/spreadsheetml/2010/11/main" uri="{B97F6D7D-B522-45F9-BDA1-12C45D357490}">
          <x15:cacheHierarchy aggregatedColumn="7"/>
        </ext>
      </extLst>
    </cacheHierarchy>
  </cacheHierarchies>
  <kpis count="0"/>
  <dimensions count="2">
    <dimension name="LoanData" uniqueName="[LoanData]" caption="LoanData"/>
    <dimension measure="1" name="Measures" uniqueName="[Measures]" caption="Measures"/>
  </dimensions>
  <measureGroups count="1">
    <measureGroup name="LoanData" caption="Lo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momina ramzaan" refreshedDate="46065.972403703701"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LoanData].[loan_id]" caption="loan_id" attribute="1" defaultMemberUniqueName="[LoanData].[loan_id].[All]" allUniqueName="[LoanData].[loan_id].[All]" dimensionUniqueName="[LoanData]" displayFolder="" count="2" memberValueDatatype="20" unbalanced="0"/>
    <cacheHierarchy uniqueName="[LoanData].[no_of_dependents]" caption="no_of_dependents" attribute="1" defaultMemberUniqueName="[LoanData].[no_of_dependents].[All]" allUniqueName="[LoanData].[no_of_dependents].[All]" dimensionUniqueName="[LoanData]" displayFolder="" count="2" memberValueDatatype="20" unbalanced="0"/>
    <cacheHierarchy uniqueName="[LoanData].[education]" caption="education" attribute="1" defaultMemberUniqueName="[LoanData].[education].[All]" allUniqueName="[LoanData].[education].[All]" dimensionUniqueName="[LoanData]" displayFolder="" count="2" memberValueDatatype="130" unbalanced="0"/>
    <cacheHierarchy uniqueName="[LoanData].[self_employed]" caption="self_employed" attribute="1" defaultMemberUniqueName="[LoanData].[self_employed].[All]" allUniqueName="[LoanData].[self_employed].[All]" dimensionUniqueName="[LoanData]" displayFolder="" count="2" memberValueDatatype="130" unbalanced="0"/>
    <cacheHierarchy uniqueName="[LoanData].[income_annum]" caption="income_annum" attribute="1" defaultMemberUniqueName="[LoanData].[income_annum].[All]" allUniqueName="[LoanData].[income_annum].[All]" dimensionUniqueName="[LoanData]" displayFolder="" count="2" memberValueDatatype="20" unbalanced="0"/>
    <cacheHierarchy uniqueName="[LoanData].[loan_amount]" caption="loan_amount" attribute="1" defaultMemberUniqueName="[LoanData].[loan_amount].[All]" allUniqueName="[LoanData].[loan_amount].[All]" dimensionUniqueName="[LoanData]" displayFolder="" count="2" memberValueDatatype="20" unbalanced="0"/>
    <cacheHierarchy uniqueName="[LoanData].[loan_term]" caption="loan_term" attribute="1" defaultMemberUniqueName="[LoanData].[loan_term].[All]" allUniqueName="[LoanData].[loan_term].[All]" dimensionUniqueName="[LoanData]" displayFolder="" count="2" memberValueDatatype="20" unbalanced="0"/>
    <cacheHierarchy uniqueName="[LoanData].[cibil_score]" caption="cibil_score" attribute="1" defaultMemberUniqueName="[LoanData].[cibil_score].[All]" allUniqueName="[LoanData].[cibil_score].[All]" dimensionUniqueName="[LoanData]" displayFolder="" count="2" memberValueDatatype="20" unbalanced="0"/>
    <cacheHierarchy uniqueName="[LoanData].[residential_assets_value]" caption="residential_assets_value" attribute="1" defaultMemberUniqueName="[LoanData].[residential_assets_value].[All]" allUniqueName="[LoanData].[residential_assets_value].[All]" dimensionUniqueName="[LoanData]" displayFolder="" count="2" memberValueDatatype="20" unbalanced="0"/>
    <cacheHierarchy uniqueName="[LoanData].[commercial_assets_value]" caption="commercial_assets_value" attribute="1" defaultMemberUniqueName="[LoanData].[commercial_assets_value].[All]" allUniqueName="[LoanData].[commercial_assets_value].[All]" dimensionUniqueName="[LoanData]" displayFolder="" count="2" memberValueDatatype="20" unbalanced="0"/>
    <cacheHierarchy uniqueName="[LoanData].[luxury_assets_value]" caption="luxury_assets_value" attribute="1" defaultMemberUniqueName="[LoanData].[luxury_assets_value].[All]" allUniqueName="[LoanData].[luxury_assets_value].[All]" dimensionUniqueName="[LoanData]" displayFolder="" count="2" memberValueDatatype="20" unbalanced="0"/>
    <cacheHierarchy uniqueName="[LoanData].[bank_asset_value]" caption="bank_asset_value" attribute="1" defaultMemberUniqueName="[LoanData].[bank_asset_value].[All]" allUniqueName="[LoanData].[bank_asset_value].[All]" dimensionUniqueName="[LoanData]" displayFolder="" count="2" memberValueDatatype="20" unbalanced="0"/>
    <cacheHierarchy uniqueName="[LoanData].[loan_status]" caption="loan_status" attribute="1" defaultMemberUniqueName="[LoanData].[loan_status].[All]" allUniqueName="[LoanData].[loan_status].[All]" dimensionUniqueName="[LoanData]" displayFolder="" count="2" memberValueDatatype="130" unbalanced="0"/>
    <cacheHierarchy uniqueName="[LoanData].[approval_flag]" caption="approval_flag" attribute="1" defaultMemberUniqueName="[LoanData].[approval_flag].[All]" allUniqueName="[LoanData].[approval_flag].[All]" dimensionUniqueName="[LoanData]" displayFolder="" count="2" memberValueDatatype="20" unbalanced="0"/>
    <cacheHierarchy uniqueName="[LoanData].[cibil_band]" caption="cibil_band" attribute="1" defaultMemberUniqueName="[LoanData].[cibil_band].[All]" allUniqueName="[LoanData].[cibil_band].[All]" dimensionUniqueName="[LoanData]" displayFolder="" count="2" memberValueDatatype="130" unbalanced="0"/>
    <cacheHierarchy uniqueName="[LoanData].[income_group]" caption="income_group" attribute="1" defaultMemberUniqueName="[LoanData].[income_group].[All]" allUniqueName="[LoanData].[income_group].[All]" dimensionUniqueName="[LoanData]" displayFolder="" count="2" memberValueDatatype="130" unbalanced="0"/>
    <cacheHierarchy uniqueName="[LoanData].[loan_amount_group]" caption="loan_amount_group" attribute="1" defaultMemberUniqueName="[LoanData].[loan_amount_group].[All]" allUniqueName="[LoanData].[loan_amount_group].[All]" dimensionUniqueName="[LoanData]" displayFolder="" count="2" memberValueDatatype="130" unbalanced="0"/>
    <cacheHierarchy uniqueName="[LoanData].[total_assets]" caption="total_assets" attribute="1" defaultMemberUniqueName="[LoanData].[total_assets].[All]" allUniqueName="[LoanData].[total_assets].[All]" dimensionUniqueName="[LoanData]" displayFolder="" count="2" memberValueDatatype="20" unbalanced="0"/>
    <cacheHierarchy uniqueName="[LoanData].[asset_strength]" caption="asset_strength" attribute="1" defaultMemberUniqueName="[LoanData].[asset_strength].[All]" allUniqueName="[LoanData].[asset_strength].[All]" dimensionUniqueName="[LoanData]" displayFolder="" count="2" memberValueDatatype="130" unbalanced="0"/>
    <cacheHierarchy uniqueName="[Measures].[__XL_Count LoanData]" caption="__XL_Count LoanData" measure="1" displayFolder="" measureGroup="LoanData" count="0" hidden="1"/>
    <cacheHierarchy uniqueName="[Measures].[__No measures defined]" caption="__No measures defined" measure="1" displayFolder="" count="0" hidden="1"/>
    <cacheHierarchy uniqueName="[Measures].[Sum of loan_id]" caption="Sum of loan_id" measure="1" displayFolder="" measureGroup="LoanData" count="0" hidden="1">
      <extLst>
        <ext xmlns:x15="http://schemas.microsoft.com/office/spreadsheetml/2010/11/main" uri="{B97F6D7D-B522-45F9-BDA1-12C45D357490}">
          <x15:cacheHierarchy aggregatedColumn="0"/>
        </ext>
      </extLst>
    </cacheHierarchy>
    <cacheHierarchy uniqueName="[Measures].[Sum of approval_flag]" caption="Sum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Count of loan_id]" caption="Count of loan_id" measure="1" displayFolder="" measureGroup="LoanData" count="0" hidden="1">
      <extLst>
        <ext xmlns:x15="http://schemas.microsoft.com/office/spreadsheetml/2010/11/main" uri="{B97F6D7D-B522-45F9-BDA1-12C45D357490}">
          <x15:cacheHierarchy aggregatedColumn="0"/>
        </ext>
      </extLst>
    </cacheHierarchy>
    <cacheHierarchy uniqueName="[Measures].[Average of approval_flag]" caption="Average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Count of approval_flag]" caption="Count of approval_flag" measure="1" displayFolder="" measureGroup="LoanData" count="0" hidden="1">
      <extLst>
        <ext xmlns:x15="http://schemas.microsoft.com/office/spreadsheetml/2010/11/main" uri="{B97F6D7D-B522-45F9-BDA1-12C45D357490}">
          <x15:cacheHierarchy aggregatedColumn="13"/>
        </ext>
      </extLst>
    </cacheHierarchy>
    <cacheHierarchy uniqueName="[Measures].[Sum of cibil_score]" caption="Sum of cibil_score" measure="1" displayFolder="" measureGroup="Loan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9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T8:AV12" firstHeaderRow="0" firstDataRow="1" firstDataCol="1"/>
  <pivotFields count="4">
    <pivotField axis="axisRow" allDrilled="1" showAll="0" dataSourceSort="1" defaultAttributeDrillState="1">
      <items count="4">
        <item x="0"/>
        <item x="1"/>
        <item x="2"/>
        <item t="default"/>
      </items>
    </pivotField>
    <pivotField dataField="1" showAll="0"/>
    <pivotField dataField="1" showAll="0"/>
    <pivotField allDrilled="1" showAll="0" dataSourceSort="1" defaultAttributeDrillState="1"/>
  </pivotFields>
  <rowFields count="1">
    <field x="0"/>
  </rowFields>
  <rowItems count="4">
    <i>
      <x/>
    </i>
    <i>
      <x v="1"/>
    </i>
    <i>
      <x v="2"/>
    </i>
    <i t="grand">
      <x/>
    </i>
  </rowItems>
  <colFields count="1">
    <field x="-2"/>
  </colFields>
  <colItems count="2">
    <i>
      <x/>
    </i>
    <i i="1">
      <x v="1"/>
    </i>
  </colItems>
  <dataFields count="2">
    <dataField name="Count of loan_id" fld="1" subtotal="count" baseField="0" baseItem="0"/>
    <dataField name="Average of approval_flag" fld="2" subtotal="average" baseField="0" baseItem="0" numFmtId="10"/>
  </dataFields>
  <formats count="4">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chartFormats count="8">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0" count="1" selected="0">
            <x v="0"/>
          </reference>
        </references>
      </pivotArea>
    </chartFormat>
    <chartFormat chart="3" format="20">
      <pivotArea type="data" outline="0" fieldPosition="0">
        <references count="2">
          <reference field="4294967294" count="1" selected="0">
            <x v="0"/>
          </reference>
          <reference field="0" count="1" selected="0">
            <x v="1"/>
          </reference>
        </references>
      </pivotArea>
    </chartFormat>
    <chartFormat chart="3" format="21">
      <pivotArea type="data" outline="0" fieldPosition="0">
        <references count="2">
          <reference field="4294967294" count="1" selected="0">
            <x v="0"/>
          </reference>
          <reference field="0" count="1" selected="0">
            <x v="2"/>
          </reference>
        </references>
      </pivotArea>
    </chartFormat>
    <chartFormat chart="3" format="22" series="1">
      <pivotArea type="data" outline="0" fieldPosition="0">
        <references count="1">
          <reference field="4294967294" count="1" selected="0">
            <x v="1"/>
          </reference>
        </references>
      </pivotArea>
    </chartFormat>
    <chartFormat chart="3" format="23">
      <pivotArea type="data" outline="0" fieldPosition="0">
        <references count="2">
          <reference field="4294967294" count="1" selected="0">
            <x v="1"/>
          </reference>
          <reference field="0" count="1" selected="0">
            <x v="0"/>
          </reference>
        </references>
      </pivotArea>
    </chartFormat>
    <chartFormat chart="3" format="24">
      <pivotArea type="data" outline="0" fieldPosition="0">
        <references count="2">
          <reference field="4294967294" count="1" selected="0">
            <x v="1"/>
          </reference>
          <reference field="0" count="1" selected="0">
            <x v="1"/>
          </reference>
        </references>
      </pivotArea>
    </chartFormat>
    <chartFormat chart="3" format="25">
      <pivotArea type="data" outline="0" fieldPosition="0">
        <references count="2">
          <reference field="4294967294" count="1" selected="0">
            <x v="1"/>
          </reference>
          <reference field="0" count="1" selected="0">
            <x v="2"/>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an_approval_dataset.csv!LoanData">
        <x15:activeTabTopLevelEntity name="[LoanData]"/>
      </x15:pivotTableUISettings>
    </ext>
  </extLst>
</pivotTableDefinition>
</file>

<file path=xl/pivotTables/pivotTable2.xml><?xml version="1.0" encoding="utf-8"?>
<pivotTableDefinition xmlns="http://schemas.openxmlformats.org/spreadsheetml/2006/main" name="PivotTable4" cacheId="10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P4:Q7"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Sum of approval_flag" fld="1" baseField="0" baseItem="0"/>
  </dataFields>
  <chartFormats count="3">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an_approval_dataset.csv!LoanData">
        <x15:activeTabTopLevelEntity name="[LoanData]"/>
      </x15:pivotTableUISettings>
    </ext>
  </extLst>
</pivotTableDefinition>
</file>

<file path=xl/pivotTables/pivotTable3.xml><?xml version="1.0" encoding="utf-8"?>
<pivotTableDefinition xmlns="http://schemas.openxmlformats.org/spreadsheetml/2006/main" name="PivotTable3" cacheId="10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4:E7" firstHeaderRow="0" firstDataRow="1" firstDataCol="1"/>
  <pivotFields count="4">
    <pivotField axis="axisRow" allDrilled="1" showAll="0" dataSourceSort="1" defaultAttributeDrillState="1">
      <items count="3">
        <item x="0"/>
        <item x="1"/>
        <item t="default"/>
      </items>
    </pivotField>
    <pivotField dataField="1" showAll="0"/>
    <pivotField dataField="1" showAll="0"/>
    <pivotField allDrilled="1" showAll="0" dataSourceSort="1" defaultAttributeDrillState="1"/>
  </pivotFields>
  <rowFields count="1">
    <field x="0"/>
  </rowFields>
  <rowItems count="3">
    <i>
      <x/>
    </i>
    <i>
      <x v="1"/>
    </i>
    <i t="grand">
      <x/>
    </i>
  </rowItems>
  <colFields count="1">
    <field x="-2"/>
  </colFields>
  <colItems count="2">
    <i>
      <x/>
    </i>
    <i i="1">
      <x v="1"/>
    </i>
  </colItems>
  <dataFields count="2">
    <dataField name="Count of loan_id" fld="2" subtotal="count" baseField="0" baseItem="0"/>
    <dataField name="Average of approval_flag" fld="1" subtotal="average" baseField="0" baseItem="0" numFmtId="10"/>
  </dataFields>
  <chartFormats count="6">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0" count="1" selected="0">
            <x v="0"/>
          </reference>
        </references>
      </pivotArea>
    </chartFormat>
    <chartFormat chart="2" format="20">
      <pivotArea type="data" outline="0" fieldPosition="0">
        <references count="2">
          <reference field="4294967294" count="1" selected="0">
            <x v="0"/>
          </reference>
          <reference field="0" count="1" selected="0">
            <x v="1"/>
          </reference>
        </references>
      </pivotArea>
    </chartFormat>
    <chartFormat chart="2" format="21" series="1">
      <pivotArea type="data" outline="0" fieldPosition="0">
        <references count="1">
          <reference field="4294967294" count="1" selected="0">
            <x v="1"/>
          </reference>
        </references>
      </pivotArea>
    </chartFormat>
    <chartFormat chart="2" format="22">
      <pivotArea type="data" outline="0" fieldPosition="0">
        <references count="2">
          <reference field="4294967294" count="1" selected="0">
            <x v="1"/>
          </reference>
          <reference field="0" count="1" selected="0">
            <x v="0"/>
          </reference>
        </references>
      </pivotArea>
    </chartFormat>
    <chartFormat chart="2" format="23">
      <pivotArea type="data" outline="0" fieldPosition="0">
        <references count="2">
          <reference field="4294967294" count="1" selected="0">
            <x v="1"/>
          </reference>
          <reference field="0" count="1" selected="0">
            <x v="1"/>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an_approval_dataset.csv!LoanData">
        <x15:activeTabTopLevelEntity name="[LoanData]"/>
      </x15:pivotTableUISettings>
    </ext>
  </extLst>
</pivotTableDefinition>
</file>

<file path=xl/pivotTables/pivotTable4.xml><?xml version="1.0" encoding="utf-8"?>
<pivotTableDefinition xmlns="http://schemas.openxmlformats.org/spreadsheetml/2006/main" name="PivotTable2" cacheId="9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BB8:BC25" firstHeaderRow="1" firstDataRow="1" firstDataCol="1"/>
  <pivotFields count="3">
    <pivotField axis="axisRow" allDrilled="1" showAll="0" dataSourceSort="1" defaultAttributeDrillState="1">
      <items count="5">
        <item x="0"/>
        <item x="1"/>
        <item x="2"/>
        <item x="3"/>
        <item t="default"/>
      </items>
    </pivotField>
    <pivotField axis="axisRow" allDrilled="1" showAll="0" dataSourceSort="1" defaultAttributeDrillState="1">
      <items count="4">
        <item x="0"/>
        <item x="1"/>
        <item x="2"/>
        <item t="default"/>
      </items>
    </pivotField>
    <pivotField dataField="1" showAll="0"/>
  </pivotFields>
  <rowFields count="2">
    <field x="0"/>
    <field x="1"/>
  </rowFields>
  <rowItems count="17">
    <i>
      <x/>
    </i>
    <i r="1">
      <x/>
    </i>
    <i r="1">
      <x v="1"/>
    </i>
    <i r="1">
      <x v="2"/>
    </i>
    <i>
      <x v="1"/>
    </i>
    <i r="1">
      <x/>
    </i>
    <i r="1">
      <x v="1"/>
    </i>
    <i r="1">
      <x v="2"/>
    </i>
    <i>
      <x v="2"/>
    </i>
    <i r="1">
      <x/>
    </i>
    <i r="1">
      <x v="1"/>
    </i>
    <i r="1">
      <x v="2"/>
    </i>
    <i>
      <x v="3"/>
    </i>
    <i r="1">
      <x/>
    </i>
    <i r="1">
      <x v="1"/>
    </i>
    <i r="1">
      <x v="2"/>
    </i>
    <i t="grand">
      <x/>
    </i>
  </rowItems>
  <colItems count="1">
    <i/>
  </colItems>
  <dataFields count="1">
    <dataField name="Average of approval_flag" fld="2" subtotal="average" baseField="0" baseItem="0" numFmtId="10"/>
  </dataFields>
  <formats count="3">
    <format dxfId="6">
      <pivotArea outline="0" collapsedLevelsAreSubtotals="1" fieldPosition="0"/>
    </format>
    <format dxfId="5">
      <pivotArea dataOnly="0" labelOnly="1" outline="0" axis="axisValues" fieldPosition="0"/>
    </format>
    <format dxfId="4">
      <pivotArea dataOnly="0" labelOnly="1" outline="0" axis="axisValues" fieldPosition="0"/>
    </format>
  </formats>
  <chartFormats count="4">
    <chartFormat chart="3" format="7" series="1">
      <pivotArea type="data" outline="0" fieldPosition="0">
        <references count="1">
          <reference field="4294967294" count="1" selected="0">
            <x v="0"/>
          </reference>
        </references>
      </pivotArea>
    </chartFormat>
    <chartFormat chart="3" format="8">
      <pivotArea type="data" outline="0" fieldPosition="0">
        <references count="3">
          <reference field="4294967294" count="1" selected="0">
            <x v="0"/>
          </reference>
          <reference field="0" count="1" selected="0">
            <x v="2"/>
          </reference>
          <reference field="1" count="1" selected="0">
            <x v="0"/>
          </reference>
        </references>
      </pivotArea>
    </chartFormat>
    <chartFormat chart="3" format="9">
      <pivotArea type="data" outline="0" fieldPosition="0">
        <references count="3">
          <reference field="4294967294" count="1" selected="0">
            <x v="0"/>
          </reference>
          <reference field="0" count="1" selected="0">
            <x v="2"/>
          </reference>
          <reference field="1" count="1" selected="0">
            <x v="1"/>
          </reference>
        </references>
      </pivotArea>
    </chartFormat>
    <chartFormat chart="3" format="10">
      <pivotArea type="data" outline="0" fieldPosition="0">
        <references count="3">
          <reference field="4294967294" count="1" selected="0">
            <x v="0"/>
          </reference>
          <reference field="0" count="1" selected="0">
            <x v="2"/>
          </reference>
          <reference field="1" count="1" selected="0">
            <x v="2"/>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an_approval_dataset.csv!LoanData">
        <x15:activeTabTopLevelEntity name="[LoanData]"/>
      </x15:pivotTableUISettings>
    </ext>
  </extLst>
</pivotTableDefinition>
</file>

<file path=xl/pivotTables/pivotTable5.xml><?xml version="1.0" encoding="utf-8"?>
<pivotTableDefinition xmlns="http://schemas.openxmlformats.org/spreadsheetml/2006/main" name="PivotTable6" cacheId="10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I4:AJ9" firstHeaderRow="1" firstDataRow="1" firstDataCol="1"/>
  <pivotFields count="2">
    <pivotField axis="axisRow" allDrilled="1" showAll="0" dataSourceSort="1" defaultAttributeDrillState="1">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Average of approval_flag" fld="1" subtotal="average" baseField="0" baseItem="0" numFmtId="10"/>
  </dataFields>
  <chartFormats count="2">
    <chartFormat chart="2" format="9">
      <pivotArea type="data" outline="0" fieldPosition="0">
        <references count="2">
          <reference field="4294967294" count="1" selected="0">
            <x v="0"/>
          </reference>
          <reference field="0" count="1" selected="0">
            <x v="2"/>
          </reference>
        </references>
      </pivotArea>
    </chartFormat>
    <chartFormat chart="2" format="10"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an_approval_dataset.csv!LoanData">
        <x15:activeTabTopLevelEntity name="[LoanData]"/>
      </x15:pivotTableUISettings>
    </ext>
  </extLst>
</pivotTableDefinition>
</file>

<file path=xl/pivotTables/pivotTable6.xml><?xml version="1.0" encoding="utf-8"?>
<pivotTableDefinition xmlns="http://schemas.openxmlformats.org/spreadsheetml/2006/main" name="PivotTable7" cacheId="1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G12:BH16"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Sum of approval_flag" fld="1"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an_approval_dataset.csv!LoanData">
        <x15:activeTabTopLevelEntity name="[LoanData]"/>
      </x15:pivotTableUISettings>
    </ext>
  </extLst>
</pivotTableDefinition>
</file>

<file path=xl/pivotTables/pivotTable7.xml><?xml version="1.0" encoding="utf-8"?>
<pivotTableDefinition xmlns="http://schemas.openxmlformats.org/spreadsheetml/2006/main" name="PivotTable5" cacheId="10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AE5:AF10" firstHeaderRow="1" firstDataRow="1" firstDataCol="1"/>
  <pivotFields count="2">
    <pivotField axis="axisRow" allDrilled="1" showAll="0" sortType="ascending" defaultAttributeDrillState="1">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Sum of approval_flag" fld="1" baseField="0" baseItem="0"/>
  </dataFields>
  <chartFormats count="5">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0"/>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2"/>
          </reference>
        </references>
      </pivotArea>
    </chartFormat>
    <chartFormat chart="5" format="20">
      <pivotArea type="data" outline="0" fieldPosition="0">
        <references count="2">
          <reference field="4294967294" count="1" selected="0">
            <x v="0"/>
          </reference>
          <reference field="0" count="1" selected="0">
            <x v="3"/>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an_approval_dataset.csv!LoanData">
        <x15:activeTabTopLevelEntity name="[LoanData]"/>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bil_band" sourceName="[LoanData].[cibil_band]">
  <pivotTables>
    <pivotTable tabId="2" name="PivotTable2"/>
    <pivotTable tabId="2" name="PivotTable1"/>
    <pivotTable tabId="2" name="PivotTable3"/>
    <pivotTable tabId="2" name="PivotTable4"/>
    <pivotTable tabId="2" name="PivotTable5"/>
    <pivotTable tabId="2" name="PivotTable6"/>
    <pivotTable tabId="2" name="PivotTable7"/>
  </pivotTables>
  <data>
    <olap pivotCacheId="1">
      <levels count="2">
        <level uniqueName="[LoanData].[cibil_band].[(All)]" sourceCaption="(All)" count="0"/>
        <level uniqueName="[LoanData].[cibil_band].[cibil_band]" sourceCaption="cibil_band" count="4">
          <ranges>
            <range startItem="0">
              <i n="[LoanData].[cibil_band].&amp;[Excellent]" c="Excellent"/>
              <i n="[LoanData].[cibil_band].&amp;[Good]" c="Good"/>
              <i n="[LoanData].[cibil_band].&amp;[Low]" c="Low"/>
              <i n="[LoanData].[cibil_band].&amp;[Medium]" c="Medium"/>
            </range>
          </ranges>
        </level>
      </levels>
      <selections count="1">
        <selection n="[LoanData].[cibil_b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come_group" sourceName="[LoanData].[income_group]">
  <pivotTables>
    <pivotTable tabId="2" name="PivotTable2"/>
    <pivotTable tabId="2" name="PivotTable1"/>
    <pivotTable tabId="2" name="PivotTable3"/>
    <pivotTable tabId="2" name="PivotTable4"/>
    <pivotTable tabId="2" name="PivotTable5"/>
    <pivotTable tabId="2" name="PivotTable6"/>
    <pivotTable tabId="2" name="PivotTable7"/>
  </pivotTables>
  <data>
    <olap pivotCacheId="1">
      <levels count="2">
        <level uniqueName="[LoanData].[income_group].[(All)]" sourceCaption="(All)" count="0"/>
        <level uniqueName="[LoanData].[income_group].[income_group]" sourceCaption="income_group" count="3">
          <ranges>
            <range startItem="0">
              <i n="[LoanData].[income_group].&amp;[High]" c="High"/>
              <i n="[LoanData].[income_group].&amp;[Low]" c="Low"/>
              <i n="[LoanData].[income_group].&amp;[Middle]" c="Middle"/>
            </range>
          </ranges>
        </level>
      </levels>
      <selections count="1">
        <selection n="[LoanData].[income_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lf_employed" sourceName="[LoanData].[self_employed]">
  <pivotTables>
    <pivotTable tabId="2" name="PivotTable2"/>
    <pivotTable tabId="2" name="PivotTable1"/>
    <pivotTable tabId="2" name="PivotTable3"/>
    <pivotTable tabId="2" name="PivotTable4"/>
    <pivotTable tabId="2" name="PivotTable5"/>
    <pivotTable tabId="2" name="PivotTable6"/>
    <pivotTable tabId="2" name="PivotTable7"/>
  </pivotTables>
  <data>
    <olap pivotCacheId="1">
      <levels count="2">
        <level uniqueName="[LoanData].[self_employed].[(All)]" sourceCaption="(All)" count="0"/>
        <level uniqueName="[LoanData].[self_employed].[self_employed]" sourceCaption="self_employed" count="2">
          <ranges>
            <range startItem="0">
              <i n="[LoanData].[self_employed].&amp;[No]" c="No"/>
              <i n="[LoanData].[self_employed].&amp;[Yes]" c="Yes"/>
            </range>
          </ranges>
        </level>
      </levels>
      <selections count="1">
        <selection n="[LoanData].[self_employe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education" sourceName="[LoanData].[education]">
  <pivotTables>
    <pivotTable tabId="2" name="PivotTable2"/>
    <pivotTable tabId="2" name="PivotTable1"/>
    <pivotTable tabId="2" name="PivotTable3"/>
    <pivotTable tabId="2" name="PivotTable4"/>
    <pivotTable tabId="2" name="PivotTable5"/>
    <pivotTable tabId="2" name="PivotTable6"/>
    <pivotTable tabId="2" name="PivotTable7"/>
  </pivotTables>
  <data>
    <olap pivotCacheId="1">
      <levels count="2">
        <level uniqueName="[LoanData].[education].[(All)]" sourceCaption="(All)" count="0"/>
        <level uniqueName="[LoanData].[education].[education]" sourceCaption="education" count="2">
          <ranges>
            <range startItem="0">
              <i n="[LoanData].[education].&amp;[Graduate]" c="Graduate"/>
              <i n="[LoanData].[education].&amp;[Not Graduate]" c="Not Graduate"/>
            </range>
          </ranges>
        </level>
      </levels>
      <selections count="1">
        <selection n="[LoanData].[educat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sset_strength" sourceName="[LoanData].[asset_strength]">
  <pivotTables>
    <pivotTable tabId="2" name="PivotTable2"/>
    <pivotTable tabId="2" name="PivotTable1"/>
    <pivotTable tabId="2" name="PivotTable3"/>
    <pivotTable tabId="2" name="PivotTable4"/>
    <pivotTable tabId="2" name="PivotTable5"/>
    <pivotTable tabId="2" name="PivotTable6"/>
    <pivotTable tabId="2" name="PivotTable7"/>
  </pivotTables>
  <data>
    <olap pivotCacheId="1">
      <levels count="2">
        <level uniqueName="[LoanData].[asset_strength].[(All)]" sourceCaption="(All)" count="0"/>
        <level uniqueName="[LoanData].[asset_strength].[asset_strength]" sourceCaption="asset_strength" count="3">
          <ranges>
            <range startItem="0">
              <i n="[LoanData].[asset_strength].&amp;[Moderate]" c="Moderate"/>
              <i n="[LoanData].[asset_strength].&amp;[Strong]" c="Strong"/>
              <i n="[LoanData].[asset_strength].&amp;[Weak]" c="Weak"/>
            </range>
          </ranges>
        </level>
      </levels>
      <selections count="1">
        <selection n="[LoanData].[asset_streng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bil_band" cache="Slicer_cibil_band" caption="cibil_band" level="1" style="SlicerStyleDark5" rowHeight="241300"/>
  <slicer name="income_group" cache="Slicer_income_group" caption="income_group" level="1" style="SlicerStyleDark5" rowHeight="241300"/>
  <slicer name="self_employed" cache="Slicer_self_employed" caption="self_employed" level="1" style="SlicerStyleDark5" rowHeight="241300"/>
  <slicer name="education" cache="Slicer_education" caption="education" level="1" style="SlicerStyleDark5" rowHeight="241300"/>
  <slicer name="asset_strength" cache="Slicer_asset_strength" caption="asset_strength" level="1" style="SlicerStyleDark5" rowHeight="241300"/>
</slicers>
</file>

<file path=xl/tables/table1.xml><?xml version="1.0" encoding="utf-8"?>
<table xmlns="http://schemas.openxmlformats.org/spreadsheetml/2006/main" id="2" name="LoanData" displayName="LoanData" ref="A1:S4270" totalsRowShown="0">
  <autoFilter ref="A1:S4270"/>
  <tableColumns count="19">
    <tableColumn id="1" name="loan_id"/>
    <tableColumn id="2" name="no_of_dependents"/>
    <tableColumn id="3" name="education"/>
    <tableColumn id="4" name="self_employed"/>
    <tableColumn id="5" name="income_annum"/>
    <tableColumn id="6" name="loan_amount"/>
    <tableColumn id="7" name="loan_term"/>
    <tableColumn id="8" name="cibil_score"/>
    <tableColumn id="9" name="residential_assets_value"/>
    <tableColumn id="10" name="commercial_assets_value"/>
    <tableColumn id="11" name="luxury_assets_value"/>
    <tableColumn id="12" name="bank_asset_value"/>
    <tableColumn id="13" name="loan_status"/>
    <tableColumn id="14" name="approval_flag">
      <calculatedColumnFormula>IF(TRIM(CLEAN(M2))="Approved",1,0)</calculatedColumnFormula>
    </tableColumn>
    <tableColumn id="15" name="cibil_band">
      <calculatedColumnFormula>IF(H2&lt;650,"Low",
 IF(H2&lt;700,"Medium",
 IF(H2&lt;750,"Good","Excellent")))</calculatedColumnFormula>
    </tableColumn>
    <tableColumn id="16" name="income_group">
      <calculatedColumnFormula>IF(E2&lt;300000,"Low",
 IF(E2&lt;700000,"Middle","High"))</calculatedColumnFormula>
    </tableColumn>
    <tableColumn id="17" name="loan_amount_group">
      <calculatedColumnFormula>IF(F2&lt;20000000,"Low Loan","High Loan")</calculatedColumnFormula>
    </tableColumn>
    <tableColumn id="18" name="total_assets">
      <calculatedColumnFormula>I2+J2+K2+L2</calculatedColumnFormula>
    </tableColumn>
    <tableColumn id="19" name="asset_strength">
      <calculatedColumnFormula>IF(R2&lt;5000000,"Weak",
 IF(R2&lt;10000000,"Moderate","Strong"))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270"/>
  <sheetViews>
    <sheetView zoomScaleNormal="100" workbookViewId="0">
      <selection activeCell="B3" sqref="B3"/>
    </sheetView>
  </sheetViews>
  <sheetFormatPr defaultRowHeight="15" x14ac:dyDescent="0.25"/>
  <cols>
    <col min="1" max="1" width="9.7109375" customWidth="1"/>
    <col min="2" max="2" width="20" customWidth="1"/>
    <col min="3" max="4" width="12" customWidth="1"/>
    <col min="5" max="5" width="16.42578125" customWidth="1"/>
    <col min="6" max="6" width="16.85546875" customWidth="1"/>
    <col min="7" max="7" width="14.85546875" customWidth="1"/>
    <col min="8" max="8" width="12.28515625" customWidth="1"/>
    <col min="9" max="9" width="12.5703125" customWidth="1"/>
    <col min="10" max="10" width="25" customWidth="1"/>
    <col min="11" max="11" width="25.7109375" customWidth="1"/>
    <col min="12" max="12" width="21" customWidth="1"/>
    <col min="13" max="13" width="18.85546875" customWidth="1"/>
    <col min="14" max="14" width="19" customWidth="1"/>
    <col min="15" max="15" width="12.28515625" customWidth="1"/>
    <col min="16" max="16" width="15.85546875" customWidth="1"/>
    <col min="17" max="17" width="21" customWidth="1"/>
    <col min="18" max="18" width="13.7109375" customWidth="1"/>
    <col min="19" max="19" width="16.140625" customWidth="1"/>
    <col min="21" max="21" width="10.1406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24</v>
      </c>
      <c r="O1" t="s">
        <v>13</v>
      </c>
      <c r="P1" t="s">
        <v>14</v>
      </c>
      <c r="Q1" t="s">
        <v>15</v>
      </c>
      <c r="R1" t="s">
        <v>16</v>
      </c>
      <c r="S1" t="s">
        <v>17</v>
      </c>
    </row>
    <row r="2" spans="1:24" x14ac:dyDescent="0.25">
      <c r="A2">
        <v>1</v>
      </c>
      <c r="B2">
        <v>2</v>
      </c>
      <c r="C2" t="s">
        <v>30</v>
      </c>
      <c r="D2" t="s">
        <v>32</v>
      </c>
      <c r="E2">
        <v>9600000</v>
      </c>
      <c r="F2">
        <v>29900000</v>
      </c>
      <c r="G2">
        <v>12</v>
      </c>
      <c r="H2">
        <v>778</v>
      </c>
      <c r="I2">
        <v>2400000</v>
      </c>
      <c r="J2">
        <v>17600000</v>
      </c>
      <c r="K2">
        <v>22700000</v>
      </c>
      <c r="L2">
        <v>8000000</v>
      </c>
      <c r="M2" t="s">
        <v>34</v>
      </c>
      <c r="N2">
        <f>IF(TRIM(CLEAN(M2))="Approved",1,0)</f>
        <v>1</v>
      </c>
      <c r="O2" t="str">
        <f t="shared" ref="O2:O65" si="0">IF(H2&lt;650,"Low",
 IF(H2&lt;700,"Medium",
 IF(H2&lt;750,"Good","Excellent")))</f>
        <v>Excellent</v>
      </c>
      <c r="P2" t="str">
        <f>IF(E2&lt;300000,"Low",
 IF(E2&lt;700000,"Middle","High"))</f>
        <v>High</v>
      </c>
      <c r="Q2" t="str">
        <f>IF(F2&lt;20000000,"Low Loan","High Loan")</f>
        <v>High Loan</v>
      </c>
      <c r="R2">
        <f>I2+J2+K2+L2</f>
        <v>50700000</v>
      </c>
      <c r="S2" t="str">
        <f>IF(R2&lt;5000000,"Weak",
 IF(R2&lt;10000000,"Moderate","Strong"))</f>
        <v>Strong</v>
      </c>
    </row>
    <row r="3" spans="1:24" x14ac:dyDescent="0.25">
      <c r="A3">
        <v>2</v>
      </c>
      <c r="B3">
        <v>0</v>
      </c>
      <c r="C3" t="s">
        <v>31</v>
      </c>
      <c r="D3" t="s">
        <v>33</v>
      </c>
      <c r="E3">
        <v>4100000</v>
      </c>
      <c r="F3">
        <v>12200000</v>
      </c>
      <c r="G3">
        <v>8</v>
      </c>
      <c r="H3">
        <v>417</v>
      </c>
      <c r="I3">
        <v>2700000</v>
      </c>
      <c r="J3">
        <v>2200000</v>
      </c>
      <c r="K3">
        <v>8800000</v>
      </c>
      <c r="L3">
        <v>3300000</v>
      </c>
      <c r="M3" t="s">
        <v>35</v>
      </c>
      <c r="N3">
        <f t="shared" ref="N3:N66" si="1">IF(TRIM(CLEAN(M3))="Approved",1,0)</f>
        <v>0</v>
      </c>
      <c r="O3" t="str">
        <f t="shared" si="0"/>
        <v>Low</v>
      </c>
      <c r="P3" t="str">
        <f t="shared" ref="P3:P66" si="2">IF(E3&lt;300000,"Low",
 IF(E3&lt;700000,"Middle","High"))</f>
        <v>High</v>
      </c>
      <c r="Q3" t="str">
        <f t="shared" ref="Q3:Q66" si="3">IF(F3&lt;20000000,"Low Loan","High Loan")</f>
        <v>Low Loan</v>
      </c>
      <c r="R3">
        <f t="shared" ref="R3:R66" si="4">I3+J3+K3+L3</f>
        <v>17000000</v>
      </c>
      <c r="S3" t="str">
        <f t="shared" ref="S3:S66" si="5">IF(R3&lt;5000000,"Weak",
 IF(R3&lt;10000000,"Moderate","Strong"))</f>
        <v>Strong</v>
      </c>
      <c r="U3" t="s">
        <v>29</v>
      </c>
    </row>
    <row r="4" spans="1:24" x14ac:dyDescent="0.25">
      <c r="A4">
        <v>3</v>
      </c>
      <c r="B4">
        <v>3</v>
      </c>
      <c r="C4" t="s">
        <v>30</v>
      </c>
      <c r="D4" t="s">
        <v>32</v>
      </c>
      <c r="E4">
        <v>9100000</v>
      </c>
      <c r="F4">
        <v>29700000</v>
      </c>
      <c r="G4">
        <v>20</v>
      </c>
      <c r="H4">
        <v>506</v>
      </c>
      <c r="I4">
        <v>7100000</v>
      </c>
      <c r="J4">
        <v>4500000</v>
      </c>
      <c r="K4">
        <v>33300000</v>
      </c>
      <c r="L4">
        <v>12800000</v>
      </c>
      <c r="M4" t="s">
        <v>35</v>
      </c>
      <c r="N4">
        <f t="shared" si="1"/>
        <v>0</v>
      </c>
      <c r="O4" t="str">
        <f t="shared" si="0"/>
        <v>Low</v>
      </c>
      <c r="P4" t="str">
        <f t="shared" si="2"/>
        <v>High</v>
      </c>
      <c r="Q4" t="str">
        <f t="shared" si="3"/>
        <v>High Loan</v>
      </c>
      <c r="R4">
        <f t="shared" si="4"/>
        <v>57700000</v>
      </c>
      <c r="S4" t="str">
        <f t="shared" si="5"/>
        <v>Strong</v>
      </c>
    </row>
    <row r="5" spans="1:24" x14ac:dyDescent="0.25">
      <c r="A5">
        <v>4</v>
      </c>
      <c r="B5">
        <v>3</v>
      </c>
      <c r="C5" t="s">
        <v>30</v>
      </c>
      <c r="D5" t="s">
        <v>32</v>
      </c>
      <c r="E5">
        <v>8200000</v>
      </c>
      <c r="F5">
        <v>30700000</v>
      </c>
      <c r="G5">
        <v>8</v>
      </c>
      <c r="H5">
        <v>467</v>
      </c>
      <c r="I5">
        <v>18200000</v>
      </c>
      <c r="J5">
        <v>3300000</v>
      </c>
      <c r="K5">
        <v>23300000</v>
      </c>
      <c r="L5">
        <v>7900000</v>
      </c>
      <c r="M5" t="s">
        <v>35</v>
      </c>
      <c r="N5">
        <f t="shared" si="1"/>
        <v>0</v>
      </c>
      <c r="O5" t="str">
        <f t="shared" si="0"/>
        <v>Low</v>
      </c>
      <c r="P5" t="str">
        <f t="shared" si="2"/>
        <v>High</v>
      </c>
      <c r="Q5" t="str">
        <f t="shared" si="3"/>
        <v>High Loan</v>
      </c>
      <c r="R5">
        <f t="shared" si="4"/>
        <v>52700000</v>
      </c>
      <c r="S5" t="str">
        <f t="shared" si="5"/>
        <v>Strong</v>
      </c>
      <c r="U5" t="s">
        <v>25</v>
      </c>
    </row>
    <row r="6" spans="1:24" x14ac:dyDescent="0.25">
      <c r="A6">
        <v>5</v>
      </c>
      <c r="B6">
        <v>5</v>
      </c>
      <c r="C6" t="s">
        <v>31</v>
      </c>
      <c r="D6" t="s">
        <v>33</v>
      </c>
      <c r="E6">
        <v>9800000</v>
      </c>
      <c r="F6">
        <v>24200000</v>
      </c>
      <c r="G6">
        <v>20</v>
      </c>
      <c r="H6">
        <v>382</v>
      </c>
      <c r="I6">
        <v>12400000</v>
      </c>
      <c r="J6">
        <v>8200000</v>
      </c>
      <c r="K6">
        <v>29400000</v>
      </c>
      <c r="L6">
        <v>5000000</v>
      </c>
      <c r="M6" t="s">
        <v>35</v>
      </c>
      <c r="N6">
        <f t="shared" si="1"/>
        <v>0</v>
      </c>
      <c r="O6" t="str">
        <f t="shared" si="0"/>
        <v>Low</v>
      </c>
      <c r="P6" t="str">
        <f t="shared" si="2"/>
        <v>High</v>
      </c>
      <c r="Q6" t="str">
        <f t="shared" si="3"/>
        <v>High Loan</v>
      </c>
      <c r="R6">
        <f t="shared" si="4"/>
        <v>55000000</v>
      </c>
      <c r="S6" t="str">
        <f t="shared" si="5"/>
        <v>Strong</v>
      </c>
      <c r="U6">
        <f>COUNTA(LoanData[loan_id])</f>
        <v>4269</v>
      </c>
      <c r="X6">
        <f>COUNTIF(LoanData[approval_flag],0)</f>
        <v>1613</v>
      </c>
    </row>
    <row r="7" spans="1:24" x14ac:dyDescent="0.25">
      <c r="A7">
        <v>6</v>
      </c>
      <c r="B7">
        <v>0</v>
      </c>
      <c r="C7" t="s">
        <v>30</v>
      </c>
      <c r="D7" t="s">
        <v>33</v>
      </c>
      <c r="E7">
        <v>4800000</v>
      </c>
      <c r="F7">
        <v>13500000</v>
      </c>
      <c r="G7">
        <v>10</v>
      </c>
      <c r="H7">
        <v>319</v>
      </c>
      <c r="I7">
        <v>6800000</v>
      </c>
      <c r="J7">
        <v>8300000</v>
      </c>
      <c r="K7">
        <v>13700000</v>
      </c>
      <c r="L7">
        <v>5100000</v>
      </c>
      <c r="M7" t="s">
        <v>35</v>
      </c>
      <c r="N7">
        <f t="shared" si="1"/>
        <v>0</v>
      </c>
      <c r="O7" t="str">
        <f t="shared" si="0"/>
        <v>Low</v>
      </c>
      <c r="P7" t="str">
        <f t="shared" si="2"/>
        <v>High</v>
      </c>
      <c r="Q7" t="str">
        <f t="shared" si="3"/>
        <v>Low Loan</v>
      </c>
      <c r="R7">
        <f t="shared" si="4"/>
        <v>33900000</v>
      </c>
      <c r="S7" t="str">
        <f t="shared" si="5"/>
        <v>Strong</v>
      </c>
      <c r="U7" t="s">
        <v>26</v>
      </c>
    </row>
    <row r="8" spans="1:24" x14ac:dyDescent="0.25">
      <c r="A8">
        <v>7</v>
      </c>
      <c r="B8">
        <v>5</v>
      </c>
      <c r="C8" t="s">
        <v>30</v>
      </c>
      <c r="D8" t="s">
        <v>32</v>
      </c>
      <c r="E8">
        <v>8700000</v>
      </c>
      <c r="F8">
        <v>33000000</v>
      </c>
      <c r="G8">
        <v>4</v>
      </c>
      <c r="H8">
        <v>678</v>
      </c>
      <c r="I8">
        <v>22500000</v>
      </c>
      <c r="J8">
        <v>14800000</v>
      </c>
      <c r="K8">
        <v>29200000</v>
      </c>
      <c r="L8">
        <v>4300000</v>
      </c>
      <c r="M8" t="s">
        <v>34</v>
      </c>
      <c r="N8">
        <f t="shared" si="1"/>
        <v>1</v>
      </c>
      <c r="O8" t="str">
        <f t="shared" si="0"/>
        <v>Medium</v>
      </c>
      <c r="P8" t="str">
        <f t="shared" si="2"/>
        <v>High</v>
      </c>
      <c r="Q8" t="str">
        <f t="shared" si="3"/>
        <v>High Loan</v>
      </c>
      <c r="R8">
        <f t="shared" si="4"/>
        <v>70800000</v>
      </c>
      <c r="S8" t="str">
        <f t="shared" si="5"/>
        <v>Strong</v>
      </c>
      <c r="U8">
        <f>SUM(LoanData[approval_flag])</f>
        <v>2656</v>
      </c>
    </row>
    <row r="9" spans="1:24" x14ac:dyDescent="0.25">
      <c r="A9">
        <v>8</v>
      </c>
      <c r="B9">
        <v>2</v>
      </c>
      <c r="C9" t="s">
        <v>30</v>
      </c>
      <c r="D9" t="s">
        <v>33</v>
      </c>
      <c r="E9">
        <v>5700000</v>
      </c>
      <c r="F9">
        <v>15000000</v>
      </c>
      <c r="G9">
        <v>20</v>
      </c>
      <c r="H9">
        <v>382</v>
      </c>
      <c r="I9">
        <v>13200000</v>
      </c>
      <c r="J9">
        <v>5700000</v>
      </c>
      <c r="K9">
        <v>11800000</v>
      </c>
      <c r="L9">
        <v>6000000</v>
      </c>
      <c r="M9" t="s">
        <v>35</v>
      </c>
      <c r="N9">
        <f t="shared" si="1"/>
        <v>0</v>
      </c>
      <c r="O9" t="str">
        <f t="shared" si="0"/>
        <v>Low</v>
      </c>
      <c r="P9" t="str">
        <f t="shared" si="2"/>
        <v>High</v>
      </c>
      <c r="Q9" t="str">
        <f t="shared" si="3"/>
        <v>Low Loan</v>
      </c>
      <c r="R9">
        <f t="shared" si="4"/>
        <v>36700000</v>
      </c>
      <c r="S9" t="str">
        <f t="shared" si="5"/>
        <v>Strong</v>
      </c>
      <c r="U9" t="s">
        <v>27</v>
      </c>
    </row>
    <row r="10" spans="1:24" x14ac:dyDescent="0.25">
      <c r="A10">
        <v>9</v>
      </c>
      <c r="B10">
        <v>0</v>
      </c>
      <c r="C10" t="s">
        <v>30</v>
      </c>
      <c r="D10" t="s">
        <v>33</v>
      </c>
      <c r="E10">
        <v>800000</v>
      </c>
      <c r="F10">
        <v>2200000</v>
      </c>
      <c r="G10">
        <v>20</v>
      </c>
      <c r="H10">
        <v>782</v>
      </c>
      <c r="I10">
        <v>1300000</v>
      </c>
      <c r="J10">
        <v>800000</v>
      </c>
      <c r="K10">
        <v>2800000</v>
      </c>
      <c r="L10">
        <v>600000</v>
      </c>
      <c r="M10" t="s">
        <v>34</v>
      </c>
      <c r="N10">
        <f t="shared" si="1"/>
        <v>1</v>
      </c>
      <c r="O10" t="str">
        <f t="shared" si="0"/>
        <v>Excellent</v>
      </c>
      <c r="P10" t="str">
        <f t="shared" si="2"/>
        <v>High</v>
      </c>
      <c r="Q10" t="str">
        <f t="shared" si="3"/>
        <v>Low Loan</v>
      </c>
      <c r="R10">
        <f t="shared" si="4"/>
        <v>5500000</v>
      </c>
      <c r="S10" t="str">
        <f t="shared" si="5"/>
        <v>Moderate</v>
      </c>
      <c r="U10" s="2">
        <f>AVERAGE(LoanData[approval_flag])</f>
        <v>0.62215975638322796</v>
      </c>
    </row>
    <row r="11" spans="1:24" x14ac:dyDescent="0.25">
      <c r="A11">
        <v>10</v>
      </c>
      <c r="B11">
        <v>5</v>
      </c>
      <c r="C11" t="s">
        <v>31</v>
      </c>
      <c r="D11" t="s">
        <v>32</v>
      </c>
      <c r="E11">
        <v>1100000</v>
      </c>
      <c r="F11">
        <v>4300000</v>
      </c>
      <c r="G11">
        <v>10</v>
      </c>
      <c r="H11">
        <v>388</v>
      </c>
      <c r="I11">
        <v>3200000</v>
      </c>
      <c r="J11">
        <v>1400000</v>
      </c>
      <c r="K11">
        <v>3300000</v>
      </c>
      <c r="L11">
        <v>1600000</v>
      </c>
      <c r="M11" t="s">
        <v>35</v>
      </c>
      <c r="N11">
        <f t="shared" si="1"/>
        <v>0</v>
      </c>
      <c r="O11" t="str">
        <f t="shared" si="0"/>
        <v>Low</v>
      </c>
      <c r="P11" t="str">
        <f t="shared" si="2"/>
        <v>High</v>
      </c>
      <c r="Q11" t="str">
        <f t="shared" si="3"/>
        <v>Low Loan</v>
      </c>
      <c r="R11">
        <f t="shared" si="4"/>
        <v>9500000</v>
      </c>
      <c r="S11" t="str">
        <f t="shared" si="5"/>
        <v>Moderate</v>
      </c>
      <c r="U11" t="s">
        <v>28</v>
      </c>
    </row>
    <row r="12" spans="1:24" x14ac:dyDescent="0.25">
      <c r="A12">
        <v>11</v>
      </c>
      <c r="B12">
        <v>4</v>
      </c>
      <c r="C12" t="s">
        <v>30</v>
      </c>
      <c r="D12" t="s">
        <v>33</v>
      </c>
      <c r="E12">
        <v>2900000</v>
      </c>
      <c r="F12">
        <v>11200000</v>
      </c>
      <c r="G12">
        <v>2</v>
      </c>
      <c r="H12">
        <v>547</v>
      </c>
      <c r="I12">
        <v>8100000</v>
      </c>
      <c r="J12">
        <v>4700000</v>
      </c>
      <c r="K12">
        <v>9500000</v>
      </c>
      <c r="L12">
        <v>3100000</v>
      </c>
      <c r="M12" t="s">
        <v>34</v>
      </c>
      <c r="N12">
        <f t="shared" si="1"/>
        <v>1</v>
      </c>
      <c r="O12" t="str">
        <f t="shared" si="0"/>
        <v>Low</v>
      </c>
      <c r="P12" t="str">
        <f t="shared" si="2"/>
        <v>High</v>
      </c>
      <c r="Q12" t="str">
        <f t="shared" si="3"/>
        <v>Low Loan</v>
      </c>
      <c r="R12">
        <f t="shared" si="4"/>
        <v>25400000</v>
      </c>
      <c r="S12" t="str">
        <f t="shared" si="5"/>
        <v>Strong</v>
      </c>
      <c r="U12" s="12">
        <f>AVERAGE(LoanData[loan_amount])</f>
        <v>15133450.456781447</v>
      </c>
    </row>
    <row r="13" spans="1:24" x14ac:dyDescent="0.25">
      <c r="A13">
        <v>12</v>
      </c>
      <c r="B13">
        <v>2</v>
      </c>
      <c r="C13" t="s">
        <v>31</v>
      </c>
      <c r="D13" t="s">
        <v>33</v>
      </c>
      <c r="E13">
        <v>6700000</v>
      </c>
      <c r="F13">
        <v>22700000</v>
      </c>
      <c r="G13">
        <v>18</v>
      </c>
      <c r="H13">
        <v>538</v>
      </c>
      <c r="I13">
        <v>15300000</v>
      </c>
      <c r="J13">
        <v>5800000</v>
      </c>
      <c r="K13">
        <v>20400000</v>
      </c>
      <c r="L13">
        <v>6400000</v>
      </c>
      <c r="M13" t="s">
        <v>35</v>
      </c>
      <c r="N13">
        <f t="shared" si="1"/>
        <v>0</v>
      </c>
      <c r="O13" t="str">
        <f t="shared" si="0"/>
        <v>Low</v>
      </c>
      <c r="P13" t="str">
        <f t="shared" si="2"/>
        <v>High</v>
      </c>
      <c r="Q13" t="str">
        <f t="shared" si="3"/>
        <v>High Loan</v>
      </c>
      <c r="R13">
        <f t="shared" si="4"/>
        <v>47900000</v>
      </c>
      <c r="S13" t="str">
        <f t="shared" si="5"/>
        <v>Strong</v>
      </c>
    </row>
    <row r="14" spans="1:24" x14ac:dyDescent="0.25">
      <c r="A14">
        <v>13</v>
      </c>
      <c r="B14">
        <v>3</v>
      </c>
      <c r="C14" t="s">
        <v>31</v>
      </c>
      <c r="D14" t="s">
        <v>33</v>
      </c>
      <c r="E14">
        <v>5000000</v>
      </c>
      <c r="F14">
        <v>11600000</v>
      </c>
      <c r="G14">
        <v>16</v>
      </c>
      <c r="H14">
        <v>311</v>
      </c>
      <c r="I14">
        <v>6400000</v>
      </c>
      <c r="J14">
        <v>9600000</v>
      </c>
      <c r="K14">
        <v>14600000</v>
      </c>
      <c r="L14">
        <v>4300000</v>
      </c>
      <c r="M14" t="s">
        <v>35</v>
      </c>
      <c r="N14">
        <f t="shared" si="1"/>
        <v>0</v>
      </c>
      <c r="O14" t="str">
        <f t="shared" si="0"/>
        <v>Low</v>
      </c>
      <c r="P14" t="str">
        <f t="shared" si="2"/>
        <v>High</v>
      </c>
      <c r="Q14" t="str">
        <f t="shared" si="3"/>
        <v>Low Loan</v>
      </c>
      <c r="R14">
        <f t="shared" si="4"/>
        <v>34900000</v>
      </c>
      <c r="S14" t="str">
        <f t="shared" si="5"/>
        <v>Strong</v>
      </c>
    </row>
    <row r="15" spans="1:24" x14ac:dyDescent="0.25">
      <c r="A15">
        <v>14</v>
      </c>
      <c r="B15">
        <v>2</v>
      </c>
      <c r="C15" t="s">
        <v>30</v>
      </c>
      <c r="D15" t="s">
        <v>33</v>
      </c>
      <c r="E15">
        <v>9100000</v>
      </c>
      <c r="F15">
        <v>31500000</v>
      </c>
      <c r="G15">
        <v>14</v>
      </c>
      <c r="H15">
        <v>679</v>
      </c>
      <c r="I15">
        <v>10800000</v>
      </c>
      <c r="J15">
        <v>16600000</v>
      </c>
      <c r="K15">
        <v>20900000</v>
      </c>
      <c r="L15">
        <v>5000000</v>
      </c>
      <c r="M15" t="s">
        <v>34</v>
      </c>
      <c r="N15">
        <f t="shared" si="1"/>
        <v>1</v>
      </c>
      <c r="O15" t="str">
        <f t="shared" si="0"/>
        <v>Medium</v>
      </c>
      <c r="P15" t="str">
        <f t="shared" si="2"/>
        <v>High</v>
      </c>
      <c r="Q15" t="str">
        <f t="shared" si="3"/>
        <v>High Loan</v>
      </c>
      <c r="R15">
        <f t="shared" si="4"/>
        <v>53300000</v>
      </c>
      <c r="S15" t="str">
        <f t="shared" si="5"/>
        <v>Strong</v>
      </c>
    </row>
    <row r="16" spans="1:24" x14ac:dyDescent="0.25">
      <c r="A16">
        <v>15</v>
      </c>
      <c r="B16">
        <v>1</v>
      </c>
      <c r="C16" t="s">
        <v>31</v>
      </c>
      <c r="D16" t="s">
        <v>32</v>
      </c>
      <c r="E16">
        <v>1900000</v>
      </c>
      <c r="F16">
        <v>7400000</v>
      </c>
      <c r="G16">
        <v>6</v>
      </c>
      <c r="H16">
        <v>469</v>
      </c>
      <c r="I16">
        <v>1900000</v>
      </c>
      <c r="J16">
        <v>1200000</v>
      </c>
      <c r="K16">
        <v>5900000</v>
      </c>
      <c r="L16">
        <v>1900000</v>
      </c>
      <c r="M16" t="s">
        <v>35</v>
      </c>
      <c r="N16">
        <f t="shared" si="1"/>
        <v>0</v>
      </c>
      <c r="O16" t="str">
        <f t="shared" si="0"/>
        <v>Low</v>
      </c>
      <c r="P16" t="str">
        <f t="shared" si="2"/>
        <v>High</v>
      </c>
      <c r="Q16" t="str">
        <f t="shared" si="3"/>
        <v>Low Loan</v>
      </c>
      <c r="R16">
        <f t="shared" si="4"/>
        <v>10900000</v>
      </c>
      <c r="S16" t="str">
        <f t="shared" si="5"/>
        <v>Strong</v>
      </c>
    </row>
    <row r="17" spans="1:19" x14ac:dyDescent="0.25">
      <c r="A17">
        <v>16</v>
      </c>
      <c r="B17">
        <v>5</v>
      </c>
      <c r="C17" t="s">
        <v>31</v>
      </c>
      <c r="D17" t="s">
        <v>32</v>
      </c>
      <c r="E17">
        <v>4700000</v>
      </c>
      <c r="F17">
        <v>10700000</v>
      </c>
      <c r="G17">
        <v>10</v>
      </c>
      <c r="H17">
        <v>794</v>
      </c>
      <c r="I17">
        <v>5700000</v>
      </c>
      <c r="J17">
        <v>3900000</v>
      </c>
      <c r="K17">
        <v>16400000</v>
      </c>
      <c r="L17">
        <v>4400000</v>
      </c>
      <c r="M17" t="s">
        <v>34</v>
      </c>
      <c r="N17">
        <f t="shared" si="1"/>
        <v>1</v>
      </c>
      <c r="O17" t="str">
        <f t="shared" si="0"/>
        <v>Excellent</v>
      </c>
      <c r="P17" t="str">
        <f t="shared" si="2"/>
        <v>High</v>
      </c>
      <c r="Q17" t="str">
        <f t="shared" si="3"/>
        <v>Low Loan</v>
      </c>
      <c r="R17">
        <f t="shared" si="4"/>
        <v>30400000</v>
      </c>
      <c r="S17" t="str">
        <f t="shared" si="5"/>
        <v>Strong</v>
      </c>
    </row>
    <row r="18" spans="1:19" x14ac:dyDescent="0.25">
      <c r="A18">
        <v>17</v>
      </c>
      <c r="B18">
        <v>2</v>
      </c>
      <c r="C18" t="s">
        <v>30</v>
      </c>
      <c r="D18" t="s">
        <v>33</v>
      </c>
      <c r="E18">
        <v>500000</v>
      </c>
      <c r="F18">
        <v>1600000</v>
      </c>
      <c r="G18">
        <v>4</v>
      </c>
      <c r="H18">
        <v>663</v>
      </c>
      <c r="I18">
        <v>1300000</v>
      </c>
      <c r="J18">
        <v>100000</v>
      </c>
      <c r="K18">
        <v>1300000</v>
      </c>
      <c r="L18">
        <v>700000</v>
      </c>
      <c r="M18" t="s">
        <v>34</v>
      </c>
      <c r="N18">
        <f t="shared" si="1"/>
        <v>1</v>
      </c>
      <c r="O18" t="str">
        <f t="shared" si="0"/>
        <v>Medium</v>
      </c>
      <c r="P18" t="str">
        <f t="shared" si="2"/>
        <v>Middle</v>
      </c>
      <c r="Q18" t="str">
        <f t="shared" si="3"/>
        <v>Low Loan</v>
      </c>
      <c r="R18">
        <f t="shared" si="4"/>
        <v>3400000</v>
      </c>
      <c r="S18" t="str">
        <f t="shared" si="5"/>
        <v>Weak</v>
      </c>
    </row>
    <row r="19" spans="1:19" x14ac:dyDescent="0.25">
      <c r="A19">
        <v>18</v>
      </c>
      <c r="B19">
        <v>4</v>
      </c>
      <c r="C19" t="s">
        <v>31</v>
      </c>
      <c r="D19" t="s">
        <v>33</v>
      </c>
      <c r="E19">
        <v>2900000</v>
      </c>
      <c r="F19">
        <v>9400000</v>
      </c>
      <c r="G19">
        <v>14</v>
      </c>
      <c r="H19">
        <v>780</v>
      </c>
      <c r="I19">
        <v>2900000</v>
      </c>
      <c r="J19">
        <v>2800000</v>
      </c>
      <c r="K19">
        <v>6700000</v>
      </c>
      <c r="L19">
        <v>4300000</v>
      </c>
      <c r="M19" t="s">
        <v>34</v>
      </c>
      <c r="N19">
        <f t="shared" si="1"/>
        <v>1</v>
      </c>
      <c r="O19" t="str">
        <f t="shared" si="0"/>
        <v>Excellent</v>
      </c>
      <c r="P19" t="str">
        <f t="shared" si="2"/>
        <v>High</v>
      </c>
      <c r="Q19" t="str">
        <f t="shared" si="3"/>
        <v>Low Loan</v>
      </c>
      <c r="R19">
        <f t="shared" si="4"/>
        <v>16700000</v>
      </c>
      <c r="S19" t="str">
        <f t="shared" si="5"/>
        <v>Strong</v>
      </c>
    </row>
    <row r="20" spans="1:19" x14ac:dyDescent="0.25">
      <c r="A20">
        <v>19</v>
      </c>
      <c r="B20">
        <v>2</v>
      </c>
      <c r="C20" t="s">
        <v>30</v>
      </c>
      <c r="D20" t="s">
        <v>32</v>
      </c>
      <c r="E20">
        <v>2700000</v>
      </c>
      <c r="F20">
        <v>10300000</v>
      </c>
      <c r="G20">
        <v>10</v>
      </c>
      <c r="H20">
        <v>736</v>
      </c>
      <c r="I20">
        <v>1000000</v>
      </c>
      <c r="J20">
        <v>0</v>
      </c>
      <c r="K20">
        <v>6200000</v>
      </c>
      <c r="L20">
        <v>3300000</v>
      </c>
      <c r="M20" t="s">
        <v>34</v>
      </c>
      <c r="N20">
        <f t="shared" si="1"/>
        <v>1</v>
      </c>
      <c r="O20" t="str">
        <f t="shared" si="0"/>
        <v>Good</v>
      </c>
      <c r="P20" t="str">
        <f t="shared" si="2"/>
        <v>High</v>
      </c>
      <c r="Q20" t="str">
        <f t="shared" si="3"/>
        <v>Low Loan</v>
      </c>
      <c r="R20">
        <f t="shared" si="4"/>
        <v>10500000</v>
      </c>
      <c r="S20" t="str">
        <f t="shared" si="5"/>
        <v>Strong</v>
      </c>
    </row>
    <row r="21" spans="1:19" x14ac:dyDescent="0.25">
      <c r="A21">
        <v>20</v>
      </c>
      <c r="B21">
        <v>5</v>
      </c>
      <c r="C21" t="s">
        <v>30</v>
      </c>
      <c r="D21" t="s">
        <v>32</v>
      </c>
      <c r="E21">
        <v>6300000</v>
      </c>
      <c r="F21">
        <v>14600000</v>
      </c>
      <c r="G21">
        <v>12</v>
      </c>
      <c r="H21">
        <v>652</v>
      </c>
      <c r="I21">
        <v>10300000</v>
      </c>
      <c r="J21">
        <v>3500000</v>
      </c>
      <c r="K21">
        <v>23500000</v>
      </c>
      <c r="L21">
        <v>5900000</v>
      </c>
      <c r="M21" t="s">
        <v>34</v>
      </c>
      <c r="N21">
        <f t="shared" si="1"/>
        <v>1</v>
      </c>
      <c r="O21" t="str">
        <f t="shared" si="0"/>
        <v>Medium</v>
      </c>
      <c r="P21" t="str">
        <f t="shared" si="2"/>
        <v>High</v>
      </c>
      <c r="Q21" t="str">
        <f t="shared" si="3"/>
        <v>Low Loan</v>
      </c>
      <c r="R21">
        <f t="shared" si="4"/>
        <v>43200000</v>
      </c>
      <c r="S21" t="str">
        <f t="shared" si="5"/>
        <v>Strong</v>
      </c>
    </row>
    <row r="22" spans="1:19" x14ac:dyDescent="0.25">
      <c r="A22">
        <v>21</v>
      </c>
      <c r="B22">
        <v>2</v>
      </c>
      <c r="C22" t="s">
        <v>30</v>
      </c>
      <c r="D22" t="s">
        <v>32</v>
      </c>
      <c r="E22">
        <v>5000000</v>
      </c>
      <c r="F22">
        <v>19400000</v>
      </c>
      <c r="G22">
        <v>12</v>
      </c>
      <c r="H22">
        <v>315</v>
      </c>
      <c r="I22">
        <v>9500000</v>
      </c>
      <c r="J22">
        <v>1600000</v>
      </c>
      <c r="K22">
        <v>18000000</v>
      </c>
      <c r="L22">
        <v>6100000</v>
      </c>
      <c r="M22" t="s">
        <v>35</v>
      </c>
      <c r="N22">
        <f t="shared" si="1"/>
        <v>0</v>
      </c>
      <c r="O22" t="str">
        <f t="shared" si="0"/>
        <v>Low</v>
      </c>
      <c r="P22" t="str">
        <f t="shared" si="2"/>
        <v>High</v>
      </c>
      <c r="Q22" t="str">
        <f t="shared" si="3"/>
        <v>Low Loan</v>
      </c>
      <c r="R22">
        <f t="shared" si="4"/>
        <v>35200000</v>
      </c>
      <c r="S22" t="str">
        <f t="shared" si="5"/>
        <v>Strong</v>
      </c>
    </row>
    <row r="23" spans="1:19" x14ac:dyDescent="0.25">
      <c r="A23">
        <v>22</v>
      </c>
      <c r="B23">
        <v>4</v>
      </c>
      <c r="C23" t="s">
        <v>30</v>
      </c>
      <c r="D23" t="s">
        <v>32</v>
      </c>
      <c r="E23">
        <v>5800000</v>
      </c>
      <c r="F23">
        <v>14000000</v>
      </c>
      <c r="G23">
        <v>16</v>
      </c>
      <c r="H23">
        <v>530</v>
      </c>
      <c r="I23">
        <v>3800000</v>
      </c>
      <c r="J23">
        <v>11300000</v>
      </c>
      <c r="K23">
        <v>22200000</v>
      </c>
      <c r="L23">
        <v>5400000</v>
      </c>
      <c r="M23" t="s">
        <v>35</v>
      </c>
      <c r="N23">
        <f t="shared" si="1"/>
        <v>0</v>
      </c>
      <c r="O23" t="str">
        <f t="shared" si="0"/>
        <v>Low</v>
      </c>
      <c r="P23" t="str">
        <f t="shared" si="2"/>
        <v>High</v>
      </c>
      <c r="Q23" t="str">
        <f t="shared" si="3"/>
        <v>Low Loan</v>
      </c>
      <c r="R23">
        <f t="shared" si="4"/>
        <v>42700000</v>
      </c>
      <c r="S23" t="str">
        <f t="shared" si="5"/>
        <v>Strong</v>
      </c>
    </row>
    <row r="24" spans="1:19" x14ac:dyDescent="0.25">
      <c r="A24">
        <v>23</v>
      </c>
      <c r="B24">
        <v>4</v>
      </c>
      <c r="C24" t="s">
        <v>30</v>
      </c>
      <c r="D24" t="s">
        <v>33</v>
      </c>
      <c r="E24">
        <v>6500000</v>
      </c>
      <c r="F24">
        <v>25700000</v>
      </c>
      <c r="G24">
        <v>18</v>
      </c>
      <c r="H24">
        <v>311</v>
      </c>
      <c r="I24">
        <v>13100000</v>
      </c>
      <c r="J24">
        <v>1700000</v>
      </c>
      <c r="K24">
        <v>19500000</v>
      </c>
      <c r="L24">
        <v>8500000</v>
      </c>
      <c r="M24" t="s">
        <v>35</v>
      </c>
      <c r="N24">
        <f t="shared" si="1"/>
        <v>0</v>
      </c>
      <c r="O24" t="str">
        <f t="shared" si="0"/>
        <v>Low</v>
      </c>
      <c r="P24" t="str">
        <f t="shared" si="2"/>
        <v>High</v>
      </c>
      <c r="Q24" t="str">
        <f t="shared" si="3"/>
        <v>High Loan</v>
      </c>
      <c r="R24">
        <f t="shared" si="4"/>
        <v>42800000</v>
      </c>
      <c r="S24" t="str">
        <f t="shared" si="5"/>
        <v>Strong</v>
      </c>
    </row>
    <row r="25" spans="1:19" x14ac:dyDescent="0.25">
      <c r="A25">
        <v>24</v>
      </c>
      <c r="B25">
        <v>0</v>
      </c>
      <c r="C25" t="s">
        <v>31</v>
      </c>
      <c r="D25" t="s">
        <v>33</v>
      </c>
      <c r="E25">
        <v>500000</v>
      </c>
      <c r="F25">
        <v>1400000</v>
      </c>
      <c r="G25">
        <v>2</v>
      </c>
      <c r="H25">
        <v>551</v>
      </c>
      <c r="I25">
        <v>900000</v>
      </c>
      <c r="J25">
        <v>600000</v>
      </c>
      <c r="K25">
        <v>1100000</v>
      </c>
      <c r="L25">
        <v>300000</v>
      </c>
      <c r="M25" t="s">
        <v>34</v>
      </c>
      <c r="N25">
        <f t="shared" si="1"/>
        <v>1</v>
      </c>
      <c r="O25" t="str">
        <f t="shared" si="0"/>
        <v>Low</v>
      </c>
      <c r="P25" t="str">
        <f t="shared" si="2"/>
        <v>Middle</v>
      </c>
      <c r="Q25" t="str">
        <f t="shared" si="3"/>
        <v>Low Loan</v>
      </c>
      <c r="R25">
        <f t="shared" si="4"/>
        <v>2900000</v>
      </c>
      <c r="S25" t="str">
        <f t="shared" si="5"/>
        <v>Weak</v>
      </c>
    </row>
    <row r="26" spans="1:19" x14ac:dyDescent="0.25">
      <c r="A26">
        <v>25</v>
      </c>
      <c r="B26">
        <v>0</v>
      </c>
      <c r="C26" t="s">
        <v>31</v>
      </c>
      <c r="D26" t="s">
        <v>32</v>
      </c>
      <c r="E26">
        <v>4900000</v>
      </c>
      <c r="F26">
        <v>9800000</v>
      </c>
      <c r="G26">
        <v>16</v>
      </c>
      <c r="H26">
        <v>324</v>
      </c>
      <c r="I26">
        <v>3800000</v>
      </c>
      <c r="J26">
        <v>8700000</v>
      </c>
      <c r="K26">
        <v>10000000</v>
      </c>
      <c r="L26">
        <v>3300000</v>
      </c>
      <c r="M26" t="s">
        <v>35</v>
      </c>
      <c r="N26">
        <f t="shared" si="1"/>
        <v>0</v>
      </c>
      <c r="O26" t="str">
        <f t="shared" si="0"/>
        <v>Low</v>
      </c>
      <c r="P26" t="str">
        <f t="shared" si="2"/>
        <v>High</v>
      </c>
      <c r="Q26" t="str">
        <f t="shared" si="3"/>
        <v>Low Loan</v>
      </c>
      <c r="R26">
        <f t="shared" si="4"/>
        <v>25800000</v>
      </c>
      <c r="S26" t="str">
        <f t="shared" si="5"/>
        <v>Strong</v>
      </c>
    </row>
    <row r="27" spans="1:19" x14ac:dyDescent="0.25">
      <c r="A27">
        <v>26</v>
      </c>
      <c r="B27">
        <v>5</v>
      </c>
      <c r="C27" t="s">
        <v>31</v>
      </c>
      <c r="D27" t="s">
        <v>32</v>
      </c>
      <c r="E27">
        <v>3100000</v>
      </c>
      <c r="F27">
        <v>9500000</v>
      </c>
      <c r="G27">
        <v>20</v>
      </c>
      <c r="H27">
        <v>514</v>
      </c>
      <c r="I27">
        <v>7900000</v>
      </c>
      <c r="J27">
        <v>3100000</v>
      </c>
      <c r="K27">
        <v>6600000</v>
      </c>
      <c r="L27">
        <v>2600000</v>
      </c>
      <c r="M27" t="s">
        <v>35</v>
      </c>
      <c r="N27">
        <f t="shared" si="1"/>
        <v>0</v>
      </c>
      <c r="O27" t="str">
        <f t="shared" si="0"/>
        <v>Low</v>
      </c>
      <c r="P27" t="str">
        <f t="shared" si="2"/>
        <v>High</v>
      </c>
      <c r="Q27" t="str">
        <f t="shared" si="3"/>
        <v>Low Loan</v>
      </c>
      <c r="R27">
        <f t="shared" si="4"/>
        <v>20200000</v>
      </c>
      <c r="S27" t="str">
        <f t="shared" si="5"/>
        <v>Strong</v>
      </c>
    </row>
    <row r="28" spans="1:19" x14ac:dyDescent="0.25">
      <c r="A28">
        <v>27</v>
      </c>
      <c r="B28">
        <v>4</v>
      </c>
      <c r="C28" t="s">
        <v>30</v>
      </c>
      <c r="D28" t="s">
        <v>32</v>
      </c>
      <c r="E28">
        <v>8200000</v>
      </c>
      <c r="F28">
        <v>28100000</v>
      </c>
      <c r="G28">
        <v>12</v>
      </c>
      <c r="H28">
        <v>696</v>
      </c>
      <c r="I28">
        <v>11500000</v>
      </c>
      <c r="J28">
        <v>10600000</v>
      </c>
      <c r="K28">
        <v>25300000</v>
      </c>
      <c r="L28">
        <v>7200000</v>
      </c>
      <c r="M28" t="s">
        <v>34</v>
      </c>
      <c r="N28">
        <f t="shared" si="1"/>
        <v>1</v>
      </c>
      <c r="O28" t="str">
        <f t="shared" si="0"/>
        <v>Medium</v>
      </c>
      <c r="P28" t="str">
        <f t="shared" si="2"/>
        <v>High</v>
      </c>
      <c r="Q28" t="str">
        <f t="shared" si="3"/>
        <v>High Loan</v>
      </c>
      <c r="R28">
        <f t="shared" si="4"/>
        <v>54600000</v>
      </c>
      <c r="S28" t="str">
        <f t="shared" si="5"/>
        <v>Strong</v>
      </c>
    </row>
    <row r="29" spans="1:19" x14ac:dyDescent="0.25">
      <c r="A29">
        <v>28</v>
      </c>
      <c r="B29">
        <v>4</v>
      </c>
      <c r="C29" t="s">
        <v>31</v>
      </c>
      <c r="D29" t="s">
        <v>33</v>
      </c>
      <c r="E29">
        <v>2400000</v>
      </c>
      <c r="F29">
        <v>5600000</v>
      </c>
      <c r="G29">
        <v>4</v>
      </c>
      <c r="H29">
        <v>662</v>
      </c>
      <c r="I29">
        <v>4500000</v>
      </c>
      <c r="J29">
        <v>4200000</v>
      </c>
      <c r="K29">
        <v>5400000</v>
      </c>
      <c r="L29">
        <v>2500000</v>
      </c>
      <c r="M29" t="s">
        <v>34</v>
      </c>
      <c r="N29">
        <f t="shared" si="1"/>
        <v>1</v>
      </c>
      <c r="O29" t="str">
        <f t="shared" si="0"/>
        <v>Medium</v>
      </c>
      <c r="P29" t="str">
        <f t="shared" si="2"/>
        <v>High</v>
      </c>
      <c r="Q29" t="str">
        <f t="shared" si="3"/>
        <v>Low Loan</v>
      </c>
      <c r="R29">
        <f t="shared" si="4"/>
        <v>16600000</v>
      </c>
      <c r="S29" t="str">
        <f t="shared" si="5"/>
        <v>Strong</v>
      </c>
    </row>
    <row r="30" spans="1:19" x14ac:dyDescent="0.25">
      <c r="A30">
        <v>29</v>
      </c>
      <c r="B30">
        <v>5</v>
      </c>
      <c r="C30" t="s">
        <v>31</v>
      </c>
      <c r="D30" t="s">
        <v>33</v>
      </c>
      <c r="E30">
        <v>7000000</v>
      </c>
      <c r="F30">
        <v>24000000</v>
      </c>
      <c r="G30">
        <v>6</v>
      </c>
      <c r="H30">
        <v>336</v>
      </c>
      <c r="I30">
        <v>2300000</v>
      </c>
      <c r="J30">
        <v>11900000</v>
      </c>
      <c r="K30">
        <v>27500000</v>
      </c>
      <c r="L30">
        <v>9700000</v>
      </c>
      <c r="M30" t="s">
        <v>35</v>
      </c>
      <c r="N30">
        <f t="shared" si="1"/>
        <v>0</v>
      </c>
      <c r="O30" t="str">
        <f t="shared" si="0"/>
        <v>Low</v>
      </c>
      <c r="P30" t="str">
        <f t="shared" si="2"/>
        <v>High</v>
      </c>
      <c r="Q30" t="str">
        <f t="shared" si="3"/>
        <v>High Loan</v>
      </c>
      <c r="R30">
        <f t="shared" si="4"/>
        <v>51400000</v>
      </c>
      <c r="S30" t="str">
        <f t="shared" si="5"/>
        <v>Strong</v>
      </c>
    </row>
    <row r="31" spans="1:19" x14ac:dyDescent="0.25">
      <c r="A31">
        <v>30</v>
      </c>
      <c r="B31">
        <v>3</v>
      </c>
      <c r="C31" t="s">
        <v>31</v>
      </c>
      <c r="D31" t="s">
        <v>33</v>
      </c>
      <c r="E31">
        <v>9000000</v>
      </c>
      <c r="F31">
        <v>31500000</v>
      </c>
      <c r="G31">
        <v>10</v>
      </c>
      <c r="H31">
        <v>850</v>
      </c>
      <c r="I31">
        <v>21800000</v>
      </c>
      <c r="J31">
        <v>12400000</v>
      </c>
      <c r="K31">
        <v>33700000</v>
      </c>
      <c r="L31">
        <v>8000000</v>
      </c>
      <c r="M31" t="s">
        <v>34</v>
      </c>
      <c r="N31">
        <f t="shared" si="1"/>
        <v>1</v>
      </c>
      <c r="O31" t="str">
        <f t="shared" si="0"/>
        <v>Excellent</v>
      </c>
      <c r="P31" t="str">
        <f t="shared" si="2"/>
        <v>High</v>
      </c>
      <c r="Q31" t="str">
        <f t="shared" si="3"/>
        <v>High Loan</v>
      </c>
      <c r="R31">
        <f t="shared" si="4"/>
        <v>75900000</v>
      </c>
      <c r="S31" t="str">
        <f t="shared" si="5"/>
        <v>Strong</v>
      </c>
    </row>
    <row r="32" spans="1:19" x14ac:dyDescent="0.25">
      <c r="A32">
        <v>31</v>
      </c>
      <c r="B32">
        <v>2</v>
      </c>
      <c r="C32" t="s">
        <v>31</v>
      </c>
      <c r="D32" t="s">
        <v>32</v>
      </c>
      <c r="E32">
        <v>9800000</v>
      </c>
      <c r="F32">
        <v>25300000</v>
      </c>
      <c r="G32">
        <v>12</v>
      </c>
      <c r="H32">
        <v>313</v>
      </c>
      <c r="I32">
        <v>20200000</v>
      </c>
      <c r="J32">
        <v>5200000</v>
      </c>
      <c r="K32">
        <v>25500000</v>
      </c>
      <c r="L32">
        <v>9300000</v>
      </c>
      <c r="M32" t="s">
        <v>35</v>
      </c>
      <c r="N32">
        <f t="shared" si="1"/>
        <v>0</v>
      </c>
      <c r="O32" t="str">
        <f t="shared" si="0"/>
        <v>Low</v>
      </c>
      <c r="P32" t="str">
        <f t="shared" si="2"/>
        <v>High</v>
      </c>
      <c r="Q32" t="str">
        <f t="shared" si="3"/>
        <v>High Loan</v>
      </c>
      <c r="R32">
        <f t="shared" si="4"/>
        <v>60200000</v>
      </c>
      <c r="S32" t="str">
        <f t="shared" si="5"/>
        <v>Strong</v>
      </c>
    </row>
    <row r="33" spans="1:19" x14ac:dyDescent="0.25">
      <c r="A33">
        <v>32</v>
      </c>
      <c r="B33">
        <v>2</v>
      </c>
      <c r="C33" t="s">
        <v>30</v>
      </c>
      <c r="D33" t="s">
        <v>32</v>
      </c>
      <c r="E33">
        <v>5700000</v>
      </c>
      <c r="F33">
        <v>12000000</v>
      </c>
      <c r="G33">
        <v>6</v>
      </c>
      <c r="H33">
        <v>363</v>
      </c>
      <c r="I33">
        <v>3600000</v>
      </c>
      <c r="J33">
        <v>7400000</v>
      </c>
      <c r="K33">
        <v>21700000</v>
      </c>
      <c r="L33">
        <v>4300000</v>
      </c>
      <c r="M33" t="s">
        <v>35</v>
      </c>
      <c r="N33">
        <f t="shared" si="1"/>
        <v>0</v>
      </c>
      <c r="O33" t="str">
        <f t="shared" si="0"/>
        <v>Low</v>
      </c>
      <c r="P33" t="str">
        <f t="shared" si="2"/>
        <v>High</v>
      </c>
      <c r="Q33" t="str">
        <f t="shared" si="3"/>
        <v>Low Loan</v>
      </c>
      <c r="R33">
        <f t="shared" si="4"/>
        <v>37000000</v>
      </c>
      <c r="S33" t="str">
        <f t="shared" si="5"/>
        <v>Strong</v>
      </c>
    </row>
    <row r="34" spans="1:19" x14ac:dyDescent="0.25">
      <c r="A34">
        <v>33</v>
      </c>
      <c r="B34">
        <v>1</v>
      </c>
      <c r="C34" t="s">
        <v>31</v>
      </c>
      <c r="D34" t="s">
        <v>33</v>
      </c>
      <c r="E34">
        <v>800000</v>
      </c>
      <c r="F34">
        <v>1600000</v>
      </c>
      <c r="G34">
        <v>10</v>
      </c>
      <c r="H34">
        <v>436</v>
      </c>
      <c r="I34">
        <v>700000</v>
      </c>
      <c r="J34">
        <v>200000</v>
      </c>
      <c r="K34">
        <v>2200000</v>
      </c>
      <c r="L34">
        <v>1000000</v>
      </c>
      <c r="M34" t="s">
        <v>35</v>
      </c>
      <c r="N34">
        <f t="shared" si="1"/>
        <v>0</v>
      </c>
      <c r="O34" t="str">
        <f t="shared" si="0"/>
        <v>Low</v>
      </c>
      <c r="P34" t="str">
        <f t="shared" si="2"/>
        <v>High</v>
      </c>
      <c r="Q34" t="str">
        <f t="shared" si="3"/>
        <v>Low Loan</v>
      </c>
      <c r="R34">
        <f t="shared" si="4"/>
        <v>4100000</v>
      </c>
      <c r="S34" t="str">
        <f t="shared" si="5"/>
        <v>Weak</v>
      </c>
    </row>
    <row r="35" spans="1:19" x14ac:dyDescent="0.25">
      <c r="A35">
        <v>34</v>
      </c>
      <c r="B35">
        <v>5</v>
      </c>
      <c r="C35" t="s">
        <v>31</v>
      </c>
      <c r="D35" t="s">
        <v>33</v>
      </c>
      <c r="E35">
        <v>8400000</v>
      </c>
      <c r="F35">
        <v>22000000</v>
      </c>
      <c r="G35">
        <v>2</v>
      </c>
      <c r="H35">
        <v>830</v>
      </c>
      <c r="I35">
        <v>3800000</v>
      </c>
      <c r="J35">
        <v>3900000</v>
      </c>
      <c r="K35">
        <v>19900000</v>
      </c>
      <c r="L35">
        <v>5400000</v>
      </c>
      <c r="M35" t="s">
        <v>34</v>
      </c>
      <c r="N35">
        <f t="shared" si="1"/>
        <v>1</v>
      </c>
      <c r="O35" t="str">
        <f t="shared" si="0"/>
        <v>Excellent</v>
      </c>
      <c r="P35" t="str">
        <f t="shared" si="2"/>
        <v>High</v>
      </c>
      <c r="Q35" t="str">
        <f t="shared" si="3"/>
        <v>High Loan</v>
      </c>
      <c r="R35">
        <f t="shared" si="4"/>
        <v>33000000</v>
      </c>
      <c r="S35" t="str">
        <f t="shared" si="5"/>
        <v>Strong</v>
      </c>
    </row>
    <row r="36" spans="1:19" x14ac:dyDescent="0.25">
      <c r="A36">
        <v>35</v>
      </c>
      <c r="B36">
        <v>3</v>
      </c>
      <c r="C36" t="s">
        <v>30</v>
      </c>
      <c r="D36" t="s">
        <v>32</v>
      </c>
      <c r="E36">
        <v>4900000</v>
      </c>
      <c r="F36">
        <v>11900000</v>
      </c>
      <c r="G36">
        <v>8</v>
      </c>
      <c r="H36">
        <v>612</v>
      </c>
      <c r="I36">
        <v>9700000</v>
      </c>
      <c r="J36">
        <v>1200000</v>
      </c>
      <c r="K36">
        <v>19000000</v>
      </c>
      <c r="L36">
        <v>5800000</v>
      </c>
      <c r="M36" t="s">
        <v>34</v>
      </c>
      <c r="N36">
        <f t="shared" si="1"/>
        <v>1</v>
      </c>
      <c r="O36" t="str">
        <f t="shared" si="0"/>
        <v>Low</v>
      </c>
      <c r="P36" t="str">
        <f t="shared" si="2"/>
        <v>High</v>
      </c>
      <c r="Q36" t="str">
        <f t="shared" si="3"/>
        <v>Low Loan</v>
      </c>
      <c r="R36">
        <f t="shared" si="4"/>
        <v>35700000</v>
      </c>
      <c r="S36" t="str">
        <f t="shared" si="5"/>
        <v>Strong</v>
      </c>
    </row>
    <row r="37" spans="1:19" x14ac:dyDescent="0.25">
      <c r="A37">
        <v>36</v>
      </c>
      <c r="B37">
        <v>2</v>
      </c>
      <c r="C37" t="s">
        <v>30</v>
      </c>
      <c r="D37" t="s">
        <v>33</v>
      </c>
      <c r="E37">
        <v>1700000</v>
      </c>
      <c r="F37">
        <v>3400000</v>
      </c>
      <c r="G37">
        <v>8</v>
      </c>
      <c r="H37">
        <v>691</v>
      </c>
      <c r="I37">
        <v>2700000</v>
      </c>
      <c r="J37">
        <v>2800000</v>
      </c>
      <c r="K37">
        <v>6000000</v>
      </c>
      <c r="L37">
        <v>900000</v>
      </c>
      <c r="M37" t="s">
        <v>34</v>
      </c>
      <c r="N37">
        <f t="shared" si="1"/>
        <v>1</v>
      </c>
      <c r="O37" t="str">
        <f t="shared" si="0"/>
        <v>Medium</v>
      </c>
      <c r="P37" t="str">
        <f t="shared" si="2"/>
        <v>High</v>
      </c>
      <c r="Q37" t="str">
        <f t="shared" si="3"/>
        <v>Low Loan</v>
      </c>
      <c r="R37">
        <f t="shared" si="4"/>
        <v>12400000</v>
      </c>
      <c r="S37" t="str">
        <f t="shared" si="5"/>
        <v>Strong</v>
      </c>
    </row>
    <row r="38" spans="1:19" x14ac:dyDescent="0.25">
      <c r="A38">
        <v>37</v>
      </c>
      <c r="B38">
        <v>3</v>
      </c>
      <c r="C38" t="s">
        <v>31</v>
      </c>
      <c r="D38" t="s">
        <v>32</v>
      </c>
      <c r="E38">
        <v>1600000</v>
      </c>
      <c r="F38">
        <v>6200000</v>
      </c>
      <c r="G38">
        <v>18</v>
      </c>
      <c r="H38">
        <v>636</v>
      </c>
      <c r="I38">
        <v>3400000</v>
      </c>
      <c r="J38">
        <v>700000</v>
      </c>
      <c r="K38">
        <v>5300000</v>
      </c>
      <c r="L38">
        <v>1400000</v>
      </c>
      <c r="M38" t="s">
        <v>34</v>
      </c>
      <c r="N38">
        <f t="shared" si="1"/>
        <v>1</v>
      </c>
      <c r="O38" t="str">
        <f t="shared" si="0"/>
        <v>Low</v>
      </c>
      <c r="P38" t="str">
        <f t="shared" si="2"/>
        <v>High</v>
      </c>
      <c r="Q38" t="str">
        <f t="shared" si="3"/>
        <v>Low Loan</v>
      </c>
      <c r="R38">
        <f t="shared" si="4"/>
        <v>10800000</v>
      </c>
      <c r="S38" t="str">
        <f t="shared" si="5"/>
        <v>Strong</v>
      </c>
    </row>
    <row r="39" spans="1:19" x14ac:dyDescent="0.25">
      <c r="A39">
        <v>38</v>
      </c>
      <c r="B39">
        <v>5</v>
      </c>
      <c r="C39" t="s">
        <v>30</v>
      </c>
      <c r="D39" t="s">
        <v>33</v>
      </c>
      <c r="E39">
        <v>8000000</v>
      </c>
      <c r="F39">
        <v>27200000</v>
      </c>
      <c r="G39">
        <v>6</v>
      </c>
      <c r="H39">
        <v>348</v>
      </c>
      <c r="I39">
        <v>6400000</v>
      </c>
      <c r="J39">
        <v>300000</v>
      </c>
      <c r="K39">
        <v>16700000</v>
      </c>
      <c r="L39">
        <v>7100000</v>
      </c>
      <c r="M39" t="s">
        <v>35</v>
      </c>
      <c r="N39">
        <f t="shared" si="1"/>
        <v>0</v>
      </c>
      <c r="O39" t="str">
        <f t="shared" si="0"/>
        <v>Low</v>
      </c>
      <c r="P39" t="str">
        <f t="shared" si="2"/>
        <v>High</v>
      </c>
      <c r="Q39" t="str">
        <f t="shared" si="3"/>
        <v>High Loan</v>
      </c>
      <c r="R39">
        <f t="shared" si="4"/>
        <v>30500000</v>
      </c>
      <c r="S39" t="str">
        <f t="shared" si="5"/>
        <v>Strong</v>
      </c>
    </row>
    <row r="40" spans="1:19" x14ac:dyDescent="0.25">
      <c r="A40">
        <v>39</v>
      </c>
      <c r="B40">
        <v>5</v>
      </c>
      <c r="C40" t="s">
        <v>30</v>
      </c>
      <c r="D40" t="s">
        <v>32</v>
      </c>
      <c r="E40">
        <v>3600000</v>
      </c>
      <c r="F40">
        <v>7700000</v>
      </c>
      <c r="G40">
        <v>16</v>
      </c>
      <c r="H40">
        <v>830</v>
      </c>
      <c r="I40">
        <v>7000000</v>
      </c>
      <c r="J40">
        <v>1300000</v>
      </c>
      <c r="K40">
        <v>10000000</v>
      </c>
      <c r="L40">
        <v>2900000</v>
      </c>
      <c r="M40" t="s">
        <v>34</v>
      </c>
      <c r="N40">
        <f t="shared" si="1"/>
        <v>1</v>
      </c>
      <c r="O40" t="str">
        <f t="shared" si="0"/>
        <v>Excellent</v>
      </c>
      <c r="P40" t="str">
        <f t="shared" si="2"/>
        <v>High</v>
      </c>
      <c r="Q40" t="str">
        <f t="shared" si="3"/>
        <v>Low Loan</v>
      </c>
      <c r="R40">
        <f t="shared" si="4"/>
        <v>21200000</v>
      </c>
      <c r="S40" t="str">
        <f t="shared" si="5"/>
        <v>Strong</v>
      </c>
    </row>
    <row r="41" spans="1:19" x14ac:dyDescent="0.25">
      <c r="A41">
        <v>40</v>
      </c>
      <c r="B41">
        <v>3</v>
      </c>
      <c r="C41" t="s">
        <v>31</v>
      </c>
      <c r="D41" t="s">
        <v>33</v>
      </c>
      <c r="E41">
        <v>1500000</v>
      </c>
      <c r="F41">
        <v>5100000</v>
      </c>
      <c r="G41">
        <v>6</v>
      </c>
      <c r="H41">
        <v>352</v>
      </c>
      <c r="I41">
        <v>100000</v>
      </c>
      <c r="J41">
        <v>200000</v>
      </c>
      <c r="K41">
        <v>5600000</v>
      </c>
      <c r="L41">
        <v>900000</v>
      </c>
      <c r="M41" t="s">
        <v>35</v>
      </c>
      <c r="N41">
        <f t="shared" si="1"/>
        <v>0</v>
      </c>
      <c r="O41" t="str">
        <f t="shared" si="0"/>
        <v>Low</v>
      </c>
      <c r="P41" t="str">
        <f t="shared" si="2"/>
        <v>High</v>
      </c>
      <c r="Q41" t="str">
        <f t="shared" si="3"/>
        <v>Low Loan</v>
      </c>
      <c r="R41">
        <f t="shared" si="4"/>
        <v>6800000</v>
      </c>
      <c r="S41" t="str">
        <f t="shared" si="5"/>
        <v>Moderate</v>
      </c>
    </row>
    <row r="42" spans="1:19" x14ac:dyDescent="0.25">
      <c r="A42">
        <v>41</v>
      </c>
      <c r="B42">
        <v>1</v>
      </c>
      <c r="C42" t="s">
        <v>30</v>
      </c>
      <c r="D42" t="s">
        <v>32</v>
      </c>
      <c r="E42">
        <v>7800000</v>
      </c>
      <c r="F42">
        <v>18100000</v>
      </c>
      <c r="G42">
        <v>2</v>
      </c>
      <c r="H42">
        <v>712</v>
      </c>
      <c r="I42">
        <v>8600000</v>
      </c>
      <c r="J42">
        <v>11200000</v>
      </c>
      <c r="K42">
        <v>21700000</v>
      </c>
      <c r="L42">
        <v>9000000</v>
      </c>
      <c r="M42" t="s">
        <v>34</v>
      </c>
      <c r="N42">
        <f t="shared" si="1"/>
        <v>1</v>
      </c>
      <c r="O42" t="str">
        <f t="shared" si="0"/>
        <v>Good</v>
      </c>
      <c r="P42" t="str">
        <f t="shared" si="2"/>
        <v>High</v>
      </c>
      <c r="Q42" t="str">
        <f t="shared" si="3"/>
        <v>Low Loan</v>
      </c>
      <c r="R42">
        <f t="shared" si="4"/>
        <v>50500000</v>
      </c>
      <c r="S42" t="str">
        <f t="shared" si="5"/>
        <v>Strong</v>
      </c>
    </row>
    <row r="43" spans="1:19" x14ac:dyDescent="0.25">
      <c r="A43">
        <v>42</v>
      </c>
      <c r="B43">
        <v>2</v>
      </c>
      <c r="C43" t="s">
        <v>31</v>
      </c>
      <c r="D43" t="s">
        <v>32</v>
      </c>
      <c r="E43">
        <v>9100000</v>
      </c>
      <c r="F43">
        <v>24900000</v>
      </c>
      <c r="G43">
        <v>16</v>
      </c>
      <c r="H43">
        <v>822</v>
      </c>
      <c r="I43">
        <v>22300000</v>
      </c>
      <c r="J43">
        <v>12100000</v>
      </c>
      <c r="K43">
        <v>31000000</v>
      </c>
      <c r="L43">
        <v>5200000</v>
      </c>
      <c r="M43" t="s">
        <v>34</v>
      </c>
      <c r="N43">
        <f t="shared" si="1"/>
        <v>1</v>
      </c>
      <c r="O43" t="str">
        <f t="shared" si="0"/>
        <v>Excellent</v>
      </c>
      <c r="P43" t="str">
        <f t="shared" si="2"/>
        <v>High</v>
      </c>
      <c r="Q43" t="str">
        <f t="shared" si="3"/>
        <v>High Loan</v>
      </c>
      <c r="R43">
        <f t="shared" si="4"/>
        <v>70600000</v>
      </c>
      <c r="S43" t="str">
        <f t="shared" si="5"/>
        <v>Strong</v>
      </c>
    </row>
    <row r="44" spans="1:19" x14ac:dyDescent="0.25">
      <c r="A44">
        <v>43</v>
      </c>
      <c r="B44">
        <v>3</v>
      </c>
      <c r="C44" t="s">
        <v>30</v>
      </c>
      <c r="D44" t="s">
        <v>32</v>
      </c>
      <c r="E44">
        <v>1400000</v>
      </c>
      <c r="F44">
        <v>3400000</v>
      </c>
      <c r="G44">
        <v>6</v>
      </c>
      <c r="H44">
        <v>540</v>
      </c>
      <c r="I44">
        <v>200000</v>
      </c>
      <c r="J44">
        <v>1500000</v>
      </c>
      <c r="K44">
        <v>3900000</v>
      </c>
      <c r="L44">
        <v>800000</v>
      </c>
      <c r="M44" t="s">
        <v>35</v>
      </c>
      <c r="N44">
        <f t="shared" si="1"/>
        <v>0</v>
      </c>
      <c r="O44" t="str">
        <f t="shared" si="0"/>
        <v>Low</v>
      </c>
      <c r="P44" t="str">
        <f t="shared" si="2"/>
        <v>High</v>
      </c>
      <c r="Q44" t="str">
        <f t="shared" si="3"/>
        <v>Low Loan</v>
      </c>
      <c r="R44">
        <f t="shared" si="4"/>
        <v>6400000</v>
      </c>
      <c r="S44" t="str">
        <f t="shared" si="5"/>
        <v>Moderate</v>
      </c>
    </row>
    <row r="45" spans="1:19" x14ac:dyDescent="0.25">
      <c r="A45">
        <v>44</v>
      </c>
      <c r="B45">
        <v>2</v>
      </c>
      <c r="C45" t="s">
        <v>30</v>
      </c>
      <c r="D45" t="s">
        <v>33</v>
      </c>
      <c r="E45">
        <v>800000</v>
      </c>
      <c r="F45">
        <v>2300000</v>
      </c>
      <c r="G45">
        <v>12</v>
      </c>
      <c r="H45">
        <v>342</v>
      </c>
      <c r="I45">
        <v>2200000</v>
      </c>
      <c r="J45">
        <v>1300000</v>
      </c>
      <c r="K45">
        <v>1800000</v>
      </c>
      <c r="L45">
        <v>800000</v>
      </c>
      <c r="M45" t="s">
        <v>35</v>
      </c>
      <c r="N45">
        <f t="shared" si="1"/>
        <v>0</v>
      </c>
      <c r="O45" t="str">
        <f t="shared" si="0"/>
        <v>Low</v>
      </c>
      <c r="P45" t="str">
        <f t="shared" si="2"/>
        <v>High</v>
      </c>
      <c r="Q45" t="str">
        <f t="shared" si="3"/>
        <v>Low Loan</v>
      </c>
      <c r="R45">
        <f t="shared" si="4"/>
        <v>6100000</v>
      </c>
      <c r="S45" t="str">
        <f t="shared" si="5"/>
        <v>Moderate</v>
      </c>
    </row>
    <row r="46" spans="1:19" x14ac:dyDescent="0.25">
      <c r="A46">
        <v>45</v>
      </c>
      <c r="B46">
        <v>5</v>
      </c>
      <c r="C46" t="s">
        <v>30</v>
      </c>
      <c r="D46" t="s">
        <v>32</v>
      </c>
      <c r="E46">
        <v>6500000</v>
      </c>
      <c r="F46">
        <v>13400000</v>
      </c>
      <c r="G46">
        <v>18</v>
      </c>
      <c r="H46">
        <v>787</v>
      </c>
      <c r="I46">
        <v>18200000</v>
      </c>
      <c r="J46">
        <v>300000</v>
      </c>
      <c r="K46">
        <v>16200000</v>
      </c>
      <c r="L46">
        <v>5400000</v>
      </c>
      <c r="M46" t="s">
        <v>34</v>
      </c>
      <c r="N46">
        <f t="shared" si="1"/>
        <v>1</v>
      </c>
      <c r="O46" t="str">
        <f t="shared" si="0"/>
        <v>Excellent</v>
      </c>
      <c r="P46" t="str">
        <f t="shared" si="2"/>
        <v>High</v>
      </c>
      <c r="Q46" t="str">
        <f t="shared" si="3"/>
        <v>Low Loan</v>
      </c>
      <c r="R46">
        <f t="shared" si="4"/>
        <v>40100000</v>
      </c>
      <c r="S46" t="str">
        <f t="shared" si="5"/>
        <v>Strong</v>
      </c>
    </row>
    <row r="47" spans="1:19" x14ac:dyDescent="0.25">
      <c r="A47">
        <v>46</v>
      </c>
      <c r="B47">
        <v>4</v>
      </c>
      <c r="C47" t="s">
        <v>30</v>
      </c>
      <c r="D47" t="s">
        <v>32</v>
      </c>
      <c r="E47">
        <v>8000000</v>
      </c>
      <c r="F47">
        <v>27800000</v>
      </c>
      <c r="G47">
        <v>16</v>
      </c>
      <c r="H47">
        <v>331</v>
      </c>
      <c r="I47">
        <v>13000000</v>
      </c>
      <c r="J47">
        <v>6300000</v>
      </c>
      <c r="K47">
        <v>21400000</v>
      </c>
      <c r="L47">
        <v>10900000</v>
      </c>
      <c r="M47" t="s">
        <v>35</v>
      </c>
      <c r="N47">
        <f t="shared" si="1"/>
        <v>0</v>
      </c>
      <c r="O47" t="str">
        <f t="shared" si="0"/>
        <v>Low</v>
      </c>
      <c r="P47" t="str">
        <f t="shared" si="2"/>
        <v>High</v>
      </c>
      <c r="Q47" t="str">
        <f t="shared" si="3"/>
        <v>High Loan</v>
      </c>
      <c r="R47">
        <f t="shared" si="4"/>
        <v>51600000</v>
      </c>
      <c r="S47" t="str">
        <f t="shared" si="5"/>
        <v>Strong</v>
      </c>
    </row>
    <row r="48" spans="1:19" x14ac:dyDescent="0.25">
      <c r="A48">
        <v>47</v>
      </c>
      <c r="B48">
        <v>3</v>
      </c>
      <c r="C48" t="s">
        <v>31</v>
      </c>
      <c r="D48" t="s">
        <v>33</v>
      </c>
      <c r="E48">
        <v>4200000</v>
      </c>
      <c r="F48">
        <v>14600000</v>
      </c>
      <c r="G48">
        <v>6</v>
      </c>
      <c r="H48">
        <v>679</v>
      </c>
      <c r="I48">
        <v>2400000</v>
      </c>
      <c r="J48">
        <v>6900000</v>
      </c>
      <c r="K48">
        <v>8700000</v>
      </c>
      <c r="L48">
        <v>4900000</v>
      </c>
      <c r="M48" t="s">
        <v>34</v>
      </c>
      <c r="N48">
        <f t="shared" si="1"/>
        <v>1</v>
      </c>
      <c r="O48" t="str">
        <f t="shared" si="0"/>
        <v>Medium</v>
      </c>
      <c r="P48" t="str">
        <f t="shared" si="2"/>
        <v>High</v>
      </c>
      <c r="Q48" t="str">
        <f t="shared" si="3"/>
        <v>Low Loan</v>
      </c>
      <c r="R48">
        <f t="shared" si="4"/>
        <v>22900000</v>
      </c>
      <c r="S48" t="str">
        <f t="shared" si="5"/>
        <v>Strong</v>
      </c>
    </row>
    <row r="49" spans="1:19" x14ac:dyDescent="0.25">
      <c r="A49">
        <v>48</v>
      </c>
      <c r="B49">
        <v>1</v>
      </c>
      <c r="C49" t="s">
        <v>30</v>
      </c>
      <c r="D49" t="s">
        <v>33</v>
      </c>
      <c r="E49">
        <v>4900000</v>
      </c>
      <c r="F49">
        <v>19100000</v>
      </c>
      <c r="G49">
        <v>14</v>
      </c>
      <c r="H49">
        <v>677</v>
      </c>
      <c r="I49">
        <v>5400000</v>
      </c>
      <c r="J49">
        <v>9100000</v>
      </c>
      <c r="K49">
        <v>17700000</v>
      </c>
      <c r="L49">
        <v>6500000</v>
      </c>
      <c r="M49" t="s">
        <v>34</v>
      </c>
      <c r="N49">
        <f t="shared" si="1"/>
        <v>1</v>
      </c>
      <c r="O49" t="str">
        <f t="shared" si="0"/>
        <v>Medium</v>
      </c>
      <c r="P49" t="str">
        <f t="shared" si="2"/>
        <v>High</v>
      </c>
      <c r="Q49" t="str">
        <f t="shared" si="3"/>
        <v>Low Loan</v>
      </c>
      <c r="R49">
        <f t="shared" si="4"/>
        <v>38700000</v>
      </c>
      <c r="S49" t="str">
        <f t="shared" si="5"/>
        <v>Strong</v>
      </c>
    </row>
    <row r="50" spans="1:19" x14ac:dyDescent="0.25">
      <c r="A50">
        <v>49</v>
      </c>
      <c r="B50">
        <v>3</v>
      </c>
      <c r="C50" t="s">
        <v>31</v>
      </c>
      <c r="D50" t="s">
        <v>32</v>
      </c>
      <c r="E50">
        <v>5500000</v>
      </c>
      <c r="F50">
        <v>20500000</v>
      </c>
      <c r="G50">
        <v>12</v>
      </c>
      <c r="H50">
        <v>634</v>
      </c>
      <c r="I50">
        <v>800000</v>
      </c>
      <c r="J50">
        <v>8600000</v>
      </c>
      <c r="K50">
        <v>18500000</v>
      </c>
      <c r="L50">
        <v>8200000</v>
      </c>
      <c r="M50" t="s">
        <v>34</v>
      </c>
      <c r="N50">
        <f t="shared" si="1"/>
        <v>1</v>
      </c>
      <c r="O50" t="str">
        <f t="shared" si="0"/>
        <v>Low</v>
      </c>
      <c r="P50" t="str">
        <f t="shared" si="2"/>
        <v>High</v>
      </c>
      <c r="Q50" t="str">
        <f t="shared" si="3"/>
        <v>High Loan</v>
      </c>
      <c r="R50">
        <f t="shared" si="4"/>
        <v>36100000</v>
      </c>
      <c r="S50" t="str">
        <f t="shared" si="5"/>
        <v>Strong</v>
      </c>
    </row>
    <row r="51" spans="1:19" x14ac:dyDescent="0.25">
      <c r="A51">
        <v>50</v>
      </c>
      <c r="B51">
        <v>1</v>
      </c>
      <c r="C51" t="s">
        <v>31</v>
      </c>
      <c r="D51" t="s">
        <v>33</v>
      </c>
      <c r="E51">
        <v>9500000</v>
      </c>
      <c r="F51">
        <v>19100000</v>
      </c>
      <c r="G51">
        <v>16</v>
      </c>
      <c r="H51">
        <v>662</v>
      </c>
      <c r="I51">
        <v>100000</v>
      </c>
      <c r="J51">
        <v>10500000</v>
      </c>
      <c r="K51">
        <v>37700000</v>
      </c>
      <c r="L51">
        <v>11700000</v>
      </c>
      <c r="M51" t="s">
        <v>34</v>
      </c>
      <c r="N51">
        <f t="shared" si="1"/>
        <v>1</v>
      </c>
      <c r="O51" t="str">
        <f t="shared" si="0"/>
        <v>Medium</v>
      </c>
      <c r="P51" t="str">
        <f t="shared" si="2"/>
        <v>High</v>
      </c>
      <c r="Q51" t="str">
        <f t="shared" si="3"/>
        <v>Low Loan</v>
      </c>
      <c r="R51">
        <f t="shared" si="4"/>
        <v>60000000</v>
      </c>
      <c r="S51" t="str">
        <f t="shared" si="5"/>
        <v>Strong</v>
      </c>
    </row>
    <row r="52" spans="1:19" x14ac:dyDescent="0.25">
      <c r="A52">
        <v>51</v>
      </c>
      <c r="B52">
        <v>4</v>
      </c>
      <c r="C52" t="s">
        <v>30</v>
      </c>
      <c r="D52" t="s">
        <v>32</v>
      </c>
      <c r="E52">
        <v>7300000</v>
      </c>
      <c r="F52">
        <v>25400000</v>
      </c>
      <c r="G52">
        <v>16</v>
      </c>
      <c r="H52">
        <v>502</v>
      </c>
      <c r="I52">
        <v>500000</v>
      </c>
      <c r="J52">
        <v>1800000</v>
      </c>
      <c r="K52">
        <v>20500000</v>
      </c>
      <c r="L52">
        <v>10500000</v>
      </c>
      <c r="M52" t="s">
        <v>35</v>
      </c>
      <c r="N52">
        <f t="shared" si="1"/>
        <v>0</v>
      </c>
      <c r="O52" t="str">
        <f t="shared" si="0"/>
        <v>Low</v>
      </c>
      <c r="P52" t="str">
        <f t="shared" si="2"/>
        <v>High</v>
      </c>
      <c r="Q52" t="str">
        <f t="shared" si="3"/>
        <v>High Loan</v>
      </c>
      <c r="R52">
        <f t="shared" si="4"/>
        <v>33300000</v>
      </c>
      <c r="S52" t="str">
        <f t="shared" si="5"/>
        <v>Strong</v>
      </c>
    </row>
    <row r="53" spans="1:19" x14ac:dyDescent="0.25">
      <c r="A53">
        <v>52</v>
      </c>
      <c r="B53">
        <v>2</v>
      </c>
      <c r="C53" t="s">
        <v>30</v>
      </c>
      <c r="D53" t="s">
        <v>32</v>
      </c>
      <c r="E53">
        <v>8700000</v>
      </c>
      <c r="F53">
        <v>24700000</v>
      </c>
      <c r="G53">
        <v>10</v>
      </c>
      <c r="H53">
        <v>435</v>
      </c>
      <c r="I53">
        <v>6800000</v>
      </c>
      <c r="J53">
        <v>3500000</v>
      </c>
      <c r="K53">
        <v>21800000</v>
      </c>
      <c r="L53">
        <v>11300000</v>
      </c>
      <c r="M53" t="s">
        <v>35</v>
      </c>
      <c r="N53">
        <f t="shared" si="1"/>
        <v>0</v>
      </c>
      <c r="O53" t="str">
        <f t="shared" si="0"/>
        <v>Low</v>
      </c>
      <c r="P53" t="str">
        <f t="shared" si="2"/>
        <v>High</v>
      </c>
      <c r="Q53" t="str">
        <f t="shared" si="3"/>
        <v>High Loan</v>
      </c>
      <c r="R53">
        <f t="shared" si="4"/>
        <v>43400000</v>
      </c>
      <c r="S53" t="str">
        <f t="shared" si="5"/>
        <v>Strong</v>
      </c>
    </row>
    <row r="54" spans="1:19" x14ac:dyDescent="0.25">
      <c r="A54">
        <v>53</v>
      </c>
      <c r="B54">
        <v>5</v>
      </c>
      <c r="C54" t="s">
        <v>31</v>
      </c>
      <c r="D54" t="s">
        <v>32</v>
      </c>
      <c r="E54">
        <v>3800000</v>
      </c>
      <c r="F54">
        <v>7600000</v>
      </c>
      <c r="G54">
        <v>4</v>
      </c>
      <c r="H54">
        <v>689</v>
      </c>
      <c r="I54">
        <v>8700000</v>
      </c>
      <c r="J54">
        <v>100000</v>
      </c>
      <c r="K54">
        <v>9300000</v>
      </c>
      <c r="L54">
        <v>3400000</v>
      </c>
      <c r="M54" t="s">
        <v>34</v>
      </c>
      <c r="N54">
        <f t="shared" si="1"/>
        <v>1</v>
      </c>
      <c r="O54" t="str">
        <f t="shared" si="0"/>
        <v>Medium</v>
      </c>
      <c r="P54" t="str">
        <f t="shared" si="2"/>
        <v>High</v>
      </c>
      <c r="Q54" t="str">
        <f t="shared" si="3"/>
        <v>Low Loan</v>
      </c>
      <c r="R54">
        <f t="shared" si="4"/>
        <v>21500000</v>
      </c>
      <c r="S54" t="str">
        <f t="shared" si="5"/>
        <v>Strong</v>
      </c>
    </row>
    <row r="55" spans="1:19" x14ac:dyDescent="0.25">
      <c r="A55">
        <v>54</v>
      </c>
      <c r="B55">
        <v>1</v>
      </c>
      <c r="C55" t="s">
        <v>31</v>
      </c>
      <c r="D55" t="s">
        <v>33</v>
      </c>
      <c r="E55">
        <v>8400000</v>
      </c>
      <c r="F55">
        <v>23000000</v>
      </c>
      <c r="G55">
        <v>12</v>
      </c>
      <c r="H55">
        <v>657</v>
      </c>
      <c r="I55">
        <v>15400000</v>
      </c>
      <c r="J55">
        <v>14800000</v>
      </c>
      <c r="K55">
        <v>31900000</v>
      </c>
      <c r="L55">
        <v>8200000</v>
      </c>
      <c r="M55" t="s">
        <v>34</v>
      </c>
      <c r="N55">
        <f t="shared" si="1"/>
        <v>1</v>
      </c>
      <c r="O55" t="str">
        <f t="shared" si="0"/>
        <v>Medium</v>
      </c>
      <c r="P55" t="str">
        <f t="shared" si="2"/>
        <v>High</v>
      </c>
      <c r="Q55" t="str">
        <f t="shared" si="3"/>
        <v>High Loan</v>
      </c>
      <c r="R55">
        <f t="shared" si="4"/>
        <v>70300000</v>
      </c>
      <c r="S55" t="str">
        <f t="shared" si="5"/>
        <v>Strong</v>
      </c>
    </row>
    <row r="56" spans="1:19" x14ac:dyDescent="0.25">
      <c r="A56">
        <v>55</v>
      </c>
      <c r="B56">
        <v>2</v>
      </c>
      <c r="C56" t="s">
        <v>30</v>
      </c>
      <c r="D56" t="s">
        <v>33</v>
      </c>
      <c r="E56">
        <v>5100000</v>
      </c>
      <c r="F56">
        <v>19700000</v>
      </c>
      <c r="G56">
        <v>20</v>
      </c>
      <c r="H56">
        <v>590</v>
      </c>
      <c r="I56">
        <v>7400000</v>
      </c>
      <c r="J56">
        <v>9300000</v>
      </c>
      <c r="K56">
        <v>19400000</v>
      </c>
      <c r="L56">
        <v>3400000</v>
      </c>
      <c r="M56" t="s">
        <v>34</v>
      </c>
      <c r="N56">
        <f t="shared" si="1"/>
        <v>1</v>
      </c>
      <c r="O56" t="str">
        <f t="shared" si="0"/>
        <v>Low</v>
      </c>
      <c r="P56" t="str">
        <f t="shared" si="2"/>
        <v>High</v>
      </c>
      <c r="Q56" t="str">
        <f t="shared" si="3"/>
        <v>Low Loan</v>
      </c>
      <c r="R56">
        <f t="shared" si="4"/>
        <v>39500000</v>
      </c>
      <c r="S56" t="str">
        <f t="shared" si="5"/>
        <v>Strong</v>
      </c>
    </row>
    <row r="57" spans="1:19" x14ac:dyDescent="0.25">
      <c r="A57">
        <v>56</v>
      </c>
      <c r="B57">
        <v>5</v>
      </c>
      <c r="C57" t="s">
        <v>31</v>
      </c>
      <c r="D57" t="s">
        <v>32</v>
      </c>
      <c r="E57">
        <v>6700000</v>
      </c>
      <c r="F57">
        <v>24500000</v>
      </c>
      <c r="G57">
        <v>12</v>
      </c>
      <c r="H57">
        <v>818</v>
      </c>
      <c r="I57">
        <v>1200000</v>
      </c>
      <c r="J57">
        <v>5600000</v>
      </c>
      <c r="K57">
        <v>16300000</v>
      </c>
      <c r="L57">
        <v>6200000</v>
      </c>
      <c r="M57" t="s">
        <v>34</v>
      </c>
      <c r="N57">
        <f t="shared" si="1"/>
        <v>1</v>
      </c>
      <c r="O57" t="str">
        <f t="shared" si="0"/>
        <v>Excellent</v>
      </c>
      <c r="P57" t="str">
        <f t="shared" si="2"/>
        <v>High</v>
      </c>
      <c r="Q57" t="str">
        <f t="shared" si="3"/>
        <v>High Loan</v>
      </c>
      <c r="R57">
        <f t="shared" si="4"/>
        <v>29300000</v>
      </c>
      <c r="S57" t="str">
        <f t="shared" si="5"/>
        <v>Strong</v>
      </c>
    </row>
    <row r="58" spans="1:19" x14ac:dyDescent="0.25">
      <c r="A58">
        <v>57</v>
      </c>
      <c r="B58">
        <v>2</v>
      </c>
      <c r="C58" t="s">
        <v>31</v>
      </c>
      <c r="D58" t="s">
        <v>32</v>
      </c>
      <c r="E58">
        <v>4300000</v>
      </c>
      <c r="F58">
        <v>10600000</v>
      </c>
      <c r="G58">
        <v>18</v>
      </c>
      <c r="H58">
        <v>431</v>
      </c>
      <c r="I58">
        <v>2100000</v>
      </c>
      <c r="J58">
        <v>1500000</v>
      </c>
      <c r="K58">
        <v>9300000</v>
      </c>
      <c r="L58">
        <v>5200000</v>
      </c>
      <c r="M58" t="s">
        <v>35</v>
      </c>
      <c r="N58">
        <f t="shared" si="1"/>
        <v>0</v>
      </c>
      <c r="O58" t="str">
        <f t="shared" si="0"/>
        <v>Low</v>
      </c>
      <c r="P58" t="str">
        <f t="shared" si="2"/>
        <v>High</v>
      </c>
      <c r="Q58" t="str">
        <f t="shared" si="3"/>
        <v>Low Loan</v>
      </c>
      <c r="R58">
        <f t="shared" si="4"/>
        <v>18100000</v>
      </c>
      <c r="S58" t="str">
        <f t="shared" si="5"/>
        <v>Strong</v>
      </c>
    </row>
    <row r="59" spans="1:19" x14ac:dyDescent="0.25">
      <c r="A59">
        <v>58</v>
      </c>
      <c r="B59">
        <v>5</v>
      </c>
      <c r="C59" t="s">
        <v>30</v>
      </c>
      <c r="D59" t="s">
        <v>33</v>
      </c>
      <c r="E59">
        <v>9300000</v>
      </c>
      <c r="F59">
        <v>30500000</v>
      </c>
      <c r="G59">
        <v>18</v>
      </c>
      <c r="H59">
        <v>841</v>
      </c>
      <c r="I59">
        <v>19300000</v>
      </c>
      <c r="J59">
        <v>10300000</v>
      </c>
      <c r="K59">
        <v>34600000</v>
      </c>
      <c r="L59">
        <v>8700000</v>
      </c>
      <c r="M59" t="s">
        <v>34</v>
      </c>
      <c r="N59">
        <f t="shared" si="1"/>
        <v>1</v>
      </c>
      <c r="O59" t="str">
        <f t="shared" si="0"/>
        <v>Excellent</v>
      </c>
      <c r="P59" t="str">
        <f t="shared" si="2"/>
        <v>High</v>
      </c>
      <c r="Q59" t="str">
        <f t="shared" si="3"/>
        <v>High Loan</v>
      </c>
      <c r="R59">
        <f t="shared" si="4"/>
        <v>72900000</v>
      </c>
      <c r="S59" t="str">
        <f t="shared" si="5"/>
        <v>Strong</v>
      </c>
    </row>
    <row r="60" spans="1:19" x14ac:dyDescent="0.25">
      <c r="A60">
        <v>59</v>
      </c>
      <c r="B60">
        <v>1</v>
      </c>
      <c r="C60" t="s">
        <v>30</v>
      </c>
      <c r="D60" t="s">
        <v>32</v>
      </c>
      <c r="E60">
        <v>7400000</v>
      </c>
      <c r="F60">
        <v>18400000</v>
      </c>
      <c r="G60">
        <v>20</v>
      </c>
      <c r="H60">
        <v>421</v>
      </c>
      <c r="I60">
        <v>18500000</v>
      </c>
      <c r="J60">
        <v>9100000</v>
      </c>
      <c r="K60">
        <v>17500000</v>
      </c>
      <c r="L60">
        <v>4100000</v>
      </c>
      <c r="M60" t="s">
        <v>35</v>
      </c>
      <c r="N60">
        <f t="shared" si="1"/>
        <v>0</v>
      </c>
      <c r="O60" t="str">
        <f t="shared" si="0"/>
        <v>Low</v>
      </c>
      <c r="P60" t="str">
        <f t="shared" si="2"/>
        <v>High</v>
      </c>
      <c r="Q60" t="str">
        <f t="shared" si="3"/>
        <v>Low Loan</v>
      </c>
      <c r="R60">
        <f t="shared" si="4"/>
        <v>49200000</v>
      </c>
      <c r="S60" t="str">
        <f t="shared" si="5"/>
        <v>Strong</v>
      </c>
    </row>
    <row r="61" spans="1:19" x14ac:dyDescent="0.25">
      <c r="A61">
        <v>60</v>
      </c>
      <c r="B61">
        <v>4</v>
      </c>
      <c r="C61" t="s">
        <v>31</v>
      </c>
      <c r="D61" t="s">
        <v>33</v>
      </c>
      <c r="E61">
        <v>5500000</v>
      </c>
      <c r="F61">
        <v>18200000</v>
      </c>
      <c r="G61">
        <v>16</v>
      </c>
      <c r="H61">
        <v>797</v>
      </c>
      <c r="I61">
        <v>-100000</v>
      </c>
      <c r="J61">
        <v>4900000</v>
      </c>
      <c r="K61">
        <v>18600000</v>
      </c>
      <c r="L61">
        <v>4800000</v>
      </c>
      <c r="M61" t="s">
        <v>34</v>
      </c>
      <c r="N61">
        <f t="shared" si="1"/>
        <v>1</v>
      </c>
      <c r="O61" t="str">
        <f t="shared" si="0"/>
        <v>Excellent</v>
      </c>
      <c r="P61" t="str">
        <f t="shared" si="2"/>
        <v>High</v>
      </c>
      <c r="Q61" t="str">
        <f t="shared" si="3"/>
        <v>Low Loan</v>
      </c>
      <c r="R61">
        <f t="shared" si="4"/>
        <v>28200000</v>
      </c>
      <c r="S61" t="str">
        <f t="shared" si="5"/>
        <v>Strong</v>
      </c>
    </row>
    <row r="62" spans="1:19" x14ac:dyDescent="0.25">
      <c r="A62">
        <v>61</v>
      </c>
      <c r="B62">
        <v>2</v>
      </c>
      <c r="C62" t="s">
        <v>31</v>
      </c>
      <c r="D62" t="s">
        <v>32</v>
      </c>
      <c r="E62">
        <v>8500000</v>
      </c>
      <c r="F62">
        <v>18900000</v>
      </c>
      <c r="G62">
        <v>18</v>
      </c>
      <c r="H62">
        <v>478</v>
      </c>
      <c r="I62">
        <v>23800000</v>
      </c>
      <c r="J62">
        <v>16300000</v>
      </c>
      <c r="K62">
        <v>25900000</v>
      </c>
      <c r="L62">
        <v>11400000</v>
      </c>
      <c r="M62" t="s">
        <v>35</v>
      </c>
      <c r="N62">
        <f t="shared" si="1"/>
        <v>0</v>
      </c>
      <c r="O62" t="str">
        <f t="shared" si="0"/>
        <v>Low</v>
      </c>
      <c r="P62" t="str">
        <f t="shared" si="2"/>
        <v>High</v>
      </c>
      <c r="Q62" t="str">
        <f t="shared" si="3"/>
        <v>Low Loan</v>
      </c>
      <c r="R62">
        <f t="shared" si="4"/>
        <v>77400000</v>
      </c>
      <c r="S62" t="str">
        <f t="shared" si="5"/>
        <v>Strong</v>
      </c>
    </row>
    <row r="63" spans="1:19" x14ac:dyDescent="0.25">
      <c r="A63">
        <v>62</v>
      </c>
      <c r="B63">
        <v>3</v>
      </c>
      <c r="C63" t="s">
        <v>31</v>
      </c>
      <c r="D63" t="s">
        <v>33</v>
      </c>
      <c r="E63">
        <v>9600000</v>
      </c>
      <c r="F63">
        <v>30500000</v>
      </c>
      <c r="G63">
        <v>18</v>
      </c>
      <c r="H63">
        <v>669</v>
      </c>
      <c r="I63">
        <v>4700000</v>
      </c>
      <c r="J63">
        <v>1900000</v>
      </c>
      <c r="K63">
        <v>26500000</v>
      </c>
      <c r="L63">
        <v>9300000</v>
      </c>
      <c r="M63" t="s">
        <v>34</v>
      </c>
      <c r="N63">
        <f t="shared" si="1"/>
        <v>1</v>
      </c>
      <c r="O63" t="str">
        <f t="shared" si="0"/>
        <v>Medium</v>
      </c>
      <c r="P63" t="str">
        <f t="shared" si="2"/>
        <v>High</v>
      </c>
      <c r="Q63" t="str">
        <f t="shared" si="3"/>
        <v>High Loan</v>
      </c>
      <c r="R63">
        <f t="shared" si="4"/>
        <v>42400000</v>
      </c>
      <c r="S63" t="str">
        <f t="shared" si="5"/>
        <v>Strong</v>
      </c>
    </row>
    <row r="64" spans="1:19" x14ac:dyDescent="0.25">
      <c r="A64">
        <v>63</v>
      </c>
      <c r="B64">
        <v>5</v>
      </c>
      <c r="C64" t="s">
        <v>31</v>
      </c>
      <c r="D64" t="s">
        <v>33</v>
      </c>
      <c r="E64">
        <v>8800000</v>
      </c>
      <c r="F64">
        <v>28900000</v>
      </c>
      <c r="G64">
        <v>6</v>
      </c>
      <c r="H64">
        <v>365</v>
      </c>
      <c r="I64">
        <v>24400000</v>
      </c>
      <c r="J64">
        <v>8600000</v>
      </c>
      <c r="K64">
        <v>27400000</v>
      </c>
      <c r="L64">
        <v>4700000</v>
      </c>
      <c r="M64" t="s">
        <v>35</v>
      </c>
      <c r="N64">
        <f t="shared" si="1"/>
        <v>0</v>
      </c>
      <c r="O64" t="str">
        <f t="shared" si="0"/>
        <v>Low</v>
      </c>
      <c r="P64" t="str">
        <f t="shared" si="2"/>
        <v>High</v>
      </c>
      <c r="Q64" t="str">
        <f t="shared" si="3"/>
        <v>High Loan</v>
      </c>
      <c r="R64">
        <f t="shared" si="4"/>
        <v>65100000</v>
      </c>
      <c r="S64" t="str">
        <f t="shared" si="5"/>
        <v>Strong</v>
      </c>
    </row>
    <row r="65" spans="1:19" x14ac:dyDescent="0.25">
      <c r="A65">
        <v>64</v>
      </c>
      <c r="B65">
        <v>3</v>
      </c>
      <c r="C65" t="s">
        <v>31</v>
      </c>
      <c r="D65" t="s">
        <v>33</v>
      </c>
      <c r="E65">
        <v>3300000</v>
      </c>
      <c r="F65">
        <v>7500000</v>
      </c>
      <c r="G65">
        <v>20</v>
      </c>
      <c r="H65">
        <v>586</v>
      </c>
      <c r="I65">
        <v>1600000</v>
      </c>
      <c r="J65">
        <v>5600000</v>
      </c>
      <c r="K65">
        <v>10500000</v>
      </c>
      <c r="L65">
        <v>2900000</v>
      </c>
      <c r="M65" t="s">
        <v>34</v>
      </c>
      <c r="N65">
        <f t="shared" si="1"/>
        <v>1</v>
      </c>
      <c r="O65" t="str">
        <f t="shared" si="0"/>
        <v>Low</v>
      </c>
      <c r="P65" t="str">
        <f t="shared" si="2"/>
        <v>High</v>
      </c>
      <c r="Q65" t="str">
        <f t="shared" si="3"/>
        <v>Low Loan</v>
      </c>
      <c r="R65">
        <f t="shared" si="4"/>
        <v>20600000</v>
      </c>
      <c r="S65" t="str">
        <f t="shared" si="5"/>
        <v>Strong</v>
      </c>
    </row>
    <row r="66" spans="1:19" x14ac:dyDescent="0.25">
      <c r="A66">
        <v>65</v>
      </c>
      <c r="B66">
        <v>4</v>
      </c>
      <c r="C66" t="s">
        <v>30</v>
      </c>
      <c r="D66" t="s">
        <v>33</v>
      </c>
      <c r="E66">
        <v>3900000</v>
      </c>
      <c r="F66">
        <v>12300000</v>
      </c>
      <c r="G66">
        <v>18</v>
      </c>
      <c r="H66">
        <v>784</v>
      </c>
      <c r="I66">
        <v>7600000</v>
      </c>
      <c r="J66">
        <v>6900000</v>
      </c>
      <c r="K66">
        <v>13100000</v>
      </c>
      <c r="L66">
        <v>2800000</v>
      </c>
      <c r="M66" t="s">
        <v>34</v>
      </c>
      <c r="N66">
        <f t="shared" si="1"/>
        <v>1</v>
      </c>
      <c r="O66" t="str">
        <f t="shared" ref="O66:O129" si="6">IF(H66&lt;650,"Low",
 IF(H66&lt;700,"Medium",
 IF(H66&lt;750,"Good","Excellent")))</f>
        <v>Excellent</v>
      </c>
      <c r="P66" t="str">
        <f t="shared" si="2"/>
        <v>High</v>
      </c>
      <c r="Q66" t="str">
        <f t="shared" si="3"/>
        <v>Low Loan</v>
      </c>
      <c r="R66">
        <f t="shared" si="4"/>
        <v>30400000</v>
      </c>
      <c r="S66" t="str">
        <f t="shared" si="5"/>
        <v>Strong</v>
      </c>
    </row>
    <row r="67" spans="1:19" x14ac:dyDescent="0.25">
      <c r="A67">
        <v>66</v>
      </c>
      <c r="B67">
        <v>1</v>
      </c>
      <c r="C67" t="s">
        <v>30</v>
      </c>
      <c r="D67" t="s">
        <v>32</v>
      </c>
      <c r="E67">
        <v>4100000</v>
      </c>
      <c r="F67">
        <v>10300000</v>
      </c>
      <c r="G67">
        <v>12</v>
      </c>
      <c r="H67">
        <v>364</v>
      </c>
      <c r="I67">
        <v>9500000</v>
      </c>
      <c r="J67">
        <v>6100000</v>
      </c>
      <c r="K67">
        <v>14900000</v>
      </c>
      <c r="L67">
        <v>2800000</v>
      </c>
      <c r="M67" t="s">
        <v>35</v>
      </c>
      <c r="N67">
        <f t="shared" ref="N67:N130" si="7">IF(TRIM(CLEAN(M67))="Approved",1,0)</f>
        <v>0</v>
      </c>
      <c r="O67" t="str">
        <f t="shared" si="6"/>
        <v>Low</v>
      </c>
      <c r="P67" t="str">
        <f t="shared" ref="P67:P130" si="8">IF(E67&lt;300000,"Low",
 IF(E67&lt;700000,"Middle","High"))</f>
        <v>High</v>
      </c>
      <c r="Q67" t="str">
        <f t="shared" ref="Q67:Q130" si="9">IF(F67&lt;20000000,"Low Loan","High Loan")</f>
        <v>Low Loan</v>
      </c>
      <c r="R67">
        <f t="shared" ref="R67:R130" si="10">I67+J67+K67+L67</f>
        <v>33300000</v>
      </c>
      <c r="S67" t="str">
        <f t="shared" ref="S67:S130" si="11">IF(R67&lt;5000000,"Weak",
 IF(R67&lt;10000000,"Moderate","Strong"))</f>
        <v>Strong</v>
      </c>
    </row>
    <row r="68" spans="1:19" x14ac:dyDescent="0.25">
      <c r="A68">
        <v>67</v>
      </c>
      <c r="B68">
        <v>3</v>
      </c>
      <c r="C68" t="s">
        <v>31</v>
      </c>
      <c r="D68" t="s">
        <v>32</v>
      </c>
      <c r="E68">
        <v>8300000</v>
      </c>
      <c r="F68">
        <v>29100000</v>
      </c>
      <c r="G68">
        <v>10</v>
      </c>
      <c r="H68">
        <v>715</v>
      </c>
      <c r="I68">
        <v>6100000</v>
      </c>
      <c r="J68">
        <v>11900000</v>
      </c>
      <c r="K68">
        <v>24100000</v>
      </c>
      <c r="L68">
        <v>11900000</v>
      </c>
      <c r="M68" t="s">
        <v>34</v>
      </c>
      <c r="N68">
        <f t="shared" si="7"/>
        <v>1</v>
      </c>
      <c r="O68" t="str">
        <f t="shared" si="6"/>
        <v>Good</v>
      </c>
      <c r="P68" t="str">
        <f t="shared" si="8"/>
        <v>High</v>
      </c>
      <c r="Q68" t="str">
        <f t="shared" si="9"/>
        <v>High Loan</v>
      </c>
      <c r="R68">
        <f t="shared" si="10"/>
        <v>54000000</v>
      </c>
      <c r="S68" t="str">
        <f t="shared" si="11"/>
        <v>Strong</v>
      </c>
    </row>
    <row r="69" spans="1:19" x14ac:dyDescent="0.25">
      <c r="A69">
        <v>68</v>
      </c>
      <c r="B69">
        <v>0</v>
      </c>
      <c r="C69" t="s">
        <v>31</v>
      </c>
      <c r="D69" t="s">
        <v>33</v>
      </c>
      <c r="E69">
        <v>2700000</v>
      </c>
      <c r="F69">
        <v>10100000</v>
      </c>
      <c r="G69">
        <v>20</v>
      </c>
      <c r="H69">
        <v>693</v>
      </c>
      <c r="I69">
        <v>200000</v>
      </c>
      <c r="J69">
        <v>1700000</v>
      </c>
      <c r="K69">
        <v>5900000</v>
      </c>
      <c r="L69">
        <v>1400000</v>
      </c>
      <c r="M69" t="s">
        <v>35</v>
      </c>
      <c r="N69">
        <f t="shared" si="7"/>
        <v>0</v>
      </c>
      <c r="O69" t="str">
        <f t="shared" si="6"/>
        <v>Medium</v>
      </c>
      <c r="P69" t="str">
        <f t="shared" si="8"/>
        <v>High</v>
      </c>
      <c r="Q69" t="str">
        <f t="shared" si="9"/>
        <v>Low Loan</v>
      </c>
      <c r="R69">
        <f t="shared" si="10"/>
        <v>9200000</v>
      </c>
      <c r="S69" t="str">
        <f t="shared" si="11"/>
        <v>Moderate</v>
      </c>
    </row>
    <row r="70" spans="1:19" x14ac:dyDescent="0.25">
      <c r="A70">
        <v>69</v>
      </c>
      <c r="B70">
        <v>4</v>
      </c>
      <c r="C70" t="s">
        <v>30</v>
      </c>
      <c r="D70" t="s">
        <v>32</v>
      </c>
      <c r="E70">
        <v>5600000</v>
      </c>
      <c r="F70">
        <v>12400000</v>
      </c>
      <c r="G70">
        <v>4</v>
      </c>
      <c r="H70">
        <v>777</v>
      </c>
      <c r="I70">
        <v>5500000</v>
      </c>
      <c r="J70">
        <v>3100000</v>
      </c>
      <c r="K70">
        <v>11800000</v>
      </c>
      <c r="L70">
        <v>5500000</v>
      </c>
      <c r="M70" t="s">
        <v>34</v>
      </c>
      <c r="N70">
        <f t="shared" si="7"/>
        <v>1</v>
      </c>
      <c r="O70" t="str">
        <f t="shared" si="6"/>
        <v>Excellent</v>
      </c>
      <c r="P70" t="str">
        <f t="shared" si="8"/>
        <v>High</v>
      </c>
      <c r="Q70" t="str">
        <f t="shared" si="9"/>
        <v>Low Loan</v>
      </c>
      <c r="R70">
        <f t="shared" si="10"/>
        <v>25900000</v>
      </c>
      <c r="S70" t="str">
        <f t="shared" si="11"/>
        <v>Strong</v>
      </c>
    </row>
    <row r="71" spans="1:19" x14ac:dyDescent="0.25">
      <c r="A71">
        <v>70</v>
      </c>
      <c r="B71">
        <v>0</v>
      </c>
      <c r="C71" t="s">
        <v>30</v>
      </c>
      <c r="D71" t="s">
        <v>32</v>
      </c>
      <c r="E71">
        <v>1900000</v>
      </c>
      <c r="F71">
        <v>5000000</v>
      </c>
      <c r="G71">
        <v>12</v>
      </c>
      <c r="H71">
        <v>312</v>
      </c>
      <c r="I71">
        <v>4000000</v>
      </c>
      <c r="J71">
        <v>2800000</v>
      </c>
      <c r="K71">
        <v>4900000</v>
      </c>
      <c r="L71">
        <v>2400000</v>
      </c>
      <c r="M71" t="s">
        <v>35</v>
      </c>
      <c r="N71">
        <f t="shared" si="7"/>
        <v>0</v>
      </c>
      <c r="O71" t="str">
        <f t="shared" si="6"/>
        <v>Low</v>
      </c>
      <c r="P71" t="str">
        <f t="shared" si="8"/>
        <v>High</v>
      </c>
      <c r="Q71" t="str">
        <f t="shared" si="9"/>
        <v>Low Loan</v>
      </c>
      <c r="R71">
        <f t="shared" si="10"/>
        <v>14100000</v>
      </c>
      <c r="S71" t="str">
        <f t="shared" si="11"/>
        <v>Strong</v>
      </c>
    </row>
    <row r="72" spans="1:19" x14ac:dyDescent="0.25">
      <c r="A72">
        <v>71</v>
      </c>
      <c r="B72">
        <v>4</v>
      </c>
      <c r="C72" t="s">
        <v>31</v>
      </c>
      <c r="D72" t="s">
        <v>33</v>
      </c>
      <c r="E72">
        <v>500000</v>
      </c>
      <c r="F72">
        <v>1500000</v>
      </c>
      <c r="G72">
        <v>20</v>
      </c>
      <c r="H72">
        <v>340</v>
      </c>
      <c r="I72">
        <v>100000</v>
      </c>
      <c r="J72">
        <v>200000</v>
      </c>
      <c r="K72">
        <v>1900000</v>
      </c>
      <c r="L72">
        <v>600000</v>
      </c>
      <c r="M72" t="s">
        <v>35</v>
      </c>
      <c r="N72">
        <f t="shared" si="7"/>
        <v>0</v>
      </c>
      <c r="O72" t="str">
        <f t="shared" si="6"/>
        <v>Low</v>
      </c>
      <c r="P72" t="str">
        <f t="shared" si="8"/>
        <v>Middle</v>
      </c>
      <c r="Q72" t="str">
        <f t="shared" si="9"/>
        <v>Low Loan</v>
      </c>
      <c r="R72">
        <f t="shared" si="10"/>
        <v>2800000</v>
      </c>
      <c r="S72" t="str">
        <f t="shared" si="11"/>
        <v>Weak</v>
      </c>
    </row>
    <row r="73" spans="1:19" x14ac:dyDescent="0.25">
      <c r="A73">
        <v>72</v>
      </c>
      <c r="B73">
        <v>5</v>
      </c>
      <c r="C73" t="s">
        <v>30</v>
      </c>
      <c r="D73" t="s">
        <v>33</v>
      </c>
      <c r="E73">
        <v>5300000</v>
      </c>
      <c r="F73">
        <v>18600000</v>
      </c>
      <c r="G73">
        <v>4</v>
      </c>
      <c r="H73">
        <v>386</v>
      </c>
      <c r="I73">
        <v>2700000</v>
      </c>
      <c r="J73">
        <v>9700000</v>
      </c>
      <c r="K73">
        <v>11900000</v>
      </c>
      <c r="L73">
        <v>4200000</v>
      </c>
      <c r="M73" t="s">
        <v>34</v>
      </c>
      <c r="N73">
        <f t="shared" si="7"/>
        <v>1</v>
      </c>
      <c r="O73" t="str">
        <f t="shared" si="6"/>
        <v>Low</v>
      </c>
      <c r="P73" t="str">
        <f t="shared" si="8"/>
        <v>High</v>
      </c>
      <c r="Q73" t="str">
        <f t="shared" si="9"/>
        <v>Low Loan</v>
      </c>
      <c r="R73">
        <f t="shared" si="10"/>
        <v>28500000</v>
      </c>
      <c r="S73" t="str">
        <f t="shared" si="11"/>
        <v>Strong</v>
      </c>
    </row>
    <row r="74" spans="1:19" x14ac:dyDescent="0.25">
      <c r="A74">
        <v>73</v>
      </c>
      <c r="B74">
        <v>5</v>
      </c>
      <c r="C74" t="s">
        <v>31</v>
      </c>
      <c r="D74" t="s">
        <v>32</v>
      </c>
      <c r="E74">
        <v>7000000</v>
      </c>
      <c r="F74">
        <v>18300000</v>
      </c>
      <c r="G74">
        <v>4</v>
      </c>
      <c r="H74">
        <v>418</v>
      </c>
      <c r="I74">
        <v>18400000</v>
      </c>
      <c r="J74">
        <v>11700000</v>
      </c>
      <c r="K74">
        <v>21500000</v>
      </c>
      <c r="L74">
        <v>7600000</v>
      </c>
      <c r="M74" t="s">
        <v>35</v>
      </c>
      <c r="N74">
        <f t="shared" si="7"/>
        <v>0</v>
      </c>
      <c r="O74" t="str">
        <f t="shared" si="6"/>
        <v>Low</v>
      </c>
      <c r="P74" t="str">
        <f t="shared" si="8"/>
        <v>High</v>
      </c>
      <c r="Q74" t="str">
        <f t="shared" si="9"/>
        <v>Low Loan</v>
      </c>
      <c r="R74">
        <f t="shared" si="10"/>
        <v>59200000</v>
      </c>
      <c r="S74" t="str">
        <f t="shared" si="11"/>
        <v>Strong</v>
      </c>
    </row>
    <row r="75" spans="1:19" x14ac:dyDescent="0.25">
      <c r="A75">
        <v>74</v>
      </c>
      <c r="B75">
        <v>3</v>
      </c>
      <c r="C75" t="s">
        <v>31</v>
      </c>
      <c r="D75" t="s">
        <v>33</v>
      </c>
      <c r="E75">
        <v>5800000</v>
      </c>
      <c r="F75">
        <v>16700000</v>
      </c>
      <c r="G75">
        <v>16</v>
      </c>
      <c r="H75">
        <v>735</v>
      </c>
      <c r="I75">
        <v>3900000</v>
      </c>
      <c r="J75">
        <v>9400000</v>
      </c>
      <c r="K75">
        <v>12600000</v>
      </c>
      <c r="L75">
        <v>5600000</v>
      </c>
      <c r="M75" t="s">
        <v>34</v>
      </c>
      <c r="N75">
        <f t="shared" si="7"/>
        <v>1</v>
      </c>
      <c r="O75" t="str">
        <f t="shared" si="6"/>
        <v>Good</v>
      </c>
      <c r="P75" t="str">
        <f t="shared" si="8"/>
        <v>High</v>
      </c>
      <c r="Q75" t="str">
        <f t="shared" si="9"/>
        <v>Low Loan</v>
      </c>
      <c r="R75">
        <f t="shared" si="10"/>
        <v>31500000</v>
      </c>
      <c r="S75" t="str">
        <f t="shared" si="11"/>
        <v>Strong</v>
      </c>
    </row>
    <row r="76" spans="1:19" x14ac:dyDescent="0.25">
      <c r="A76">
        <v>75</v>
      </c>
      <c r="B76">
        <v>2</v>
      </c>
      <c r="C76" t="s">
        <v>31</v>
      </c>
      <c r="D76" t="s">
        <v>32</v>
      </c>
      <c r="E76">
        <v>2600000</v>
      </c>
      <c r="F76">
        <v>8400000</v>
      </c>
      <c r="G76">
        <v>6</v>
      </c>
      <c r="H76">
        <v>494</v>
      </c>
      <c r="I76">
        <v>6500000</v>
      </c>
      <c r="J76">
        <v>3800000</v>
      </c>
      <c r="K76">
        <v>5600000</v>
      </c>
      <c r="L76">
        <v>2000000</v>
      </c>
      <c r="M76" t="s">
        <v>35</v>
      </c>
      <c r="N76">
        <f t="shared" si="7"/>
        <v>0</v>
      </c>
      <c r="O76" t="str">
        <f t="shared" si="6"/>
        <v>Low</v>
      </c>
      <c r="P76" t="str">
        <f t="shared" si="8"/>
        <v>High</v>
      </c>
      <c r="Q76" t="str">
        <f t="shared" si="9"/>
        <v>Low Loan</v>
      </c>
      <c r="R76">
        <f t="shared" si="10"/>
        <v>17900000</v>
      </c>
      <c r="S76" t="str">
        <f t="shared" si="11"/>
        <v>Strong</v>
      </c>
    </row>
    <row r="77" spans="1:19" x14ac:dyDescent="0.25">
      <c r="A77">
        <v>76</v>
      </c>
      <c r="B77">
        <v>2</v>
      </c>
      <c r="C77" t="s">
        <v>31</v>
      </c>
      <c r="D77" t="s">
        <v>32</v>
      </c>
      <c r="E77">
        <v>1900000</v>
      </c>
      <c r="F77">
        <v>6500000</v>
      </c>
      <c r="G77">
        <v>18</v>
      </c>
      <c r="H77">
        <v>671</v>
      </c>
      <c r="I77">
        <v>600000</v>
      </c>
      <c r="J77">
        <v>2500000</v>
      </c>
      <c r="K77">
        <v>4800000</v>
      </c>
      <c r="L77">
        <v>1100000</v>
      </c>
      <c r="M77" t="s">
        <v>34</v>
      </c>
      <c r="N77">
        <f t="shared" si="7"/>
        <v>1</v>
      </c>
      <c r="O77" t="str">
        <f t="shared" si="6"/>
        <v>Medium</v>
      </c>
      <c r="P77" t="str">
        <f t="shared" si="8"/>
        <v>High</v>
      </c>
      <c r="Q77" t="str">
        <f t="shared" si="9"/>
        <v>Low Loan</v>
      </c>
      <c r="R77">
        <f t="shared" si="10"/>
        <v>9000000</v>
      </c>
      <c r="S77" t="str">
        <f t="shared" si="11"/>
        <v>Moderate</v>
      </c>
    </row>
    <row r="78" spans="1:19" x14ac:dyDescent="0.25">
      <c r="A78">
        <v>77</v>
      </c>
      <c r="B78">
        <v>4</v>
      </c>
      <c r="C78" t="s">
        <v>30</v>
      </c>
      <c r="D78" t="s">
        <v>32</v>
      </c>
      <c r="E78">
        <v>5700000</v>
      </c>
      <c r="F78">
        <v>14800000</v>
      </c>
      <c r="G78">
        <v>16</v>
      </c>
      <c r="H78">
        <v>697</v>
      </c>
      <c r="I78">
        <v>14300000</v>
      </c>
      <c r="J78">
        <v>7800000</v>
      </c>
      <c r="K78">
        <v>12900000</v>
      </c>
      <c r="L78">
        <v>6300000</v>
      </c>
      <c r="M78" t="s">
        <v>34</v>
      </c>
      <c r="N78">
        <f t="shared" si="7"/>
        <v>1</v>
      </c>
      <c r="O78" t="str">
        <f t="shared" si="6"/>
        <v>Medium</v>
      </c>
      <c r="P78" t="str">
        <f t="shared" si="8"/>
        <v>High</v>
      </c>
      <c r="Q78" t="str">
        <f t="shared" si="9"/>
        <v>Low Loan</v>
      </c>
      <c r="R78">
        <f t="shared" si="10"/>
        <v>41300000</v>
      </c>
      <c r="S78" t="str">
        <f t="shared" si="11"/>
        <v>Strong</v>
      </c>
    </row>
    <row r="79" spans="1:19" x14ac:dyDescent="0.25">
      <c r="A79">
        <v>78</v>
      </c>
      <c r="B79">
        <v>0</v>
      </c>
      <c r="C79" t="s">
        <v>30</v>
      </c>
      <c r="D79" t="s">
        <v>32</v>
      </c>
      <c r="E79">
        <v>9000000</v>
      </c>
      <c r="F79">
        <v>33500000</v>
      </c>
      <c r="G79">
        <v>8</v>
      </c>
      <c r="H79">
        <v>801</v>
      </c>
      <c r="I79">
        <v>11600000</v>
      </c>
      <c r="J79">
        <v>8900000</v>
      </c>
      <c r="K79">
        <v>35400000</v>
      </c>
      <c r="L79">
        <v>11100000</v>
      </c>
      <c r="M79" t="s">
        <v>34</v>
      </c>
      <c r="N79">
        <f t="shared" si="7"/>
        <v>1</v>
      </c>
      <c r="O79" t="str">
        <f t="shared" si="6"/>
        <v>Excellent</v>
      </c>
      <c r="P79" t="str">
        <f t="shared" si="8"/>
        <v>High</v>
      </c>
      <c r="Q79" t="str">
        <f t="shared" si="9"/>
        <v>High Loan</v>
      </c>
      <c r="R79">
        <f t="shared" si="10"/>
        <v>67000000</v>
      </c>
      <c r="S79" t="str">
        <f t="shared" si="11"/>
        <v>Strong</v>
      </c>
    </row>
    <row r="80" spans="1:19" x14ac:dyDescent="0.25">
      <c r="A80">
        <v>79</v>
      </c>
      <c r="B80">
        <v>2</v>
      </c>
      <c r="C80" t="s">
        <v>31</v>
      </c>
      <c r="D80" t="s">
        <v>32</v>
      </c>
      <c r="E80">
        <v>8500000</v>
      </c>
      <c r="F80">
        <v>29400000</v>
      </c>
      <c r="G80">
        <v>12</v>
      </c>
      <c r="H80">
        <v>576</v>
      </c>
      <c r="I80">
        <v>17600000</v>
      </c>
      <c r="J80">
        <v>5600000</v>
      </c>
      <c r="K80">
        <v>25200000</v>
      </c>
      <c r="L80">
        <v>9000000</v>
      </c>
      <c r="M80" t="s">
        <v>34</v>
      </c>
      <c r="N80">
        <f t="shared" si="7"/>
        <v>1</v>
      </c>
      <c r="O80" t="str">
        <f t="shared" si="6"/>
        <v>Low</v>
      </c>
      <c r="P80" t="str">
        <f t="shared" si="8"/>
        <v>High</v>
      </c>
      <c r="Q80" t="str">
        <f t="shared" si="9"/>
        <v>High Loan</v>
      </c>
      <c r="R80">
        <f t="shared" si="10"/>
        <v>57400000</v>
      </c>
      <c r="S80" t="str">
        <f t="shared" si="11"/>
        <v>Strong</v>
      </c>
    </row>
    <row r="81" spans="1:19" x14ac:dyDescent="0.25">
      <c r="A81">
        <v>80</v>
      </c>
      <c r="B81">
        <v>0</v>
      </c>
      <c r="C81" t="s">
        <v>31</v>
      </c>
      <c r="D81" t="s">
        <v>32</v>
      </c>
      <c r="E81">
        <v>700000</v>
      </c>
      <c r="F81">
        <v>1400000</v>
      </c>
      <c r="G81">
        <v>14</v>
      </c>
      <c r="H81">
        <v>639</v>
      </c>
      <c r="I81">
        <v>1900000</v>
      </c>
      <c r="J81">
        <v>700000</v>
      </c>
      <c r="K81">
        <v>2400000</v>
      </c>
      <c r="L81">
        <v>900000</v>
      </c>
      <c r="M81" t="s">
        <v>34</v>
      </c>
      <c r="N81">
        <f t="shared" si="7"/>
        <v>1</v>
      </c>
      <c r="O81" t="str">
        <f t="shared" si="6"/>
        <v>Low</v>
      </c>
      <c r="P81" t="str">
        <f t="shared" si="8"/>
        <v>High</v>
      </c>
      <c r="Q81" t="str">
        <f t="shared" si="9"/>
        <v>Low Loan</v>
      </c>
      <c r="R81">
        <f t="shared" si="10"/>
        <v>5900000</v>
      </c>
      <c r="S81" t="str">
        <f t="shared" si="11"/>
        <v>Moderate</v>
      </c>
    </row>
    <row r="82" spans="1:19" x14ac:dyDescent="0.25">
      <c r="A82">
        <v>81</v>
      </c>
      <c r="B82">
        <v>4</v>
      </c>
      <c r="C82" t="s">
        <v>30</v>
      </c>
      <c r="D82" t="s">
        <v>32</v>
      </c>
      <c r="E82">
        <v>3500000</v>
      </c>
      <c r="F82">
        <v>8900000</v>
      </c>
      <c r="G82">
        <v>4</v>
      </c>
      <c r="H82">
        <v>470</v>
      </c>
      <c r="I82">
        <v>1300000</v>
      </c>
      <c r="J82">
        <v>2200000</v>
      </c>
      <c r="K82">
        <v>12300000</v>
      </c>
      <c r="L82">
        <v>2000000</v>
      </c>
      <c r="M82" t="s">
        <v>35</v>
      </c>
      <c r="N82">
        <f t="shared" si="7"/>
        <v>0</v>
      </c>
      <c r="O82" t="str">
        <f t="shared" si="6"/>
        <v>Low</v>
      </c>
      <c r="P82" t="str">
        <f t="shared" si="8"/>
        <v>High</v>
      </c>
      <c r="Q82" t="str">
        <f t="shared" si="9"/>
        <v>Low Loan</v>
      </c>
      <c r="R82">
        <f t="shared" si="10"/>
        <v>17800000</v>
      </c>
      <c r="S82" t="str">
        <f t="shared" si="11"/>
        <v>Strong</v>
      </c>
    </row>
    <row r="83" spans="1:19" x14ac:dyDescent="0.25">
      <c r="A83">
        <v>82</v>
      </c>
      <c r="B83">
        <v>0</v>
      </c>
      <c r="C83" t="s">
        <v>31</v>
      </c>
      <c r="D83" t="s">
        <v>32</v>
      </c>
      <c r="E83">
        <v>8800000</v>
      </c>
      <c r="F83">
        <v>31200000</v>
      </c>
      <c r="G83">
        <v>4</v>
      </c>
      <c r="H83">
        <v>826</v>
      </c>
      <c r="I83">
        <v>2900000</v>
      </c>
      <c r="J83">
        <v>500000</v>
      </c>
      <c r="K83">
        <v>33300000</v>
      </c>
      <c r="L83">
        <v>8600000</v>
      </c>
      <c r="M83" t="s">
        <v>34</v>
      </c>
      <c r="N83">
        <f t="shared" si="7"/>
        <v>1</v>
      </c>
      <c r="O83" t="str">
        <f t="shared" si="6"/>
        <v>Excellent</v>
      </c>
      <c r="P83" t="str">
        <f t="shared" si="8"/>
        <v>High</v>
      </c>
      <c r="Q83" t="str">
        <f t="shared" si="9"/>
        <v>High Loan</v>
      </c>
      <c r="R83">
        <f t="shared" si="10"/>
        <v>45300000</v>
      </c>
      <c r="S83" t="str">
        <f t="shared" si="11"/>
        <v>Strong</v>
      </c>
    </row>
    <row r="84" spans="1:19" x14ac:dyDescent="0.25">
      <c r="A84">
        <v>83</v>
      </c>
      <c r="B84">
        <v>2</v>
      </c>
      <c r="C84" t="s">
        <v>31</v>
      </c>
      <c r="D84" t="s">
        <v>33</v>
      </c>
      <c r="E84">
        <v>9900000</v>
      </c>
      <c r="F84">
        <v>21200000</v>
      </c>
      <c r="G84">
        <v>16</v>
      </c>
      <c r="H84">
        <v>363</v>
      </c>
      <c r="I84">
        <v>25500000</v>
      </c>
      <c r="J84">
        <v>11400000</v>
      </c>
      <c r="K84">
        <v>26600000</v>
      </c>
      <c r="L84">
        <v>6800000</v>
      </c>
      <c r="M84" t="s">
        <v>35</v>
      </c>
      <c r="N84">
        <f t="shared" si="7"/>
        <v>0</v>
      </c>
      <c r="O84" t="str">
        <f t="shared" si="6"/>
        <v>Low</v>
      </c>
      <c r="P84" t="str">
        <f t="shared" si="8"/>
        <v>High</v>
      </c>
      <c r="Q84" t="str">
        <f t="shared" si="9"/>
        <v>High Loan</v>
      </c>
      <c r="R84">
        <f t="shared" si="10"/>
        <v>70300000</v>
      </c>
      <c r="S84" t="str">
        <f t="shared" si="11"/>
        <v>Strong</v>
      </c>
    </row>
    <row r="85" spans="1:19" x14ac:dyDescent="0.25">
      <c r="A85">
        <v>84</v>
      </c>
      <c r="B85">
        <v>3</v>
      </c>
      <c r="C85" t="s">
        <v>30</v>
      </c>
      <c r="D85" t="s">
        <v>32</v>
      </c>
      <c r="E85">
        <v>3600000</v>
      </c>
      <c r="F85">
        <v>8600000</v>
      </c>
      <c r="G85">
        <v>20</v>
      </c>
      <c r="H85">
        <v>613</v>
      </c>
      <c r="I85">
        <v>9400000</v>
      </c>
      <c r="J85">
        <v>300000</v>
      </c>
      <c r="K85">
        <v>10300000</v>
      </c>
      <c r="L85">
        <v>3300000</v>
      </c>
      <c r="M85" t="s">
        <v>34</v>
      </c>
      <c r="N85">
        <f t="shared" si="7"/>
        <v>1</v>
      </c>
      <c r="O85" t="str">
        <f t="shared" si="6"/>
        <v>Low</v>
      </c>
      <c r="P85" t="str">
        <f t="shared" si="8"/>
        <v>High</v>
      </c>
      <c r="Q85" t="str">
        <f t="shared" si="9"/>
        <v>Low Loan</v>
      </c>
      <c r="R85">
        <f t="shared" si="10"/>
        <v>23300000</v>
      </c>
      <c r="S85" t="str">
        <f t="shared" si="11"/>
        <v>Strong</v>
      </c>
    </row>
    <row r="86" spans="1:19" x14ac:dyDescent="0.25">
      <c r="A86">
        <v>85</v>
      </c>
      <c r="B86">
        <v>3</v>
      </c>
      <c r="C86" t="s">
        <v>31</v>
      </c>
      <c r="D86" t="s">
        <v>33</v>
      </c>
      <c r="E86">
        <v>3000000</v>
      </c>
      <c r="F86">
        <v>8200000</v>
      </c>
      <c r="G86">
        <v>16</v>
      </c>
      <c r="H86">
        <v>713</v>
      </c>
      <c r="I86">
        <v>5300000</v>
      </c>
      <c r="J86">
        <v>5800000</v>
      </c>
      <c r="K86">
        <v>11000000</v>
      </c>
      <c r="L86">
        <v>3400000</v>
      </c>
      <c r="M86" t="s">
        <v>34</v>
      </c>
      <c r="N86">
        <f t="shared" si="7"/>
        <v>1</v>
      </c>
      <c r="O86" t="str">
        <f t="shared" si="6"/>
        <v>Good</v>
      </c>
      <c r="P86" t="str">
        <f t="shared" si="8"/>
        <v>High</v>
      </c>
      <c r="Q86" t="str">
        <f t="shared" si="9"/>
        <v>Low Loan</v>
      </c>
      <c r="R86">
        <f t="shared" si="10"/>
        <v>25500000</v>
      </c>
      <c r="S86" t="str">
        <f t="shared" si="11"/>
        <v>Strong</v>
      </c>
    </row>
    <row r="87" spans="1:19" x14ac:dyDescent="0.25">
      <c r="A87">
        <v>86</v>
      </c>
      <c r="B87">
        <v>2</v>
      </c>
      <c r="C87" t="s">
        <v>30</v>
      </c>
      <c r="D87" t="s">
        <v>32</v>
      </c>
      <c r="E87">
        <v>6800000</v>
      </c>
      <c r="F87">
        <v>21200000</v>
      </c>
      <c r="G87">
        <v>16</v>
      </c>
      <c r="H87">
        <v>439</v>
      </c>
      <c r="I87">
        <v>17100000</v>
      </c>
      <c r="J87">
        <v>4700000</v>
      </c>
      <c r="K87">
        <v>23300000</v>
      </c>
      <c r="L87">
        <v>3600000</v>
      </c>
      <c r="M87" t="s">
        <v>35</v>
      </c>
      <c r="N87">
        <f t="shared" si="7"/>
        <v>0</v>
      </c>
      <c r="O87" t="str">
        <f t="shared" si="6"/>
        <v>Low</v>
      </c>
      <c r="P87" t="str">
        <f t="shared" si="8"/>
        <v>High</v>
      </c>
      <c r="Q87" t="str">
        <f t="shared" si="9"/>
        <v>High Loan</v>
      </c>
      <c r="R87">
        <f t="shared" si="10"/>
        <v>48700000</v>
      </c>
      <c r="S87" t="str">
        <f t="shared" si="11"/>
        <v>Strong</v>
      </c>
    </row>
    <row r="88" spans="1:19" x14ac:dyDescent="0.25">
      <c r="A88">
        <v>87</v>
      </c>
      <c r="B88">
        <v>5</v>
      </c>
      <c r="C88" t="s">
        <v>31</v>
      </c>
      <c r="D88" t="s">
        <v>33</v>
      </c>
      <c r="E88">
        <v>1100000</v>
      </c>
      <c r="F88">
        <v>3800000</v>
      </c>
      <c r="G88">
        <v>18</v>
      </c>
      <c r="H88">
        <v>387</v>
      </c>
      <c r="I88">
        <v>1300000</v>
      </c>
      <c r="J88">
        <v>1200000</v>
      </c>
      <c r="K88">
        <v>3800000</v>
      </c>
      <c r="L88">
        <v>1600000</v>
      </c>
      <c r="M88" t="s">
        <v>35</v>
      </c>
      <c r="N88">
        <f t="shared" si="7"/>
        <v>0</v>
      </c>
      <c r="O88" t="str">
        <f t="shared" si="6"/>
        <v>Low</v>
      </c>
      <c r="P88" t="str">
        <f t="shared" si="8"/>
        <v>High</v>
      </c>
      <c r="Q88" t="str">
        <f t="shared" si="9"/>
        <v>Low Loan</v>
      </c>
      <c r="R88">
        <f t="shared" si="10"/>
        <v>7900000</v>
      </c>
      <c r="S88" t="str">
        <f t="shared" si="11"/>
        <v>Moderate</v>
      </c>
    </row>
    <row r="89" spans="1:19" x14ac:dyDescent="0.25">
      <c r="A89">
        <v>88</v>
      </c>
      <c r="B89">
        <v>1</v>
      </c>
      <c r="C89" t="s">
        <v>31</v>
      </c>
      <c r="D89" t="s">
        <v>33</v>
      </c>
      <c r="E89">
        <v>8700000</v>
      </c>
      <c r="F89">
        <v>28300000</v>
      </c>
      <c r="G89">
        <v>8</v>
      </c>
      <c r="H89">
        <v>402</v>
      </c>
      <c r="I89">
        <v>20400000</v>
      </c>
      <c r="J89">
        <v>13600000</v>
      </c>
      <c r="K89">
        <v>27900000</v>
      </c>
      <c r="L89">
        <v>10200000</v>
      </c>
      <c r="M89" t="s">
        <v>35</v>
      </c>
      <c r="N89">
        <f t="shared" si="7"/>
        <v>0</v>
      </c>
      <c r="O89" t="str">
        <f t="shared" si="6"/>
        <v>Low</v>
      </c>
      <c r="P89" t="str">
        <f t="shared" si="8"/>
        <v>High</v>
      </c>
      <c r="Q89" t="str">
        <f t="shared" si="9"/>
        <v>High Loan</v>
      </c>
      <c r="R89">
        <f t="shared" si="10"/>
        <v>72100000</v>
      </c>
      <c r="S89" t="str">
        <f t="shared" si="11"/>
        <v>Strong</v>
      </c>
    </row>
    <row r="90" spans="1:19" x14ac:dyDescent="0.25">
      <c r="A90">
        <v>89</v>
      </c>
      <c r="B90">
        <v>4</v>
      </c>
      <c r="C90" t="s">
        <v>30</v>
      </c>
      <c r="D90" t="s">
        <v>33</v>
      </c>
      <c r="E90">
        <v>2000000</v>
      </c>
      <c r="F90">
        <v>8000000</v>
      </c>
      <c r="G90">
        <v>6</v>
      </c>
      <c r="H90">
        <v>837</v>
      </c>
      <c r="I90">
        <v>5100000</v>
      </c>
      <c r="J90">
        <v>2600000</v>
      </c>
      <c r="K90">
        <v>3900000</v>
      </c>
      <c r="L90">
        <v>2900000</v>
      </c>
      <c r="M90" t="s">
        <v>34</v>
      </c>
      <c r="N90">
        <f t="shared" si="7"/>
        <v>1</v>
      </c>
      <c r="O90" t="str">
        <f t="shared" si="6"/>
        <v>Excellent</v>
      </c>
      <c r="P90" t="str">
        <f t="shared" si="8"/>
        <v>High</v>
      </c>
      <c r="Q90" t="str">
        <f t="shared" si="9"/>
        <v>Low Loan</v>
      </c>
      <c r="R90">
        <f t="shared" si="10"/>
        <v>14500000</v>
      </c>
      <c r="S90" t="str">
        <f t="shared" si="11"/>
        <v>Strong</v>
      </c>
    </row>
    <row r="91" spans="1:19" x14ac:dyDescent="0.25">
      <c r="A91">
        <v>90</v>
      </c>
      <c r="B91">
        <v>2</v>
      </c>
      <c r="C91" t="s">
        <v>31</v>
      </c>
      <c r="D91" t="s">
        <v>32</v>
      </c>
      <c r="E91">
        <v>9800000</v>
      </c>
      <c r="F91">
        <v>37600000</v>
      </c>
      <c r="G91">
        <v>10</v>
      </c>
      <c r="H91">
        <v>641</v>
      </c>
      <c r="I91">
        <v>24100000</v>
      </c>
      <c r="J91">
        <v>0</v>
      </c>
      <c r="K91">
        <v>23400000</v>
      </c>
      <c r="L91">
        <v>7600000</v>
      </c>
      <c r="M91" t="s">
        <v>34</v>
      </c>
      <c r="N91">
        <f t="shared" si="7"/>
        <v>1</v>
      </c>
      <c r="O91" t="str">
        <f t="shared" si="6"/>
        <v>Low</v>
      </c>
      <c r="P91" t="str">
        <f t="shared" si="8"/>
        <v>High</v>
      </c>
      <c r="Q91" t="str">
        <f t="shared" si="9"/>
        <v>High Loan</v>
      </c>
      <c r="R91">
        <f t="shared" si="10"/>
        <v>55100000</v>
      </c>
      <c r="S91" t="str">
        <f t="shared" si="11"/>
        <v>Strong</v>
      </c>
    </row>
    <row r="92" spans="1:19" x14ac:dyDescent="0.25">
      <c r="A92">
        <v>91</v>
      </c>
      <c r="B92">
        <v>4</v>
      </c>
      <c r="C92" t="s">
        <v>30</v>
      </c>
      <c r="D92" t="s">
        <v>32</v>
      </c>
      <c r="E92">
        <v>5700000</v>
      </c>
      <c r="F92">
        <v>21100000</v>
      </c>
      <c r="G92">
        <v>18</v>
      </c>
      <c r="H92">
        <v>489</v>
      </c>
      <c r="I92">
        <v>500000</v>
      </c>
      <c r="J92">
        <v>4300000</v>
      </c>
      <c r="K92">
        <v>12500000</v>
      </c>
      <c r="L92">
        <v>6000000</v>
      </c>
      <c r="M92" t="s">
        <v>35</v>
      </c>
      <c r="N92">
        <f t="shared" si="7"/>
        <v>0</v>
      </c>
      <c r="O92" t="str">
        <f t="shared" si="6"/>
        <v>Low</v>
      </c>
      <c r="P92" t="str">
        <f t="shared" si="8"/>
        <v>High</v>
      </c>
      <c r="Q92" t="str">
        <f t="shared" si="9"/>
        <v>High Loan</v>
      </c>
      <c r="R92">
        <f t="shared" si="10"/>
        <v>23300000</v>
      </c>
      <c r="S92" t="str">
        <f t="shared" si="11"/>
        <v>Strong</v>
      </c>
    </row>
    <row r="93" spans="1:19" x14ac:dyDescent="0.25">
      <c r="A93">
        <v>92</v>
      </c>
      <c r="B93">
        <v>4</v>
      </c>
      <c r="C93" t="s">
        <v>30</v>
      </c>
      <c r="D93" t="s">
        <v>32</v>
      </c>
      <c r="E93">
        <v>8800000</v>
      </c>
      <c r="F93">
        <v>20700000</v>
      </c>
      <c r="G93">
        <v>18</v>
      </c>
      <c r="H93">
        <v>540</v>
      </c>
      <c r="I93">
        <v>19200000</v>
      </c>
      <c r="J93">
        <v>3200000</v>
      </c>
      <c r="K93">
        <v>22400000</v>
      </c>
      <c r="L93">
        <v>12700000</v>
      </c>
      <c r="M93" t="s">
        <v>35</v>
      </c>
      <c r="N93">
        <f t="shared" si="7"/>
        <v>0</v>
      </c>
      <c r="O93" t="str">
        <f t="shared" si="6"/>
        <v>Low</v>
      </c>
      <c r="P93" t="str">
        <f t="shared" si="8"/>
        <v>High</v>
      </c>
      <c r="Q93" t="str">
        <f t="shared" si="9"/>
        <v>High Loan</v>
      </c>
      <c r="R93">
        <f t="shared" si="10"/>
        <v>57500000</v>
      </c>
      <c r="S93" t="str">
        <f t="shared" si="11"/>
        <v>Strong</v>
      </c>
    </row>
    <row r="94" spans="1:19" x14ac:dyDescent="0.25">
      <c r="A94">
        <v>93</v>
      </c>
      <c r="B94">
        <v>4</v>
      </c>
      <c r="C94" t="s">
        <v>30</v>
      </c>
      <c r="D94" t="s">
        <v>32</v>
      </c>
      <c r="E94">
        <v>3800000</v>
      </c>
      <c r="F94">
        <v>8900000</v>
      </c>
      <c r="G94">
        <v>4</v>
      </c>
      <c r="H94">
        <v>844</v>
      </c>
      <c r="I94">
        <v>9100000</v>
      </c>
      <c r="J94">
        <v>3500000</v>
      </c>
      <c r="K94">
        <v>13100000</v>
      </c>
      <c r="L94">
        <v>4700000</v>
      </c>
      <c r="M94" t="s">
        <v>34</v>
      </c>
      <c r="N94">
        <f t="shared" si="7"/>
        <v>1</v>
      </c>
      <c r="O94" t="str">
        <f t="shared" si="6"/>
        <v>Excellent</v>
      </c>
      <c r="P94" t="str">
        <f t="shared" si="8"/>
        <v>High</v>
      </c>
      <c r="Q94" t="str">
        <f t="shared" si="9"/>
        <v>Low Loan</v>
      </c>
      <c r="R94">
        <f t="shared" si="10"/>
        <v>30400000</v>
      </c>
      <c r="S94" t="str">
        <f t="shared" si="11"/>
        <v>Strong</v>
      </c>
    </row>
    <row r="95" spans="1:19" x14ac:dyDescent="0.25">
      <c r="A95">
        <v>94</v>
      </c>
      <c r="B95">
        <v>1</v>
      </c>
      <c r="C95" t="s">
        <v>30</v>
      </c>
      <c r="D95" t="s">
        <v>32</v>
      </c>
      <c r="E95">
        <v>1700000</v>
      </c>
      <c r="F95">
        <v>6400000</v>
      </c>
      <c r="G95">
        <v>10</v>
      </c>
      <c r="H95">
        <v>452</v>
      </c>
      <c r="I95">
        <v>900000</v>
      </c>
      <c r="J95">
        <v>1100000</v>
      </c>
      <c r="K95">
        <v>5600000</v>
      </c>
      <c r="L95">
        <v>2100000</v>
      </c>
      <c r="M95" t="s">
        <v>35</v>
      </c>
      <c r="N95">
        <f t="shared" si="7"/>
        <v>0</v>
      </c>
      <c r="O95" t="str">
        <f t="shared" si="6"/>
        <v>Low</v>
      </c>
      <c r="P95" t="str">
        <f t="shared" si="8"/>
        <v>High</v>
      </c>
      <c r="Q95" t="str">
        <f t="shared" si="9"/>
        <v>Low Loan</v>
      </c>
      <c r="R95">
        <f t="shared" si="10"/>
        <v>9700000</v>
      </c>
      <c r="S95" t="str">
        <f t="shared" si="11"/>
        <v>Moderate</v>
      </c>
    </row>
    <row r="96" spans="1:19" x14ac:dyDescent="0.25">
      <c r="A96">
        <v>95</v>
      </c>
      <c r="B96">
        <v>2</v>
      </c>
      <c r="C96" t="s">
        <v>30</v>
      </c>
      <c r="D96" t="s">
        <v>32</v>
      </c>
      <c r="E96">
        <v>1000000</v>
      </c>
      <c r="F96">
        <v>2000000</v>
      </c>
      <c r="G96">
        <v>10</v>
      </c>
      <c r="H96">
        <v>366</v>
      </c>
      <c r="I96">
        <v>1200000</v>
      </c>
      <c r="J96">
        <v>400000</v>
      </c>
      <c r="K96">
        <v>3200000</v>
      </c>
      <c r="L96">
        <v>1300000</v>
      </c>
      <c r="M96" t="s">
        <v>35</v>
      </c>
      <c r="N96">
        <f t="shared" si="7"/>
        <v>0</v>
      </c>
      <c r="O96" t="str">
        <f t="shared" si="6"/>
        <v>Low</v>
      </c>
      <c r="P96" t="str">
        <f t="shared" si="8"/>
        <v>High</v>
      </c>
      <c r="Q96" t="str">
        <f t="shared" si="9"/>
        <v>Low Loan</v>
      </c>
      <c r="R96">
        <f t="shared" si="10"/>
        <v>6100000</v>
      </c>
      <c r="S96" t="str">
        <f t="shared" si="11"/>
        <v>Moderate</v>
      </c>
    </row>
    <row r="97" spans="1:19" x14ac:dyDescent="0.25">
      <c r="A97">
        <v>96</v>
      </c>
      <c r="B97">
        <v>5</v>
      </c>
      <c r="C97" t="s">
        <v>30</v>
      </c>
      <c r="D97" t="s">
        <v>32</v>
      </c>
      <c r="E97">
        <v>300000</v>
      </c>
      <c r="F97">
        <v>1100000</v>
      </c>
      <c r="G97">
        <v>2</v>
      </c>
      <c r="H97">
        <v>300</v>
      </c>
      <c r="I97">
        <v>100000</v>
      </c>
      <c r="J97">
        <v>500000</v>
      </c>
      <c r="K97">
        <v>700000</v>
      </c>
      <c r="L97">
        <v>400000</v>
      </c>
      <c r="M97" t="s">
        <v>34</v>
      </c>
      <c r="N97">
        <f t="shared" si="7"/>
        <v>1</v>
      </c>
      <c r="O97" t="str">
        <f t="shared" si="6"/>
        <v>Low</v>
      </c>
      <c r="P97" t="str">
        <f t="shared" si="8"/>
        <v>Middle</v>
      </c>
      <c r="Q97" t="str">
        <f t="shared" si="9"/>
        <v>Low Loan</v>
      </c>
      <c r="R97">
        <f t="shared" si="10"/>
        <v>1700000</v>
      </c>
      <c r="S97" t="str">
        <f t="shared" si="11"/>
        <v>Weak</v>
      </c>
    </row>
    <row r="98" spans="1:19" x14ac:dyDescent="0.25">
      <c r="A98">
        <v>97</v>
      </c>
      <c r="B98">
        <v>2</v>
      </c>
      <c r="C98" t="s">
        <v>30</v>
      </c>
      <c r="D98" t="s">
        <v>33</v>
      </c>
      <c r="E98">
        <v>6600000</v>
      </c>
      <c r="F98">
        <v>15000000</v>
      </c>
      <c r="G98">
        <v>18</v>
      </c>
      <c r="H98">
        <v>470</v>
      </c>
      <c r="I98">
        <v>1200000</v>
      </c>
      <c r="J98">
        <v>4800000</v>
      </c>
      <c r="K98">
        <v>18200000</v>
      </c>
      <c r="L98">
        <v>7000000</v>
      </c>
      <c r="M98" t="s">
        <v>35</v>
      </c>
      <c r="N98">
        <f t="shared" si="7"/>
        <v>0</v>
      </c>
      <c r="O98" t="str">
        <f t="shared" si="6"/>
        <v>Low</v>
      </c>
      <c r="P98" t="str">
        <f t="shared" si="8"/>
        <v>High</v>
      </c>
      <c r="Q98" t="str">
        <f t="shared" si="9"/>
        <v>Low Loan</v>
      </c>
      <c r="R98">
        <f t="shared" si="10"/>
        <v>31200000</v>
      </c>
      <c r="S98" t="str">
        <f t="shared" si="11"/>
        <v>Strong</v>
      </c>
    </row>
    <row r="99" spans="1:19" x14ac:dyDescent="0.25">
      <c r="A99">
        <v>98</v>
      </c>
      <c r="B99">
        <v>2</v>
      </c>
      <c r="C99" t="s">
        <v>31</v>
      </c>
      <c r="D99" t="s">
        <v>32</v>
      </c>
      <c r="E99">
        <v>8700000</v>
      </c>
      <c r="F99">
        <v>25000000</v>
      </c>
      <c r="G99">
        <v>20</v>
      </c>
      <c r="H99">
        <v>861</v>
      </c>
      <c r="I99">
        <v>14700000</v>
      </c>
      <c r="J99">
        <v>8500000</v>
      </c>
      <c r="K99">
        <v>23200000</v>
      </c>
      <c r="L99">
        <v>7300000</v>
      </c>
      <c r="M99" t="s">
        <v>34</v>
      </c>
      <c r="N99">
        <f t="shared" si="7"/>
        <v>1</v>
      </c>
      <c r="O99" t="str">
        <f t="shared" si="6"/>
        <v>Excellent</v>
      </c>
      <c r="P99" t="str">
        <f t="shared" si="8"/>
        <v>High</v>
      </c>
      <c r="Q99" t="str">
        <f t="shared" si="9"/>
        <v>High Loan</v>
      </c>
      <c r="R99">
        <f t="shared" si="10"/>
        <v>53700000</v>
      </c>
      <c r="S99" t="str">
        <f t="shared" si="11"/>
        <v>Strong</v>
      </c>
    </row>
    <row r="100" spans="1:19" x14ac:dyDescent="0.25">
      <c r="A100">
        <v>99</v>
      </c>
      <c r="B100">
        <v>4</v>
      </c>
      <c r="C100" t="s">
        <v>30</v>
      </c>
      <c r="D100" t="s">
        <v>32</v>
      </c>
      <c r="E100">
        <v>9400000</v>
      </c>
      <c r="F100">
        <v>29400000</v>
      </c>
      <c r="G100">
        <v>12</v>
      </c>
      <c r="H100">
        <v>562</v>
      </c>
      <c r="I100">
        <v>25900000</v>
      </c>
      <c r="J100">
        <v>15200000</v>
      </c>
      <c r="K100">
        <v>36400000</v>
      </c>
      <c r="L100">
        <v>7100000</v>
      </c>
      <c r="M100" t="s">
        <v>34</v>
      </c>
      <c r="N100">
        <f t="shared" si="7"/>
        <v>1</v>
      </c>
      <c r="O100" t="str">
        <f t="shared" si="6"/>
        <v>Low</v>
      </c>
      <c r="P100" t="str">
        <f t="shared" si="8"/>
        <v>High</v>
      </c>
      <c r="Q100" t="str">
        <f t="shared" si="9"/>
        <v>High Loan</v>
      </c>
      <c r="R100">
        <f t="shared" si="10"/>
        <v>84600000</v>
      </c>
      <c r="S100" t="str">
        <f t="shared" si="11"/>
        <v>Strong</v>
      </c>
    </row>
    <row r="101" spans="1:19" x14ac:dyDescent="0.25">
      <c r="A101">
        <v>100</v>
      </c>
      <c r="B101">
        <v>0</v>
      </c>
      <c r="C101" t="s">
        <v>30</v>
      </c>
      <c r="D101" t="s">
        <v>32</v>
      </c>
      <c r="E101">
        <v>4400000</v>
      </c>
      <c r="F101">
        <v>10800000</v>
      </c>
      <c r="G101">
        <v>14</v>
      </c>
      <c r="H101">
        <v>463</v>
      </c>
      <c r="I101">
        <v>2400000</v>
      </c>
      <c r="J101">
        <v>4800000</v>
      </c>
      <c r="K101">
        <v>13800000</v>
      </c>
      <c r="L101">
        <v>4700000</v>
      </c>
      <c r="M101" t="s">
        <v>35</v>
      </c>
      <c r="N101">
        <f t="shared" si="7"/>
        <v>0</v>
      </c>
      <c r="O101" t="str">
        <f t="shared" si="6"/>
        <v>Low</v>
      </c>
      <c r="P101" t="str">
        <f t="shared" si="8"/>
        <v>High</v>
      </c>
      <c r="Q101" t="str">
        <f t="shared" si="9"/>
        <v>Low Loan</v>
      </c>
      <c r="R101">
        <f t="shared" si="10"/>
        <v>25700000</v>
      </c>
      <c r="S101" t="str">
        <f t="shared" si="11"/>
        <v>Strong</v>
      </c>
    </row>
    <row r="102" spans="1:19" x14ac:dyDescent="0.25">
      <c r="A102">
        <v>101</v>
      </c>
      <c r="B102">
        <v>4</v>
      </c>
      <c r="C102" t="s">
        <v>31</v>
      </c>
      <c r="D102" t="s">
        <v>32</v>
      </c>
      <c r="E102">
        <v>400000</v>
      </c>
      <c r="F102">
        <v>900000</v>
      </c>
      <c r="G102">
        <v>12</v>
      </c>
      <c r="H102">
        <v>478</v>
      </c>
      <c r="I102">
        <v>700000</v>
      </c>
      <c r="J102">
        <v>100000</v>
      </c>
      <c r="K102">
        <v>1200000</v>
      </c>
      <c r="L102">
        <v>100000</v>
      </c>
      <c r="M102" t="s">
        <v>35</v>
      </c>
      <c r="N102">
        <f t="shared" si="7"/>
        <v>0</v>
      </c>
      <c r="O102" t="str">
        <f t="shared" si="6"/>
        <v>Low</v>
      </c>
      <c r="P102" t="str">
        <f t="shared" si="8"/>
        <v>Middle</v>
      </c>
      <c r="Q102" t="str">
        <f t="shared" si="9"/>
        <v>Low Loan</v>
      </c>
      <c r="R102">
        <f t="shared" si="10"/>
        <v>2100000</v>
      </c>
      <c r="S102" t="str">
        <f t="shared" si="11"/>
        <v>Weak</v>
      </c>
    </row>
    <row r="103" spans="1:19" x14ac:dyDescent="0.25">
      <c r="A103">
        <v>102</v>
      </c>
      <c r="B103">
        <v>2</v>
      </c>
      <c r="C103" t="s">
        <v>31</v>
      </c>
      <c r="D103" t="s">
        <v>33</v>
      </c>
      <c r="E103">
        <v>300000</v>
      </c>
      <c r="F103">
        <v>1100000</v>
      </c>
      <c r="G103">
        <v>2</v>
      </c>
      <c r="H103">
        <v>702</v>
      </c>
      <c r="I103">
        <v>300000</v>
      </c>
      <c r="J103">
        <v>200000</v>
      </c>
      <c r="K103">
        <v>500000</v>
      </c>
      <c r="L103">
        <v>200000</v>
      </c>
      <c r="M103" t="s">
        <v>34</v>
      </c>
      <c r="N103">
        <f t="shared" si="7"/>
        <v>1</v>
      </c>
      <c r="O103" t="str">
        <f t="shared" si="6"/>
        <v>Good</v>
      </c>
      <c r="P103" t="str">
        <f t="shared" si="8"/>
        <v>Middle</v>
      </c>
      <c r="Q103" t="str">
        <f t="shared" si="9"/>
        <v>Low Loan</v>
      </c>
      <c r="R103">
        <f t="shared" si="10"/>
        <v>1200000</v>
      </c>
      <c r="S103" t="str">
        <f t="shared" si="11"/>
        <v>Weak</v>
      </c>
    </row>
    <row r="104" spans="1:19" x14ac:dyDescent="0.25">
      <c r="A104">
        <v>103</v>
      </c>
      <c r="B104">
        <v>2</v>
      </c>
      <c r="C104" t="s">
        <v>31</v>
      </c>
      <c r="D104" t="s">
        <v>33</v>
      </c>
      <c r="E104">
        <v>4300000</v>
      </c>
      <c r="F104">
        <v>12900000</v>
      </c>
      <c r="G104">
        <v>20</v>
      </c>
      <c r="H104">
        <v>618</v>
      </c>
      <c r="I104">
        <v>11400000</v>
      </c>
      <c r="J104">
        <v>3600000</v>
      </c>
      <c r="K104">
        <v>11400000</v>
      </c>
      <c r="L104">
        <v>2400000</v>
      </c>
      <c r="M104" t="s">
        <v>34</v>
      </c>
      <c r="N104">
        <f t="shared" si="7"/>
        <v>1</v>
      </c>
      <c r="O104" t="str">
        <f t="shared" si="6"/>
        <v>Low</v>
      </c>
      <c r="P104" t="str">
        <f t="shared" si="8"/>
        <v>High</v>
      </c>
      <c r="Q104" t="str">
        <f t="shared" si="9"/>
        <v>Low Loan</v>
      </c>
      <c r="R104">
        <f t="shared" si="10"/>
        <v>28800000</v>
      </c>
      <c r="S104" t="str">
        <f t="shared" si="11"/>
        <v>Strong</v>
      </c>
    </row>
    <row r="105" spans="1:19" x14ac:dyDescent="0.25">
      <c r="A105">
        <v>104</v>
      </c>
      <c r="B105">
        <v>4</v>
      </c>
      <c r="C105" t="s">
        <v>30</v>
      </c>
      <c r="D105" t="s">
        <v>32</v>
      </c>
      <c r="E105">
        <v>1600000</v>
      </c>
      <c r="F105">
        <v>4500000</v>
      </c>
      <c r="G105">
        <v>12</v>
      </c>
      <c r="H105">
        <v>633</v>
      </c>
      <c r="I105">
        <v>700000</v>
      </c>
      <c r="J105">
        <v>1700000</v>
      </c>
      <c r="K105">
        <v>4100000</v>
      </c>
      <c r="L105">
        <v>1900000</v>
      </c>
      <c r="M105" t="s">
        <v>34</v>
      </c>
      <c r="N105">
        <f t="shared" si="7"/>
        <v>1</v>
      </c>
      <c r="O105" t="str">
        <f t="shared" si="6"/>
        <v>Low</v>
      </c>
      <c r="P105" t="str">
        <f t="shared" si="8"/>
        <v>High</v>
      </c>
      <c r="Q105" t="str">
        <f t="shared" si="9"/>
        <v>Low Loan</v>
      </c>
      <c r="R105">
        <f t="shared" si="10"/>
        <v>8400000</v>
      </c>
      <c r="S105" t="str">
        <f t="shared" si="11"/>
        <v>Moderate</v>
      </c>
    </row>
    <row r="106" spans="1:19" x14ac:dyDescent="0.25">
      <c r="A106">
        <v>105</v>
      </c>
      <c r="B106">
        <v>5</v>
      </c>
      <c r="C106" t="s">
        <v>31</v>
      </c>
      <c r="D106" t="s">
        <v>33</v>
      </c>
      <c r="E106">
        <v>6200000</v>
      </c>
      <c r="F106">
        <v>23600000</v>
      </c>
      <c r="G106">
        <v>10</v>
      </c>
      <c r="H106">
        <v>331</v>
      </c>
      <c r="I106">
        <v>18500000</v>
      </c>
      <c r="J106">
        <v>10300000</v>
      </c>
      <c r="K106">
        <v>23800000</v>
      </c>
      <c r="L106">
        <v>8700000</v>
      </c>
      <c r="M106" t="s">
        <v>35</v>
      </c>
      <c r="N106">
        <f t="shared" si="7"/>
        <v>0</v>
      </c>
      <c r="O106" t="str">
        <f t="shared" si="6"/>
        <v>Low</v>
      </c>
      <c r="P106" t="str">
        <f t="shared" si="8"/>
        <v>High</v>
      </c>
      <c r="Q106" t="str">
        <f t="shared" si="9"/>
        <v>High Loan</v>
      </c>
      <c r="R106">
        <f t="shared" si="10"/>
        <v>61300000</v>
      </c>
      <c r="S106" t="str">
        <f t="shared" si="11"/>
        <v>Strong</v>
      </c>
    </row>
    <row r="107" spans="1:19" x14ac:dyDescent="0.25">
      <c r="A107">
        <v>106</v>
      </c>
      <c r="B107">
        <v>3</v>
      </c>
      <c r="C107" t="s">
        <v>31</v>
      </c>
      <c r="D107" t="s">
        <v>33</v>
      </c>
      <c r="E107">
        <v>4200000</v>
      </c>
      <c r="F107">
        <v>9700000</v>
      </c>
      <c r="G107">
        <v>16</v>
      </c>
      <c r="H107">
        <v>841</v>
      </c>
      <c r="I107">
        <v>7800000</v>
      </c>
      <c r="J107">
        <v>300000</v>
      </c>
      <c r="K107">
        <v>16700000</v>
      </c>
      <c r="L107">
        <v>5100000</v>
      </c>
      <c r="M107" t="s">
        <v>34</v>
      </c>
      <c r="N107">
        <f t="shared" si="7"/>
        <v>1</v>
      </c>
      <c r="O107" t="str">
        <f t="shared" si="6"/>
        <v>Excellent</v>
      </c>
      <c r="P107" t="str">
        <f t="shared" si="8"/>
        <v>High</v>
      </c>
      <c r="Q107" t="str">
        <f t="shared" si="9"/>
        <v>Low Loan</v>
      </c>
      <c r="R107">
        <f t="shared" si="10"/>
        <v>29900000</v>
      </c>
      <c r="S107" t="str">
        <f t="shared" si="11"/>
        <v>Strong</v>
      </c>
    </row>
    <row r="108" spans="1:19" x14ac:dyDescent="0.25">
      <c r="A108">
        <v>107</v>
      </c>
      <c r="B108">
        <v>4</v>
      </c>
      <c r="C108" t="s">
        <v>31</v>
      </c>
      <c r="D108" t="s">
        <v>33</v>
      </c>
      <c r="E108">
        <v>9000000</v>
      </c>
      <c r="F108">
        <v>18100000</v>
      </c>
      <c r="G108">
        <v>12</v>
      </c>
      <c r="H108">
        <v>764</v>
      </c>
      <c r="I108">
        <v>600000</v>
      </c>
      <c r="J108">
        <v>16500000</v>
      </c>
      <c r="K108">
        <v>20800000</v>
      </c>
      <c r="L108">
        <v>11600000</v>
      </c>
      <c r="M108" t="s">
        <v>34</v>
      </c>
      <c r="N108">
        <f t="shared" si="7"/>
        <v>1</v>
      </c>
      <c r="O108" t="str">
        <f t="shared" si="6"/>
        <v>Excellent</v>
      </c>
      <c r="P108" t="str">
        <f t="shared" si="8"/>
        <v>High</v>
      </c>
      <c r="Q108" t="str">
        <f t="shared" si="9"/>
        <v>Low Loan</v>
      </c>
      <c r="R108">
        <f t="shared" si="10"/>
        <v>49500000</v>
      </c>
      <c r="S108" t="str">
        <f t="shared" si="11"/>
        <v>Strong</v>
      </c>
    </row>
    <row r="109" spans="1:19" x14ac:dyDescent="0.25">
      <c r="A109">
        <v>108</v>
      </c>
      <c r="B109">
        <v>0</v>
      </c>
      <c r="C109" t="s">
        <v>30</v>
      </c>
      <c r="D109" t="s">
        <v>32</v>
      </c>
      <c r="E109">
        <v>2700000</v>
      </c>
      <c r="F109">
        <v>10600000</v>
      </c>
      <c r="G109">
        <v>6</v>
      </c>
      <c r="H109">
        <v>591</v>
      </c>
      <c r="I109">
        <v>1300000</v>
      </c>
      <c r="J109">
        <v>2700000</v>
      </c>
      <c r="K109">
        <v>9900000</v>
      </c>
      <c r="L109">
        <v>1800000</v>
      </c>
      <c r="M109" t="s">
        <v>34</v>
      </c>
      <c r="N109">
        <f t="shared" si="7"/>
        <v>1</v>
      </c>
      <c r="O109" t="str">
        <f t="shared" si="6"/>
        <v>Low</v>
      </c>
      <c r="P109" t="str">
        <f t="shared" si="8"/>
        <v>High</v>
      </c>
      <c r="Q109" t="str">
        <f t="shared" si="9"/>
        <v>Low Loan</v>
      </c>
      <c r="R109">
        <f t="shared" si="10"/>
        <v>15700000</v>
      </c>
      <c r="S109" t="str">
        <f t="shared" si="11"/>
        <v>Strong</v>
      </c>
    </row>
    <row r="110" spans="1:19" x14ac:dyDescent="0.25">
      <c r="A110">
        <v>109</v>
      </c>
      <c r="B110">
        <v>1</v>
      </c>
      <c r="C110" t="s">
        <v>30</v>
      </c>
      <c r="D110" t="s">
        <v>33</v>
      </c>
      <c r="E110">
        <v>9700000</v>
      </c>
      <c r="F110">
        <v>35900000</v>
      </c>
      <c r="G110">
        <v>2</v>
      </c>
      <c r="H110">
        <v>719</v>
      </c>
      <c r="I110">
        <v>19600000</v>
      </c>
      <c r="J110">
        <v>7600000</v>
      </c>
      <c r="K110">
        <v>20400000</v>
      </c>
      <c r="L110">
        <v>10900000</v>
      </c>
      <c r="M110" t="s">
        <v>34</v>
      </c>
      <c r="N110">
        <f t="shared" si="7"/>
        <v>1</v>
      </c>
      <c r="O110" t="str">
        <f t="shared" si="6"/>
        <v>Good</v>
      </c>
      <c r="P110" t="str">
        <f t="shared" si="8"/>
        <v>High</v>
      </c>
      <c r="Q110" t="str">
        <f t="shared" si="9"/>
        <v>High Loan</v>
      </c>
      <c r="R110">
        <f t="shared" si="10"/>
        <v>58500000</v>
      </c>
      <c r="S110" t="str">
        <f t="shared" si="11"/>
        <v>Strong</v>
      </c>
    </row>
    <row r="111" spans="1:19" x14ac:dyDescent="0.25">
      <c r="A111">
        <v>110</v>
      </c>
      <c r="B111">
        <v>2</v>
      </c>
      <c r="C111" t="s">
        <v>30</v>
      </c>
      <c r="D111" t="s">
        <v>32</v>
      </c>
      <c r="E111">
        <v>3300000</v>
      </c>
      <c r="F111">
        <v>6800000</v>
      </c>
      <c r="G111">
        <v>14</v>
      </c>
      <c r="H111">
        <v>317</v>
      </c>
      <c r="I111">
        <v>3400000</v>
      </c>
      <c r="J111">
        <v>300000</v>
      </c>
      <c r="K111">
        <v>11700000</v>
      </c>
      <c r="L111">
        <v>3600000</v>
      </c>
      <c r="M111" t="s">
        <v>35</v>
      </c>
      <c r="N111">
        <f t="shared" si="7"/>
        <v>0</v>
      </c>
      <c r="O111" t="str">
        <f t="shared" si="6"/>
        <v>Low</v>
      </c>
      <c r="P111" t="str">
        <f t="shared" si="8"/>
        <v>High</v>
      </c>
      <c r="Q111" t="str">
        <f t="shared" si="9"/>
        <v>Low Loan</v>
      </c>
      <c r="R111">
        <f t="shared" si="10"/>
        <v>19000000</v>
      </c>
      <c r="S111" t="str">
        <f t="shared" si="11"/>
        <v>Strong</v>
      </c>
    </row>
    <row r="112" spans="1:19" x14ac:dyDescent="0.25">
      <c r="A112">
        <v>111</v>
      </c>
      <c r="B112">
        <v>0</v>
      </c>
      <c r="C112" t="s">
        <v>31</v>
      </c>
      <c r="D112" t="s">
        <v>32</v>
      </c>
      <c r="E112">
        <v>300000</v>
      </c>
      <c r="F112">
        <v>1100000</v>
      </c>
      <c r="G112">
        <v>8</v>
      </c>
      <c r="H112">
        <v>778</v>
      </c>
      <c r="I112">
        <v>800000</v>
      </c>
      <c r="J112">
        <v>200000</v>
      </c>
      <c r="K112">
        <v>900000</v>
      </c>
      <c r="L112">
        <v>100000</v>
      </c>
      <c r="M112" t="s">
        <v>34</v>
      </c>
      <c r="N112">
        <f t="shared" si="7"/>
        <v>1</v>
      </c>
      <c r="O112" t="str">
        <f t="shared" si="6"/>
        <v>Excellent</v>
      </c>
      <c r="P112" t="str">
        <f t="shared" si="8"/>
        <v>Middle</v>
      </c>
      <c r="Q112" t="str">
        <f t="shared" si="9"/>
        <v>Low Loan</v>
      </c>
      <c r="R112">
        <f t="shared" si="10"/>
        <v>2000000</v>
      </c>
      <c r="S112" t="str">
        <f t="shared" si="11"/>
        <v>Weak</v>
      </c>
    </row>
    <row r="113" spans="1:19" x14ac:dyDescent="0.25">
      <c r="A113">
        <v>112</v>
      </c>
      <c r="B113">
        <v>3</v>
      </c>
      <c r="C113" t="s">
        <v>30</v>
      </c>
      <c r="D113" t="s">
        <v>33</v>
      </c>
      <c r="E113">
        <v>7400000</v>
      </c>
      <c r="F113">
        <v>18200000</v>
      </c>
      <c r="G113">
        <v>14</v>
      </c>
      <c r="H113">
        <v>302</v>
      </c>
      <c r="I113">
        <v>5600000</v>
      </c>
      <c r="J113">
        <v>3100000</v>
      </c>
      <c r="K113">
        <v>17900000</v>
      </c>
      <c r="L113">
        <v>5000000</v>
      </c>
      <c r="M113" t="s">
        <v>35</v>
      </c>
      <c r="N113">
        <f t="shared" si="7"/>
        <v>0</v>
      </c>
      <c r="O113" t="str">
        <f t="shared" si="6"/>
        <v>Low</v>
      </c>
      <c r="P113" t="str">
        <f t="shared" si="8"/>
        <v>High</v>
      </c>
      <c r="Q113" t="str">
        <f t="shared" si="9"/>
        <v>Low Loan</v>
      </c>
      <c r="R113">
        <f t="shared" si="10"/>
        <v>31600000</v>
      </c>
      <c r="S113" t="str">
        <f t="shared" si="11"/>
        <v>Strong</v>
      </c>
    </row>
    <row r="114" spans="1:19" x14ac:dyDescent="0.25">
      <c r="A114">
        <v>113</v>
      </c>
      <c r="B114">
        <v>5</v>
      </c>
      <c r="C114" t="s">
        <v>31</v>
      </c>
      <c r="D114" t="s">
        <v>32</v>
      </c>
      <c r="E114">
        <v>7100000</v>
      </c>
      <c r="F114">
        <v>19700000</v>
      </c>
      <c r="G114">
        <v>8</v>
      </c>
      <c r="H114">
        <v>502</v>
      </c>
      <c r="I114">
        <v>7300000</v>
      </c>
      <c r="J114">
        <v>5600000</v>
      </c>
      <c r="K114">
        <v>25300000</v>
      </c>
      <c r="L114">
        <v>9800000</v>
      </c>
      <c r="M114" t="s">
        <v>35</v>
      </c>
      <c r="N114">
        <f t="shared" si="7"/>
        <v>0</v>
      </c>
      <c r="O114" t="str">
        <f t="shared" si="6"/>
        <v>Low</v>
      </c>
      <c r="P114" t="str">
        <f t="shared" si="8"/>
        <v>High</v>
      </c>
      <c r="Q114" t="str">
        <f t="shared" si="9"/>
        <v>Low Loan</v>
      </c>
      <c r="R114">
        <f t="shared" si="10"/>
        <v>48000000</v>
      </c>
      <c r="S114" t="str">
        <f t="shared" si="11"/>
        <v>Strong</v>
      </c>
    </row>
    <row r="115" spans="1:19" x14ac:dyDescent="0.25">
      <c r="A115">
        <v>114</v>
      </c>
      <c r="B115">
        <v>5</v>
      </c>
      <c r="C115" t="s">
        <v>31</v>
      </c>
      <c r="D115" t="s">
        <v>33</v>
      </c>
      <c r="E115">
        <v>7300000</v>
      </c>
      <c r="F115">
        <v>22100000</v>
      </c>
      <c r="G115">
        <v>18</v>
      </c>
      <c r="H115">
        <v>879</v>
      </c>
      <c r="I115">
        <v>19500000</v>
      </c>
      <c r="J115">
        <v>10600000</v>
      </c>
      <c r="K115">
        <v>19300000</v>
      </c>
      <c r="L115">
        <v>9800000</v>
      </c>
      <c r="M115" t="s">
        <v>34</v>
      </c>
      <c r="N115">
        <f t="shared" si="7"/>
        <v>1</v>
      </c>
      <c r="O115" t="str">
        <f t="shared" si="6"/>
        <v>Excellent</v>
      </c>
      <c r="P115" t="str">
        <f t="shared" si="8"/>
        <v>High</v>
      </c>
      <c r="Q115" t="str">
        <f t="shared" si="9"/>
        <v>High Loan</v>
      </c>
      <c r="R115">
        <f t="shared" si="10"/>
        <v>59200000</v>
      </c>
      <c r="S115" t="str">
        <f t="shared" si="11"/>
        <v>Strong</v>
      </c>
    </row>
    <row r="116" spans="1:19" x14ac:dyDescent="0.25">
      <c r="A116">
        <v>115</v>
      </c>
      <c r="B116">
        <v>1</v>
      </c>
      <c r="C116" t="s">
        <v>31</v>
      </c>
      <c r="D116" t="s">
        <v>32</v>
      </c>
      <c r="E116">
        <v>8400000</v>
      </c>
      <c r="F116">
        <v>23400000</v>
      </c>
      <c r="G116">
        <v>14</v>
      </c>
      <c r="H116">
        <v>437</v>
      </c>
      <c r="I116">
        <v>15400000</v>
      </c>
      <c r="J116">
        <v>5800000</v>
      </c>
      <c r="K116">
        <v>33400000</v>
      </c>
      <c r="L116">
        <v>8100000</v>
      </c>
      <c r="M116" t="s">
        <v>35</v>
      </c>
      <c r="N116">
        <f t="shared" si="7"/>
        <v>0</v>
      </c>
      <c r="O116" t="str">
        <f t="shared" si="6"/>
        <v>Low</v>
      </c>
      <c r="P116" t="str">
        <f t="shared" si="8"/>
        <v>High</v>
      </c>
      <c r="Q116" t="str">
        <f t="shared" si="9"/>
        <v>High Loan</v>
      </c>
      <c r="R116">
        <f t="shared" si="10"/>
        <v>62700000</v>
      </c>
      <c r="S116" t="str">
        <f t="shared" si="11"/>
        <v>Strong</v>
      </c>
    </row>
    <row r="117" spans="1:19" x14ac:dyDescent="0.25">
      <c r="A117">
        <v>116</v>
      </c>
      <c r="B117">
        <v>0</v>
      </c>
      <c r="C117" t="s">
        <v>31</v>
      </c>
      <c r="D117" t="s">
        <v>33</v>
      </c>
      <c r="E117">
        <v>3300000</v>
      </c>
      <c r="F117">
        <v>10800000</v>
      </c>
      <c r="G117">
        <v>12</v>
      </c>
      <c r="H117">
        <v>797</v>
      </c>
      <c r="I117">
        <v>600000</v>
      </c>
      <c r="J117">
        <v>6000000</v>
      </c>
      <c r="K117">
        <v>7700000</v>
      </c>
      <c r="L117">
        <v>3300000</v>
      </c>
      <c r="M117" t="s">
        <v>34</v>
      </c>
      <c r="N117">
        <f t="shared" si="7"/>
        <v>1</v>
      </c>
      <c r="O117" t="str">
        <f t="shared" si="6"/>
        <v>Excellent</v>
      </c>
      <c r="P117" t="str">
        <f t="shared" si="8"/>
        <v>High</v>
      </c>
      <c r="Q117" t="str">
        <f t="shared" si="9"/>
        <v>Low Loan</v>
      </c>
      <c r="R117">
        <f t="shared" si="10"/>
        <v>17600000</v>
      </c>
      <c r="S117" t="str">
        <f t="shared" si="11"/>
        <v>Strong</v>
      </c>
    </row>
    <row r="118" spans="1:19" x14ac:dyDescent="0.25">
      <c r="A118">
        <v>117</v>
      </c>
      <c r="B118">
        <v>4</v>
      </c>
      <c r="C118" t="s">
        <v>31</v>
      </c>
      <c r="D118" t="s">
        <v>33</v>
      </c>
      <c r="E118">
        <v>5800000</v>
      </c>
      <c r="F118">
        <v>23200000</v>
      </c>
      <c r="G118">
        <v>18</v>
      </c>
      <c r="H118">
        <v>456</v>
      </c>
      <c r="I118">
        <v>16100000</v>
      </c>
      <c r="J118">
        <v>4200000</v>
      </c>
      <c r="K118">
        <v>22600000</v>
      </c>
      <c r="L118">
        <v>7500000</v>
      </c>
      <c r="M118" t="s">
        <v>35</v>
      </c>
      <c r="N118">
        <f t="shared" si="7"/>
        <v>0</v>
      </c>
      <c r="O118" t="str">
        <f t="shared" si="6"/>
        <v>Low</v>
      </c>
      <c r="P118" t="str">
        <f t="shared" si="8"/>
        <v>High</v>
      </c>
      <c r="Q118" t="str">
        <f t="shared" si="9"/>
        <v>High Loan</v>
      </c>
      <c r="R118">
        <f t="shared" si="10"/>
        <v>50400000</v>
      </c>
      <c r="S118" t="str">
        <f t="shared" si="11"/>
        <v>Strong</v>
      </c>
    </row>
    <row r="119" spans="1:19" x14ac:dyDescent="0.25">
      <c r="A119">
        <v>118</v>
      </c>
      <c r="B119">
        <v>0</v>
      </c>
      <c r="C119" t="s">
        <v>31</v>
      </c>
      <c r="D119" t="s">
        <v>32</v>
      </c>
      <c r="E119">
        <v>600000</v>
      </c>
      <c r="F119">
        <v>1600000</v>
      </c>
      <c r="G119">
        <v>6</v>
      </c>
      <c r="H119">
        <v>647</v>
      </c>
      <c r="I119">
        <v>1500000</v>
      </c>
      <c r="J119">
        <v>600000</v>
      </c>
      <c r="K119">
        <v>1500000</v>
      </c>
      <c r="L119">
        <v>700000</v>
      </c>
      <c r="M119" t="s">
        <v>34</v>
      </c>
      <c r="N119">
        <f t="shared" si="7"/>
        <v>1</v>
      </c>
      <c r="O119" t="str">
        <f t="shared" si="6"/>
        <v>Low</v>
      </c>
      <c r="P119" t="str">
        <f t="shared" si="8"/>
        <v>Middle</v>
      </c>
      <c r="Q119" t="str">
        <f t="shared" si="9"/>
        <v>Low Loan</v>
      </c>
      <c r="R119">
        <f t="shared" si="10"/>
        <v>4300000</v>
      </c>
      <c r="S119" t="str">
        <f t="shared" si="11"/>
        <v>Weak</v>
      </c>
    </row>
    <row r="120" spans="1:19" x14ac:dyDescent="0.25">
      <c r="A120">
        <v>119</v>
      </c>
      <c r="B120">
        <v>0</v>
      </c>
      <c r="C120" t="s">
        <v>31</v>
      </c>
      <c r="D120" t="s">
        <v>32</v>
      </c>
      <c r="E120">
        <v>7200000</v>
      </c>
      <c r="F120">
        <v>15800000</v>
      </c>
      <c r="G120">
        <v>12</v>
      </c>
      <c r="H120">
        <v>379</v>
      </c>
      <c r="I120">
        <v>12700000</v>
      </c>
      <c r="J120">
        <v>12200000</v>
      </c>
      <c r="K120">
        <v>21500000</v>
      </c>
      <c r="L120">
        <v>3600000</v>
      </c>
      <c r="M120" t="s">
        <v>35</v>
      </c>
      <c r="N120">
        <f t="shared" si="7"/>
        <v>0</v>
      </c>
      <c r="O120" t="str">
        <f t="shared" si="6"/>
        <v>Low</v>
      </c>
      <c r="P120" t="str">
        <f t="shared" si="8"/>
        <v>High</v>
      </c>
      <c r="Q120" t="str">
        <f t="shared" si="9"/>
        <v>Low Loan</v>
      </c>
      <c r="R120">
        <f t="shared" si="10"/>
        <v>50000000</v>
      </c>
      <c r="S120" t="str">
        <f t="shared" si="11"/>
        <v>Strong</v>
      </c>
    </row>
    <row r="121" spans="1:19" x14ac:dyDescent="0.25">
      <c r="A121">
        <v>120</v>
      </c>
      <c r="B121">
        <v>1</v>
      </c>
      <c r="C121" t="s">
        <v>31</v>
      </c>
      <c r="D121" t="s">
        <v>33</v>
      </c>
      <c r="E121">
        <v>9100000</v>
      </c>
      <c r="F121">
        <v>32900000</v>
      </c>
      <c r="G121">
        <v>2</v>
      </c>
      <c r="H121">
        <v>717</v>
      </c>
      <c r="I121">
        <v>2200000</v>
      </c>
      <c r="J121">
        <v>2000000</v>
      </c>
      <c r="K121">
        <v>23600000</v>
      </c>
      <c r="L121">
        <v>5900000</v>
      </c>
      <c r="M121" t="s">
        <v>34</v>
      </c>
      <c r="N121">
        <f t="shared" si="7"/>
        <v>1</v>
      </c>
      <c r="O121" t="str">
        <f t="shared" si="6"/>
        <v>Good</v>
      </c>
      <c r="P121" t="str">
        <f t="shared" si="8"/>
        <v>High</v>
      </c>
      <c r="Q121" t="str">
        <f t="shared" si="9"/>
        <v>High Loan</v>
      </c>
      <c r="R121">
        <f t="shared" si="10"/>
        <v>33700000</v>
      </c>
      <c r="S121" t="str">
        <f t="shared" si="11"/>
        <v>Strong</v>
      </c>
    </row>
    <row r="122" spans="1:19" x14ac:dyDescent="0.25">
      <c r="A122">
        <v>121</v>
      </c>
      <c r="B122">
        <v>5</v>
      </c>
      <c r="C122" t="s">
        <v>30</v>
      </c>
      <c r="D122" t="s">
        <v>32</v>
      </c>
      <c r="E122">
        <v>900000</v>
      </c>
      <c r="F122">
        <v>2300000</v>
      </c>
      <c r="G122">
        <v>16</v>
      </c>
      <c r="H122">
        <v>545</v>
      </c>
      <c r="I122">
        <v>100000</v>
      </c>
      <c r="J122">
        <v>200000</v>
      </c>
      <c r="K122">
        <v>2700000</v>
      </c>
      <c r="L122">
        <v>800000</v>
      </c>
      <c r="M122" t="s">
        <v>35</v>
      </c>
      <c r="N122">
        <f t="shared" si="7"/>
        <v>0</v>
      </c>
      <c r="O122" t="str">
        <f t="shared" si="6"/>
        <v>Low</v>
      </c>
      <c r="P122" t="str">
        <f t="shared" si="8"/>
        <v>High</v>
      </c>
      <c r="Q122" t="str">
        <f t="shared" si="9"/>
        <v>Low Loan</v>
      </c>
      <c r="R122">
        <f t="shared" si="10"/>
        <v>3800000</v>
      </c>
      <c r="S122" t="str">
        <f t="shared" si="11"/>
        <v>Weak</v>
      </c>
    </row>
    <row r="123" spans="1:19" x14ac:dyDescent="0.25">
      <c r="A123">
        <v>122</v>
      </c>
      <c r="B123">
        <v>2</v>
      </c>
      <c r="C123" t="s">
        <v>30</v>
      </c>
      <c r="D123" t="s">
        <v>32</v>
      </c>
      <c r="E123">
        <v>800000</v>
      </c>
      <c r="F123">
        <v>3200000</v>
      </c>
      <c r="G123">
        <v>8</v>
      </c>
      <c r="H123">
        <v>317</v>
      </c>
      <c r="I123">
        <v>300000</v>
      </c>
      <c r="J123">
        <v>1000000</v>
      </c>
      <c r="K123">
        <v>2000000</v>
      </c>
      <c r="L123">
        <v>900000</v>
      </c>
      <c r="M123" t="s">
        <v>35</v>
      </c>
      <c r="N123">
        <f t="shared" si="7"/>
        <v>0</v>
      </c>
      <c r="O123" t="str">
        <f t="shared" si="6"/>
        <v>Low</v>
      </c>
      <c r="P123" t="str">
        <f t="shared" si="8"/>
        <v>High</v>
      </c>
      <c r="Q123" t="str">
        <f t="shared" si="9"/>
        <v>Low Loan</v>
      </c>
      <c r="R123">
        <f t="shared" si="10"/>
        <v>4200000</v>
      </c>
      <c r="S123" t="str">
        <f t="shared" si="11"/>
        <v>Weak</v>
      </c>
    </row>
    <row r="124" spans="1:19" x14ac:dyDescent="0.25">
      <c r="A124">
        <v>123</v>
      </c>
      <c r="B124">
        <v>1</v>
      </c>
      <c r="C124" t="s">
        <v>31</v>
      </c>
      <c r="D124" t="s">
        <v>32</v>
      </c>
      <c r="E124">
        <v>8500000</v>
      </c>
      <c r="F124">
        <v>32900000</v>
      </c>
      <c r="G124">
        <v>10</v>
      </c>
      <c r="H124">
        <v>570</v>
      </c>
      <c r="I124">
        <v>5100000</v>
      </c>
      <c r="J124">
        <v>6200000</v>
      </c>
      <c r="K124">
        <v>20500000</v>
      </c>
      <c r="L124">
        <v>5500000</v>
      </c>
      <c r="M124" t="s">
        <v>34</v>
      </c>
      <c r="N124">
        <f t="shared" si="7"/>
        <v>1</v>
      </c>
      <c r="O124" t="str">
        <f t="shared" si="6"/>
        <v>Low</v>
      </c>
      <c r="P124" t="str">
        <f t="shared" si="8"/>
        <v>High</v>
      </c>
      <c r="Q124" t="str">
        <f t="shared" si="9"/>
        <v>High Loan</v>
      </c>
      <c r="R124">
        <f t="shared" si="10"/>
        <v>37300000</v>
      </c>
      <c r="S124" t="str">
        <f t="shared" si="11"/>
        <v>Strong</v>
      </c>
    </row>
    <row r="125" spans="1:19" x14ac:dyDescent="0.25">
      <c r="A125">
        <v>124</v>
      </c>
      <c r="B125">
        <v>0</v>
      </c>
      <c r="C125" t="s">
        <v>31</v>
      </c>
      <c r="D125" t="s">
        <v>33</v>
      </c>
      <c r="E125">
        <v>9000000</v>
      </c>
      <c r="F125">
        <v>18700000</v>
      </c>
      <c r="G125">
        <v>18</v>
      </c>
      <c r="H125">
        <v>865</v>
      </c>
      <c r="I125">
        <v>26800000</v>
      </c>
      <c r="J125">
        <v>0</v>
      </c>
      <c r="K125">
        <v>20900000</v>
      </c>
      <c r="L125">
        <v>11300000</v>
      </c>
      <c r="M125" t="s">
        <v>34</v>
      </c>
      <c r="N125">
        <f t="shared" si="7"/>
        <v>1</v>
      </c>
      <c r="O125" t="str">
        <f t="shared" si="6"/>
        <v>Excellent</v>
      </c>
      <c r="P125" t="str">
        <f t="shared" si="8"/>
        <v>High</v>
      </c>
      <c r="Q125" t="str">
        <f t="shared" si="9"/>
        <v>Low Loan</v>
      </c>
      <c r="R125">
        <f t="shared" si="10"/>
        <v>59000000</v>
      </c>
      <c r="S125" t="str">
        <f t="shared" si="11"/>
        <v>Strong</v>
      </c>
    </row>
    <row r="126" spans="1:19" x14ac:dyDescent="0.25">
      <c r="A126">
        <v>125</v>
      </c>
      <c r="B126">
        <v>3</v>
      </c>
      <c r="C126" t="s">
        <v>30</v>
      </c>
      <c r="D126" t="s">
        <v>32</v>
      </c>
      <c r="E126">
        <v>7000000</v>
      </c>
      <c r="F126">
        <v>19500000</v>
      </c>
      <c r="G126">
        <v>14</v>
      </c>
      <c r="H126">
        <v>719</v>
      </c>
      <c r="I126">
        <v>12200000</v>
      </c>
      <c r="J126">
        <v>10300000</v>
      </c>
      <c r="K126">
        <v>18200000</v>
      </c>
      <c r="L126">
        <v>10200000</v>
      </c>
      <c r="M126" t="s">
        <v>34</v>
      </c>
      <c r="N126">
        <f t="shared" si="7"/>
        <v>1</v>
      </c>
      <c r="O126" t="str">
        <f t="shared" si="6"/>
        <v>Good</v>
      </c>
      <c r="P126" t="str">
        <f t="shared" si="8"/>
        <v>High</v>
      </c>
      <c r="Q126" t="str">
        <f t="shared" si="9"/>
        <v>Low Loan</v>
      </c>
      <c r="R126">
        <f t="shared" si="10"/>
        <v>50900000</v>
      </c>
      <c r="S126" t="str">
        <f t="shared" si="11"/>
        <v>Strong</v>
      </c>
    </row>
    <row r="127" spans="1:19" x14ac:dyDescent="0.25">
      <c r="A127">
        <v>126</v>
      </c>
      <c r="B127">
        <v>3</v>
      </c>
      <c r="C127" t="s">
        <v>30</v>
      </c>
      <c r="D127" t="s">
        <v>32</v>
      </c>
      <c r="E127">
        <v>200000</v>
      </c>
      <c r="F127">
        <v>600000</v>
      </c>
      <c r="G127">
        <v>16</v>
      </c>
      <c r="H127">
        <v>821</v>
      </c>
      <c r="I127">
        <v>400000</v>
      </c>
      <c r="J127">
        <v>100000</v>
      </c>
      <c r="K127">
        <v>500000</v>
      </c>
      <c r="L127">
        <v>100000</v>
      </c>
      <c r="M127" t="s">
        <v>34</v>
      </c>
      <c r="N127">
        <f t="shared" si="7"/>
        <v>1</v>
      </c>
      <c r="O127" t="str">
        <f t="shared" si="6"/>
        <v>Excellent</v>
      </c>
      <c r="P127" t="str">
        <f t="shared" si="8"/>
        <v>Low</v>
      </c>
      <c r="Q127" t="str">
        <f t="shared" si="9"/>
        <v>Low Loan</v>
      </c>
      <c r="R127">
        <f t="shared" si="10"/>
        <v>1100000</v>
      </c>
      <c r="S127" t="str">
        <f t="shared" si="11"/>
        <v>Weak</v>
      </c>
    </row>
    <row r="128" spans="1:19" x14ac:dyDescent="0.25">
      <c r="A128">
        <v>127</v>
      </c>
      <c r="B128">
        <v>4</v>
      </c>
      <c r="C128" t="s">
        <v>31</v>
      </c>
      <c r="D128" t="s">
        <v>33</v>
      </c>
      <c r="E128">
        <v>400000</v>
      </c>
      <c r="F128">
        <v>800000</v>
      </c>
      <c r="G128">
        <v>10</v>
      </c>
      <c r="H128">
        <v>859</v>
      </c>
      <c r="I128">
        <v>900000</v>
      </c>
      <c r="J128">
        <v>500000</v>
      </c>
      <c r="K128">
        <v>800000</v>
      </c>
      <c r="L128">
        <v>200000</v>
      </c>
      <c r="M128" t="s">
        <v>34</v>
      </c>
      <c r="N128">
        <f t="shared" si="7"/>
        <v>1</v>
      </c>
      <c r="O128" t="str">
        <f t="shared" si="6"/>
        <v>Excellent</v>
      </c>
      <c r="P128" t="str">
        <f t="shared" si="8"/>
        <v>Middle</v>
      </c>
      <c r="Q128" t="str">
        <f t="shared" si="9"/>
        <v>Low Loan</v>
      </c>
      <c r="R128">
        <f t="shared" si="10"/>
        <v>2400000</v>
      </c>
      <c r="S128" t="str">
        <f t="shared" si="11"/>
        <v>Weak</v>
      </c>
    </row>
    <row r="129" spans="1:19" x14ac:dyDescent="0.25">
      <c r="A129">
        <v>128</v>
      </c>
      <c r="B129">
        <v>3</v>
      </c>
      <c r="C129" t="s">
        <v>31</v>
      </c>
      <c r="D129" t="s">
        <v>32</v>
      </c>
      <c r="E129">
        <v>5100000</v>
      </c>
      <c r="F129">
        <v>18200000</v>
      </c>
      <c r="G129">
        <v>10</v>
      </c>
      <c r="H129">
        <v>395</v>
      </c>
      <c r="I129">
        <v>100000</v>
      </c>
      <c r="J129">
        <v>8000000</v>
      </c>
      <c r="K129">
        <v>15500000</v>
      </c>
      <c r="L129">
        <v>6300000</v>
      </c>
      <c r="M129" t="s">
        <v>35</v>
      </c>
      <c r="N129">
        <f t="shared" si="7"/>
        <v>0</v>
      </c>
      <c r="O129" t="str">
        <f t="shared" si="6"/>
        <v>Low</v>
      </c>
      <c r="P129" t="str">
        <f t="shared" si="8"/>
        <v>High</v>
      </c>
      <c r="Q129" t="str">
        <f t="shared" si="9"/>
        <v>Low Loan</v>
      </c>
      <c r="R129">
        <f t="shared" si="10"/>
        <v>29900000</v>
      </c>
      <c r="S129" t="str">
        <f t="shared" si="11"/>
        <v>Strong</v>
      </c>
    </row>
    <row r="130" spans="1:19" x14ac:dyDescent="0.25">
      <c r="A130">
        <v>129</v>
      </c>
      <c r="B130">
        <v>2</v>
      </c>
      <c r="C130" t="s">
        <v>31</v>
      </c>
      <c r="D130" t="s">
        <v>33</v>
      </c>
      <c r="E130">
        <v>700000</v>
      </c>
      <c r="F130">
        <v>2600000</v>
      </c>
      <c r="G130">
        <v>12</v>
      </c>
      <c r="H130">
        <v>429</v>
      </c>
      <c r="I130">
        <v>1600000</v>
      </c>
      <c r="J130">
        <v>1300000</v>
      </c>
      <c r="K130">
        <v>2700000</v>
      </c>
      <c r="L130">
        <v>800000</v>
      </c>
      <c r="M130" t="s">
        <v>35</v>
      </c>
      <c r="N130">
        <f t="shared" si="7"/>
        <v>0</v>
      </c>
      <c r="O130" t="str">
        <f t="shared" ref="O130:O193" si="12">IF(H130&lt;650,"Low",
 IF(H130&lt;700,"Medium",
 IF(H130&lt;750,"Good","Excellent")))</f>
        <v>Low</v>
      </c>
      <c r="P130" t="str">
        <f t="shared" si="8"/>
        <v>High</v>
      </c>
      <c r="Q130" t="str">
        <f t="shared" si="9"/>
        <v>Low Loan</v>
      </c>
      <c r="R130">
        <f t="shared" si="10"/>
        <v>6400000</v>
      </c>
      <c r="S130" t="str">
        <f t="shared" si="11"/>
        <v>Moderate</v>
      </c>
    </row>
    <row r="131" spans="1:19" x14ac:dyDescent="0.25">
      <c r="A131">
        <v>130</v>
      </c>
      <c r="B131">
        <v>3</v>
      </c>
      <c r="C131" t="s">
        <v>30</v>
      </c>
      <c r="D131" t="s">
        <v>32</v>
      </c>
      <c r="E131">
        <v>400000</v>
      </c>
      <c r="F131">
        <v>1200000</v>
      </c>
      <c r="G131">
        <v>12</v>
      </c>
      <c r="H131">
        <v>861</v>
      </c>
      <c r="I131">
        <v>200000</v>
      </c>
      <c r="J131">
        <v>600000</v>
      </c>
      <c r="K131">
        <v>1100000</v>
      </c>
      <c r="L131">
        <v>200000</v>
      </c>
      <c r="M131" t="s">
        <v>34</v>
      </c>
      <c r="N131">
        <f t="shared" ref="N131:N194" si="13">IF(TRIM(CLEAN(M131))="Approved",1,0)</f>
        <v>1</v>
      </c>
      <c r="O131" t="str">
        <f t="shared" si="12"/>
        <v>Excellent</v>
      </c>
      <c r="P131" t="str">
        <f t="shared" ref="P131:P194" si="14">IF(E131&lt;300000,"Low",
 IF(E131&lt;700000,"Middle","High"))</f>
        <v>Middle</v>
      </c>
      <c r="Q131" t="str">
        <f t="shared" ref="Q131:Q194" si="15">IF(F131&lt;20000000,"Low Loan","High Loan")</f>
        <v>Low Loan</v>
      </c>
      <c r="R131">
        <f t="shared" ref="R131:R194" si="16">I131+J131+K131+L131</f>
        <v>2100000</v>
      </c>
      <c r="S131" t="str">
        <f t="shared" ref="S131:S194" si="17">IF(R131&lt;5000000,"Weak",
 IF(R131&lt;10000000,"Moderate","Strong"))</f>
        <v>Weak</v>
      </c>
    </row>
    <row r="132" spans="1:19" x14ac:dyDescent="0.25">
      <c r="A132">
        <v>131</v>
      </c>
      <c r="B132">
        <v>0</v>
      </c>
      <c r="C132" t="s">
        <v>31</v>
      </c>
      <c r="D132" t="s">
        <v>33</v>
      </c>
      <c r="E132">
        <v>9500000</v>
      </c>
      <c r="F132">
        <v>20800000</v>
      </c>
      <c r="G132">
        <v>14</v>
      </c>
      <c r="H132">
        <v>565</v>
      </c>
      <c r="I132">
        <v>15100000</v>
      </c>
      <c r="J132">
        <v>11900000</v>
      </c>
      <c r="K132">
        <v>33900000</v>
      </c>
      <c r="L132">
        <v>13400000</v>
      </c>
      <c r="M132" t="s">
        <v>34</v>
      </c>
      <c r="N132">
        <f t="shared" si="13"/>
        <v>1</v>
      </c>
      <c r="O132" t="str">
        <f t="shared" si="12"/>
        <v>Low</v>
      </c>
      <c r="P132" t="str">
        <f t="shared" si="14"/>
        <v>High</v>
      </c>
      <c r="Q132" t="str">
        <f t="shared" si="15"/>
        <v>High Loan</v>
      </c>
      <c r="R132">
        <f t="shared" si="16"/>
        <v>74300000</v>
      </c>
      <c r="S132" t="str">
        <f t="shared" si="17"/>
        <v>Strong</v>
      </c>
    </row>
    <row r="133" spans="1:19" x14ac:dyDescent="0.25">
      <c r="A133">
        <v>132</v>
      </c>
      <c r="B133">
        <v>5</v>
      </c>
      <c r="C133" t="s">
        <v>30</v>
      </c>
      <c r="D133" t="s">
        <v>32</v>
      </c>
      <c r="E133">
        <v>8800000</v>
      </c>
      <c r="F133">
        <v>22600000</v>
      </c>
      <c r="G133">
        <v>10</v>
      </c>
      <c r="H133">
        <v>357</v>
      </c>
      <c r="I133">
        <v>7900000</v>
      </c>
      <c r="J133">
        <v>8600000</v>
      </c>
      <c r="K133">
        <v>18200000</v>
      </c>
      <c r="L133">
        <v>4900000</v>
      </c>
      <c r="M133" t="s">
        <v>35</v>
      </c>
      <c r="N133">
        <f t="shared" si="13"/>
        <v>0</v>
      </c>
      <c r="O133" t="str">
        <f t="shared" si="12"/>
        <v>Low</v>
      </c>
      <c r="P133" t="str">
        <f t="shared" si="14"/>
        <v>High</v>
      </c>
      <c r="Q133" t="str">
        <f t="shared" si="15"/>
        <v>High Loan</v>
      </c>
      <c r="R133">
        <f t="shared" si="16"/>
        <v>39600000</v>
      </c>
      <c r="S133" t="str">
        <f t="shared" si="17"/>
        <v>Strong</v>
      </c>
    </row>
    <row r="134" spans="1:19" x14ac:dyDescent="0.25">
      <c r="A134">
        <v>133</v>
      </c>
      <c r="B134">
        <v>3</v>
      </c>
      <c r="C134" t="s">
        <v>31</v>
      </c>
      <c r="D134" t="s">
        <v>33</v>
      </c>
      <c r="E134">
        <v>1800000</v>
      </c>
      <c r="F134">
        <v>3600000</v>
      </c>
      <c r="G134">
        <v>18</v>
      </c>
      <c r="H134">
        <v>465</v>
      </c>
      <c r="I134">
        <v>600000</v>
      </c>
      <c r="J134">
        <v>500000</v>
      </c>
      <c r="K134">
        <v>5400000</v>
      </c>
      <c r="L134">
        <v>2600000</v>
      </c>
      <c r="M134" t="s">
        <v>35</v>
      </c>
      <c r="N134">
        <f t="shared" si="13"/>
        <v>0</v>
      </c>
      <c r="O134" t="str">
        <f t="shared" si="12"/>
        <v>Low</v>
      </c>
      <c r="P134" t="str">
        <f t="shared" si="14"/>
        <v>High</v>
      </c>
      <c r="Q134" t="str">
        <f t="shared" si="15"/>
        <v>Low Loan</v>
      </c>
      <c r="R134">
        <f t="shared" si="16"/>
        <v>9100000</v>
      </c>
      <c r="S134" t="str">
        <f t="shared" si="17"/>
        <v>Moderate</v>
      </c>
    </row>
    <row r="135" spans="1:19" x14ac:dyDescent="0.25">
      <c r="A135">
        <v>134</v>
      </c>
      <c r="B135">
        <v>4</v>
      </c>
      <c r="C135" t="s">
        <v>31</v>
      </c>
      <c r="D135" t="s">
        <v>33</v>
      </c>
      <c r="E135">
        <v>6800000</v>
      </c>
      <c r="F135">
        <v>13900000</v>
      </c>
      <c r="G135">
        <v>8</v>
      </c>
      <c r="H135">
        <v>479</v>
      </c>
      <c r="I135">
        <v>11700000</v>
      </c>
      <c r="J135">
        <v>9100000</v>
      </c>
      <c r="K135">
        <v>25700000</v>
      </c>
      <c r="L135">
        <v>9600000</v>
      </c>
      <c r="M135" t="s">
        <v>35</v>
      </c>
      <c r="N135">
        <f t="shared" si="13"/>
        <v>0</v>
      </c>
      <c r="O135" t="str">
        <f t="shared" si="12"/>
        <v>Low</v>
      </c>
      <c r="P135" t="str">
        <f t="shared" si="14"/>
        <v>High</v>
      </c>
      <c r="Q135" t="str">
        <f t="shared" si="15"/>
        <v>Low Loan</v>
      </c>
      <c r="R135">
        <f t="shared" si="16"/>
        <v>56100000</v>
      </c>
      <c r="S135" t="str">
        <f t="shared" si="17"/>
        <v>Strong</v>
      </c>
    </row>
    <row r="136" spans="1:19" x14ac:dyDescent="0.25">
      <c r="A136">
        <v>135</v>
      </c>
      <c r="B136">
        <v>3</v>
      </c>
      <c r="C136" t="s">
        <v>31</v>
      </c>
      <c r="D136" t="s">
        <v>32</v>
      </c>
      <c r="E136">
        <v>1500000</v>
      </c>
      <c r="F136">
        <v>5500000</v>
      </c>
      <c r="G136">
        <v>16</v>
      </c>
      <c r="H136">
        <v>717</v>
      </c>
      <c r="I136">
        <v>2100000</v>
      </c>
      <c r="J136">
        <v>800000</v>
      </c>
      <c r="K136">
        <v>4400000</v>
      </c>
      <c r="L136">
        <v>1300000</v>
      </c>
      <c r="M136" t="s">
        <v>34</v>
      </c>
      <c r="N136">
        <f t="shared" si="13"/>
        <v>1</v>
      </c>
      <c r="O136" t="str">
        <f t="shared" si="12"/>
        <v>Good</v>
      </c>
      <c r="P136" t="str">
        <f t="shared" si="14"/>
        <v>High</v>
      </c>
      <c r="Q136" t="str">
        <f t="shared" si="15"/>
        <v>Low Loan</v>
      </c>
      <c r="R136">
        <f t="shared" si="16"/>
        <v>8600000</v>
      </c>
      <c r="S136" t="str">
        <f t="shared" si="17"/>
        <v>Moderate</v>
      </c>
    </row>
    <row r="137" spans="1:19" x14ac:dyDescent="0.25">
      <c r="A137">
        <v>136</v>
      </c>
      <c r="B137">
        <v>3</v>
      </c>
      <c r="C137" t="s">
        <v>30</v>
      </c>
      <c r="D137" t="s">
        <v>32</v>
      </c>
      <c r="E137">
        <v>1600000</v>
      </c>
      <c r="F137">
        <v>5500000</v>
      </c>
      <c r="G137">
        <v>12</v>
      </c>
      <c r="H137">
        <v>425</v>
      </c>
      <c r="I137">
        <v>600000</v>
      </c>
      <c r="J137">
        <v>800000</v>
      </c>
      <c r="K137">
        <v>5400000</v>
      </c>
      <c r="L137">
        <v>900000</v>
      </c>
      <c r="M137" t="s">
        <v>35</v>
      </c>
      <c r="N137">
        <f t="shared" si="13"/>
        <v>0</v>
      </c>
      <c r="O137" t="str">
        <f t="shared" si="12"/>
        <v>Low</v>
      </c>
      <c r="P137" t="str">
        <f t="shared" si="14"/>
        <v>High</v>
      </c>
      <c r="Q137" t="str">
        <f t="shared" si="15"/>
        <v>Low Loan</v>
      </c>
      <c r="R137">
        <f t="shared" si="16"/>
        <v>7700000</v>
      </c>
      <c r="S137" t="str">
        <f t="shared" si="17"/>
        <v>Moderate</v>
      </c>
    </row>
    <row r="138" spans="1:19" x14ac:dyDescent="0.25">
      <c r="A138">
        <v>137</v>
      </c>
      <c r="B138">
        <v>2</v>
      </c>
      <c r="C138" t="s">
        <v>31</v>
      </c>
      <c r="D138" t="s">
        <v>32</v>
      </c>
      <c r="E138">
        <v>4600000</v>
      </c>
      <c r="F138">
        <v>16700000</v>
      </c>
      <c r="G138">
        <v>2</v>
      </c>
      <c r="H138">
        <v>786</v>
      </c>
      <c r="I138">
        <v>200000</v>
      </c>
      <c r="J138">
        <v>5900000</v>
      </c>
      <c r="K138">
        <v>13900000</v>
      </c>
      <c r="L138">
        <v>6100000</v>
      </c>
      <c r="M138" t="s">
        <v>34</v>
      </c>
      <c r="N138">
        <f t="shared" si="13"/>
        <v>1</v>
      </c>
      <c r="O138" t="str">
        <f t="shared" si="12"/>
        <v>Excellent</v>
      </c>
      <c r="P138" t="str">
        <f t="shared" si="14"/>
        <v>High</v>
      </c>
      <c r="Q138" t="str">
        <f t="shared" si="15"/>
        <v>Low Loan</v>
      </c>
      <c r="R138">
        <f t="shared" si="16"/>
        <v>26100000</v>
      </c>
      <c r="S138" t="str">
        <f t="shared" si="17"/>
        <v>Strong</v>
      </c>
    </row>
    <row r="139" spans="1:19" x14ac:dyDescent="0.25">
      <c r="A139">
        <v>138</v>
      </c>
      <c r="B139">
        <v>5</v>
      </c>
      <c r="C139" t="s">
        <v>31</v>
      </c>
      <c r="D139" t="s">
        <v>33</v>
      </c>
      <c r="E139">
        <v>2200000</v>
      </c>
      <c r="F139">
        <v>6700000</v>
      </c>
      <c r="G139">
        <v>6</v>
      </c>
      <c r="H139">
        <v>382</v>
      </c>
      <c r="I139">
        <v>4400000</v>
      </c>
      <c r="J139">
        <v>1300000</v>
      </c>
      <c r="K139">
        <v>8600000</v>
      </c>
      <c r="L139">
        <v>1100000</v>
      </c>
      <c r="M139" t="s">
        <v>35</v>
      </c>
      <c r="N139">
        <f t="shared" si="13"/>
        <v>0</v>
      </c>
      <c r="O139" t="str">
        <f t="shared" si="12"/>
        <v>Low</v>
      </c>
      <c r="P139" t="str">
        <f t="shared" si="14"/>
        <v>High</v>
      </c>
      <c r="Q139" t="str">
        <f t="shared" si="15"/>
        <v>Low Loan</v>
      </c>
      <c r="R139">
        <f t="shared" si="16"/>
        <v>15400000</v>
      </c>
      <c r="S139" t="str">
        <f t="shared" si="17"/>
        <v>Strong</v>
      </c>
    </row>
    <row r="140" spans="1:19" x14ac:dyDescent="0.25">
      <c r="A140">
        <v>139</v>
      </c>
      <c r="B140">
        <v>3</v>
      </c>
      <c r="C140" t="s">
        <v>31</v>
      </c>
      <c r="D140" t="s">
        <v>33</v>
      </c>
      <c r="E140">
        <v>2900000</v>
      </c>
      <c r="F140">
        <v>8500000</v>
      </c>
      <c r="G140">
        <v>12</v>
      </c>
      <c r="H140">
        <v>564</v>
      </c>
      <c r="I140">
        <v>1000000</v>
      </c>
      <c r="J140">
        <v>3100000</v>
      </c>
      <c r="K140">
        <v>7500000</v>
      </c>
      <c r="L140">
        <v>1800000</v>
      </c>
      <c r="M140" t="s">
        <v>34</v>
      </c>
      <c r="N140">
        <f t="shared" si="13"/>
        <v>1</v>
      </c>
      <c r="O140" t="str">
        <f t="shared" si="12"/>
        <v>Low</v>
      </c>
      <c r="P140" t="str">
        <f t="shared" si="14"/>
        <v>High</v>
      </c>
      <c r="Q140" t="str">
        <f t="shared" si="15"/>
        <v>Low Loan</v>
      </c>
      <c r="R140">
        <f t="shared" si="16"/>
        <v>13400000</v>
      </c>
      <c r="S140" t="str">
        <f t="shared" si="17"/>
        <v>Strong</v>
      </c>
    </row>
    <row r="141" spans="1:19" x14ac:dyDescent="0.25">
      <c r="A141">
        <v>140</v>
      </c>
      <c r="B141">
        <v>0</v>
      </c>
      <c r="C141" t="s">
        <v>30</v>
      </c>
      <c r="D141" t="s">
        <v>32</v>
      </c>
      <c r="E141">
        <v>200000</v>
      </c>
      <c r="F141">
        <v>700000</v>
      </c>
      <c r="G141">
        <v>8</v>
      </c>
      <c r="H141">
        <v>501</v>
      </c>
      <c r="I141">
        <v>500000</v>
      </c>
      <c r="J141">
        <v>200000</v>
      </c>
      <c r="K141">
        <v>700000</v>
      </c>
      <c r="L141">
        <v>100000</v>
      </c>
      <c r="M141" t="s">
        <v>35</v>
      </c>
      <c r="N141">
        <f t="shared" si="13"/>
        <v>0</v>
      </c>
      <c r="O141" t="str">
        <f t="shared" si="12"/>
        <v>Low</v>
      </c>
      <c r="P141" t="str">
        <f t="shared" si="14"/>
        <v>Low</v>
      </c>
      <c r="Q141" t="str">
        <f t="shared" si="15"/>
        <v>Low Loan</v>
      </c>
      <c r="R141">
        <f t="shared" si="16"/>
        <v>1500000</v>
      </c>
      <c r="S141" t="str">
        <f t="shared" si="17"/>
        <v>Weak</v>
      </c>
    </row>
    <row r="142" spans="1:19" x14ac:dyDescent="0.25">
      <c r="A142">
        <v>141</v>
      </c>
      <c r="B142">
        <v>2</v>
      </c>
      <c r="C142" t="s">
        <v>31</v>
      </c>
      <c r="D142" t="s">
        <v>33</v>
      </c>
      <c r="E142">
        <v>2500000</v>
      </c>
      <c r="F142">
        <v>9400000</v>
      </c>
      <c r="G142">
        <v>10</v>
      </c>
      <c r="H142">
        <v>727</v>
      </c>
      <c r="I142">
        <v>6600000</v>
      </c>
      <c r="J142">
        <v>4100000</v>
      </c>
      <c r="K142">
        <v>9500000</v>
      </c>
      <c r="L142">
        <v>3300000</v>
      </c>
      <c r="M142" t="s">
        <v>34</v>
      </c>
      <c r="N142">
        <f t="shared" si="13"/>
        <v>1</v>
      </c>
      <c r="O142" t="str">
        <f t="shared" si="12"/>
        <v>Good</v>
      </c>
      <c r="P142" t="str">
        <f t="shared" si="14"/>
        <v>High</v>
      </c>
      <c r="Q142" t="str">
        <f t="shared" si="15"/>
        <v>Low Loan</v>
      </c>
      <c r="R142">
        <f t="shared" si="16"/>
        <v>23500000</v>
      </c>
      <c r="S142" t="str">
        <f t="shared" si="17"/>
        <v>Strong</v>
      </c>
    </row>
    <row r="143" spans="1:19" x14ac:dyDescent="0.25">
      <c r="A143">
        <v>142</v>
      </c>
      <c r="B143">
        <v>4</v>
      </c>
      <c r="C143" t="s">
        <v>31</v>
      </c>
      <c r="D143" t="s">
        <v>32</v>
      </c>
      <c r="E143">
        <v>3600000</v>
      </c>
      <c r="F143">
        <v>7500000</v>
      </c>
      <c r="G143">
        <v>6</v>
      </c>
      <c r="H143">
        <v>894</v>
      </c>
      <c r="I143">
        <v>1100000</v>
      </c>
      <c r="J143">
        <v>6500000</v>
      </c>
      <c r="K143">
        <v>7400000</v>
      </c>
      <c r="L143">
        <v>2800000</v>
      </c>
      <c r="M143" t="s">
        <v>34</v>
      </c>
      <c r="N143">
        <f t="shared" si="13"/>
        <v>1</v>
      </c>
      <c r="O143" t="str">
        <f t="shared" si="12"/>
        <v>Excellent</v>
      </c>
      <c r="P143" t="str">
        <f t="shared" si="14"/>
        <v>High</v>
      </c>
      <c r="Q143" t="str">
        <f t="shared" si="15"/>
        <v>Low Loan</v>
      </c>
      <c r="R143">
        <f t="shared" si="16"/>
        <v>17800000</v>
      </c>
      <c r="S143" t="str">
        <f t="shared" si="17"/>
        <v>Strong</v>
      </c>
    </row>
    <row r="144" spans="1:19" x14ac:dyDescent="0.25">
      <c r="A144">
        <v>143</v>
      </c>
      <c r="B144">
        <v>0</v>
      </c>
      <c r="C144" t="s">
        <v>30</v>
      </c>
      <c r="D144" t="s">
        <v>33</v>
      </c>
      <c r="E144">
        <v>5500000</v>
      </c>
      <c r="F144">
        <v>16700000</v>
      </c>
      <c r="G144">
        <v>18</v>
      </c>
      <c r="H144">
        <v>829</v>
      </c>
      <c r="I144">
        <v>5500000</v>
      </c>
      <c r="J144">
        <v>1300000</v>
      </c>
      <c r="K144">
        <v>12800000</v>
      </c>
      <c r="L144">
        <v>5900000</v>
      </c>
      <c r="M144" t="s">
        <v>34</v>
      </c>
      <c r="N144">
        <f t="shared" si="13"/>
        <v>1</v>
      </c>
      <c r="O144" t="str">
        <f t="shared" si="12"/>
        <v>Excellent</v>
      </c>
      <c r="P144" t="str">
        <f t="shared" si="14"/>
        <v>High</v>
      </c>
      <c r="Q144" t="str">
        <f t="shared" si="15"/>
        <v>Low Loan</v>
      </c>
      <c r="R144">
        <f t="shared" si="16"/>
        <v>25500000</v>
      </c>
      <c r="S144" t="str">
        <f t="shared" si="17"/>
        <v>Strong</v>
      </c>
    </row>
    <row r="145" spans="1:19" x14ac:dyDescent="0.25">
      <c r="A145">
        <v>144</v>
      </c>
      <c r="B145">
        <v>4</v>
      </c>
      <c r="C145" t="s">
        <v>31</v>
      </c>
      <c r="D145" t="s">
        <v>32</v>
      </c>
      <c r="E145">
        <v>6600000</v>
      </c>
      <c r="F145">
        <v>17400000</v>
      </c>
      <c r="G145">
        <v>20</v>
      </c>
      <c r="H145">
        <v>506</v>
      </c>
      <c r="I145">
        <v>2600000</v>
      </c>
      <c r="J145">
        <v>10000000</v>
      </c>
      <c r="K145">
        <v>25900000</v>
      </c>
      <c r="L145">
        <v>7200000</v>
      </c>
      <c r="M145" t="s">
        <v>35</v>
      </c>
      <c r="N145">
        <f t="shared" si="13"/>
        <v>0</v>
      </c>
      <c r="O145" t="str">
        <f t="shared" si="12"/>
        <v>Low</v>
      </c>
      <c r="P145" t="str">
        <f t="shared" si="14"/>
        <v>High</v>
      </c>
      <c r="Q145" t="str">
        <f t="shared" si="15"/>
        <v>Low Loan</v>
      </c>
      <c r="R145">
        <f t="shared" si="16"/>
        <v>45700000</v>
      </c>
      <c r="S145" t="str">
        <f t="shared" si="17"/>
        <v>Strong</v>
      </c>
    </row>
    <row r="146" spans="1:19" x14ac:dyDescent="0.25">
      <c r="A146">
        <v>145</v>
      </c>
      <c r="B146">
        <v>2</v>
      </c>
      <c r="C146" t="s">
        <v>30</v>
      </c>
      <c r="D146" t="s">
        <v>33</v>
      </c>
      <c r="E146">
        <v>8600000</v>
      </c>
      <c r="F146">
        <v>32100000</v>
      </c>
      <c r="G146">
        <v>6</v>
      </c>
      <c r="H146">
        <v>802</v>
      </c>
      <c r="I146">
        <v>9400000</v>
      </c>
      <c r="J146">
        <v>16700000</v>
      </c>
      <c r="K146">
        <v>24500000</v>
      </c>
      <c r="L146">
        <v>9800000</v>
      </c>
      <c r="M146" t="s">
        <v>34</v>
      </c>
      <c r="N146">
        <f t="shared" si="13"/>
        <v>1</v>
      </c>
      <c r="O146" t="str">
        <f t="shared" si="12"/>
        <v>Excellent</v>
      </c>
      <c r="P146" t="str">
        <f t="shared" si="14"/>
        <v>High</v>
      </c>
      <c r="Q146" t="str">
        <f t="shared" si="15"/>
        <v>High Loan</v>
      </c>
      <c r="R146">
        <f t="shared" si="16"/>
        <v>60400000</v>
      </c>
      <c r="S146" t="str">
        <f t="shared" si="17"/>
        <v>Strong</v>
      </c>
    </row>
    <row r="147" spans="1:19" x14ac:dyDescent="0.25">
      <c r="A147">
        <v>146</v>
      </c>
      <c r="B147">
        <v>5</v>
      </c>
      <c r="C147" t="s">
        <v>31</v>
      </c>
      <c r="D147" t="s">
        <v>32</v>
      </c>
      <c r="E147">
        <v>600000</v>
      </c>
      <c r="F147">
        <v>1500000</v>
      </c>
      <c r="G147">
        <v>14</v>
      </c>
      <c r="H147">
        <v>543</v>
      </c>
      <c r="I147">
        <v>300000</v>
      </c>
      <c r="J147">
        <v>900000</v>
      </c>
      <c r="K147">
        <v>2100000</v>
      </c>
      <c r="L147">
        <v>300000</v>
      </c>
      <c r="M147" t="s">
        <v>35</v>
      </c>
      <c r="N147">
        <f t="shared" si="13"/>
        <v>0</v>
      </c>
      <c r="O147" t="str">
        <f t="shared" si="12"/>
        <v>Low</v>
      </c>
      <c r="P147" t="str">
        <f t="shared" si="14"/>
        <v>Middle</v>
      </c>
      <c r="Q147" t="str">
        <f t="shared" si="15"/>
        <v>Low Loan</v>
      </c>
      <c r="R147">
        <f t="shared" si="16"/>
        <v>3600000</v>
      </c>
      <c r="S147" t="str">
        <f t="shared" si="17"/>
        <v>Weak</v>
      </c>
    </row>
    <row r="148" spans="1:19" x14ac:dyDescent="0.25">
      <c r="A148">
        <v>147</v>
      </c>
      <c r="B148">
        <v>3</v>
      </c>
      <c r="C148" t="s">
        <v>30</v>
      </c>
      <c r="D148" t="s">
        <v>33</v>
      </c>
      <c r="E148">
        <v>1400000</v>
      </c>
      <c r="F148">
        <v>3200000</v>
      </c>
      <c r="G148">
        <v>20</v>
      </c>
      <c r="H148">
        <v>772</v>
      </c>
      <c r="I148">
        <v>2400000</v>
      </c>
      <c r="J148">
        <v>900000</v>
      </c>
      <c r="K148">
        <v>5100000</v>
      </c>
      <c r="L148">
        <v>1600000</v>
      </c>
      <c r="M148" t="s">
        <v>34</v>
      </c>
      <c r="N148">
        <f t="shared" si="13"/>
        <v>1</v>
      </c>
      <c r="O148" t="str">
        <f t="shared" si="12"/>
        <v>Excellent</v>
      </c>
      <c r="P148" t="str">
        <f t="shared" si="14"/>
        <v>High</v>
      </c>
      <c r="Q148" t="str">
        <f t="shared" si="15"/>
        <v>Low Loan</v>
      </c>
      <c r="R148">
        <f t="shared" si="16"/>
        <v>10000000</v>
      </c>
      <c r="S148" t="str">
        <f t="shared" si="17"/>
        <v>Strong</v>
      </c>
    </row>
    <row r="149" spans="1:19" x14ac:dyDescent="0.25">
      <c r="A149">
        <v>148</v>
      </c>
      <c r="B149">
        <v>3</v>
      </c>
      <c r="C149" t="s">
        <v>30</v>
      </c>
      <c r="D149" t="s">
        <v>32</v>
      </c>
      <c r="E149">
        <v>4000000</v>
      </c>
      <c r="F149">
        <v>11100000</v>
      </c>
      <c r="G149">
        <v>12</v>
      </c>
      <c r="H149">
        <v>572</v>
      </c>
      <c r="I149">
        <v>9700000</v>
      </c>
      <c r="J149">
        <v>100000</v>
      </c>
      <c r="K149">
        <v>12500000</v>
      </c>
      <c r="L149">
        <v>2400000</v>
      </c>
      <c r="M149" t="s">
        <v>34</v>
      </c>
      <c r="N149">
        <f t="shared" si="13"/>
        <v>1</v>
      </c>
      <c r="O149" t="str">
        <f t="shared" si="12"/>
        <v>Low</v>
      </c>
      <c r="P149" t="str">
        <f t="shared" si="14"/>
        <v>High</v>
      </c>
      <c r="Q149" t="str">
        <f t="shared" si="15"/>
        <v>Low Loan</v>
      </c>
      <c r="R149">
        <f t="shared" si="16"/>
        <v>24700000</v>
      </c>
      <c r="S149" t="str">
        <f t="shared" si="17"/>
        <v>Strong</v>
      </c>
    </row>
    <row r="150" spans="1:19" x14ac:dyDescent="0.25">
      <c r="A150">
        <v>149</v>
      </c>
      <c r="B150">
        <v>0</v>
      </c>
      <c r="C150" t="s">
        <v>31</v>
      </c>
      <c r="D150" t="s">
        <v>33</v>
      </c>
      <c r="E150">
        <v>4900000</v>
      </c>
      <c r="F150">
        <v>11900000</v>
      </c>
      <c r="G150">
        <v>16</v>
      </c>
      <c r="H150">
        <v>709</v>
      </c>
      <c r="I150">
        <v>14600000</v>
      </c>
      <c r="J150">
        <v>900000</v>
      </c>
      <c r="K150">
        <v>18500000</v>
      </c>
      <c r="L150">
        <v>3800000</v>
      </c>
      <c r="M150" t="s">
        <v>34</v>
      </c>
      <c r="N150">
        <f t="shared" si="13"/>
        <v>1</v>
      </c>
      <c r="O150" t="str">
        <f t="shared" si="12"/>
        <v>Good</v>
      </c>
      <c r="P150" t="str">
        <f t="shared" si="14"/>
        <v>High</v>
      </c>
      <c r="Q150" t="str">
        <f t="shared" si="15"/>
        <v>Low Loan</v>
      </c>
      <c r="R150">
        <f t="shared" si="16"/>
        <v>37800000</v>
      </c>
      <c r="S150" t="str">
        <f t="shared" si="17"/>
        <v>Strong</v>
      </c>
    </row>
    <row r="151" spans="1:19" x14ac:dyDescent="0.25">
      <c r="A151">
        <v>150</v>
      </c>
      <c r="B151">
        <v>5</v>
      </c>
      <c r="C151" t="s">
        <v>30</v>
      </c>
      <c r="D151" t="s">
        <v>32</v>
      </c>
      <c r="E151">
        <v>2000000</v>
      </c>
      <c r="F151">
        <v>6200000</v>
      </c>
      <c r="G151">
        <v>18</v>
      </c>
      <c r="H151">
        <v>402</v>
      </c>
      <c r="I151">
        <v>4000000</v>
      </c>
      <c r="J151">
        <v>2100000</v>
      </c>
      <c r="K151">
        <v>7200000</v>
      </c>
      <c r="L151">
        <v>1100000</v>
      </c>
      <c r="M151" t="s">
        <v>35</v>
      </c>
      <c r="N151">
        <f t="shared" si="13"/>
        <v>0</v>
      </c>
      <c r="O151" t="str">
        <f t="shared" si="12"/>
        <v>Low</v>
      </c>
      <c r="P151" t="str">
        <f t="shared" si="14"/>
        <v>High</v>
      </c>
      <c r="Q151" t="str">
        <f t="shared" si="15"/>
        <v>Low Loan</v>
      </c>
      <c r="R151">
        <f t="shared" si="16"/>
        <v>14400000</v>
      </c>
      <c r="S151" t="str">
        <f t="shared" si="17"/>
        <v>Strong</v>
      </c>
    </row>
    <row r="152" spans="1:19" x14ac:dyDescent="0.25">
      <c r="A152">
        <v>151</v>
      </c>
      <c r="B152">
        <v>1</v>
      </c>
      <c r="C152" t="s">
        <v>31</v>
      </c>
      <c r="D152" t="s">
        <v>33</v>
      </c>
      <c r="E152">
        <v>5200000</v>
      </c>
      <c r="F152">
        <v>19300000</v>
      </c>
      <c r="G152">
        <v>8</v>
      </c>
      <c r="H152">
        <v>481</v>
      </c>
      <c r="I152">
        <v>14300000</v>
      </c>
      <c r="J152">
        <v>9500000</v>
      </c>
      <c r="K152">
        <v>18800000</v>
      </c>
      <c r="L152">
        <v>4200000</v>
      </c>
      <c r="M152" t="s">
        <v>35</v>
      </c>
      <c r="N152">
        <f t="shared" si="13"/>
        <v>0</v>
      </c>
      <c r="O152" t="str">
        <f t="shared" si="12"/>
        <v>Low</v>
      </c>
      <c r="P152" t="str">
        <f t="shared" si="14"/>
        <v>High</v>
      </c>
      <c r="Q152" t="str">
        <f t="shared" si="15"/>
        <v>Low Loan</v>
      </c>
      <c r="R152">
        <f t="shared" si="16"/>
        <v>46800000</v>
      </c>
      <c r="S152" t="str">
        <f t="shared" si="17"/>
        <v>Strong</v>
      </c>
    </row>
    <row r="153" spans="1:19" x14ac:dyDescent="0.25">
      <c r="A153">
        <v>152</v>
      </c>
      <c r="B153">
        <v>5</v>
      </c>
      <c r="C153" t="s">
        <v>30</v>
      </c>
      <c r="D153" t="s">
        <v>33</v>
      </c>
      <c r="E153">
        <v>8900000</v>
      </c>
      <c r="F153">
        <v>28800000</v>
      </c>
      <c r="G153">
        <v>6</v>
      </c>
      <c r="H153">
        <v>772</v>
      </c>
      <c r="I153">
        <v>13600000</v>
      </c>
      <c r="J153">
        <v>5500000</v>
      </c>
      <c r="K153">
        <v>20400000</v>
      </c>
      <c r="L153">
        <v>8400000</v>
      </c>
      <c r="M153" t="s">
        <v>34</v>
      </c>
      <c r="N153">
        <f t="shared" si="13"/>
        <v>1</v>
      </c>
      <c r="O153" t="str">
        <f t="shared" si="12"/>
        <v>Excellent</v>
      </c>
      <c r="P153" t="str">
        <f t="shared" si="14"/>
        <v>High</v>
      </c>
      <c r="Q153" t="str">
        <f t="shared" si="15"/>
        <v>High Loan</v>
      </c>
      <c r="R153">
        <f t="shared" si="16"/>
        <v>47900000</v>
      </c>
      <c r="S153" t="str">
        <f t="shared" si="17"/>
        <v>Strong</v>
      </c>
    </row>
    <row r="154" spans="1:19" x14ac:dyDescent="0.25">
      <c r="A154">
        <v>153</v>
      </c>
      <c r="B154">
        <v>1</v>
      </c>
      <c r="C154" t="s">
        <v>30</v>
      </c>
      <c r="D154" t="s">
        <v>33</v>
      </c>
      <c r="E154">
        <v>6500000</v>
      </c>
      <c r="F154">
        <v>20600000</v>
      </c>
      <c r="G154">
        <v>2</v>
      </c>
      <c r="H154">
        <v>306</v>
      </c>
      <c r="I154">
        <v>15900000</v>
      </c>
      <c r="J154">
        <v>1900000</v>
      </c>
      <c r="K154">
        <v>18100000</v>
      </c>
      <c r="L154">
        <v>3200000</v>
      </c>
      <c r="M154" t="s">
        <v>34</v>
      </c>
      <c r="N154">
        <f t="shared" si="13"/>
        <v>1</v>
      </c>
      <c r="O154" t="str">
        <f t="shared" si="12"/>
        <v>Low</v>
      </c>
      <c r="P154" t="str">
        <f t="shared" si="14"/>
        <v>High</v>
      </c>
      <c r="Q154" t="str">
        <f t="shared" si="15"/>
        <v>High Loan</v>
      </c>
      <c r="R154">
        <f t="shared" si="16"/>
        <v>39100000</v>
      </c>
      <c r="S154" t="str">
        <f t="shared" si="17"/>
        <v>Strong</v>
      </c>
    </row>
    <row r="155" spans="1:19" x14ac:dyDescent="0.25">
      <c r="A155">
        <v>154</v>
      </c>
      <c r="B155">
        <v>2</v>
      </c>
      <c r="C155" t="s">
        <v>31</v>
      </c>
      <c r="D155" t="s">
        <v>32</v>
      </c>
      <c r="E155">
        <v>1300000</v>
      </c>
      <c r="F155">
        <v>4500000</v>
      </c>
      <c r="G155">
        <v>6</v>
      </c>
      <c r="H155">
        <v>415</v>
      </c>
      <c r="I155">
        <v>0</v>
      </c>
      <c r="J155">
        <v>900000</v>
      </c>
      <c r="K155">
        <v>2900000</v>
      </c>
      <c r="L155">
        <v>1200000</v>
      </c>
      <c r="M155" t="s">
        <v>35</v>
      </c>
      <c r="N155">
        <f t="shared" si="13"/>
        <v>0</v>
      </c>
      <c r="O155" t="str">
        <f t="shared" si="12"/>
        <v>Low</v>
      </c>
      <c r="P155" t="str">
        <f t="shared" si="14"/>
        <v>High</v>
      </c>
      <c r="Q155" t="str">
        <f t="shared" si="15"/>
        <v>Low Loan</v>
      </c>
      <c r="R155">
        <f t="shared" si="16"/>
        <v>5000000</v>
      </c>
      <c r="S155" t="str">
        <f t="shared" si="17"/>
        <v>Moderate</v>
      </c>
    </row>
    <row r="156" spans="1:19" x14ac:dyDescent="0.25">
      <c r="A156">
        <v>155</v>
      </c>
      <c r="B156">
        <v>3</v>
      </c>
      <c r="C156" t="s">
        <v>31</v>
      </c>
      <c r="D156" t="s">
        <v>32</v>
      </c>
      <c r="E156">
        <v>9400000</v>
      </c>
      <c r="F156">
        <v>35000000</v>
      </c>
      <c r="G156">
        <v>16</v>
      </c>
      <c r="H156">
        <v>548</v>
      </c>
      <c r="I156">
        <v>18200000</v>
      </c>
      <c r="J156">
        <v>4400000</v>
      </c>
      <c r="K156">
        <v>36100000</v>
      </c>
      <c r="L156">
        <v>4800000</v>
      </c>
      <c r="M156" t="s">
        <v>35</v>
      </c>
      <c r="N156">
        <f t="shared" si="13"/>
        <v>0</v>
      </c>
      <c r="O156" t="str">
        <f t="shared" si="12"/>
        <v>Low</v>
      </c>
      <c r="P156" t="str">
        <f t="shared" si="14"/>
        <v>High</v>
      </c>
      <c r="Q156" t="str">
        <f t="shared" si="15"/>
        <v>High Loan</v>
      </c>
      <c r="R156">
        <f t="shared" si="16"/>
        <v>63500000</v>
      </c>
      <c r="S156" t="str">
        <f t="shared" si="17"/>
        <v>Strong</v>
      </c>
    </row>
    <row r="157" spans="1:19" x14ac:dyDescent="0.25">
      <c r="A157">
        <v>156</v>
      </c>
      <c r="B157">
        <v>5</v>
      </c>
      <c r="C157" t="s">
        <v>31</v>
      </c>
      <c r="D157" t="s">
        <v>32</v>
      </c>
      <c r="E157">
        <v>5000000</v>
      </c>
      <c r="F157">
        <v>11200000</v>
      </c>
      <c r="G157">
        <v>8</v>
      </c>
      <c r="H157">
        <v>701</v>
      </c>
      <c r="I157">
        <v>9100000</v>
      </c>
      <c r="J157">
        <v>500000</v>
      </c>
      <c r="K157">
        <v>14000000</v>
      </c>
      <c r="L157">
        <v>4600000</v>
      </c>
      <c r="M157" t="s">
        <v>34</v>
      </c>
      <c r="N157">
        <f t="shared" si="13"/>
        <v>1</v>
      </c>
      <c r="O157" t="str">
        <f t="shared" si="12"/>
        <v>Good</v>
      </c>
      <c r="P157" t="str">
        <f t="shared" si="14"/>
        <v>High</v>
      </c>
      <c r="Q157" t="str">
        <f t="shared" si="15"/>
        <v>Low Loan</v>
      </c>
      <c r="R157">
        <f t="shared" si="16"/>
        <v>28200000</v>
      </c>
      <c r="S157" t="str">
        <f t="shared" si="17"/>
        <v>Strong</v>
      </c>
    </row>
    <row r="158" spans="1:19" x14ac:dyDescent="0.25">
      <c r="A158">
        <v>157</v>
      </c>
      <c r="B158">
        <v>2</v>
      </c>
      <c r="C158" t="s">
        <v>30</v>
      </c>
      <c r="D158" t="s">
        <v>32</v>
      </c>
      <c r="E158">
        <v>3000000</v>
      </c>
      <c r="F158">
        <v>7700000</v>
      </c>
      <c r="G158">
        <v>12</v>
      </c>
      <c r="H158">
        <v>890</v>
      </c>
      <c r="I158">
        <v>4700000</v>
      </c>
      <c r="J158">
        <v>4300000</v>
      </c>
      <c r="K158">
        <v>8400000</v>
      </c>
      <c r="L158">
        <v>2100000</v>
      </c>
      <c r="M158" t="s">
        <v>34</v>
      </c>
      <c r="N158">
        <f t="shared" si="13"/>
        <v>1</v>
      </c>
      <c r="O158" t="str">
        <f t="shared" si="12"/>
        <v>Excellent</v>
      </c>
      <c r="P158" t="str">
        <f t="shared" si="14"/>
        <v>High</v>
      </c>
      <c r="Q158" t="str">
        <f t="shared" si="15"/>
        <v>Low Loan</v>
      </c>
      <c r="R158">
        <f t="shared" si="16"/>
        <v>19500000</v>
      </c>
      <c r="S158" t="str">
        <f t="shared" si="17"/>
        <v>Strong</v>
      </c>
    </row>
    <row r="159" spans="1:19" x14ac:dyDescent="0.25">
      <c r="A159">
        <v>158</v>
      </c>
      <c r="B159">
        <v>5</v>
      </c>
      <c r="C159" t="s">
        <v>31</v>
      </c>
      <c r="D159" t="s">
        <v>33</v>
      </c>
      <c r="E159">
        <v>9900000</v>
      </c>
      <c r="F159">
        <v>33300000</v>
      </c>
      <c r="G159">
        <v>6</v>
      </c>
      <c r="H159">
        <v>364</v>
      </c>
      <c r="I159">
        <v>5300000</v>
      </c>
      <c r="J159">
        <v>18700000</v>
      </c>
      <c r="K159">
        <v>27800000</v>
      </c>
      <c r="L159">
        <v>8300000</v>
      </c>
      <c r="M159" t="s">
        <v>35</v>
      </c>
      <c r="N159">
        <f t="shared" si="13"/>
        <v>0</v>
      </c>
      <c r="O159" t="str">
        <f t="shared" si="12"/>
        <v>Low</v>
      </c>
      <c r="P159" t="str">
        <f t="shared" si="14"/>
        <v>High</v>
      </c>
      <c r="Q159" t="str">
        <f t="shared" si="15"/>
        <v>High Loan</v>
      </c>
      <c r="R159">
        <f t="shared" si="16"/>
        <v>60100000</v>
      </c>
      <c r="S159" t="str">
        <f t="shared" si="17"/>
        <v>Strong</v>
      </c>
    </row>
    <row r="160" spans="1:19" x14ac:dyDescent="0.25">
      <c r="A160">
        <v>159</v>
      </c>
      <c r="B160">
        <v>5</v>
      </c>
      <c r="C160" t="s">
        <v>30</v>
      </c>
      <c r="D160" t="s">
        <v>33</v>
      </c>
      <c r="E160">
        <v>700000</v>
      </c>
      <c r="F160">
        <v>1300000</v>
      </c>
      <c r="G160">
        <v>20</v>
      </c>
      <c r="H160">
        <v>704</v>
      </c>
      <c r="I160">
        <v>1600000</v>
      </c>
      <c r="J160">
        <v>0</v>
      </c>
      <c r="K160">
        <v>2200000</v>
      </c>
      <c r="L160">
        <v>600000</v>
      </c>
      <c r="M160" t="s">
        <v>34</v>
      </c>
      <c r="N160">
        <f t="shared" si="13"/>
        <v>1</v>
      </c>
      <c r="O160" t="str">
        <f t="shared" si="12"/>
        <v>Good</v>
      </c>
      <c r="P160" t="str">
        <f t="shared" si="14"/>
        <v>High</v>
      </c>
      <c r="Q160" t="str">
        <f t="shared" si="15"/>
        <v>Low Loan</v>
      </c>
      <c r="R160">
        <f t="shared" si="16"/>
        <v>4400000</v>
      </c>
      <c r="S160" t="str">
        <f t="shared" si="17"/>
        <v>Weak</v>
      </c>
    </row>
    <row r="161" spans="1:19" x14ac:dyDescent="0.25">
      <c r="A161">
        <v>160</v>
      </c>
      <c r="B161">
        <v>3</v>
      </c>
      <c r="C161" t="s">
        <v>30</v>
      </c>
      <c r="D161" t="s">
        <v>33</v>
      </c>
      <c r="E161">
        <v>4000000</v>
      </c>
      <c r="F161">
        <v>10600000</v>
      </c>
      <c r="G161">
        <v>10</v>
      </c>
      <c r="H161">
        <v>318</v>
      </c>
      <c r="I161">
        <v>1500000</v>
      </c>
      <c r="J161">
        <v>5100000</v>
      </c>
      <c r="K161">
        <v>8000000</v>
      </c>
      <c r="L161">
        <v>4900000</v>
      </c>
      <c r="M161" t="s">
        <v>35</v>
      </c>
      <c r="N161">
        <f t="shared" si="13"/>
        <v>0</v>
      </c>
      <c r="O161" t="str">
        <f t="shared" si="12"/>
        <v>Low</v>
      </c>
      <c r="P161" t="str">
        <f t="shared" si="14"/>
        <v>High</v>
      </c>
      <c r="Q161" t="str">
        <f t="shared" si="15"/>
        <v>Low Loan</v>
      </c>
      <c r="R161">
        <f t="shared" si="16"/>
        <v>19500000</v>
      </c>
      <c r="S161" t="str">
        <f t="shared" si="17"/>
        <v>Strong</v>
      </c>
    </row>
    <row r="162" spans="1:19" x14ac:dyDescent="0.25">
      <c r="A162">
        <v>161</v>
      </c>
      <c r="B162">
        <v>5</v>
      </c>
      <c r="C162" t="s">
        <v>31</v>
      </c>
      <c r="D162" t="s">
        <v>32</v>
      </c>
      <c r="E162">
        <v>3100000</v>
      </c>
      <c r="F162">
        <v>9600000</v>
      </c>
      <c r="G162">
        <v>2</v>
      </c>
      <c r="H162">
        <v>761</v>
      </c>
      <c r="I162">
        <v>5800000</v>
      </c>
      <c r="J162">
        <v>1800000</v>
      </c>
      <c r="K162">
        <v>10400000</v>
      </c>
      <c r="L162">
        <v>4200000</v>
      </c>
      <c r="M162" t="s">
        <v>34</v>
      </c>
      <c r="N162">
        <f t="shared" si="13"/>
        <v>1</v>
      </c>
      <c r="O162" t="str">
        <f t="shared" si="12"/>
        <v>Excellent</v>
      </c>
      <c r="P162" t="str">
        <f t="shared" si="14"/>
        <v>High</v>
      </c>
      <c r="Q162" t="str">
        <f t="shared" si="15"/>
        <v>Low Loan</v>
      </c>
      <c r="R162">
        <f t="shared" si="16"/>
        <v>22200000</v>
      </c>
      <c r="S162" t="str">
        <f t="shared" si="17"/>
        <v>Strong</v>
      </c>
    </row>
    <row r="163" spans="1:19" x14ac:dyDescent="0.25">
      <c r="A163">
        <v>162</v>
      </c>
      <c r="B163">
        <v>4</v>
      </c>
      <c r="C163" t="s">
        <v>31</v>
      </c>
      <c r="D163" t="s">
        <v>32</v>
      </c>
      <c r="E163">
        <v>4500000</v>
      </c>
      <c r="F163">
        <v>15100000</v>
      </c>
      <c r="G163">
        <v>6</v>
      </c>
      <c r="H163">
        <v>693</v>
      </c>
      <c r="I163">
        <v>3700000</v>
      </c>
      <c r="J163">
        <v>1500000</v>
      </c>
      <c r="K163">
        <v>17800000</v>
      </c>
      <c r="L163">
        <v>6000000</v>
      </c>
      <c r="M163" t="s">
        <v>34</v>
      </c>
      <c r="N163">
        <f t="shared" si="13"/>
        <v>1</v>
      </c>
      <c r="O163" t="str">
        <f t="shared" si="12"/>
        <v>Medium</v>
      </c>
      <c r="P163" t="str">
        <f t="shared" si="14"/>
        <v>High</v>
      </c>
      <c r="Q163" t="str">
        <f t="shared" si="15"/>
        <v>Low Loan</v>
      </c>
      <c r="R163">
        <f t="shared" si="16"/>
        <v>29000000</v>
      </c>
      <c r="S163" t="str">
        <f t="shared" si="17"/>
        <v>Strong</v>
      </c>
    </row>
    <row r="164" spans="1:19" x14ac:dyDescent="0.25">
      <c r="A164">
        <v>163</v>
      </c>
      <c r="B164">
        <v>3</v>
      </c>
      <c r="C164" t="s">
        <v>31</v>
      </c>
      <c r="D164" t="s">
        <v>32</v>
      </c>
      <c r="E164">
        <v>9700000</v>
      </c>
      <c r="F164">
        <v>20600000</v>
      </c>
      <c r="G164">
        <v>16</v>
      </c>
      <c r="H164">
        <v>524</v>
      </c>
      <c r="I164">
        <v>24200000</v>
      </c>
      <c r="J164">
        <v>11100000</v>
      </c>
      <c r="K164">
        <v>27400000</v>
      </c>
      <c r="L164">
        <v>6100000</v>
      </c>
      <c r="M164" t="s">
        <v>35</v>
      </c>
      <c r="N164">
        <f t="shared" si="13"/>
        <v>0</v>
      </c>
      <c r="O164" t="str">
        <f t="shared" si="12"/>
        <v>Low</v>
      </c>
      <c r="P164" t="str">
        <f t="shared" si="14"/>
        <v>High</v>
      </c>
      <c r="Q164" t="str">
        <f t="shared" si="15"/>
        <v>High Loan</v>
      </c>
      <c r="R164">
        <f t="shared" si="16"/>
        <v>68800000</v>
      </c>
      <c r="S164" t="str">
        <f t="shared" si="17"/>
        <v>Strong</v>
      </c>
    </row>
    <row r="165" spans="1:19" x14ac:dyDescent="0.25">
      <c r="A165">
        <v>164</v>
      </c>
      <c r="B165">
        <v>2</v>
      </c>
      <c r="C165" t="s">
        <v>31</v>
      </c>
      <c r="D165" t="s">
        <v>33</v>
      </c>
      <c r="E165">
        <v>2000000</v>
      </c>
      <c r="F165">
        <v>5300000</v>
      </c>
      <c r="G165">
        <v>10</v>
      </c>
      <c r="H165">
        <v>681</v>
      </c>
      <c r="I165">
        <v>4900000</v>
      </c>
      <c r="J165">
        <v>1400000</v>
      </c>
      <c r="K165">
        <v>4300000</v>
      </c>
      <c r="L165">
        <v>2900000</v>
      </c>
      <c r="M165" t="s">
        <v>34</v>
      </c>
      <c r="N165">
        <f t="shared" si="13"/>
        <v>1</v>
      </c>
      <c r="O165" t="str">
        <f t="shared" si="12"/>
        <v>Medium</v>
      </c>
      <c r="P165" t="str">
        <f t="shared" si="14"/>
        <v>High</v>
      </c>
      <c r="Q165" t="str">
        <f t="shared" si="15"/>
        <v>Low Loan</v>
      </c>
      <c r="R165">
        <f t="shared" si="16"/>
        <v>13500000</v>
      </c>
      <c r="S165" t="str">
        <f t="shared" si="17"/>
        <v>Strong</v>
      </c>
    </row>
    <row r="166" spans="1:19" x14ac:dyDescent="0.25">
      <c r="A166">
        <v>165</v>
      </c>
      <c r="B166">
        <v>2</v>
      </c>
      <c r="C166" t="s">
        <v>30</v>
      </c>
      <c r="D166" t="s">
        <v>33</v>
      </c>
      <c r="E166">
        <v>8100000</v>
      </c>
      <c r="F166">
        <v>22300000</v>
      </c>
      <c r="G166">
        <v>18</v>
      </c>
      <c r="H166">
        <v>737</v>
      </c>
      <c r="I166">
        <v>22300000</v>
      </c>
      <c r="J166">
        <v>12600000</v>
      </c>
      <c r="K166">
        <v>27000000</v>
      </c>
      <c r="L166">
        <v>7300000</v>
      </c>
      <c r="M166" t="s">
        <v>34</v>
      </c>
      <c r="N166">
        <f t="shared" si="13"/>
        <v>1</v>
      </c>
      <c r="O166" t="str">
        <f t="shared" si="12"/>
        <v>Good</v>
      </c>
      <c r="P166" t="str">
        <f t="shared" si="14"/>
        <v>High</v>
      </c>
      <c r="Q166" t="str">
        <f t="shared" si="15"/>
        <v>High Loan</v>
      </c>
      <c r="R166">
        <f t="shared" si="16"/>
        <v>69200000</v>
      </c>
      <c r="S166" t="str">
        <f t="shared" si="17"/>
        <v>Strong</v>
      </c>
    </row>
    <row r="167" spans="1:19" x14ac:dyDescent="0.25">
      <c r="A167">
        <v>166</v>
      </c>
      <c r="B167">
        <v>0</v>
      </c>
      <c r="C167" t="s">
        <v>31</v>
      </c>
      <c r="D167" t="s">
        <v>32</v>
      </c>
      <c r="E167">
        <v>5700000</v>
      </c>
      <c r="F167">
        <v>15900000</v>
      </c>
      <c r="G167">
        <v>16</v>
      </c>
      <c r="H167">
        <v>638</v>
      </c>
      <c r="I167">
        <v>100000</v>
      </c>
      <c r="J167">
        <v>9500000</v>
      </c>
      <c r="K167">
        <v>16300000</v>
      </c>
      <c r="L167">
        <v>4500000</v>
      </c>
      <c r="M167" t="s">
        <v>34</v>
      </c>
      <c r="N167">
        <f t="shared" si="13"/>
        <v>1</v>
      </c>
      <c r="O167" t="str">
        <f t="shared" si="12"/>
        <v>Low</v>
      </c>
      <c r="P167" t="str">
        <f t="shared" si="14"/>
        <v>High</v>
      </c>
      <c r="Q167" t="str">
        <f t="shared" si="15"/>
        <v>Low Loan</v>
      </c>
      <c r="R167">
        <f t="shared" si="16"/>
        <v>30400000</v>
      </c>
      <c r="S167" t="str">
        <f t="shared" si="17"/>
        <v>Strong</v>
      </c>
    </row>
    <row r="168" spans="1:19" x14ac:dyDescent="0.25">
      <c r="A168">
        <v>167</v>
      </c>
      <c r="B168">
        <v>4</v>
      </c>
      <c r="C168" t="s">
        <v>31</v>
      </c>
      <c r="D168" t="s">
        <v>32</v>
      </c>
      <c r="E168">
        <v>5800000</v>
      </c>
      <c r="F168">
        <v>12800000</v>
      </c>
      <c r="G168">
        <v>2</v>
      </c>
      <c r="H168">
        <v>656</v>
      </c>
      <c r="I168">
        <v>500000</v>
      </c>
      <c r="J168">
        <v>5000000</v>
      </c>
      <c r="K168">
        <v>16000000</v>
      </c>
      <c r="L168">
        <v>2800000</v>
      </c>
      <c r="M168" t="s">
        <v>34</v>
      </c>
      <c r="N168">
        <f t="shared" si="13"/>
        <v>1</v>
      </c>
      <c r="O168" t="str">
        <f t="shared" si="12"/>
        <v>Medium</v>
      </c>
      <c r="P168" t="str">
        <f t="shared" si="14"/>
        <v>High</v>
      </c>
      <c r="Q168" t="str">
        <f t="shared" si="15"/>
        <v>Low Loan</v>
      </c>
      <c r="R168">
        <f t="shared" si="16"/>
        <v>24300000</v>
      </c>
      <c r="S168" t="str">
        <f t="shared" si="17"/>
        <v>Strong</v>
      </c>
    </row>
    <row r="169" spans="1:19" x14ac:dyDescent="0.25">
      <c r="A169">
        <v>168</v>
      </c>
      <c r="B169">
        <v>1</v>
      </c>
      <c r="C169" t="s">
        <v>30</v>
      </c>
      <c r="D169" t="s">
        <v>32</v>
      </c>
      <c r="E169">
        <v>1800000</v>
      </c>
      <c r="F169">
        <v>6500000</v>
      </c>
      <c r="G169">
        <v>6</v>
      </c>
      <c r="H169">
        <v>540</v>
      </c>
      <c r="I169">
        <v>2500000</v>
      </c>
      <c r="J169">
        <v>3200000</v>
      </c>
      <c r="K169">
        <v>5000000</v>
      </c>
      <c r="L169">
        <v>1100000</v>
      </c>
      <c r="M169" t="s">
        <v>35</v>
      </c>
      <c r="N169">
        <f t="shared" si="13"/>
        <v>0</v>
      </c>
      <c r="O169" t="str">
        <f t="shared" si="12"/>
        <v>Low</v>
      </c>
      <c r="P169" t="str">
        <f t="shared" si="14"/>
        <v>High</v>
      </c>
      <c r="Q169" t="str">
        <f t="shared" si="15"/>
        <v>Low Loan</v>
      </c>
      <c r="R169">
        <f t="shared" si="16"/>
        <v>11800000</v>
      </c>
      <c r="S169" t="str">
        <f t="shared" si="17"/>
        <v>Strong</v>
      </c>
    </row>
    <row r="170" spans="1:19" x14ac:dyDescent="0.25">
      <c r="A170">
        <v>169</v>
      </c>
      <c r="B170">
        <v>4</v>
      </c>
      <c r="C170" t="s">
        <v>31</v>
      </c>
      <c r="D170" t="s">
        <v>33</v>
      </c>
      <c r="E170">
        <v>9100000</v>
      </c>
      <c r="F170">
        <v>35200000</v>
      </c>
      <c r="G170">
        <v>6</v>
      </c>
      <c r="H170">
        <v>341</v>
      </c>
      <c r="I170">
        <v>1000000</v>
      </c>
      <c r="J170">
        <v>300000</v>
      </c>
      <c r="K170">
        <v>23100000</v>
      </c>
      <c r="L170">
        <v>8200000</v>
      </c>
      <c r="M170" t="s">
        <v>35</v>
      </c>
      <c r="N170">
        <f t="shared" si="13"/>
        <v>0</v>
      </c>
      <c r="O170" t="str">
        <f t="shared" si="12"/>
        <v>Low</v>
      </c>
      <c r="P170" t="str">
        <f t="shared" si="14"/>
        <v>High</v>
      </c>
      <c r="Q170" t="str">
        <f t="shared" si="15"/>
        <v>High Loan</v>
      </c>
      <c r="R170">
        <f t="shared" si="16"/>
        <v>32600000</v>
      </c>
      <c r="S170" t="str">
        <f t="shared" si="17"/>
        <v>Strong</v>
      </c>
    </row>
    <row r="171" spans="1:19" x14ac:dyDescent="0.25">
      <c r="A171">
        <v>170</v>
      </c>
      <c r="B171">
        <v>0</v>
      </c>
      <c r="C171" t="s">
        <v>31</v>
      </c>
      <c r="D171" t="s">
        <v>33</v>
      </c>
      <c r="E171">
        <v>4800000</v>
      </c>
      <c r="F171">
        <v>17500000</v>
      </c>
      <c r="G171">
        <v>2</v>
      </c>
      <c r="H171">
        <v>371</v>
      </c>
      <c r="I171">
        <v>11700000</v>
      </c>
      <c r="J171">
        <v>6800000</v>
      </c>
      <c r="K171">
        <v>18700000</v>
      </c>
      <c r="L171">
        <v>3500000</v>
      </c>
      <c r="M171" t="s">
        <v>34</v>
      </c>
      <c r="N171">
        <f t="shared" si="13"/>
        <v>1</v>
      </c>
      <c r="O171" t="str">
        <f t="shared" si="12"/>
        <v>Low</v>
      </c>
      <c r="P171" t="str">
        <f t="shared" si="14"/>
        <v>High</v>
      </c>
      <c r="Q171" t="str">
        <f t="shared" si="15"/>
        <v>Low Loan</v>
      </c>
      <c r="R171">
        <f t="shared" si="16"/>
        <v>40700000</v>
      </c>
      <c r="S171" t="str">
        <f t="shared" si="17"/>
        <v>Strong</v>
      </c>
    </row>
    <row r="172" spans="1:19" x14ac:dyDescent="0.25">
      <c r="A172">
        <v>171</v>
      </c>
      <c r="B172">
        <v>3</v>
      </c>
      <c r="C172" t="s">
        <v>31</v>
      </c>
      <c r="D172" t="s">
        <v>33</v>
      </c>
      <c r="E172">
        <v>3800000</v>
      </c>
      <c r="F172">
        <v>10500000</v>
      </c>
      <c r="G172">
        <v>12</v>
      </c>
      <c r="H172">
        <v>886</v>
      </c>
      <c r="I172">
        <v>4000000</v>
      </c>
      <c r="J172">
        <v>500000</v>
      </c>
      <c r="K172">
        <v>14900000</v>
      </c>
      <c r="L172">
        <v>2300000</v>
      </c>
      <c r="M172" t="s">
        <v>34</v>
      </c>
      <c r="N172">
        <f t="shared" si="13"/>
        <v>1</v>
      </c>
      <c r="O172" t="str">
        <f t="shared" si="12"/>
        <v>Excellent</v>
      </c>
      <c r="P172" t="str">
        <f t="shared" si="14"/>
        <v>High</v>
      </c>
      <c r="Q172" t="str">
        <f t="shared" si="15"/>
        <v>Low Loan</v>
      </c>
      <c r="R172">
        <f t="shared" si="16"/>
        <v>21700000</v>
      </c>
      <c r="S172" t="str">
        <f t="shared" si="17"/>
        <v>Strong</v>
      </c>
    </row>
    <row r="173" spans="1:19" x14ac:dyDescent="0.25">
      <c r="A173">
        <v>172</v>
      </c>
      <c r="B173">
        <v>0</v>
      </c>
      <c r="C173" t="s">
        <v>31</v>
      </c>
      <c r="D173" t="s">
        <v>32</v>
      </c>
      <c r="E173">
        <v>1900000</v>
      </c>
      <c r="F173">
        <v>4100000</v>
      </c>
      <c r="G173">
        <v>18</v>
      </c>
      <c r="H173">
        <v>801</v>
      </c>
      <c r="I173">
        <v>400000</v>
      </c>
      <c r="J173">
        <v>800000</v>
      </c>
      <c r="K173">
        <v>4800000</v>
      </c>
      <c r="L173">
        <v>1200000</v>
      </c>
      <c r="M173" t="s">
        <v>34</v>
      </c>
      <c r="N173">
        <f t="shared" si="13"/>
        <v>1</v>
      </c>
      <c r="O173" t="str">
        <f t="shared" si="12"/>
        <v>Excellent</v>
      </c>
      <c r="P173" t="str">
        <f t="shared" si="14"/>
        <v>High</v>
      </c>
      <c r="Q173" t="str">
        <f t="shared" si="15"/>
        <v>Low Loan</v>
      </c>
      <c r="R173">
        <f t="shared" si="16"/>
        <v>7200000</v>
      </c>
      <c r="S173" t="str">
        <f t="shared" si="17"/>
        <v>Moderate</v>
      </c>
    </row>
    <row r="174" spans="1:19" x14ac:dyDescent="0.25">
      <c r="A174">
        <v>173</v>
      </c>
      <c r="B174">
        <v>3</v>
      </c>
      <c r="C174" t="s">
        <v>31</v>
      </c>
      <c r="D174" t="s">
        <v>33</v>
      </c>
      <c r="E174">
        <v>3600000</v>
      </c>
      <c r="F174">
        <v>9500000</v>
      </c>
      <c r="G174">
        <v>16</v>
      </c>
      <c r="H174">
        <v>748</v>
      </c>
      <c r="I174">
        <v>7700000</v>
      </c>
      <c r="J174">
        <v>2400000</v>
      </c>
      <c r="K174">
        <v>9700000</v>
      </c>
      <c r="L174">
        <v>2600000</v>
      </c>
      <c r="M174" t="s">
        <v>34</v>
      </c>
      <c r="N174">
        <f t="shared" si="13"/>
        <v>1</v>
      </c>
      <c r="O174" t="str">
        <f t="shared" si="12"/>
        <v>Good</v>
      </c>
      <c r="P174" t="str">
        <f t="shared" si="14"/>
        <v>High</v>
      </c>
      <c r="Q174" t="str">
        <f t="shared" si="15"/>
        <v>Low Loan</v>
      </c>
      <c r="R174">
        <f t="shared" si="16"/>
        <v>22400000</v>
      </c>
      <c r="S174" t="str">
        <f t="shared" si="17"/>
        <v>Strong</v>
      </c>
    </row>
    <row r="175" spans="1:19" x14ac:dyDescent="0.25">
      <c r="A175">
        <v>174</v>
      </c>
      <c r="B175">
        <v>2</v>
      </c>
      <c r="C175" t="s">
        <v>31</v>
      </c>
      <c r="D175" t="s">
        <v>33</v>
      </c>
      <c r="E175">
        <v>7400000</v>
      </c>
      <c r="F175">
        <v>28200000</v>
      </c>
      <c r="G175">
        <v>8</v>
      </c>
      <c r="H175">
        <v>376</v>
      </c>
      <c r="I175">
        <v>21900000</v>
      </c>
      <c r="J175">
        <v>5000000</v>
      </c>
      <c r="K175">
        <v>17400000</v>
      </c>
      <c r="L175">
        <v>5200000</v>
      </c>
      <c r="M175" t="s">
        <v>35</v>
      </c>
      <c r="N175">
        <f t="shared" si="13"/>
        <v>0</v>
      </c>
      <c r="O175" t="str">
        <f t="shared" si="12"/>
        <v>Low</v>
      </c>
      <c r="P175" t="str">
        <f t="shared" si="14"/>
        <v>High</v>
      </c>
      <c r="Q175" t="str">
        <f t="shared" si="15"/>
        <v>High Loan</v>
      </c>
      <c r="R175">
        <f t="shared" si="16"/>
        <v>49500000</v>
      </c>
      <c r="S175" t="str">
        <f t="shared" si="17"/>
        <v>Strong</v>
      </c>
    </row>
    <row r="176" spans="1:19" x14ac:dyDescent="0.25">
      <c r="A176">
        <v>175</v>
      </c>
      <c r="B176">
        <v>4</v>
      </c>
      <c r="C176" t="s">
        <v>31</v>
      </c>
      <c r="D176" t="s">
        <v>33</v>
      </c>
      <c r="E176">
        <v>6600000</v>
      </c>
      <c r="F176">
        <v>14300000</v>
      </c>
      <c r="G176">
        <v>8</v>
      </c>
      <c r="H176">
        <v>371</v>
      </c>
      <c r="I176">
        <v>10800000</v>
      </c>
      <c r="J176">
        <v>9500000</v>
      </c>
      <c r="K176">
        <v>18500000</v>
      </c>
      <c r="L176">
        <v>7400000</v>
      </c>
      <c r="M176" t="s">
        <v>35</v>
      </c>
      <c r="N176">
        <f t="shared" si="13"/>
        <v>0</v>
      </c>
      <c r="O176" t="str">
        <f t="shared" si="12"/>
        <v>Low</v>
      </c>
      <c r="P176" t="str">
        <f t="shared" si="14"/>
        <v>High</v>
      </c>
      <c r="Q176" t="str">
        <f t="shared" si="15"/>
        <v>Low Loan</v>
      </c>
      <c r="R176">
        <f t="shared" si="16"/>
        <v>46200000</v>
      </c>
      <c r="S176" t="str">
        <f t="shared" si="17"/>
        <v>Strong</v>
      </c>
    </row>
    <row r="177" spans="1:19" x14ac:dyDescent="0.25">
      <c r="A177">
        <v>176</v>
      </c>
      <c r="B177">
        <v>2</v>
      </c>
      <c r="C177" t="s">
        <v>30</v>
      </c>
      <c r="D177" t="s">
        <v>32</v>
      </c>
      <c r="E177">
        <v>1800000</v>
      </c>
      <c r="F177">
        <v>5300000</v>
      </c>
      <c r="G177">
        <v>6</v>
      </c>
      <c r="H177">
        <v>826</v>
      </c>
      <c r="I177">
        <v>4500000</v>
      </c>
      <c r="J177">
        <v>700000</v>
      </c>
      <c r="K177">
        <v>6500000</v>
      </c>
      <c r="L177">
        <v>1300000</v>
      </c>
      <c r="M177" t="s">
        <v>34</v>
      </c>
      <c r="N177">
        <f t="shared" si="13"/>
        <v>1</v>
      </c>
      <c r="O177" t="str">
        <f t="shared" si="12"/>
        <v>Excellent</v>
      </c>
      <c r="P177" t="str">
        <f t="shared" si="14"/>
        <v>High</v>
      </c>
      <c r="Q177" t="str">
        <f t="shared" si="15"/>
        <v>Low Loan</v>
      </c>
      <c r="R177">
        <f t="shared" si="16"/>
        <v>13000000</v>
      </c>
      <c r="S177" t="str">
        <f t="shared" si="17"/>
        <v>Strong</v>
      </c>
    </row>
    <row r="178" spans="1:19" x14ac:dyDescent="0.25">
      <c r="A178">
        <v>177</v>
      </c>
      <c r="B178">
        <v>4</v>
      </c>
      <c r="C178" t="s">
        <v>31</v>
      </c>
      <c r="D178" t="s">
        <v>32</v>
      </c>
      <c r="E178">
        <v>9200000</v>
      </c>
      <c r="F178">
        <v>27200000</v>
      </c>
      <c r="G178">
        <v>12</v>
      </c>
      <c r="H178">
        <v>873</v>
      </c>
      <c r="I178">
        <v>4500000</v>
      </c>
      <c r="J178">
        <v>1800000</v>
      </c>
      <c r="K178">
        <v>33800000</v>
      </c>
      <c r="L178">
        <v>11400000</v>
      </c>
      <c r="M178" t="s">
        <v>34</v>
      </c>
      <c r="N178">
        <f t="shared" si="13"/>
        <v>1</v>
      </c>
      <c r="O178" t="str">
        <f t="shared" si="12"/>
        <v>Excellent</v>
      </c>
      <c r="P178" t="str">
        <f t="shared" si="14"/>
        <v>High</v>
      </c>
      <c r="Q178" t="str">
        <f t="shared" si="15"/>
        <v>High Loan</v>
      </c>
      <c r="R178">
        <f t="shared" si="16"/>
        <v>51500000</v>
      </c>
      <c r="S178" t="str">
        <f t="shared" si="17"/>
        <v>Strong</v>
      </c>
    </row>
    <row r="179" spans="1:19" x14ac:dyDescent="0.25">
      <c r="A179">
        <v>178</v>
      </c>
      <c r="B179">
        <v>5</v>
      </c>
      <c r="C179" t="s">
        <v>31</v>
      </c>
      <c r="D179" t="s">
        <v>33</v>
      </c>
      <c r="E179">
        <v>2400000</v>
      </c>
      <c r="F179">
        <v>8600000</v>
      </c>
      <c r="G179">
        <v>8</v>
      </c>
      <c r="H179">
        <v>309</v>
      </c>
      <c r="I179">
        <v>500000</v>
      </c>
      <c r="J179">
        <v>600000</v>
      </c>
      <c r="K179">
        <v>5700000</v>
      </c>
      <c r="L179">
        <v>2800000</v>
      </c>
      <c r="M179" t="s">
        <v>35</v>
      </c>
      <c r="N179">
        <f t="shared" si="13"/>
        <v>0</v>
      </c>
      <c r="O179" t="str">
        <f t="shared" si="12"/>
        <v>Low</v>
      </c>
      <c r="P179" t="str">
        <f t="shared" si="14"/>
        <v>High</v>
      </c>
      <c r="Q179" t="str">
        <f t="shared" si="15"/>
        <v>Low Loan</v>
      </c>
      <c r="R179">
        <f t="shared" si="16"/>
        <v>9600000</v>
      </c>
      <c r="S179" t="str">
        <f t="shared" si="17"/>
        <v>Moderate</v>
      </c>
    </row>
    <row r="180" spans="1:19" x14ac:dyDescent="0.25">
      <c r="A180">
        <v>179</v>
      </c>
      <c r="B180">
        <v>4</v>
      </c>
      <c r="C180" t="s">
        <v>31</v>
      </c>
      <c r="D180" t="s">
        <v>32</v>
      </c>
      <c r="E180">
        <v>5600000</v>
      </c>
      <c r="F180">
        <v>13300000</v>
      </c>
      <c r="G180">
        <v>20</v>
      </c>
      <c r="H180">
        <v>869</v>
      </c>
      <c r="I180">
        <v>3300000</v>
      </c>
      <c r="J180">
        <v>7500000</v>
      </c>
      <c r="K180">
        <v>20000000</v>
      </c>
      <c r="L180">
        <v>6500000</v>
      </c>
      <c r="M180" t="s">
        <v>34</v>
      </c>
      <c r="N180">
        <f t="shared" si="13"/>
        <v>1</v>
      </c>
      <c r="O180" t="str">
        <f t="shared" si="12"/>
        <v>Excellent</v>
      </c>
      <c r="P180" t="str">
        <f t="shared" si="14"/>
        <v>High</v>
      </c>
      <c r="Q180" t="str">
        <f t="shared" si="15"/>
        <v>Low Loan</v>
      </c>
      <c r="R180">
        <f t="shared" si="16"/>
        <v>37300000</v>
      </c>
      <c r="S180" t="str">
        <f t="shared" si="17"/>
        <v>Strong</v>
      </c>
    </row>
    <row r="181" spans="1:19" x14ac:dyDescent="0.25">
      <c r="A181">
        <v>180</v>
      </c>
      <c r="B181">
        <v>5</v>
      </c>
      <c r="C181" t="s">
        <v>30</v>
      </c>
      <c r="D181" t="s">
        <v>32</v>
      </c>
      <c r="E181">
        <v>3800000</v>
      </c>
      <c r="F181">
        <v>13900000</v>
      </c>
      <c r="G181">
        <v>12</v>
      </c>
      <c r="H181">
        <v>534</v>
      </c>
      <c r="I181">
        <v>4700000</v>
      </c>
      <c r="J181">
        <v>2900000</v>
      </c>
      <c r="K181">
        <v>8200000</v>
      </c>
      <c r="L181">
        <v>2800000</v>
      </c>
      <c r="M181" t="s">
        <v>35</v>
      </c>
      <c r="N181">
        <f t="shared" si="13"/>
        <v>0</v>
      </c>
      <c r="O181" t="str">
        <f t="shared" si="12"/>
        <v>Low</v>
      </c>
      <c r="P181" t="str">
        <f t="shared" si="14"/>
        <v>High</v>
      </c>
      <c r="Q181" t="str">
        <f t="shared" si="15"/>
        <v>Low Loan</v>
      </c>
      <c r="R181">
        <f t="shared" si="16"/>
        <v>18600000</v>
      </c>
      <c r="S181" t="str">
        <f t="shared" si="17"/>
        <v>Strong</v>
      </c>
    </row>
    <row r="182" spans="1:19" x14ac:dyDescent="0.25">
      <c r="A182">
        <v>181</v>
      </c>
      <c r="B182">
        <v>3</v>
      </c>
      <c r="C182" t="s">
        <v>31</v>
      </c>
      <c r="D182" t="s">
        <v>33</v>
      </c>
      <c r="E182">
        <v>4500000</v>
      </c>
      <c r="F182">
        <v>17900000</v>
      </c>
      <c r="G182">
        <v>6</v>
      </c>
      <c r="H182">
        <v>787</v>
      </c>
      <c r="I182">
        <v>9800000</v>
      </c>
      <c r="J182">
        <v>3600000</v>
      </c>
      <c r="K182">
        <v>14300000</v>
      </c>
      <c r="L182">
        <v>4200000</v>
      </c>
      <c r="M182" t="s">
        <v>34</v>
      </c>
      <c r="N182">
        <f t="shared" si="13"/>
        <v>1</v>
      </c>
      <c r="O182" t="str">
        <f t="shared" si="12"/>
        <v>Excellent</v>
      </c>
      <c r="P182" t="str">
        <f t="shared" si="14"/>
        <v>High</v>
      </c>
      <c r="Q182" t="str">
        <f t="shared" si="15"/>
        <v>Low Loan</v>
      </c>
      <c r="R182">
        <f t="shared" si="16"/>
        <v>31900000</v>
      </c>
      <c r="S182" t="str">
        <f t="shared" si="17"/>
        <v>Strong</v>
      </c>
    </row>
    <row r="183" spans="1:19" x14ac:dyDescent="0.25">
      <c r="A183">
        <v>182</v>
      </c>
      <c r="B183">
        <v>0</v>
      </c>
      <c r="C183" t="s">
        <v>30</v>
      </c>
      <c r="D183" t="s">
        <v>33</v>
      </c>
      <c r="E183">
        <v>900000</v>
      </c>
      <c r="F183">
        <v>2200000</v>
      </c>
      <c r="G183">
        <v>16</v>
      </c>
      <c r="H183">
        <v>566</v>
      </c>
      <c r="I183">
        <v>100000</v>
      </c>
      <c r="J183">
        <v>700000</v>
      </c>
      <c r="K183">
        <v>2000000</v>
      </c>
      <c r="L183">
        <v>600000</v>
      </c>
      <c r="M183" t="s">
        <v>34</v>
      </c>
      <c r="N183">
        <f t="shared" si="13"/>
        <v>1</v>
      </c>
      <c r="O183" t="str">
        <f t="shared" si="12"/>
        <v>Low</v>
      </c>
      <c r="P183" t="str">
        <f t="shared" si="14"/>
        <v>High</v>
      </c>
      <c r="Q183" t="str">
        <f t="shared" si="15"/>
        <v>Low Loan</v>
      </c>
      <c r="R183">
        <f t="shared" si="16"/>
        <v>3400000</v>
      </c>
      <c r="S183" t="str">
        <f t="shared" si="17"/>
        <v>Weak</v>
      </c>
    </row>
    <row r="184" spans="1:19" x14ac:dyDescent="0.25">
      <c r="A184">
        <v>183</v>
      </c>
      <c r="B184">
        <v>0</v>
      </c>
      <c r="C184" t="s">
        <v>31</v>
      </c>
      <c r="D184" t="s">
        <v>32</v>
      </c>
      <c r="E184">
        <v>2800000</v>
      </c>
      <c r="F184">
        <v>9900000</v>
      </c>
      <c r="G184">
        <v>8</v>
      </c>
      <c r="H184">
        <v>742</v>
      </c>
      <c r="I184">
        <v>4900000</v>
      </c>
      <c r="J184">
        <v>1300000</v>
      </c>
      <c r="K184">
        <v>6700000</v>
      </c>
      <c r="L184">
        <v>1700000</v>
      </c>
      <c r="M184" t="s">
        <v>34</v>
      </c>
      <c r="N184">
        <f t="shared" si="13"/>
        <v>1</v>
      </c>
      <c r="O184" t="str">
        <f t="shared" si="12"/>
        <v>Good</v>
      </c>
      <c r="P184" t="str">
        <f t="shared" si="14"/>
        <v>High</v>
      </c>
      <c r="Q184" t="str">
        <f t="shared" si="15"/>
        <v>Low Loan</v>
      </c>
      <c r="R184">
        <f t="shared" si="16"/>
        <v>14600000</v>
      </c>
      <c r="S184" t="str">
        <f t="shared" si="17"/>
        <v>Strong</v>
      </c>
    </row>
    <row r="185" spans="1:19" x14ac:dyDescent="0.25">
      <c r="A185">
        <v>184</v>
      </c>
      <c r="B185">
        <v>2</v>
      </c>
      <c r="C185" t="s">
        <v>31</v>
      </c>
      <c r="D185" t="s">
        <v>32</v>
      </c>
      <c r="E185">
        <v>7500000</v>
      </c>
      <c r="F185">
        <v>23100000</v>
      </c>
      <c r="G185">
        <v>4</v>
      </c>
      <c r="H185">
        <v>824</v>
      </c>
      <c r="I185">
        <v>12100000</v>
      </c>
      <c r="J185">
        <v>10900000</v>
      </c>
      <c r="K185">
        <v>26300000</v>
      </c>
      <c r="L185">
        <v>9500000</v>
      </c>
      <c r="M185" t="s">
        <v>34</v>
      </c>
      <c r="N185">
        <f t="shared" si="13"/>
        <v>1</v>
      </c>
      <c r="O185" t="str">
        <f t="shared" si="12"/>
        <v>Excellent</v>
      </c>
      <c r="P185" t="str">
        <f t="shared" si="14"/>
        <v>High</v>
      </c>
      <c r="Q185" t="str">
        <f t="shared" si="15"/>
        <v>High Loan</v>
      </c>
      <c r="R185">
        <f t="shared" si="16"/>
        <v>58800000</v>
      </c>
      <c r="S185" t="str">
        <f t="shared" si="17"/>
        <v>Strong</v>
      </c>
    </row>
    <row r="186" spans="1:19" x14ac:dyDescent="0.25">
      <c r="A186">
        <v>185</v>
      </c>
      <c r="B186">
        <v>4</v>
      </c>
      <c r="C186" t="s">
        <v>30</v>
      </c>
      <c r="D186" t="s">
        <v>32</v>
      </c>
      <c r="E186">
        <v>1400000</v>
      </c>
      <c r="F186">
        <v>3100000</v>
      </c>
      <c r="G186">
        <v>14</v>
      </c>
      <c r="H186">
        <v>575</v>
      </c>
      <c r="I186">
        <v>3000000</v>
      </c>
      <c r="J186">
        <v>2100000</v>
      </c>
      <c r="K186">
        <v>4900000</v>
      </c>
      <c r="L186">
        <v>1400000</v>
      </c>
      <c r="M186" t="s">
        <v>34</v>
      </c>
      <c r="N186">
        <f t="shared" si="13"/>
        <v>1</v>
      </c>
      <c r="O186" t="str">
        <f t="shared" si="12"/>
        <v>Low</v>
      </c>
      <c r="P186" t="str">
        <f t="shared" si="14"/>
        <v>High</v>
      </c>
      <c r="Q186" t="str">
        <f t="shared" si="15"/>
        <v>Low Loan</v>
      </c>
      <c r="R186">
        <f t="shared" si="16"/>
        <v>11400000</v>
      </c>
      <c r="S186" t="str">
        <f t="shared" si="17"/>
        <v>Strong</v>
      </c>
    </row>
    <row r="187" spans="1:19" x14ac:dyDescent="0.25">
      <c r="A187">
        <v>186</v>
      </c>
      <c r="B187">
        <v>2</v>
      </c>
      <c r="C187" t="s">
        <v>30</v>
      </c>
      <c r="D187" t="s">
        <v>33</v>
      </c>
      <c r="E187">
        <v>3800000</v>
      </c>
      <c r="F187">
        <v>10900000</v>
      </c>
      <c r="G187">
        <v>10</v>
      </c>
      <c r="H187">
        <v>766</v>
      </c>
      <c r="I187">
        <v>1900000</v>
      </c>
      <c r="J187">
        <v>3900000</v>
      </c>
      <c r="K187">
        <v>8600000</v>
      </c>
      <c r="L187">
        <v>3000000</v>
      </c>
      <c r="M187" t="s">
        <v>34</v>
      </c>
      <c r="N187">
        <f t="shared" si="13"/>
        <v>1</v>
      </c>
      <c r="O187" t="str">
        <f t="shared" si="12"/>
        <v>Excellent</v>
      </c>
      <c r="P187" t="str">
        <f t="shared" si="14"/>
        <v>High</v>
      </c>
      <c r="Q187" t="str">
        <f t="shared" si="15"/>
        <v>Low Loan</v>
      </c>
      <c r="R187">
        <f t="shared" si="16"/>
        <v>17400000</v>
      </c>
      <c r="S187" t="str">
        <f t="shared" si="17"/>
        <v>Strong</v>
      </c>
    </row>
    <row r="188" spans="1:19" x14ac:dyDescent="0.25">
      <c r="A188">
        <v>187</v>
      </c>
      <c r="B188">
        <v>1</v>
      </c>
      <c r="C188" t="s">
        <v>31</v>
      </c>
      <c r="D188" t="s">
        <v>33</v>
      </c>
      <c r="E188">
        <v>1700000</v>
      </c>
      <c r="F188">
        <v>5000000</v>
      </c>
      <c r="G188">
        <v>10</v>
      </c>
      <c r="H188">
        <v>888</v>
      </c>
      <c r="I188">
        <v>2900000</v>
      </c>
      <c r="J188">
        <v>900000</v>
      </c>
      <c r="K188">
        <v>4100000</v>
      </c>
      <c r="L188">
        <v>2200000</v>
      </c>
      <c r="M188" t="s">
        <v>34</v>
      </c>
      <c r="N188">
        <f t="shared" si="13"/>
        <v>1</v>
      </c>
      <c r="O188" t="str">
        <f t="shared" si="12"/>
        <v>Excellent</v>
      </c>
      <c r="P188" t="str">
        <f t="shared" si="14"/>
        <v>High</v>
      </c>
      <c r="Q188" t="str">
        <f t="shared" si="15"/>
        <v>Low Loan</v>
      </c>
      <c r="R188">
        <f t="shared" si="16"/>
        <v>10100000</v>
      </c>
      <c r="S188" t="str">
        <f t="shared" si="17"/>
        <v>Strong</v>
      </c>
    </row>
    <row r="189" spans="1:19" x14ac:dyDescent="0.25">
      <c r="A189">
        <v>188</v>
      </c>
      <c r="B189">
        <v>3</v>
      </c>
      <c r="C189" t="s">
        <v>30</v>
      </c>
      <c r="D189" t="s">
        <v>33</v>
      </c>
      <c r="E189">
        <v>9000000</v>
      </c>
      <c r="F189">
        <v>30400000</v>
      </c>
      <c r="G189">
        <v>6</v>
      </c>
      <c r="H189">
        <v>638</v>
      </c>
      <c r="I189">
        <v>16800000</v>
      </c>
      <c r="J189">
        <v>11000000</v>
      </c>
      <c r="K189">
        <v>26900000</v>
      </c>
      <c r="L189">
        <v>9200000</v>
      </c>
      <c r="M189" t="s">
        <v>34</v>
      </c>
      <c r="N189">
        <f t="shared" si="13"/>
        <v>1</v>
      </c>
      <c r="O189" t="str">
        <f t="shared" si="12"/>
        <v>Low</v>
      </c>
      <c r="P189" t="str">
        <f t="shared" si="14"/>
        <v>High</v>
      </c>
      <c r="Q189" t="str">
        <f t="shared" si="15"/>
        <v>High Loan</v>
      </c>
      <c r="R189">
        <f t="shared" si="16"/>
        <v>63900000</v>
      </c>
      <c r="S189" t="str">
        <f t="shared" si="17"/>
        <v>Strong</v>
      </c>
    </row>
    <row r="190" spans="1:19" x14ac:dyDescent="0.25">
      <c r="A190">
        <v>189</v>
      </c>
      <c r="B190">
        <v>5</v>
      </c>
      <c r="C190" t="s">
        <v>31</v>
      </c>
      <c r="D190" t="s">
        <v>33</v>
      </c>
      <c r="E190">
        <v>7300000</v>
      </c>
      <c r="F190">
        <v>23300000</v>
      </c>
      <c r="G190">
        <v>6</v>
      </c>
      <c r="H190">
        <v>622</v>
      </c>
      <c r="I190">
        <v>7100000</v>
      </c>
      <c r="J190">
        <v>11600000</v>
      </c>
      <c r="K190">
        <v>26400000</v>
      </c>
      <c r="L190">
        <v>10500000</v>
      </c>
      <c r="M190" t="s">
        <v>34</v>
      </c>
      <c r="N190">
        <f t="shared" si="13"/>
        <v>1</v>
      </c>
      <c r="O190" t="str">
        <f t="shared" si="12"/>
        <v>Low</v>
      </c>
      <c r="P190" t="str">
        <f t="shared" si="14"/>
        <v>High</v>
      </c>
      <c r="Q190" t="str">
        <f t="shared" si="15"/>
        <v>High Loan</v>
      </c>
      <c r="R190">
        <f t="shared" si="16"/>
        <v>55600000</v>
      </c>
      <c r="S190" t="str">
        <f t="shared" si="17"/>
        <v>Strong</v>
      </c>
    </row>
    <row r="191" spans="1:19" x14ac:dyDescent="0.25">
      <c r="A191">
        <v>190</v>
      </c>
      <c r="B191">
        <v>1</v>
      </c>
      <c r="C191" t="s">
        <v>31</v>
      </c>
      <c r="D191" t="s">
        <v>32</v>
      </c>
      <c r="E191">
        <v>7400000</v>
      </c>
      <c r="F191">
        <v>19800000</v>
      </c>
      <c r="G191">
        <v>18</v>
      </c>
      <c r="H191">
        <v>458</v>
      </c>
      <c r="I191">
        <v>12600000</v>
      </c>
      <c r="J191">
        <v>6200000</v>
      </c>
      <c r="K191">
        <v>27700000</v>
      </c>
      <c r="L191">
        <v>4000000</v>
      </c>
      <c r="M191" t="s">
        <v>35</v>
      </c>
      <c r="N191">
        <f t="shared" si="13"/>
        <v>0</v>
      </c>
      <c r="O191" t="str">
        <f t="shared" si="12"/>
        <v>Low</v>
      </c>
      <c r="P191" t="str">
        <f t="shared" si="14"/>
        <v>High</v>
      </c>
      <c r="Q191" t="str">
        <f t="shared" si="15"/>
        <v>Low Loan</v>
      </c>
      <c r="R191">
        <f t="shared" si="16"/>
        <v>50500000</v>
      </c>
      <c r="S191" t="str">
        <f t="shared" si="17"/>
        <v>Strong</v>
      </c>
    </row>
    <row r="192" spans="1:19" x14ac:dyDescent="0.25">
      <c r="A192">
        <v>191</v>
      </c>
      <c r="B192">
        <v>1</v>
      </c>
      <c r="C192" t="s">
        <v>31</v>
      </c>
      <c r="D192" t="s">
        <v>32</v>
      </c>
      <c r="E192">
        <v>9000000</v>
      </c>
      <c r="F192">
        <v>28200000</v>
      </c>
      <c r="G192">
        <v>16</v>
      </c>
      <c r="H192">
        <v>327</v>
      </c>
      <c r="I192">
        <v>1700000</v>
      </c>
      <c r="J192">
        <v>2300000</v>
      </c>
      <c r="K192">
        <v>24000000</v>
      </c>
      <c r="L192">
        <v>11200000</v>
      </c>
      <c r="M192" t="s">
        <v>35</v>
      </c>
      <c r="N192">
        <f t="shared" si="13"/>
        <v>0</v>
      </c>
      <c r="O192" t="str">
        <f t="shared" si="12"/>
        <v>Low</v>
      </c>
      <c r="P192" t="str">
        <f t="shared" si="14"/>
        <v>High</v>
      </c>
      <c r="Q192" t="str">
        <f t="shared" si="15"/>
        <v>High Loan</v>
      </c>
      <c r="R192">
        <f t="shared" si="16"/>
        <v>39200000</v>
      </c>
      <c r="S192" t="str">
        <f t="shared" si="17"/>
        <v>Strong</v>
      </c>
    </row>
    <row r="193" spans="1:19" x14ac:dyDescent="0.25">
      <c r="A193">
        <v>192</v>
      </c>
      <c r="B193">
        <v>0</v>
      </c>
      <c r="C193" t="s">
        <v>31</v>
      </c>
      <c r="D193" t="s">
        <v>32</v>
      </c>
      <c r="E193">
        <v>3000000</v>
      </c>
      <c r="F193">
        <v>6500000</v>
      </c>
      <c r="G193">
        <v>2</v>
      </c>
      <c r="H193">
        <v>612</v>
      </c>
      <c r="I193">
        <v>8800000</v>
      </c>
      <c r="J193">
        <v>3400000</v>
      </c>
      <c r="K193">
        <v>6700000</v>
      </c>
      <c r="L193">
        <v>1700000</v>
      </c>
      <c r="M193" t="s">
        <v>34</v>
      </c>
      <c r="N193">
        <f t="shared" si="13"/>
        <v>1</v>
      </c>
      <c r="O193" t="str">
        <f t="shared" si="12"/>
        <v>Low</v>
      </c>
      <c r="P193" t="str">
        <f t="shared" si="14"/>
        <v>High</v>
      </c>
      <c r="Q193" t="str">
        <f t="shared" si="15"/>
        <v>Low Loan</v>
      </c>
      <c r="R193">
        <f t="shared" si="16"/>
        <v>20600000</v>
      </c>
      <c r="S193" t="str">
        <f t="shared" si="17"/>
        <v>Strong</v>
      </c>
    </row>
    <row r="194" spans="1:19" x14ac:dyDescent="0.25">
      <c r="A194">
        <v>193</v>
      </c>
      <c r="B194">
        <v>1</v>
      </c>
      <c r="C194" t="s">
        <v>30</v>
      </c>
      <c r="D194" t="s">
        <v>32</v>
      </c>
      <c r="E194">
        <v>800000</v>
      </c>
      <c r="F194">
        <v>2900000</v>
      </c>
      <c r="G194">
        <v>8</v>
      </c>
      <c r="H194">
        <v>682</v>
      </c>
      <c r="I194">
        <v>2200000</v>
      </c>
      <c r="J194">
        <v>1100000</v>
      </c>
      <c r="K194">
        <v>2900000</v>
      </c>
      <c r="L194">
        <v>700000</v>
      </c>
      <c r="M194" t="s">
        <v>34</v>
      </c>
      <c r="N194">
        <f t="shared" si="13"/>
        <v>1</v>
      </c>
      <c r="O194" t="str">
        <f t="shared" ref="O194:O257" si="18">IF(H194&lt;650,"Low",
 IF(H194&lt;700,"Medium",
 IF(H194&lt;750,"Good","Excellent")))</f>
        <v>Medium</v>
      </c>
      <c r="P194" t="str">
        <f t="shared" si="14"/>
        <v>High</v>
      </c>
      <c r="Q194" t="str">
        <f t="shared" si="15"/>
        <v>Low Loan</v>
      </c>
      <c r="R194">
        <f t="shared" si="16"/>
        <v>6900000</v>
      </c>
      <c r="S194" t="str">
        <f t="shared" si="17"/>
        <v>Moderate</v>
      </c>
    </row>
    <row r="195" spans="1:19" x14ac:dyDescent="0.25">
      <c r="A195">
        <v>194</v>
      </c>
      <c r="B195">
        <v>2</v>
      </c>
      <c r="C195" t="s">
        <v>30</v>
      </c>
      <c r="D195" t="s">
        <v>32</v>
      </c>
      <c r="E195">
        <v>4800000</v>
      </c>
      <c r="F195">
        <v>13200000</v>
      </c>
      <c r="G195">
        <v>2</v>
      </c>
      <c r="H195">
        <v>583</v>
      </c>
      <c r="I195">
        <v>13700000</v>
      </c>
      <c r="J195">
        <v>5800000</v>
      </c>
      <c r="K195">
        <v>9500000</v>
      </c>
      <c r="L195">
        <v>5200000</v>
      </c>
      <c r="M195" t="s">
        <v>34</v>
      </c>
      <c r="N195">
        <f t="shared" ref="N195:N258" si="19">IF(TRIM(CLEAN(M195))="Approved",1,0)</f>
        <v>1</v>
      </c>
      <c r="O195" t="str">
        <f t="shared" si="18"/>
        <v>Low</v>
      </c>
      <c r="P195" t="str">
        <f t="shared" ref="P195:P258" si="20">IF(E195&lt;300000,"Low",
 IF(E195&lt;700000,"Middle","High"))</f>
        <v>High</v>
      </c>
      <c r="Q195" t="str">
        <f t="shared" ref="Q195:Q258" si="21">IF(F195&lt;20000000,"Low Loan","High Loan")</f>
        <v>Low Loan</v>
      </c>
      <c r="R195">
        <f t="shared" ref="R195:R258" si="22">I195+J195+K195+L195</f>
        <v>34200000</v>
      </c>
      <c r="S195" t="str">
        <f t="shared" ref="S195:S258" si="23">IF(R195&lt;5000000,"Weak",
 IF(R195&lt;10000000,"Moderate","Strong"))</f>
        <v>Strong</v>
      </c>
    </row>
    <row r="196" spans="1:19" x14ac:dyDescent="0.25">
      <c r="A196">
        <v>195</v>
      </c>
      <c r="B196">
        <v>5</v>
      </c>
      <c r="C196" t="s">
        <v>31</v>
      </c>
      <c r="D196" t="s">
        <v>32</v>
      </c>
      <c r="E196">
        <v>6400000</v>
      </c>
      <c r="F196">
        <v>18300000</v>
      </c>
      <c r="G196">
        <v>8</v>
      </c>
      <c r="H196">
        <v>697</v>
      </c>
      <c r="I196">
        <v>10000000</v>
      </c>
      <c r="J196">
        <v>3600000</v>
      </c>
      <c r="K196">
        <v>22500000</v>
      </c>
      <c r="L196">
        <v>3600000</v>
      </c>
      <c r="M196" t="s">
        <v>34</v>
      </c>
      <c r="N196">
        <f t="shared" si="19"/>
        <v>1</v>
      </c>
      <c r="O196" t="str">
        <f t="shared" si="18"/>
        <v>Medium</v>
      </c>
      <c r="P196" t="str">
        <f t="shared" si="20"/>
        <v>High</v>
      </c>
      <c r="Q196" t="str">
        <f t="shared" si="21"/>
        <v>Low Loan</v>
      </c>
      <c r="R196">
        <f t="shared" si="22"/>
        <v>39700000</v>
      </c>
      <c r="S196" t="str">
        <f t="shared" si="23"/>
        <v>Strong</v>
      </c>
    </row>
    <row r="197" spans="1:19" x14ac:dyDescent="0.25">
      <c r="A197">
        <v>196</v>
      </c>
      <c r="B197">
        <v>3</v>
      </c>
      <c r="C197" t="s">
        <v>30</v>
      </c>
      <c r="D197" t="s">
        <v>32</v>
      </c>
      <c r="E197">
        <v>9200000</v>
      </c>
      <c r="F197">
        <v>27100000</v>
      </c>
      <c r="G197">
        <v>12</v>
      </c>
      <c r="H197">
        <v>306</v>
      </c>
      <c r="I197">
        <v>5800000</v>
      </c>
      <c r="J197">
        <v>11500000</v>
      </c>
      <c r="K197">
        <v>28000000</v>
      </c>
      <c r="L197">
        <v>9600000</v>
      </c>
      <c r="M197" t="s">
        <v>35</v>
      </c>
      <c r="N197">
        <f t="shared" si="19"/>
        <v>0</v>
      </c>
      <c r="O197" t="str">
        <f t="shared" si="18"/>
        <v>Low</v>
      </c>
      <c r="P197" t="str">
        <f t="shared" si="20"/>
        <v>High</v>
      </c>
      <c r="Q197" t="str">
        <f t="shared" si="21"/>
        <v>High Loan</v>
      </c>
      <c r="R197">
        <f t="shared" si="22"/>
        <v>54900000</v>
      </c>
      <c r="S197" t="str">
        <f t="shared" si="23"/>
        <v>Strong</v>
      </c>
    </row>
    <row r="198" spans="1:19" x14ac:dyDescent="0.25">
      <c r="A198">
        <v>197</v>
      </c>
      <c r="B198">
        <v>4</v>
      </c>
      <c r="C198" t="s">
        <v>31</v>
      </c>
      <c r="D198" t="s">
        <v>33</v>
      </c>
      <c r="E198">
        <v>400000</v>
      </c>
      <c r="F198">
        <v>1500000</v>
      </c>
      <c r="G198">
        <v>2</v>
      </c>
      <c r="H198">
        <v>669</v>
      </c>
      <c r="I198">
        <v>-100000</v>
      </c>
      <c r="J198">
        <v>600000</v>
      </c>
      <c r="K198">
        <v>900000</v>
      </c>
      <c r="L198">
        <v>500000</v>
      </c>
      <c r="M198" t="s">
        <v>34</v>
      </c>
      <c r="N198">
        <f t="shared" si="19"/>
        <v>1</v>
      </c>
      <c r="O198" t="str">
        <f t="shared" si="18"/>
        <v>Medium</v>
      </c>
      <c r="P198" t="str">
        <f t="shared" si="20"/>
        <v>Middle</v>
      </c>
      <c r="Q198" t="str">
        <f t="shared" si="21"/>
        <v>Low Loan</v>
      </c>
      <c r="R198">
        <f t="shared" si="22"/>
        <v>1900000</v>
      </c>
      <c r="S198" t="str">
        <f t="shared" si="23"/>
        <v>Weak</v>
      </c>
    </row>
    <row r="199" spans="1:19" x14ac:dyDescent="0.25">
      <c r="A199">
        <v>198</v>
      </c>
      <c r="B199">
        <v>2</v>
      </c>
      <c r="C199" t="s">
        <v>31</v>
      </c>
      <c r="D199" t="s">
        <v>32</v>
      </c>
      <c r="E199">
        <v>2800000</v>
      </c>
      <c r="F199">
        <v>6000000</v>
      </c>
      <c r="G199">
        <v>18</v>
      </c>
      <c r="H199">
        <v>816</v>
      </c>
      <c r="I199">
        <v>6300000</v>
      </c>
      <c r="J199">
        <v>4200000</v>
      </c>
      <c r="K199">
        <v>8000000</v>
      </c>
      <c r="L199">
        <v>3400000</v>
      </c>
      <c r="M199" t="s">
        <v>34</v>
      </c>
      <c r="N199">
        <f t="shared" si="19"/>
        <v>1</v>
      </c>
      <c r="O199" t="str">
        <f t="shared" si="18"/>
        <v>Excellent</v>
      </c>
      <c r="P199" t="str">
        <f t="shared" si="20"/>
        <v>High</v>
      </c>
      <c r="Q199" t="str">
        <f t="shared" si="21"/>
        <v>Low Loan</v>
      </c>
      <c r="R199">
        <f t="shared" si="22"/>
        <v>21900000</v>
      </c>
      <c r="S199" t="str">
        <f t="shared" si="23"/>
        <v>Strong</v>
      </c>
    </row>
    <row r="200" spans="1:19" x14ac:dyDescent="0.25">
      <c r="A200">
        <v>199</v>
      </c>
      <c r="B200">
        <v>4</v>
      </c>
      <c r="C200" t="s">
        <v>31</v>
      </c>
      <c r="D200" t="s">
        <v>33</v>
      </c>
      <c r="E200">
        <v>8500000</v>
      </c>
      <c r="F200">
        <v>28900000</v>
      </c>
      <c r="G200">
        <v>20</v>
      </c>
      <c r="H200">
        <v>455</v>
      </c>
      <c r="I200">
        <v>15200000</v>
      </c>
      <c r="J200">
        <v>5800000</v>
      </c>
      <c r="K200">
        <v>22500000</v>
      </c>
      <c r="L200">
        <v>9400000</v>
      </c>
      <c r="M200" t="s">
        <v>35</v>
      </c>
      <c r="N200">
        <f t="shared" si="19"/>
        <v>0</v>
      </c>
      <c r="O200" t="str">
        <f t="shared" si="18"/>
        <v>Low</v>
      </c>
      <c r="P200" t="str">
        <f t="shared" si="20"/>
        <v>High</v>
      </c>
      <c r="Q200" t="str">
        <f t="shared" si="21"/>
        <v>High Loan</v>
      </c>
      <c r="R200">
        <f t="shared" si="22"/>
        <v>52900000</v>
      </c>
      <c r="S200" t="str">
        <f t="shared" si="23"/>
        <v>Strong</v>
      </c>
    </row>
    <row r="201" spans="1:19" x14ac:dyDescent="0.25">
      <c r="A201">
        <v>200</v>
      </c>
      <c r="B201">
        <v>3</v>
      </c>
      <c r="C201" t="s">
        <v>30</v>
      </c>
      <c r="D201" t="s">
        <v>33</v>
      </c>
      <c r="E201">
        <v>4700000</v>
      </c>
      <c r="F201">
        <v>16400000</v>
      </c>
      <c r="G201">
        <v>10</v>
      </c>
      <c r="H201">
        <v>318</v>
      </c>
      <c r="I201">
        <v>11400000</v>
      </c>
      <c r="J201">
        <v>8100000</v>
      </c>
      <c r="K201">
        <v>16200000</v>
      </c>
      <c r="L201">
        <v>4300000</v>
      </c>
      <c r="M201" t="s">
        <v>35</v>
      </c>
      <c r="N201">
        <f t="shared" si="19"/>
        <v>0</v>
      </c>
      <c r="O201" t="str">
        <f t="shared" si="18"/>
        <v>Low</v>
      </c>
      <c r="P201" t="str">
        <f t="shared" si="20"/>
        <v>High</v>
      </c>
      <c r="Q201" t="str">
        <f t="shared" si="21"/>
        <v>Low Loan</v>
      </c>
      <c r="R201">
        <f t="shared" si="22"/>
        <v>40000000</v>
      </c>
      <c r="S201" t="str">
        <f t="shared" si="23"/>
        <v>Strong</v>
      </c>
    </row>
    <row r="202" spans="1:19" x14ac:dyDescent="0.25">
      <c r="A202">
        <v>201</v>
      </c>
      <c r="B202">
        <v>4</v>
      </c>
      <c r="C202" t="s">
        <v>31</v>
      </c>
      <c r="D202" t="s">
        <v>33</v>
      </c>
      <c r="E202">
        <v>9800000</v>
      </c>
      <c r="F202">
        <v>21200000</v>
      </c>
      <c r="G202">
        <v>20</v>
      </c>
      <c r="H202">
        <v>355</v>
      </c>
      <c r="I202">
        <v>22000000</v>
      </c>
      <c r="J202">
        <v>8900000</v>
      </c>
      <c r="K202">
        <v>31800000</v>
      </c>
      <c r="L202">
        <v>14400000</v>
      </c>
      <c r="M202" t="s">
        <v>35</v>
      </c>
      <c r="N202">
        <f t="shared" si="19"/>
        <v>0</v>
      </c>
      <c r="O202" t="str">
        <f t="shared" si="18"/>
        <v>Low</v>
      </c>
      <c r="P202" t="str">
        <f t="shared" si="20"/>
        <v>High</v>
      </c>
      <c r="Q202" t="str">
        <f t="shared" si="21"/>
        <v>High Loan</v>
      </c>
      <c r="R202">
        <f t="shared" si="22"/>
        <v>77100000</v>
      </c>
      <c r="S202" t="str">
        <f t="shared" si="23"/>
        <v>Strong</v>
      </c>
    </row>
    <row r="203" spans="1:19" x14ac:dyDescent="0.25">
      <c r="A203">
        <v>202</v>
      </c>
      <c r="B203">
        <v>2</v>
      </c>
      <c r="C203" t="s">
        <v>31</v>
      </c>
      <c r="D203" t="s">
        <v>33</v>
      </c>
      <c r="E203">
        <v>3800000</v>
      </c>
      <c r="F203">
        <v>8900000</v>
      </c>
      <c r="G203">
        <v>16</v>
      </c>
      <c r="H203">
        <v>389</v>
      </c>
      <c r="I203">
        <v>200000</v>
      </c>
      <c r="J203">
        <v>5600000</v>
      </c>
      <c r="K203">
        <v>12200000</v>
      </c>
      <c r="L203">
        <v>2200000</v>
      </c>
      <c r="M203" t="s">
        <v>35</v>
      </c>
      <c r="N203">
        <f t="shared" si="19"/>
        <v>0</v>
      </c>
      <c r="O203" t="str">
        <f t="shared" si="18"/>
        <v>Low</v>
      </c>
      <c r="P203" t="str">
        <f t="shared" si="20"/>
        <v>High</v>
      </c>
      <c r="Q203" t="str">
        <f t="shared" si="21"/>
        <v>Low Loan</v>
      </c>
      <c r="R203">
        <f t="shared" si="22"/>
        <v>20200000</v>
      </c>
      <c r="S203" t="str">
        <f t="shared" si="23"/>
        <v>Strong</v>
      </c>
    </row>
    <row r="204" spans="1:19" x14ac:dyDescent="0.25">
      <c r="A204">
        <v>203</v>
      </c>
      <c r="B204">
        <v>2</v>
      </c>
      <c r="C204" t="s">
        <v>30</v>
      </c>
      <c r="D204" t="s">
        <v>32</v>
      </c>
      <c r="E204">
        <v>500000</v>
      </c>
      <c r="F204">
        <v>1500000</v>
      </c>
      <c r="G204">
        <v>2</v>
      </c>
      <c r="H204">
        <v>888</v>
      </c>
      <c r="I204">
        <v>1500000</v>
      </c>
      <c r="J204">
        <v>300000</v>
      </c>
      <c r="K204">
        <v>1500000</v>
      </c>
      <c r="L204">
        <v>600000</v>
      </c>
      <c r="M204" t="s">
        <v>34</v>
      </c>
      <c r="N204">
        <f t="shared" si="19"/>
        <v>1</v>
      </c>
      <c r="O204" t="str">
        <f t="shared" si="18"/>
        <v>Excellent</v>
      </c>
      <c r="P204" t="str">
        <f t="shared" si="20"/>
        <v>Middle</v>
      </c>
      <c r="Q204" t="str">
        <f t="shared" si="21"/>
        <v>Low Loan</v>
      </c>
      <c r="R204">
        <f t="shared" si="22"/>
        <v>3900000</v>
      </c>
      <c r="S204" t="str">
        <f t="shared" si="23"/>
        <v>Weak</v>
      </c>
    </row>
    <row r="205" spans="1:19" x14ac:dyDescent="0.25">
      <c r="A205">
        <v>204</v>
      </c>
      <c r="B205">
        <v>2</v>
      </c>
      <c r="C205" t="s">
        <v>30</v>
      </c>
      <c r="D205" t="s">
        <v>33</v>
      </c>
      <c r="E205">
        <v>6900000</v>
      </c>
      <c r="F205">
        <v>15600000</v>
      </c>
      <c r="G205">
        <v>6</v>
      </c>
      <c r="H205">
        <v>352</v>
      </c>
      <c r="I205">
        <v>13000000</v>
      </c>
      <c r="J205">
        <v>5300000</v>
      </c>
      <c r="K205">
        <v>22600000</v>
      </c>
      <c r="L205">
        <v>10000000</v>
      </c>
      <c r="M205" t="s">
        <v>35</v>
      </c>
      <c r="N205">
        <f t="shared" si="19"/>
        <v>0</v>
      </c>
      <c r="O205" t="str">
        <f t="shared" si="18"/>
        <v>Low</v>
      </c>
      <c r="P205" t="str">
        <f t="shared" si="20"/>
        <v>High</v>
      </c>
      <c r="Q205" t="str">
        <f t="shared" si="21"/>
        <v>Low Loan</v>
      </c>
      <c r="R205">
        <f t="shared" si="22"/>
        <v>50900000</v>
      </c>
      <c r="S205" t="str">
        <f t="shared" si="23"/>
        <v>Strong</v>
      </c>
    </row>
    <row r="206" spans="1:19" x14ac:dyDescent="0.25">
      <c r="A206">
        <v>205</v>
      </c>
      <c r="B206">
        <v>4</v>
      </c>
      <c r="C206" t="s">
        <v>31</v>
      </c>
      <c r="D206" t="s">
        <v>33</v>
      </c>
      <c r="E206">
        <v>9600000</v>
      </c>
      <c r="F206">
        <v>30100000</v>
      </c>
      <c r="G206">
        <v>12</v>
      </c>
      <c r="H206">
        <v>870</v>
      </c>
      <c r="I206">
        <v>300000</v>
      </c>
      <c r="J206">
        <v>6700000</v>
      </c>
      <c r="K206">
        <v>38200000</v>
      </c>
      <c r="L206">
        <v>5600000</v>
      </c>
      <c r="M206" t="s">
        <v>34</v>
      </c>
      <c r="N206">
        <f t="shared" si="19"/>
        <v>1</v>
      </c>
      <c r="O206" t="str">
        <f t="shared" si="18"/>
        <v>Excellent</v>
      </c>
      <c r="P206" t="str">
        <f t="shared" si="20"/>
        <v>High</v>
      </c>
      <c r="Q206" t="str">
        <f t="shared" si="21"/>
        <v>High Loan</v>
      </c>
      <c r="R206">
        <f t="shared" si="22"/>
        <v>50800000</v>
      </c>
      <c r="S206" t="str">
        <f t="shared" si="23"/>
        <v>Strong</v>
      </c>
    </row>
    <row r="207" spans="1:19" x14ac:dyDescent="0.25">
      <c r="A207">
        <v>206</v>
      </c>
      <c r="B207">
        <v>3</v>
      </c>
      <c r="C207" t="s">
        <v>31</v>
      </c>
      <c r="D207" t="s">
        <v>32</v>
      </c>
      <c r="E207">
        <v>2900000</v>
      </c>
      <c r="F207">
        <v>6500000</v>
      </c>
      <c r="G207">
        <v>18</v>
      </c>
      <c r="H207">
        <v>827</v>
      </c>
      <c r="I207">
        <v>8300000</v>
      </c>
      <c r="J207">
        <v>600000</v>
      </c>
      <c r="K207">
        <v>10400000</v>
      </c>
      <c r="L207">
        <v>3200000</v>
      </c>
      <c r="M207" t="s">
        <v>34</v>
      </c>
      <c r="N207">
        <f t="shared" si="19"/>
        <v>1</v>
      </c>
      <c r="O207" t="str">
        <f t="shared" si="18"/>
        <v>Excellent</v>
      </c>
      <c r="P207" t="str">
        <f t="shared" si="20"/>
        <v>High</v>
      </c>
      <c r="Q207" t="str">
        <f t="shared" si="21"/>
        <v>Low Loan</v>
      </c>
      <c r="R207">
        <f t="shared" si="22"/>
        <v>22500000</v>
      </c>
      <c r="S207" t="str">
        <f t="shared" si="23"/>
        <v>Strong</v>
      </c>
    </row>
    <row r="208" spans="1:19" x14ac:dyDescent="0.25">
      <c r="A208">
        <v>207</v>
      </c>
      <c r="B208">
        <v>2</v>
      </c>
      <c r="C208" t="s">
        <v>30</v>
      </c>
      <c r="D208" t="s">
        <v>32</v>
      </c>
      <c r="E208">
        <v>9800000</v>
      </c>
      <c r="F208">
        <v>20900000</v>
      </c>
      <c r="G208">
        <v>12</v>
      </c>
      <c r="H208">
        <v>768</v>
      </c>
      <c r="I208">
        <v>3400000</v>
      </c>
      <c r="J208">
        <v>10200000</v>
      </c>
      <c r="K208">
        <v>38600000</v>
      </c>
      <c r="L208">
        <v>13400000</v>
      </c>
      <c r="M208" t="s">
        <v>34</v>
      </c>
      <c r="N208">
        <f t="shared" si="19"/>
        <v>1</v>
      </c>
      <c r="O208" t="str">
        <f t="shared" si="18"/>
        <v>Excellent</v>
      </c>
      <c r="P208" t="str">
        <f t="shared" si="20"/>
        <v>High</v>
      </c>
      <c r="Q208" t="str">
        <f t="shared" si="21"/>
        <v>High Loan</v>
      </c>
      <c r="R208">
        <f t="shared" si="22"/>
        <v>65600000</v>
      </c>
      <c r="S208" t="str">
        <f t="shared" si="23"/>
        <v>Strong</v>
      </c>
    </row>
    <row r="209" spans="1:19" x14ac:dyDescent="0.25">
      <c r="A209">
        <v>208</v>
      </c>
      <c r="B209">
        <v>0</v>
      </c>
      <c r="C209" t="s">
        <v>30</v>
      </c>
      <c r="D209" t="s">
        <v>32</v>
      </c>
      <c r="E209">
        <v>7100000</v>
      </c>
      <c r="F209">
        <v>15400000</v>
      </c>
      <c r="G209">
        <v>18</v>
      </c>
      <c r="H209">
        <v>707</v>
      </c>
      <c r="I209">
        <v>10300000</v>
      </c>
      <c r="J209">
        <v>10800000</v>
      </c>
      <c r="K209">
        <v>19600000</v>
      </c>
      <c r="L209">
        <v>5800000</v>
      </c>
      <c r="M209" t="s">
        <v>34</v>
      </c>
      <c r="N209">
        <f t="shared" si="19"/>
        <v>1</v>
      </c>
      <c r="O209" t="str">
        <f t="shared" si="18"/>
        <v>Good</v>
      </c>
      <c r="P209" t="str">
        <f t="shared" si="20"/>
        <v>High</v>
      </c>
      <c r="Q209" t="str">
        <f t="shared" si="21"/>
        <v>Low Loan</v>
      </c>
      <c r="R209">
        <f t="shared" si="22"/>
        <v>46500000</v>
      </c>
      <c r="S209" t="str">
        <f t="shared" si="23"/>
        <v>Strong</v>
      </c>
    </row>
    <row r="210" spans="1:19" x14ac:dyDescent="0.25">
      <c r="A210">
        <v>209</v>
      </c>
      <c r="B210">
        <v>1</v>
      </c>
      <c r="C210" t="s">
        <v>31</v>
      </c>
      <c r="D210" t="s">
        <v>33</v>
      </c>
      <c r="E210">
        <v>7700000</v>
      </c>
      <c r="F210">
        <v>19100000</v>
      </c>
      <c r="G210">
        <v>10</v>
      </c>
      <c r="H210">
        <v>355</v>
      </c>
      <c r="I210">
        <v>11300000</v>
      </c>
      <c r="J210">
        <v>4900000</v>
      </c>
      <c r="K210">
        <v>21900000</v>
      </c>
      <c r="L210">
        <v>6600000</v>
      </c>
      <c r="M210" t="s">
        <v>35</v>
      </c>
      <c r="N210">
        <f t="shared" si="19"/>
        <v>0</v>
      </c>
      <c r="O210" t="str">
        <f t="shared" si="18"/>
        <v>Low</v>
      </c>
      <c r="P210" t="str">
        <f t="shared" si="20"/>
        <v>High</v>
      </c>
      <c r="Q210" t="str">
        <f t="shared" si="21"/>
        <v>Low Loan</v>
      </c>
      <c r="R210">
        <f t="shared" si="22"/>
        <v>44700000</v>
      </c>
      <c r="S210" t="str">
        <f t="shared" si="23"/>
        <v>Strong</v>
      </c>
    </row>
    <row r="211" spans="1:19" x14ac:dyDescent="0.25">
      <c r="A211">
        <v>210</v>
      </c>
      <c r="B211">
        <v>3</v>
      </c>
      <c r="C211" t="s">
        <v>30</v>
      </c>
      <c r="D211" t="s">
        <v>32</v>
      </c>
      <c r="E211">
        <v>1400000</v>
      </c>
      <c r="F211">
        <v>3300000</v>
      </c>
      <c r="G211">
        <v>2</v>
      </c>
      <c r="H211">
        <v>652</v>
      </c>
      <c r="I211">
        <v>100000</v>
      </c>
      <c r="J211">
        <v>2100000</v>
      </c>
      <c r="K211">
        <v>3500000</v>
      </c>
      <c r="L211">
        <v>1900000</v>
      </c>
      <c r="M211" t="s">
        <v>34</v>
      </c>
      <c r="N211">
        <f t="shared" si="19"/>
        <v>1</v>
      </c>
      <c r="O211" t="str">
        <f t="shared" si="18"/>
        <v>Medium</v>
      </c>
      <c r="P211" t="str">
        <f t="shared" si="20"/>
        <v>High</v>
      </c>
      <c r="Q211" t="str">
        <f t="shared" si="21"/>
        <v>Low Loan</v>
      </c>
      <c r="R211">
        <f t="shared" si="22"/>
        <v>7600000</v>
      </c>
      <c r="S211" t="str">
        <f t="shared" si="23"/>
        <v>Moderate</v>
      </c>
    </row>
    <row r="212" spans="1:19" x14ac:dyDescent="0.25">
      <c r="A212">
        <v>211</v>
      </c>
      <c r="B212">
        <v>3</v>
      </c>
      <c r="C212" t="s">
        <v>30</v>
      </c>
      <c r="D212" t="s">
        <v>32</v>
      </c>
      <c r="E212">
        <v>7800000</v>
      </c>
      <c r="F212">
        <v>15900000</v>
      </c>
      <c r="G212">
        <v>2</v>
      </c>
      <c r="H212">
        <v>665</v>
      </c>
      <c r="I212">
        <v>14400000</v>
      </c>
      <c r="J212">
        <v>900000</v>
      </c>
      <c r="K212">
        <v>27200000</v>
      </c>
      <c r="L212">
        <v>5400000</v>
      </c>
      <c r="M212" t="s">
        <v>34</v>
      </c>
      <c r="N212">
        <f t="shared" si="19"/>
        <v>1</v>
      </c>
      <c r="O212" t="str">
        <f t="shared" si="18"/>
        <v>Medium</v>
      </c>
      <c r="P212" t="str">
        <f t="shared" si="20"/>
        <v>High</v>
      </c>
      <c r="Q212" t="str">
        <f t="shared" si="21"/>
        <v>Low Loan</v>
      </c>
      <c r="R212">
        <f t="shared" si="22"/>
        <v>47900000</v>
      </c>
      <c r="S212" t="str">
        <f t="shared" si="23"/>
        <v>Strong</v>
      </c>
    </row>
    <row r="213" spans="1:19" x14ac:dyDescent="0.25">
      <c r="A213">
        <v>212</v>
      </c>
      <c r="B213">
        <v>5</v>
      </c>
      <c r="C213" t="s">
        <v>31</v>
      </c>
      <c r="D213" t="s">
        <v>33</v>
      </c>
      <c r="E213">
        <v>1700000</v>
      </c>
      <c r="F213">
        <v>6000000</v>
      </c>
      <c r="G213">
        <v>18</v>
      </c>
      <c r="H213">
        <v>420</v>
      </c>
      <c r="I213">
        <v>500000</v>
      </c>
      <c r="J213">
        <v>1600000</v>
      </c>
      <c r="K213">
        <v>3700000</v>
      </c>
      <c r="L213">
        <v>2300000</v>
      </c>
      <c r="M213" t="s">
        <v>35</v>
      </c>
      <c r="N213">
        <f t="shared" si="19"/>
        <v>0</v>
      </c>
      <c r="O213" t="str">
        <f t="shared" si="18"/>
        <v>Low</v>
      </c>
      <c r="P213" t="str">
        <f t="shared" si="20"/>
        <v>High</v>
      </c>
      <c r="Q213" t="str">
        <f t="shared" si="21"/>
        <v>Low Loan</v>
      </c>
      <c r="R213">
        <f t="shared" si="22"/>
        <v>8100000</v>
      </c>
      <c r="S213" t="str">
        <f t="shared" si="23"/>
        <v>Moderate</v>
      </c>
    </row>
    <row r="214" spans="1:19" x14ac:dyDescent="0.25">
      <c r="A214">
        <v>213</v>
      </c>
      <c r="B214">
        <v>2</v>
      </c>
      <c r="C214" t="s">
        <v>31</v>
      </c>
      <c r="D214" t="s">
        <v>32</v>
      </c>
      <c r="E214">
        <v>8500000</v>
      </c>
      <c r="F214">
        <v>32700000</v>
      </c>
      <c r="G214">
        <v>18</v>
      </c>
      <c r="H214">
        <v>471</v>
      </c>
      <c r="I214">
        <v>12600000</v>
      </c>
      <c r="J214">
        <v>9400000</v>
      </c>
      <c r="K214">
        <v>33900000</v>
      </c>
      <c r="L214">
        <v>12500000</v>
      </c>
      <c r="M214" t="s">
        <v>35</v>
      </c>
      <c r="N214">
        <f t="shared" si="19"/>
        <v>0</v>
      </c>
      <c r="O214" t="str">
        <f t="shared" si="18"/>
        <v>Low</v>
      </c>
      <c r="P214" t="str">
        <f t="shared" si="20"/>
        <v>High</v>
      </c>
      <c r="Q214" t="str">
        <f t="shared" si="21"/>
        <v>High Loan</v>
      </c>
      <c r="R214">
        <f t="shared" si="22"/>
        <v>68400000</v>
      </c>
      <c r="S214" t="str">
        <f t="shared" si="23"/>
        <v>Strong</v>
      </c>
    </row>
    <row r="215" spans="1:19" x14ac:dyDescent="0.25">
      <c r="A215">
        <v>214</v>
      </c>
      <c r="B215">
        <v>5</v>
      </c>
      <c r="C215" t="s">
        <v>31</v>
      </c>
      <c r="D215" t="s">
        <v>32</v>
      </c>
      <c r="E215">
        <v>1900000</v>
      </c>
      <c r="F215">
        <v>7500000</v>
      </c>
      <c r="G215">
        <v>20</v>
      </c>
      <c r="H215">
        <v>715</v>
      </c>
      <c r="I215">
        <v>5100000</v>
      </c>
      <c r="J215">
        <v>2800000</v>
      </c>
      <c r="K215">
        <v>6500000</v>
      </c>
      <c r="L215">
        <v>2800000</v>
      </c>
      <c r="M215" t="s">
        <v>34</v>
      </c>
      <c r="N215">
        <f t="shared" si="19"/>
        <v>1</v>
      </c>
      <c r="O215" t="str">
        <f t="shared" si="18"/>
        <v>Good</v>
      </c>
      <c r="P215" t="str">
        <f t="shared" si="20"/>
        <v>High</v>
      </c>
      <c r="Q215" t="str">
        <f t="shared" si="21"/>
        <v>Low Loan</v>
      </c>
      <c r="R215">
        <f t="shared" si="22"/>
        <v>17200000</v>
      </c>
      <c r="S215" t="str">
        <f t="shared" si="23"/>
        <v>Strong</v>
      </c>
    </row>
    <row r="216" spans="1:19" x14ac:dyDescent="0.25">
      <c r="A216">
        <v>215</v>
      </c>
      <c r="B216">
        <v>2</v>
      </c>
      <c r="C216" t="s">
        <v>31</v>
      </c>
      <c r="D216" t="s">
        <v>33</v>
      </c>
      <c r="E216">
        <v>6700000</v>
      </c>
      <c r="F216">
        <v>15200000</v>
      </c>
      <c r="G216">
        <v>10</v>
      </c>
      <c r="H216">
        <v>689</v>
      </c>
      <c r="I216">
        <v>0</v>
      </c>
      <c r="J216">
        <v>8200000</v>
      </c>
      <c r="K216">
        <v>15000000</v>
      </c>
      <c r="L216">
        <v>6800000</v>
      </c>
      <c r="M216" t="s">
        <v>34</v>
      </c>
      <c r="N216">
        <f t="shared" si="19"/>
        <v>1</v>
      </c>
      <c r="O216" t="str">
        <f t="shared" si="18"/>
        <v>Medium</v>
      </c>
      <c r="P216" t="str">
        <f t="shared" si="20"/>
        <v>High</v>
      </c>
      <c r="Q216" t="str">
        <f t="shared" si="21"/>
        <v>Low Loan</v>
      </c>
      <c r="R216">
        <f t="shared" si="22"/>
        <v>30000000</v>
      </c>
      <c r="S216" t="str">
        <f t="shared" si="23"/>
        <v>Strong</v>
      </c>
    </row>
    <row r="217" spans="1:19" x14ac:dyDescent="0.25">
      <c r="A217">
        <v>216</v>
      </c>
      <c r="B217">
        <v>3</v>
      </c>
      <c r="C217" t="s">
        <v>30</v>
      </c>
      <c r="D217" t="s">
        <v>33</v>
      </c>
      <c r="E217">
        <v>6900000</v>
      </c>
      <c r="F217">
        <v>16400000</v>
      </c>
      <c r="G217">
        <v>4</v>
      </c>
      <c r="H217">
        <v>787</v>
      </c>
      <c r="I217">
        <v>11100000</v>
      </c>
      <c r="J217">
        <v>6100000</v>
      </c>
      <c r="K217">
        <v>26400000</v>
      </c>
      <c r="L217">
        <v>3800000</v>
      </c>
      <c r="M217" t="s">
        <v>34</v>
      </c>
      <c r="N217">
        <f t="shared" si="19"/>
        <v>1</v>
      </c>
      <c r="O217" t="str">
        <f t="shared" si="18"/>
        <v>Excellent</v>
      </c>
      <c r="P217" t="str">
        <f t="shared" si="20"/>
        <v>High</v>
      </c>
      <c r="Q217" t="str">
        <f t="shared" si="21"/>
        <v>Low Loan</v>
      </c>
      <c r="R217">
        <f t="shared" si="22"/>
        <v>47400000</v>
      </c>
      <c r="S217" t="str">
        <f t="shared" si="23"/>
        <v>Strong</v>
      </c>
    </row>
    <row r="218" spans="1:19" x14ac:dyDescent="0.25">
      <c r="A218">
        <v>217</v>
      </c>
      <c r="B218">
        <v>2</v>
      </c>
      <c r="C218" t="s">
        <v>30</v>
      </c>
      <c r="D218" t="s">
        <v>32</v>
      </c>
      <c r="E218">
        <v>2600000</v>
      </c>
      <c r="F218">
        <v>7800000</v>
      </c>
      <c r="G218">
        <v>4</v>
      </c>
      <c r="H218">
        <v>819</v>
      </c>
      <c r="I218">
        <v>3100000</v>
      </c>
      <c r="J218">
        <v>4300000</v>
      </c>
      <c r="K218">
        <v>5700000</v>
      </c>
      <c r="L218">
        <v>1500000</v>
      </c>
      <c r="M218" t="s">
        <v>34</v>
      </c>
      <c r="N218">
        <f t="shared" si="19"/>
        <v>1</v>
      </c>
      <c r="O218" t="str">
        <f t="shared" si="18"/>
        <v>Excellent</v>
      </c>
      <c r="P218" t="str">
        <f t="shared" si="20"/>
        <v>High</v>
      </c>
      <c r="Q218" t="str">
        <f t="shared" si="21"/>
        <v>Low Loan</v>
      </c>
      <c r="R218">
        <f t="shared" si="22"/>
        <v>14600000</v>
      </c>
      <c r="S218" t="str">
        <f t="shared" si="23"/>
        <v>Strong</v>
      </c>
    </row>
    <row r="219" spans="1:19" x14ac:dyDescent="0.25">
      <c r="A219">
        <v>218</v>
      </c>
      <c r="B219">
        <v>4</v>
      </c>
      <c r="C219" t="s">
        <v>30</v>
      </c>
      <c r="D219" t="s">
        <v>33</v>
      </c>
      <c r="E219">
        <v>9600000</v>
      </c>
      <c r="F219">
        <v>21100000</v>
      </c>
      <c r="G219">
        <v>6</v>
      </c>
      <c r="H219">
        <v>809</v>
      </c>
      <c r="I219">
        <v>16100000</v>
      </c>
      <c r="J219">
        <v>9500000</v>
      </c>
      <c r="K219">
        <v>34700000</v>
      </c>
      <c r="L219">
        <v>8700000</v>
      </c>
      <c r="M219" t="s">
        <v>34</v>
      </c>
      <c r="N219">
        <f t="shared" si="19"/>
        <v>1</v>
      </c>
      <c r="O219" t="str">
        <f t="shared" si="18"/>
        <v>Excellent</v>
      </c>
      <c r="P219" t="str">
        <f t="shared" si="20"/>
        <v>High</v>
      </c>
      <c r="Q219" t="str">
        <f t="shared" si="21"/>
        <v>High Loan</v>
      </c>
      <c r="R219">
        <f t="shared" si="22"/>
        <v>69000000</v>
      </c>
      <c r="S219" t="str">
        <f t="shared" si="23"/>
        <v>Strong</v>
      </c>
    </row>
    <row r="220" spans="1:19" x14ac:dyDescent="0.25">
      <c r="A220">
        <v>219</v>
      </c>
      <c r="B220">
        <v>1</v>
      </c>
      <c r="C220" t="s">
        <v>31</v>
      </c>
      <c r="D220" t="s">
        <v>33</v>
      </c>
      <c r="E220">
        <v>6800000</v>
      </c>
      <c r="F220">
        <v>17000000</v>
      </c>
      <c r="G220">
        <v>2</v>
      </c>
      <c r="H220">
        <v>744</v>
      </c>
      <c r="I220">
        <v>15500000</v>
      </c>
      <c r="J220">
        <v>3900000</v>
      </c>
      <c r="K220">
        <v>23700000</v>
      </c>
      <c r="L220">
        <v>3500000</v>
      </c>
      <c r="M220" t="s">
        <v>34</v>
      </c>
      <c r="N220">
        <f t="shared" si="19"/>
        <v>1</v>
      </c>
      <c r="O220" t="str">
        <f t="shared" si="18"/>
        <v>Good</v>
      </c>
      <c r="P220" t="str">
        <f t="shared" si="20"/>
        <v>High</v>
      </c>
      <c r="Q220" t="str">
        <f t="shared" si="21"/>
        <v>Low Loan</v>
      </c>
      <c r="R220">
        <f t="shared" si="22"/>
        <v>46600000</v>
      </c>
      <c r="S220" t="str">
        <f t="shared" si="23"/>
        <v>Strong</v>
      </c>
    </row>
    <row r="221" spans="1:19" x14ac:dyDescent="0.25">
      <c r="A221">
        <v>220</v>
      </c>
      <c r="B221">
        <v>0</v>
      </c>
      <c r="C221" t="s">
        <v>31</v>
      </c>
      <c r="D221" t="s">
        <v>32</v>
      </c>
      <c r="E221">
        <v>3200000</v>
      </c>
      <c r="F221">
        <v>11300000</v>
      </c>
      <c r="G221">
        <v>6</v>
      </c>
      <c r="H221">
        <v>484</v>
      </c>
      <c r="I221">
        <v>3500000</v>
      </c>
      <c r="J221">
        <v>5500000</v>
      </c>
      <c r="K221">
        <v>8500000</v>
      </c>
      <c r="L221">
        <v>2100000</v>
      </c>
      <c r="M221" t="s">
        <v>35</v>
      </c>
      <c r="N221">
        <f t="shared" si="19"/>
        <v>0</v>
      </c>
      <c r="O221" t="str">
        <f t="shared" si="18"/>
        <v>Low</v>
      </c>
      <c r="P221" t="str">
        <f t="shared" si="20"/>
        <v>High</v>
      </c>
      <c r="Q221" t="str">
        <f t="shared" si="21"/>
        <v>Low Loan</v>
      </c>
      <c r="R221">
        <f t="shared" si="22"/>
        <v>19600000</v>
      </c>
      <c r="S221" t="str">
        <f t="shared" si="23"/>
        <v>Strong</v>
      </c>
    </row>
    <row r="222" spans="1:19" x14ac:dyDescent="0.25">
      <c r="A222">
        <v>221</v>
      </c>
      <c r="B222">
        <v>4</v>
      </c>
      <c r="C222" t="s">
        <v>31</v>
      </c>
      <c r="D222" t="s">
        <v>32</v>
      </c>
      <c r="E222">
        <v>2900000</v>
      </c>
      <c r="F222">
        <v>10400000</v>
      </c>
      <c r="G222">
        <v>6</v>
      </c>
      <c r="H222">
        <v>673</v>
      </c>
      <c r="I222">
        <v>5100000</v>
      </c>
      <c r="J222">
        <v>1700000</v>
      </c>
      <c r="K222">
        <v>10600000</v>
      </c>
      <c r="L222">
        <v>1700000</v>
      </c>
      <c r="M222" t="s">
        <v>34</v>
      </c>
      <c r="N222">
        <f t="shared" si="19"/>
        <v>1</v>
      </c>
      <c r="O222" t="str">
        <f t="shared" si="18"/>
        <v>Medium</v>
      </c>
      <c r="P222" t="str">
        <f t="shared" si="20"/>
        <v>High</v>
      </c>
      <c r="Q222" t="str">
        <f t="shared" si="21"/>
        <v>Low Loan</v>
      </c>
      <c r="R222">
        <f t="shared" si="22"/>
        <v>19100000</v>
      </c>
      <c r="S222" t="str">
        <f t="shared" si="23"/>
        <v>Strong</v>
      </c>
    </row>
    <row r="223" spans="1:19" x14ac:dyDescent="0.25">
      <c r="A223">
        <v>222</v>
      </c>
      <c r="B223">
        <v>3</v>
      </c>
      <c r="C223" t="s">
        <v>30</v>
      </c>
      <c r="D223" t="s">
        <v>33</v>
      </c>
      <c r="E223">
        <v>7900000</v>
      </c>
      <c r="F223">
        <v>21200000</v>
      </c>
      <c r="G223">
        <v>18</v>
      </c>
      <c r="H223">
        <v>695</v>
      </c>
      <c r="I223">
        <v>13800000</v>
      </c>
      <c r="J223">
        <v>10600000</v>
      </c>
      <c r="K223">
        <v>21800000</v>
      </c>
      <c r="L223">
        <v>4900000</v>
      </c>
      <c r="M223" t="s">
        <v>34</v>
      </c>
      <c r="N223">
        <f t="shared" si="19"/>
        <v>1</v>
      </c>
      <c r="O223" t="str">
        <f t="shared" si="18"/>
        <v>Medium</v>
      </c>
      <c r="P223" t="str">
        <f t="shared" si="20"/>
        <v>High</v>
      </c>
      <c r="Q223" t="str">
        <f t="shared" si="21"/>
        <v>High Loan</v>
      </c>
      <c r="R223">
        <f t="shared" si="22"/>
        <v>51100000</v>
      </c>
      <c r="S223" t="str">
        <f t="shared" si="23"/>
        <v>Strong</v>
      </c>
    </row>
    <row r="224" spans="1:19" x14ac:dyDescent="0.25">
      <c r="A224">
        <v>223</v>
      </c>
      <c r="B224">
        <v>4</v>
      </c>
      <c r="C224" t="s">
        <v>31</v>
      </c>
      <c r="D224" t="s">
        <v>33</v>
      </c>
      <c r="E224">
        <v>3900000</v>
      </c>
      <c r="F224">
        <v>12400000</v>
      </c>
      <c r="G224">
        <v>12</v>
      </c>
      <c r="H224">
        <v>473</v>
      </c>
      <c r="I224">
        <v>6400000</v>
      </c>
      <c r="J224">
        <v>4700000</v>
      </c>
      <c r="K224">
        <v>13100000</v>
      </c>
      <c r="L224">
        <v>3800000</v>
      </c>
      <c r="M224" t="s">
        <v>35</v>
      </c>
      <c r="N224">
        <f t="shared" si="19"/>
        <v>0</v>
      </c>
      <c r="O224" t="str">
        <f t="shared" si="18"/>
        <v>Low</v>
      </c>
      <c r="P224" t="str">
        <f t="shared" si="20"/>
        <v>High</v>
      </c>
      <c r="Q224" t="str">
        <f t="shared" si="21"/>
        <v>Low Loan</v>
      </c>
      <c r="R224">
        <f t="shared" si="22"/>
        <v>28000000</v>
      </c>
      <c r="S224" t="str">
        <f t="shared" si="23"/>
        <v>Strong</v>
      </c>
    </row>
    <row r="225" spans="1:19" x14ac:dyDescent="0.25">
      <c r="A225">
        <v>224</v>
      </c>
      <c r="B225">
        <v>4</v>
      </c>
      <c r="C225" t="s">
        <v>30</v>
      </c>
      <c r="D225" t="s">
        <v>33</v>
      </c>
      <c r="E225">
        <v>4600000</v>
      </c>
      <c r="F225">
        <v>11000000</v>
      </c>
      <c r="G225">
        <v>2</v>
      </c>
      <c r="H225">
        <v>491</v>
      </c>
      <c r="I225">
        <v>9000000</v>
      </c>
      <c r="J225">
        <v>4000000</v>
      </c>
      <c r="K225">
        <v>16100000</v>
      </c>
      <c r="L225">
        <v>3500000</v>
      </c>
      <c r="M225" t="s">
        <v>35</v>
      </c>
      <c r="N225">
        <f t="shared" si="19"/>
        <v>0</v>
      </c>
      <c r="O225" t="str">
        <f t="shared" si="18"/>
        <v>Low</v>
      </c>
      <c r="P225" t="str">
        <f t="shared" si="20"/>
        <v>High</v>
      </c>
      <c r="Q225" t="str">
        <f t="shared" si="21"/>
        <v>Low Loan</v>
      </c>
      <c r="R225">
        <f t="shared" si="22"/>
        <v>32600000</v>
      </c>
      <c r="S225" t="str">
        <f t="shared" si="23"/>
        <v>Strong</v>
      </c>
    </row>
    <row r="226" spans="1:19" x14ac:dyDescent="0.25">
      <c r="A226">
        <v>225</v>
      </c>
      <c r="B226">
        <v>3</v>
      </c>
      <c r="C226" t="s">
        <v>31</v>
      </c>
      <c r="D226" t="s">
        <v>33</v>
      </c>
      <c r="E226">
        <v>700000</v>
      </c>
      <c r="F226">
        <v>1700000</v>
      </c>
      <c r="G226">
        <v>8</v>
      </c>
      <c r="H226">
        <v>733</v>
      </c>
      <c r="I226">
        <v>1200000</v>
      </c>
      <c r="J226">
        <v>800000</v>
      </c>
      <c r="K226">
        <v>2400000</v>
      </c>
      <c r="L226">
        <v>500000</v>
      </c>
      <c r="M226" t="s">
        <v>34</v>
      </c>
      <c r="N226">
        <f t="shared" si="19"/>
        <v>1</v>
      </c>
      <c r="O226" t="str">
        <f t="shared" si="18"/>
        <v>Good</v>
      </c>
      <c r="P226" t="str">
        <f t="shared" si="20"/>
        <v>High</v>
      </c>
      <c r="Q226" t="str">
        <f t="shared" si="21"/>
        <v>Low Loan</v>
      </c>
      <c r="R226">
        <f t="shared" si="22"/>
        <v>4900000</v>
      </c>
      <c r="S226" t="str">
        <f t="shared" si="23"/>
        <v>Weak</v>
      </c>
    </row>
    <row r="227" spans="1:19" x14ac:dyDescent="0.25">
      <c r="A227">
        <v>226</v>
      </c>
      <c r="B227">
        <v>0</v>
      </c>
      <c r="C227" t="s">
        <v>31</v>
      </c>
      <c r="D227" t="s">
        <v>32</v>
      </c>
      <c r="E227">
        <v>5200000</v>
      </c>
      <c r="F227">
        <v>15600000</v>
      </c>
      <c r="G227">
        <v>20</v>
      </c>
      <c r="H227">
        <v>434</v>
      </c>
      <c r="I227">
        <v>14100000</v>
      </c>
      <c r="J227">
        <v>5800000</v>
      </c>
      <c r="K227">
        <v>18100000</v>
      </c>
      <c r="L227">
        <v>5500000</v>
      </c>
      <c r="M227" t="s">
        <v>35</v>
      </c>
      <c r="N227">
        <f t="shared" si="19"/>
        <v>0</v>
      </c>
      <c r="O227" t="str">
        <f t="shared" si="18"/>
        <v>Low</v>
      </c>
      <c r="P227" t="str">
        <f t="shared" si="20"/>
        <v>High</v>
      </c>
      <c r="Q227" t="str">
        <f t="shared" si="21"/>
        <v>Low Loan</v>
      </c>
      <c r="R227">
        <f t="shared" si="22"/>
        <v>43500000</v>
      </c>
      <c r="S227" t="str">
        <f t="shared" si="23"/>
        <v>Strong</v>
      </c>
    </row>
    <row r="228" spans="1:19" x14ac:dyDescent="0.25">
      <c r="A228">
        <v>227</v>
      </c>
      <c r="B228">
        <v>3</v>
      </c>
      <c r="C228" t="s">
        <v>31</v>
      </c>
      <c r="D228" t="s">
        <v>33</v>
      </c>
      <c r="E228">
        <v>5900000</v>
      </c>
      <c r="F228">
        <v>20600000</v>
      </c>
      <c r="G228">
        <v>10</v>
      </c>
      <c r="H228">
        <v>777</v>
      </c>
      <c r="I228">
        <v>1900000</v>
      </c>
      <c r="J228">
        <v>4600000</v>
      </c>
      <c r="K228">
        <v>21200000</v>
      </c>
      <c r="L228">
        <v>6400000</v>
      </c>
      <c r="M228" t="s">
        <v>34</v>
      </c>
      <c r="N228">
        <f t="shared" si="19"/>
        <v>1</v>
      </c>
      <c r="O228" t="str">
        <f t="shared" si="18"/>
        <v>Excellent</v>
      </c>
      <c r="P228" t="str">
        <f t="shared" si="20"/>
        <v>High</v>
      </c>
      <c r="Q228" t="str">
        <f t="shared" si="21"/>
        <v>High Loan</v>
      </c>
      <c r="R228">
        <f t="shared" si="22"/>
        <v>34100000</v>
      </c>
      <c r="S228" t="str">
        <f t="shared" si="23"/>
        <v>Strong</v>
      </c>
    </row>
    <row r="229" spans="1:19" x14ac:dyDescent="0.25">
      <c r="A229">
        <v>228</v>
      </c>
      <c r="B229">
        <v>4</v>
      </c>
      <c r="C229" t="s">
        <v>30</v>
      </c>
      <c r="D229" t="s">
        <v>32</v>
      </c>
      <c r="E229">
        <v>7200000</v>
      </c>
      <c r="F229">
        <v>19100000</v>
      </c>
      <c r="G229">
        <v>4</v>
      </c>
      <c r="H229">
        <v>774</v>
      </c>
      <c r="I229">
        <v>9400000</v>
      </c>
      <c r="J229">
        <v>7000000</v>
      </c>
      <c r="K229">
        <v>17900000</v>
      </c>
      <c r="L229">
        <v>3600000</v>
      </c>
      <c r="M229" t="s">
        <v>34</v>
      </c>
      <c r="N229">
        <f t="shared" si="19"/>
        <v>1</v>
      </c>
      <c r="O229" t="str">
        <f t="shared" si="18"/>
        <v>Excellent</v>
      </c>
      <c r="P229" t="str">
        <f t="shared" si="20"/>
        <v>High</v>
      </c>
      <c r="Q229" t="str">
        <f t="shared" si="21"/>
        <v>Low Loan</v>
      </c>
      <c r="R229">
        <f t="shared" si="22"/>
        <v>37900000</v>
      </c>
      <c r="S229" t="str">
        <f t="shared" si="23"/>
        <v>Strong</v>
      </c>
    </row>
    <row r="230" spans="1:19" x14ac:dyDescent="0.25">
      <c r="A230">
        <v>229</v>
      </c>
      <c r="B230">
        <v>1</v>
      </c>
      <c r="C230" t="s">
        <v>31</v>
      </c>
      <c r="D230" t="s">
        <v>33</v>
      </c>
      <c r="E230">
        <v>8700000</v>
      </c>
      <c r="F230">
        <v>27000000</v>
      </c>
      <c r="G230">
        <v>10</v>
      </c>
      <c r="H230">
        <v>717</v>
      </c>
      <c r="I230">
        <v>25500000</v>
      </c>
      <c r="J230">
        <v>8600000</v>
      </c>
      <c r="K230">
        <v>17500000</v>
      </c>
      <c r="L230">
        <v>9100000</v>
      </c>
      <c r="M230" t="s">
        <v>34</v>
      </c>
      <c r="N230">
        <f t="shared" si="19"/>
        <v>1</v>
      </c>
      <c r="O230" t="str">
        <f t="shared" si="18"/>
        <v>Good</v>
      </c>
      <c r="P230" t="str">
        <f t="shared" si="20"/>
        <v>High</v>
      </c>
      <c r="Q230" t="str">
        <f t="shared" si="21"/>
        <v>High Loan</v>
      </c>
      <c r="R230">
        <f t="shared" si="22"/>
        <v>60700000</v>
      </c>
      <c r="S230" t="str">
        <f t="shared" si="23"/>
        <v>Strong</v>
      </c>
    </row>
    <row r="231" spans="1:19" x14ac:dyDescent="0.25">
      <c r="A231">
        <v>230</v>
      </c>
      <c r="B231">
        <v>3</v>
      </c>
      <c r="C231" t="s">
        <v>31</v>
      </c>
      <c r="D231" t="s">
        <v>33</v>
      </c>
      <c r="E231">
        <v>1100000</v>
      </c>
      <c r="F231">
        <v>3500000</v>
      </c>
      <c r="G231">
        <v>12</v>
      </c>
      <c r="H231">
        <v>503</v>
      </c>
      <c r="I231">
        <v>3000000</v>
      </c>
      <c r="J231">
        <v>400000</v>
      </c>
      <c r="K231">
        <v>2200000</v>
      </c>
      <c r="L231">
        <v>1200000</v>
      </c>
      <c r="M231" t="s">
        <v>35</v>
      </c>
      <c r="N231">
        <f t="shared" si="19"/>
        <v>0</v>
      </c>
      <c r="O231" t="str">
        <f t="shared" si="18"/>
        <v>Low</v>
      </c>
      <c r="P231" t="str">
        <f t="shared" si="20"/>
        <v>High</v>
      </c>
      <c r="Q231" t="str">
        <f t="shared" si="21"/>
        <v>Low Loan</v>
      </c>
      <c r="R231">
        <f t="shared" si="22"/>
        <v>6800000</v>
      </c>
      <c r="S231" t="str">
        <f t="shared" si="23"/>
        <v>Moderate</v>
      </c>
    </row>
    <row r="232" spans="1:19" x14ac:dyDescent="0.25">
      <c r="A232">
        <v>231</v>
      </c>
      <c r="B232">
        <v>1</v>
      </c>
      <c r="C232" t="s">
        <v>30</v>
      </c>
      <c r="D232" t="s">
        <v>33</v>
      </c>
      <c r="E232">
        <v>4000000</v>
      </c>
      <c r="F232">
        <v>10900000</v>
      </c>
      <c r="G232">
        <v>14</v>
      </c>
      <c r="H232">
        <v>598</v>
      </c>
      <c r="I232">
        <v>3600000</v>
      </c>
      <c r="J232">
        <v>6600000</v>
      </c>
      <c r="K232">
        <v>13600000</v>
      </c>
      <c r="L232">
        <v>4400000</v>
      </c>
      <c r="M232" t="s">
        <v>34</v>
      </c>
      <c r="N232">
        <f t="shared" si="19"/>
        <v>1</v>
      </c>
      <c r="O232" t="str">
        <f t="shared" si="18"/>
        <v>Low</v>
      </c>
      <c r="P232" t="str">
        <f t="shared" si="20"/>
        <v>High</v>
      </c>
      <c r="Q232" t="str">
        <f t="shared" si="21"/>
        <v>Low Loan</v>
      </c>
      <c r="R232">
        <f t="shared" si="22"/>
        <v>28200000</v>
      </c>
      <c r="S232" t="str">
        <f t="shared" si="23"/>
        <v>Strong</v>
      </c>
    </row>
    <row r="233" spans="1:19" x14ac:dyDescent="0.25">
      <c r="A233">
        <v>232</v>
      </c>
      <c r="B233">
        <v>2</v>
      </c>
      <c r="C233" t="s">
        <v>30</v>
      </c>
      <c r="D233" t="s">
        <v>32</v>
      </c>
      <c r="E233">
        <v>9800000</v>
      </c>
      <c r="F233">
        <v>32400000</v>
      </c>
      <c r="G233">
        <v>2</v>
      </c>
      <c r="H233">
        <v>543</v>
      </c>
      <c r="I233">
        <v>24200000</v>
      </c>
      <c r="J233">
        <v>17500000</v>
      </c>
      <c r="K233">
        <v>25700000</v>
      </c>
      <c r="L233">
        <v>7700000</v>
      </c>
      <c r="M233" t="s">
        <v>34</v>
      </c>
      <c r="N233">
        <f t="shared" si="19"/>
        <v>1</v>
      </c>
      <c r="O233" t="str">
        <f t="shared" si="18"/>
        <v>Low</v>
      </c>
      <c r="P233" t="str">
        <f t="shared" si="20"/>
        <v>High</v>
      </c>
      <c r="Q233" t="str">
        <f t="shared" si="21"/>
        <v>High Loan</v>
      </c>
      <c r="R233">
        <f t="shared" si="22"/>
        <v>75100000</v>
      </c>
      <c r="S233" t="str">
        <f t="shared" si="23"/>
        <v>Strong</v>
      </c>
    </row>
    <row r="234" spans="1:19" x14ac:dyDescent="0.25">
      <c r="A234">
        <v>233</v>
      </c>
      <c r="B234">
        <v>0</v>
      </c>
      <c r="C234" t="s">
        <v>31</v>
      </c>
      <c r="D234" t="s">
        <v>33</v>
      </c>
      <c r="E234">
        <v>2700000</v>
      </c>
      <c r="F234">
        <v>6800000</v>
      </c>
      <c r="G234">
        <v>20</v>
      </c>
      <c r="H234">
        <v>796</v>
      </c>
      <c r="I234">
        <v>700000</v>
      </c>
      <c r="J234">
        <v>4200000</v>
      </c>
      <c r="K234">
        <v>7000000</v>
      </c>
      <c r="L234">
        <v>1900000</v>
      </c>
      <c r="M234" t="s">
        <v>34</v>
      </c>
      <c r="N234">
        <f t="shared" si="19"/>
        <v>1</v>
      </c>
      <c r="O234" t="str">
        <f t="shared" si="18"/>
        <v>Excellent</v>
      </c>
      <c r="P234" t="str">
        <f t="shared" si="20"/>
        <v>High</v>
      </c>
      <c r="Q234" t="str">
        <f t="shared" si="21"/>
        <v>Low Loan</v>
      </c>
      <c r="R234">
        <f t="shared" si="22"/>
        <v>13800000</v>
      </c>
      <c r="S234" t="str">
        <f t="shared" si="23"/>
        <v>Strong</v>
      </c>
    </row>
    <row r="235" spans="1:19" x14ac:dyDescent="0.25">
      <c r="A235">
        <v>234</v>
      </c>
      <c r="B235">
        <v>3</v>
      </c>
      <c r="C235" t="s">
        <v>31</v>
      </c>
      <c r="D235" t="s">
        <v>33</v>
      </c>
      <c r="E235">
        <v>8800000</v>
      </c>
      <c r="F235">
        <v>34600000</v>
      </c>
      <c r="G235">
        <v>8</v>
      </c>
      <c r="H235">
        <v>386</v>
      </c>
      <c r="I235">
        <v>14800000</v>
      </c>
      <c r="J235">
        <v>16500000</v>
      </c>
      <c r="K235">
        <v>18400000</v>
      </c>
      <c r="L235">
        <v>6000000</v>
      </c>
      <c r="M235" t="s">
        <v>35</v>
      </c>
      <c r="N235">
        <f t="shared" si="19"/>
        <v>0</v>
      </c>
      <c r="O235" t="str">
        <f t="shared" si="18"/>
        <v>Low</v>
      </c>
      <c r="P235" t="str">
        <f t="shared" si="20"/>
        <v>High</v>
      </c>
      <c r="Q235" t="str">
        <f t="shared" si="21"/>
        <v>High Loan</v>
      </c>
      <c r="R235">
        <f t="shared" si="22"/>
        <v>55700000</v>
      </c>
      <c r="S235" t="str">
        <f t="shared" si="23"/>
        <v>Strong</v>
      </c>
    </row>
    <row r="236" spans="1:19" x14ac:dyDescent="0.25">
      <c r="A236">
        <v>235</v>
      </c>
      <c r="B236">
        <v>5</v>
      </c>
      <c r="C236" t="s">
        <v>31</v>
      </c>
      <c r="D236" t="s">
        <v>33</v>
      </c>
      <c r="E236">
        <v>3300000</v>
      </c>
      <c r="F236">
        <v>7800000</v>
      </c>
      <c r="G236">
        <v>16</v>
      </c>
      <c r="H236">
        <v>632</v>
      </c>
      <c r="I236">
        <v>8500000</v>
      </c>
      <c r="J236">
        <v>500000</v>
      </c>
      <c r="K236">
        <v>7100000</v>
      </c>
      <c r="L236">
        <v>4900000</v>
      </c>
      <c r="M236" t="s">
        <v>34</v>
      </c>
      <c r="N236">
        <f t="shared" si="19"/>
        <v>1</v>
      </c>
      <c r="O236" t="str">
        <f t="shared" si="18"/>
        <v>Low</v>
      </c>
      <c r="P236" t="str">
        <f t="shared" si="20"/>
        <v>High</v>
      </c>
      <c r="Q236" t="str">
        <f t="shared" si="21"/>
        <v>Low Loan</v>
      </c>
      <c r="R236">
        <f t="shared" si="22"/>
        <v>21000000</v>
      </c>
      <c r="S236" t="str">
        <f t="shared" si="23"/>
        <v>Strong</v>
      </c>
    </row>
    <row r="237" spans="1:19" x14ac:dyDescent="0.25">
      <c r="A237">
        <v>236</v>
      </c>
      <c r="B237">
        <v>1</v>
      </c>
      <c r="C237" t="s">
        <v>30</v>
      </c>
      <c r="D237" t="s">
        <v>33</v>
      </c>
      <c r="E237">
        <v>6900000</v>
      </c>
      <c r="F237">
        <v>23400000</v>
      </c>
      <c r="G237">
        <v>4</v>
      </c>
      <c r="H237">
        <v>481</v>
      </c>
      <c r="I237">
        <v>18700000</v>
      </c>
      <c r="J237">
        <v>1100000</v>
      </c>
      <c r="K237">
        <v>23400000</v>
      </c>
      <c r="L237">
        <v>10200000</v>
      </c>
      <c r="M237" t="s">
        <v>34</v>
      </c>
      <c r="N237">
        <f t="shared" si="19"/>
        <v>1</v>
      </c>
      <c r="O237" t="str">
        <f t="shared" si="18"/>
        <v>Low</v>
      </c>
      <c r="P237" t="str">
        <f t="shared" si="20"/>
        <v>High</v>
      </c>
      <c r="Q237" t="str">
        <f t="shared" si="21"/>
        <v>High Loan</v>
      </c>
      <c r="R237">
        <f t="shared" si="22"/>
        <v>53400000</v>
      </c>
      <c r="S237" t="str">
        <f t="shared" si="23"/>
        <v>Strong</v>
      </c>
    </row>
    <row r="238" spans="1:19" x14ac:dyDescent="0.25">
      <c r="A238">
        <v>237</v>
      </c>
      <c r="B238">
        <v>3</v>
      </c>
      <c r="C238" t="s">
        <v>30</v>
      </c>
      <c r="D238" t="s">
        <v>33</v>
      </c>
      <c r="E238">
        <v>900000</v>
      </c>
      <c r="F238">
        <v>3500000</v>
      </c>
      <c r="G238">
        <v>4</v>
      </c>
      <c r="H238">
        <v>770</v>
      </c>
      <c r="I238">
        <v>700000</v>
      </c>
      <c r="J238">
        <v>0</v>
      </c>
      <c r="K238">
        <v>2000000</v>
      </c>
      <c r="L238">
        <v>600000</v>
      </c>
      <c r="M238" t="s">
        <v>35</v>
      </c>
      <c r="N238">
        <f t="shared" si="19"/>
        <v>0</v>
      </c>
      <c r="O238" t="str">
        <f t="shared" si="18"/>
        <v>Excellent</v>
      </c>
      <c r="P238" t="str">
        <f t="shared" si="20"/>
        <v>High</v>
      </c>
      <c r="Q238" t="str">
        <f t="shared" si="21"/>
        <v>Low Loan</v>
      </c>
      <c r="R238">
        <f t="shared" si="22"/>
        <v>3300000</v>
      </c>
      <c r="S238" t="str">
        <f t="shared" si="23"/>
        <v>Weak</v>
      </c>
    </row>
    <row r="239" spans="1:19" x14ac:dyDescent="0.25">
      <c r="A239">
        <v>238</v>
      </c>
      <c r="B239">
        <v>3</v>
      </c>
      <c r="C239" t="s">
        <v>30</v>
      </c>
      <c r="D239" t="s">
        <v>33</v>
      </c>
      <c r="E239">
        <v>4100000</v>
      </c>
      <c r="F239">
        <v>15500000</v>
      </c>
      <c r="G239">
        <v>6</v>
      </c>
      <c r="H239">
        <v>667</v>
      </c>
      <c r="I239">
        <v>2800000</v>
      </c>
      <c r="J239">
        <v>1600000</v>
      </c>
      <c r="K239">
        <v>14700000</v>
      </c>
      <c r="L239">
        <v>4000000</v>
      </c>
      <c r="M239" t="s">
        <v>34</v>
      </c>
      <c r="N239">
        <f t="shared" si="19"/>
        <v>1</v>
      </c>
      <c r="O239" t="str">
        <f t="shared" si="18"/>
        <v>Medium</v>
      </c>
      <c r="P239" t="str">
        <f t="shared" si="20"/>
        <v>High</v>
      </c>
      <c r="Q239" t="str">
        <f t="shared" si="21"/>
        <v>Low Loan</v>
      </c>
      <c r="R239">
        <f t="shared" si="22"/>
        <v>23100000</v>
      </c>
      <c r="S239" t="str">
        <f t="shared" si="23"/>
        <v>Strong</v>
      </c>
    </row>
    <row r="240" spans="1:19" x14ac:dyDescent="0.25">
      <c r="A240">
        <v>239</v>
      </c>
      <c r="B240">
        <v>3</v>
      </c>
      <c r="C240" t="s">
        <v>31</v>
      </c>
      <c r="D240" t="s">
        <v>33</v>
      </c>
      <c r="E240">
        <v>4700000</v>
      </c>
      <c r="F240">
        <v>17500000</v>
      </c>
      <c r="G240">
        <v>8</v>
      </c>
      <c r="H240">
        <v>585</v>
      </c>
      <c r="I240">
        <v>1200000</v>
      </c>
      <c r="J240">
        <v>3100000</v>
      </c>
      <c r="K240">
        <v>9600000</v>
      </c>
      <c r="L240">
        <v>4900000</v>
      </c>
      <c r="M240" t="s">
        <v>34</v>
      </c>
      <c r="N240">
        <f t="shared" si="19"/>
        <v>1</v>
      </c>
      <c r="O240" t="str">
        <f t="shared" si="18"/>
        <v>Low</v>
      </c>
      <c r="P240" t="str">
        <f t="shared" si="20"/>
        <v>High</v>
      </c>
      <c r="Q240" t="str">
        <f t="shared" si="21"/>
        <v>Low Loan</v>
      </c>
      <c r="R240">
        <f t="shared" si="22"/>
        <v>18800000</v>
      </c>
      <c r="S240" t="str">
        <f t="shared" si="23"/>
        <v>Strong</v>
      </c>
    </row>
    <row r="241" spans="1:19" x14ac:dyDescent="0.25">
      <c r="A241">
        <v>240</v>
      </c>
      <c r="B241">
        <v>5</v>
      </c>
      <c r="C241" t="s">
        <v>30</v>
      </c>
      <c r="D241" t="s">
        <v>33</v>
      </c>
      <c r="E241">
        <v>3400000</v>
      </c>
      <c r="F241">
        <v>11600000</v>
      </c>
      <c r="G241">
        <v>16</v>
      </c>
      <c r="H241">
        <v>479</v>
      </c>
      <c r="I241">
        <v>9200000</v>
      </c>
      <c r="J241">
        <v>5700000</v>
      </c>
      <c r="K241">
        <v>11200000</v>
      </c>
      <c r="L241">
        <v>2400000</v>
      </c>
      <c r="M241" t="s">
        <v>35</v>
      </c>
      <c r="N241">
        <f t="shared" si="19"/>
        <v>0</v>
      </c>
      <c r="O241" t="str">
        <f t="shared" si="18"/>
        <v>Low</v>
      </c>
      <c r="P241" t="str">
        <f t="shared" si="20"/>
        <v>High</v>
      </c>
      <c r="Q241" t="str">
        <f t="shared" si="21"/>
        <v>Low Loan</v>
      </c>
      <c r="R241">
        <f t="shared" si="22"/>
        <v>28500000</v>
      </c>
      <c r="S241" t="str">
        <f t="shared" si="23"/>
        <v>Strong</v>
      </c>
    </row>
    <row r="242" spans="1:19" x14ac:dyDescent="0.25">
      <c r="A242">
        <v>241</v>
      </c>
      <c r="B242">
        <v>2</v>
      </c>
      <c r="C242" t="s">
        <v>30</v>
      </c>
      <c r="D242" t="s">
        <v>32</v>
      </c>
      <c r="E242">
        <v>9600000</v>
      </c>
      <c r="F242">
        <v>22500000</v>
      </c>
      <c r="G242">
        <v>18</v>
      </c>
      <c r="H242">
        <v>851</v>
      </c>
      <c r="I242">
        <v>7400000</v>
      </c>
      <c r="J242">
        <v>16200000</v>
      </c>
      <c r="K242">
        <v>24300000</v>
      </c>
      <c r="L242">
        <v>12700000</v>
      </c>
      <c r="M242" t="s">
        <v>34</v>
      </c>
      <c r="N242">
        <f t="shared" si="19"/>
        <v>1</v>
      </c>
      <c r="O242" t="str">
        <f t="shared" si="18"/>
        <v>Excellent</v>
      </c>
      <c r="P242" t="str">
        <f t="shared" si="20"/>
        <v>High</v>
      </c>
      <c r="Q242" t="str">
        <f t="shared" si="21"/>
        <v>High Loan</v>
      </c>
      <c r="R242">
        <f t="shared" si="22"/>
        <v>60600000</v>
      </c>
      <c r="S242" t="str">
        <f t="shared" si="23"/>
        <v>Strong</v>
      </c>
    </row>
    <row r="243" spans="1:19" x14ac:dyDescent="0.25">
      <c r="A243">
        <v>242</v>
      </c>
      <c r="B243">
        <v>3</v>
      </c>
      <c r="C243" t="s">
        <v>31</v>
      </c>
      <c r="D243" t="s">
        <v>33</v>
      </c>
      <c r="E243">
        <v>7000000</v>
      </c>
      <c r="F243">
        <v>16200000</v>
      </c>
      <c r="G243">
        <v>6</v>
      </c>
      <c r="H243">
        <v>378</v>
      </c>
      <c r="I243">
        <v>20000000</v>
      </c>
      <c r="J243">
        <v>12600000</v>
      </c>
      <c r="K243">
        <v>20300000</v>
      </c>
      <c r="L243">
        <v>5500000</v>
      </c>
      <c r="M243" t="s">
        <v>35</v>
      </c>
      <c r="N243">
        <f t="shared" si="19"/>
        <v>0</v>
      </c>
      <c r="O243" t="str">
        <f t="shared" si="18"/>
        <v>Low</v>
      </c>
      <c r="P243" t="str">
        <f t="shared" si="20"/>
        <v>High</v>
      </c>
      <c r="Q243" t="str">
        <f t="shared" si="21"/>
        <v>Low Loan</v>
      </c>
      <c r="R243">
        <f t="shared" si="22"/>
        <v>58400000</v>
      </c>
      <c r="S243" t="str">
        <f t="shared" si="23"/>
        <v>Strong</v>
      </c>
    </row>
    <row r="244" spans="1:19" x14ac:dyDescent="0.25">
      <c r="A244">
        <v>243</v>
      </c>
      <c r="B244">
        <v>5</v>
      </c>
      <c r="C244" t="s">
        <v>30</v>
      </c>
      <c r="D244" t="s">
        <v>32</v>
      </c>
      <c r="E244">
        <v>5700000</v>
      </c>
      <c r="F244">
        <v>12900000</v>
      </c>
      <c r="G244">
        <v>18</v>
      </c>
      <c r="H244">
        <v>807</v>
      </c>
      <c r="I244">
        <v>4100000</v>
      </c>
      <c r="J244">
        <v>900000</v>
      </c>
      <c r="K244">
        <v>18600000</v>
      </c>
      <c r="L244">
        <v>5500000</v>
      </c>
      <c r="M244" t="s">
        <v>34</v>
      </c>
      <c r="N244">
        <f t="shared" si="19"/>
        <v>1</v>
      </c>
      <c r="O244" t="str">
        <f t="shared" si="18"/>
        <v>Excellent</v>
      </c>
      <c r="P244" t="str">
        <f t="shared" si="20"/>
        <v>High</v>
      </c>
      <c r="Q244" t="str">
        <f t="shared" si="21"/>
        <v>Low Loan</v>
      </c>
      <c r="R244">
        <f t="shared" si="22"/>
        <v>29100000</v>
      </c>
      <c r="S244" t="str">
        <f t="shared" si="23"/>
        <v>Strong</v>
      </c>
    </row>
    <row r="245" spans="1:19" x14ac:dyDescent="0.25">
      <c r="A245">
        <v>244</v>
      </c>
      <c r="B245">
        <v>1</v>
      </c>
      <c r="C245" t="s">
        <v>31</v>
      </c>
      <c r="D245" t="s">
        <v>33</v>
      </c>
      <c r="E245">
        <v>8200000</v>
      </c>
      <c r="F245">
        <v>32400000</v>
      </c>
      <c r="G245">
        <v>18</v>
      </c>
      <c r="H245">
        <v>831</v>
      </c>
      <c r="I245">
        <v>22800000</v>
      </c>
      <c r="J245">
        <v>12300000</v>
      </c>
      <c r="K245">
        <v>17700000</v>
      </c>
      <c r="L245">
        <v>7800000</v>
      </c>
      <c r="M245" t="s">
        <v>34</v>
      </c>
      <c r="N245">
        <f t="shared" si="19"/>
        <v>1</v>
      </c>
      <c r="O245" t="str">
        <f t="shared" si="18"/>
        <v>Excellent</v>
      </c>
      <c r="P245" t="str">
        <f t="shared" si="20"/>
        <v>High</v>
      </c>
      <c r="Q245" t="str">
        <f t="shared" si="21"/>
        <v>High Loan</v>
      </c>
      <c r="R245">
        <f t="shared" si="22"/>
        <v>60600000</v>
      </c>
      <c r="S245" t="str">
        <f t="shared" si="23"/>
        <v>Strong</v>
      </c>
    </row>
    <row r="246" spans="1:19" x14ac:dyDescent="0.25">
      <c r="A246">
        <v>245</v>
      </c>
      <c r="B246">
        <v>2</v>
      </c>
      <c r="C246" t="s">
        <v>31</v>
      </c>
      <c r="D246" t="s">
        <v>32</v>
      </c>
      <c r="E246">
        <v>2100000</v>
      </c>
      <c r="F246">
        <v>5100000</v>
      </c>
      <c r="G246">
        <v>12</v>
      </c>
      <c r="H246">
        <v>674</v>
      </c>
      <c r="I246">
        <v>2200000</v>
      </c>
      <c r="J246">
        <v>3200000</v>
      </c>
      <c r="K246">
        <v>6400000</v>
      </c>
      <c r="L246">
        <v>2400000</v>
      </c>
      <c r="M246" t="s">
        <v>34</v>
      </c>
      <c r="N246">
        <f t="shared" si="19"/>
        <v>1</v>
      </c>
      <c r="O246" t="str">
        <f t="shared" si="18"/>
        <v>Medium</v>
      </c>
      <c r="P246" t="str">
        <f t="shared" si="20"/>
        <v>High</v>
      </c>
      <c r="Q246" t="str">
        <f t="shared" si="21"/>
        <v>Low Loan</v>
      </c>
      <c r="R246">
        <f t="shared" si="22"/>
        <v>14200000</v>
      </c>
      <c r="S246" t="str">
        <f t="shared" si="23"/>
        <v>Strong</v>
      </c>
    </row>
    <row r="247" spans="1:19" x14ac:dyDescent="0.25">
      <c r="A247">
        <v>246</v>
      </c>
      <c r="B247">
        <v>1</v>
      </c>
      <c r="C247" t="s">
        <v>31</v>
      </c>
      <c r="D247" t="s">
        <v>33</v>
      </c>
      <c r="E247">
        <v>8000000</v>
      </c>
      <c r="F247">
        <v>28100000</v>
      </c>
      <c r="G247">
        <v>18</v>
      </c>
      <c r="H247">
        <v>725</v>
      </c>
      <c r="I247">
        <v>1900000</v>
      </c>
      <c r="J247">
        <v>12800000</v>
      </c>
      <c r="K247">
        <v>23000000</v>
      </c>
      <c r="L247">
        <v>7500000</v>
      </c>
      <c r="M247" t="s">
        <v>34</v>
      </c>
      <c r="N247">
        <f t="shared" si="19"/>
        <v>1</v>
      </c>
      <c r="O247" t="str">
        <f t="shared" si="18"/>
        <v>Good</v>
      </c>
      <c r="P247" t="str">
        <f t="shared" si="20"/>
        <v>High</v>
      </c>
      <c r="Q247" t="str">
        <f t="shared" si="21"/>
        <v>High Loan</v>
      </c>
      <c r="R247">
        <f t="shared" si="22"/>
        <v>45200000</v>
      </c>
      <c r="S247" t="str">
        <f t="shared" si="23"/>
        <v>Strong</v>
      </c>
    </row>
    <row r="248" spans="1:19" x14ac:dyDescent="0.25">
      <c r="A248">
        <v>247</v>
      </c>
      <c r="B248">
        <v>2</v>
      </c>
      <c r="C248" t="s">
        <v>31</v>
      </c>
      <c r="D248" t="s">
        <v>32</v>
      </c>
      <c r="E248">
        <v>8000000</v>
      </c>
      <c r="F248">
        <v>29300000</v>
      </c>
      <c r="G248">
        <v>4</v>
      </c>
      <c r="H248">
        <v>600</v>
      </c>
      <c r="I248">
        <v>16500000</v>
      </c>
      <c r="J248">
        <v>13200000</v>
      </c>
      <c r="K248">
        <v>29400000</v>
      </c>
      <c r="L248">
        <v>6500000</v>
      </c>
      <c r="M248" t="s">
        <v>34</v>
      </c>
      <c r="N248">
        <f t="shared" si="19"/>
        <v>1</v>
      </c>
      <c r="O248" t="str">
        <f t="shared" si="18"/>
        <v>Low</v>
      </c>
      <c r="P248" t="str">
        <f t="shared" si="20"/>
        <v>High</v>
      </c>
      <c r="Q248" t="str">
        <f t="shared" si="21"/>
        <v>High Loan</v>
      </c>
      <c r="R248">
        <f t="shared" si="22"/>
        <v>65600000</v>
      </c>
      <c r="S248" t="str">
        <f t="shared" si="23"/>
        <v>Strong</v>
      </c>
    </row>
    <row r="249" spans="1:19" x14ac:dyDescent="0.25">
      <c r="A249">
        <v>248</v>
      </c>
      <c r="B249">
        <v>0</v>
      </c>
      <c r="C249" t="s">
        <v>31</v>
      </c>
      <c r="D249" t="s">
        <v>33</v>
      </c>
      <c r="E249">
        <v>9400000</v>
      </c>
      <c r="F249">
        <v>27000000</v>
      </c>
      <c r="G249">
        <v>10</v>
      </c>
      <c r="H249">
        <v>536</v>
      </c>
      <c r="I249">
        <v>4400000</v>
      </c>
      <c r="J249">
        <v>1700000</v>
      </c>
      <c r="K249">
        <v>33800000</v>
      </c>
      <c r="L249">
        <v>4800000</v>
      </c>
      <c r="M249" t="s">
        <v>35</v>
      </c>
      <c r="N249">
        <f t="shared" si="19"/>
        <v>0</v>
      </c>
      <c r="O249" t="str">
        <f t="shared" si="18"/>
        <v>Low</v>
      </c>
      <c r="P249" t="str">
        <f t="shared" si="20"/>
        <v>High</v>
      </c>
      <c r="Q249" t="str">
        <f t="shared" si="21"/>
        <v>High Loan</v>
      </c>
      <c r="R249">
        <f t="shared" si="22"/>
        <v>44700000</v>
      </c>
      <c r="S249" t="str">
        <f t="shared" si="23"/>
        <v>Strong</v>
      </c>
    </row>
    <row r="250" spans="1:19" x14ac:dyDescent="0.25">
      <c r="A250">
        <v>249</v>
      </c>
      <c r="B250">
        <v>0</v>
      </c>
      <c r="C250" t="s">
        <v>30</v>
      </c>
      <c r="D250" t="s">
        <v>32</v>
      </c>
      <c r="E250">
        <v>8400000</v>
      </c>
      <c r="F250">
        <v>20600000</v>
      </c>
      <c r="G250">
        <v>10</v>
      </c>
      <c r="H250">
        <v>477</v>
      </c>
      <c r="I250">
        <v>1500000</v>
      </c>
      <c r="J250">
        <v>1500000</v>
      </c>
      <c r="K250">
        <v>25000000</v>
      </c>
      <c r="L250">
        <v>11900000</v>
      </c>
      <c r="M250" t="s">
        <v>35</v>
      </c>
      <c r="N250">
        <f t="shared" si="19"/>
        <v>0</v>
      </c>
      <c r="O250" t="str">
        <f t="shared" si="18"/>
        <v>Low</v>
      </c>
      <c r="P250" t="str">
        <f t="shared" si="20"/>
        <v>High</v>
      </c>
      <c r="Q250" t="str">
        <f t="shared" si="21"/>
        <v>High Loan</v>
      </c>
      <c r="R250">
        <f t="shared" si="22"/>
        <v>39900000</v>
      </c>
      <c r="S250" t="str">
        <f t="shared" si="23"/>
        <v>Strong</v>
      </c>
    </row>
    <row r="251" spans="1:19" x14ac:dyDescent="0.25">
      <c r="A251">
        <v>250</v>
      </c>
      <c r="B251">
        <v>1</v>
      </c>
      <c r="C251" t="s">
        <v>31</v>
      </c>
      <c r="D251" t="s">
        <v>33</v>
      </c>
      <c r="E251">
        <v>1900000</v>
      </c>
      <c r="F251">
        <v>5000000</v>
      </c>
      <c r="G251">
        <v>6</v>
      </c>
      <c r="H251">
        <v>560</v>
      </c>
      <c r="I251">
        <v>1000000</v>
      </c>
      <c r="J251">
        <v>1900000</v>
      </c>
      <c r="K251">
        <v>6300000</v>
      </c>
      <c r="L251">
        <v>1400000</v>
      </c>
      <c r="M251" t="s">
        <v>34</v>
      </c>
      <c r="N251">
        <f t="shared" si="19"/>
        <v>1</v>
      </c>
      <c r="O251" t="str">
        <f t="shared" si="18"/>
        <v>Low</v>
      </c>
      <c r="P251" t="str">
        <f t="shared" si="20"/>
        <v>High</v>
      </c>
      <c r="Q251" t="str">
        <f t="shared" si="21"/>
        <v>Low Loan</v>
      </c>
      <c r="R251">
        <f t="shared" si="22"/>
        <v>10600000</v>
      </c>
      <c r="S251" t="str">
        <f t="shared" si="23"/>
        <v>Strong</v>
      </c>
    </row>
    <row r="252" spans="1:19" x14ac:dyDescent="0.25">
      <c r="A252">
        <v>251</v>
      </c>
      <c r="B252">
        <v>0</v>
      </c>
      <c r="C252" t="s">
        <v>31</v>
      </c>
      <c r="D252" t="s">
        <v>33</v>
      </c>
      <c r="E252">
        <v>4200000</v>
      </c>
      <c r="F252">
        <v>16400000</v>
      </c>
      <c r="G252">
        <v>20</v>
      </c>
      <c r="H252">
        <v>539</v>
      </c>
      <c r="I252">
        <v>9500000</v>
      </c>
      <c r="J252">
        <v>2100000</v>
      </c>
      <c r="K252">
        <v>11400000</v>
      </c>
      <c r="L252">
        <v>3100000</v>
      </c>
      <c r="M252" t="s">
        <v>35</v>
      </c>
      <c r="N252">
        <f t="shared" si="19"/>
        <v>0</v>
      </c>
      <c r="O252" t="str">
        <f t="shared" si="18"/>
        <v>Low</v>
      </c>
      <c r="P252" t="str">
        <f t="shared" si="20"/>
        <v>High</v>
      </c>
      <c r="Q252" t="str">
        <f t="shared" si="21"/>
        <v>Low Loan</v>
      </c>
      <c r="R252">
        <f t="shared" si="22"/>
        <v>26100000</v>
      </c>
      <c r="S252" t="str">
        <f t="shared" si="23"/>
        <v>Strong</v>
      </c>
    </row>
    <row r="253" spans="1:19" x14ac:dyDescent="0.25">
      <c r="A253">
        <v>252</v>
      </c>
      <c r="B253">
        <v>5</v>
      </c>
      <c r="C253" t="s">
        <v>30</v>
      </c>
      <c r="D253" t="s">
        <v>32</v>
      </c>
      <c r="E253">
        <v>2600000</v>
      </c>
      <c r="F253">
        <v>9100000</v>
      </c>
      <c r="G253">
        <v>8</v>
      </c>
      <c r="H253">
        <v>852</v>
      </c>
      <c r="I253">
        <v>3700000</v>
      </c>
      <c r="J253">
        <v>700000</v>
      </c>
      <c r="K253">
        <v>10300000</v>
      </c>
      <c r="L253">
        <v>3300000</v>
      </c>
      <c r="M253" t="s">
        <v>34</v>
      </c>
      <c r="N253">
        <f t="shared" si="19"/>
        <v>1</v>
      </c>
      <c r="O253" t="str">
        <f t="shared" si="18"/>
        <v>Excellent</v>
      </c>
      <c r="P253" t="str">
        <f t="shared" si="20"/>
        <v>High</v>
      </c>
      <c r="Q253" t="str">
        <f t="shared" si="21"/>
        <v>Low Loan</v>
      </c>
      <c r="R253">
        <f t="shared" si="22"/>
        <v>18000000</v>
      </c>
      <c r="S253" t="str">
        <f t="shared" si="23"/>
        <v>Strong</v>
      </c>
    </row>
    <row r="254" spans="1:19" x14ac:dyDescent="0.25">
      <c r="A254">
        <v>253</v>
      </c>
      <c r="B254">
        <v>3</v>
      </c>
      <c r="C254" t="s">
        <v>31</v>
      </c>
      <c r="D254" t="s">
        <v>32</v>
      </c>
      <c r="E254">
        <v>3700000</v>
      </c>
      <c r="F254">
        <v>8500000</v>
      </c>
      <c r="G254">
        <v>20</v>
      </c>
      <c r="H254">
        <v>853</v>
      </c>
      <c r="I254">
        <v>8300000</v>
      </c>
      <c r="J254">
        <v>5700000</v>
      </c>
      <c r="K254">
        <v>7500000</v>
      </c>
      <c r="L254">
        <v>4900000</v>
      </c>
      <c r="M254" t="s">
        <v>34</v>
      </c>
      <c r="N254">
        <f t="shared" si="19"/>
        <v>1</v>
      </c>
      <c r="O254" t="str">
        <f t="shared" si="18"/>
        <v>Excellent</v>
      </c>
      <c r="P254" t="str">
        <f t="shared" si="20"/>
        <v>High</v>
      </c>
      <c r="Q254" t="str">
        <f t="shared" si="21"/>
        <v>Low Loan</v>
      </c>
      <c r="R254">
        <f t="shared" si="22"/>
        <v>26400000</v>
      </c>
      <c r="S254" t="str">
        <f t="shared" si="23"/>
        <v>Strong</v>
      </c>
    </row>
    <row r="255" spans="1:19" x14ac:dyDescent="0.25">
      <c r="A255">
        <v>254</v>
      </c>
      <c r="B255">
        <v>0</v>
      </c>
      <c r="C255" t="s">
        <v>30</v>
      </c>
      <c r="D255" t="s">
        <v>32</v>
      </c>
      <c r="E255">
        <v>8800000</v>
      </c>
      <c r="F255">
        <v>30900000</v>
      </c>
      <c r="G255">
        <v>12</v>
      </c>
      <c r="H255">
        <v>729</v>
      </c>
      <c r="I255">
        <v>1700000</v>
      </c>
      <c r="J255">
        <v>700000</v>
      </c>
      <c r="K255">
        <v>25700000</v>
      </c>
      <c r="L255">
        <v>11400000</v>
      </c>
      <c r="M255" t="s">
        <v>34</v>
      </c>
      <c r="N255">
        <f t="shared" si="19"/>
        <v>1</v>
      </c>
      <c r="O255" t="str">
        <f t="shared" si="18"/>
        <v>Good</v>
      </c>
      <c r="P255" t="str">
        <f t="shared" si="20"/>
        <v>High</v>
      </c>
      <c r="Q255" t="str">
        <f t="shared" si="21"/>
        <v>High Loan</v>
      </c>
      <c r="R255">
        <f t="shared" si="22"/>
        <v>39500000</v>
      </c>
      <c r="S255" t="str">
        <f t="shared" si="23"/>
        <v>Strong</v>
      </c>
    </row>
    <row r="256" spans="1:19" x14ac:dyDescent="0.25">
      <c r="A256">
        <v>255</v>
      </c>
      <c r="B256">
        <v>2</v>
      </c>
      <c r="C256" t="s">
        <v>31</v>
      </c>
      <c r="D256" t="s">
        <v>32</v>
      </c>
      <c r="E256">
        <v>2100000</v>
      </c>
      <c r="F256">
        <v>4700000</v>
      </c>
      <c r="G256">
        <v>2</v>
      </c>
      <c r="H256">
        <v>546</v>
      </c>
      <c r="I256">
        <v>6000000</v>
      </c>
      <c r="J256">
        <v>3200000</v>
      </c>
      <c r="K256">
        <v>5700000</v>
      </c>
      <c r="L256">
        <v>1500000</v>
      </c>
      <c r="M256" t="s">
        <v>35</v>
      </c>
      <c r="N256">
        <f t="shared" si="19"/>
        <v>0</v>
      </c>
      <c r="O256" t="str">
        <f t="shared" si="18"/>
        <v>Low</v>
      </c>
      <c r="P256" t="str">
        <f t="shared" si="20"/>
        <v>High</v>
      </c>
      <c r="Q256" t="str">
        <f t="shared" si="21"/>
        <v>Low Loan</v>
      </c>
      <c r="R256">
        <f t="shared" si="22"/>
        <v>16400000</v>
      </c>
      <c r="S256" t="str">
        <f t="shared" si="23"/>
        <v>Strong</v>
      </c>
    </row>
    <row r="257" spans="1:19" x14ac:dyDescent="0.25">
      <c r="A257">
        <v>256</v>
      </c>
      <c r="B257">
        <v>3</v>
      </c>
      <c r="C257" t="s">
        <v>30</v>
      </c>
      <c r="D257" t="s">
        <v>33</v>
      </c>
      <c r="E257">
        <v>900000</v>
      </c>
      <c r="F257">
        <v>2400000</v>
      </c>
      <c r="G257">
        <v>10</v>
      </c>
      <c r="H257">
        <v>489</v>
      </c>
      <c r="I257">
        <v>800000</v>
      </c>
      <c r="J257">
        <v>0</v>
      </c>
      <c r="K257">
        <v>2800000</v>
      </c>
      <c r="L257">
        <v>500000</v>
      </c>
      <c r="M257" t="s">
        <v>35</v>
      </c>
      <c r="N257">
        <f t="shared" si="19"/>
        <v>0</v>
      </c>
      <c r="O257" t="str">
        <f t="shared" si="18"/>
        <v>Low</v>
      </c>
      <c r="P257" t="str">
        <f t="shared" si="20"/>
        <v>High</v>
      </c>
      <c r="Q257" t="str">
        <f t="shared" si="21"/>
        <v>Low Loan</v>
      </c>
      <c r="R257">
        <f t="shared" si="22"/>
        <v>4100000</v>
      </c>
      <c r="S257" t="str">
        <f t="shared" si="23"/>
        <v>Weak</v>
      </c>
    </row>
    <row r="258" spans="1:19" x14ac:dyDescent="0.25">
      <c r="A258">
        <v>257</v>
      </c>
      <c r="B258">
        <v>3</v>
      </c>
      <c r="C258" t="s">
        <v>30</v>
      </c>
      <c r="D258" t="s">
        <v>33</v>
      </c>
      <c r="E258">
        <v>9800000</v>
      </c>
      <c r="F258">
        <v>35400000</v>
      </c>
      <c r="G258">
        <v>6</v>
      </c>
      <c r="H258">
        <v>869</v>
      </c>
      <c r="I258">
        <v>14400000</v>
      </c>
      <c r="J258">
        <v>16400000</v>
      </c>
      <c r="K258">
        <v>22800000</v>
      </c>
      <c r="L258">
        <v>10300000</v>
      </c>
      <c r="M258" t="s">
        <v>34</v>
      </c>
      <c r="N258">
        <f t="shared" si="19"/>
        <v>1</v>
      </c>
      <c r="O258" t="str">
        <f t="shared" ref="O258:O321" si="24">IF(H258&lt;650,"Low",
 IF(H258&lt;700,"Medium",
 IF(H258&lt;750,"Good","Excellent")))</f>
        <v>Excellent</v>
      </c>
      <c r="P258" t="str">
        <f t="shared" si="20"/>
        <v>High</v>
      </c>
      <c r="Q258" t="str">
        <f t="shared" si="21"/>
        <v>High Loan</v>
      </c>
      <c r="R258">
        <f t="shared" si="22"/>
        <v>63900000</v>
      </c>
      <c r="S258" t="str">
        <f t="shared" si="23"/>
        <v>Strong</v>
      </c>
    </row>
    <row r="259" spans="1:19" x14ac:dyDescent="0.25">
      <c r="A259">
        <v>258</v>
      </c>
      <c r="B259">
        <v>2</v>
      </c>
      <c r="C259" t="s">
        <v>31</v>
      </c>
      <c r="D259" t="s">
        <v>32</v>
      </c>
      <c r="E259">
        <v>8000000</v>
      </c>
      <c r="F259">
        <v>20000000</v>
      </c>
      <c r="G259">
        <v>2</v>
      </c>
      <c r="H259">
        <v>502</v>
      </c>
      <c r="I259">
        <v>4100000</v>
      </c>
      <c r="J259">
        <v>2200000</v>
      </c>
      <c r="K259">
        <v>31600000</v>
      </c>
      <c r="L259">
        <v>9900000</v>
      </c>
      <c r="M259" t="s">
        <v>35</v>
      </c>
      <c r="N259">
        <f t="shared" ref="N259:N322" si="25">IF(TRIM(CLEAN(M259))="Approved",1,0)</f>
        <v>0</v>
      </c>
      <c r="O259" t="str">
        <f t="shared" si="24"/>
        <v>Low</v>
      </c>
      <c r="P259" t="str">
        <f t="shared" ref="P259:P322" si="26">IF(E259&lt;300000,"Low",
 IF(E259&lt;700000,"Middle","High"))</f>
        <v>High</v>
      </c>
      <c r="Q259" t="str">
        <f t="shared" ref="Q259:Q322" si="27">IF(F259&lt;20000000,"Low Loan","High Loan")</f>
        <v>High Loan</v>
      </c>
      <c r="R259">
        <f t="shared" ref="R259:R322" si="28">I259+J259+K259+L259</f>
        <v>47800000</v>
      </c>
      <c r="S259" t="str">
        <f t="shared" ref="S259:S322" si="29">IF(R259&lt;5000000,"Weak",
 IF(R259&lt;10000000,"Moderate","Strong"))</f>
        <v>Strong</v>
      </c>
    </row>
    <row r="260" spans="1:19" x14ac:dyDescent="0.25">
      <c r="A260">
        <v>259</v>
      </c>
      <c r="B260">
        <v>0</v>
      </c>
      <c r="C260" t="s">
        <v>30</v>
      </c>
      <c r="D260" t="s">
        <v>32</v>
      </c>
      <c r="E260">
        <v>9800000</v>
      </c>
      <c r="F260">
        <v>38800000</v>
      </c>
      <c r="G260">
        <v>8</v>
      </c>
      <c r="H260">
        <v>652</v>
      </c>
      <c r="I260">
        <v>23200000</v>
      </c>
      <c r="J260">
        <v>19000000</v>
      </c>
      <c r="K260">
        <v>29700000</v>
      </c>
      <c r="L260">
        <v>5400000</v>
      </c>
      <c r="M260" t="s">
        <v>34</v>
      </c>
      <c r="N260">
        <f t="shared" si="25"/>
        <v>1</v>
      </c>
      <c r="O260" t="str">
        <f t="shared" si="24"/>
        <v>Medium</v>
      </c>
      <c r="P260" t="str">
        <f t="shared" si="26"/>
        <v>High</v>
      </c>
      <c r="Q260" t="str">
        <f t="shared" si="27"/>
        <v>High Loan</v>
      </c>
      <c r="R260">
        <f t="shared" si="28"/>
        <v>77300000</v>
      </c>
      <c r="S260" t="str">
        <f t="shared" si="29"/>
        <v>Strong</v>
      </c>
    </row>
    <row r="261" spans="1:19" x14ac:dyDescent="0.25">
      <c r="A261">
        <v>260</v>
      </c>
      <c r="B261">
        <v>0</v>
      </c>
      <c r="C261" t="s">
        <v>31</v>
      </c>
      <c r="D261" t="s">
        <v>33</v>
      </c>
      <c r="E261">
        <v>300000</v>
      </c>
      <c r="F261">
        <v>1100000</v>
      </c>
      <c r="G261">
        <v>8</v>
      </c>
      <c r="H261">
        <v>789</v>
      </c>
      <c r="I261">
        <v>400000</v>
      </c>
      <c r="J261">
        <v>100000</v>
      </c>
      <c r="K261">
        <v>800000</v>
      </c>
      <c r="L261">
        <v>400000</v>
      </c>
      <c r="M261" t="s">
        <v>34</v>
      </c>
      <c r="N261">
        <f t="shared" si="25"/>
        <v>1</v>
      </c>
      <c r="O261" t="str">
        <f t="shared" si="24"/>
        <v>Excellent</v>
      </c>
      <c r="P261" t="str">
        <f t="shared" si="26"/>
        <v>Middle</v>
      </c>
      <c r="Q261" t="str">
        <f t="shared" si="27"/>
        <v>Low Loan</v>
      </c>
      <c r="R261">
        <f t="shared" si="28"/>
        <v>1700000</v>
      </c>
      <c r="S261" t="str">
        <f t="shared" si="29"/>
        <v>Weak</v>
      </c>
    </row>
    <row r="262" spans="1:19" x14ac:dyDescent="0.25">
      <c r="A262">
        <v>261</v>
      </c>
      <c r="B262">
        <v>4</v>
      </c>
      <c r="C262" t="s">
        <v>31</v>
      </c>
      <c r="D262" t="s">
        <v>32</v>
      </c>
      <c r="E262">
        <v>2700000</v>
      </c>
      <c r="F262">
        <v>8100000</v>
      </c>
      <c r="G262">
        <v>4</v>
      </c>
      <c r="H262">
        <v>325</v>
      </c>
      <c r="I262">
        <v>5000000</v>
      </c>
      <c r="J262">
        <v>800000</v>
      </c>
      <c r="K262">
        <v>9900000</v>
      </c>
      <c r="L262">
        <v>3400000</v>
      </c>
      <c r="M262" t="s">
        <v>34</v>
      </c>
      <c r="N262">
        <f t="shared" si="25"/>
        <v>1</v>
      </c>
      <c r="O262" t="str">
        <f t="shared" si="24"/>
        <v>Low</v>
      </c>
      <c r="P262" t="str">
        <f t="shared" si="26"/>
        <v>High</v>
      </c>
      <c r="Q262" t="str">
        <f t="shared" si="27"/>
        <v>Low Loan</v>
      </c>
      <c r="R262">
        <f t="shared" si="28"/>
        <v>19100000</v>
      </c>
      <c r="S262" t="str">
        <f t="shared" si="29"/>
        <v>Strong</v>
      </c>
    </row>
    <row r="263" spans="1:19" x14ac:dyDescent="0.25">
      <c r="A263">
        <v>262</v>
      </c>
      <c r="B263">
        <v>3</v>
      </c>
      <c r="C263" t="s">
        <v>30</v>
      </c>
      <c r="D263" t="s">
        <v>33</v>
      </c>
      <c r="E263">
        <v>7400000</v>
      </c>
      <c r="F263">
        <v>19600000</v>
      </c>
      <c r="G263">
        <v>2</v>
      </c>
      <c r="H263">
        <v>716</v>
      </c>
      <c r="I263">
        <v>4100000</v>
      </c>
      <c r="J263">
        <v>8900000</v>
      </c>
      <c r="K263">
        <v>29100000</v>
      </c>
      <c r="L263">
        <v>4200000</v>
      </c>
      <c r="M263" t="s">
        <v>34</v>
      </c>
      <c r="N263">
        <f t="shared" si="25"/>
        <v>1</v>
      </c>
      <c r="O263" t="str">
        <f t="shared" si="24"/>
        <v>Good</v>
      </c>
      <c r="P263" t="str">
        <f t="shared" si="26"/>
        <v>High</v>
      </c>
      <c r="Q263" t="str">
        <f t="shared" si="27"/>
        <v>Low Loan</v>
      </c>
      <c r="R263">
        <f t="shared" si="28"/>
        <v>46300000</v>
      </c>
      <c r="S263" t="str">
        <f t="shared" si="29"/>
        <v>Strong</v>
      </c>
    </row>
    <row r="264" spans="1:19" x14ac:dyDescent="0.25">
      <c r="A264">
        <v>263</v>
      </c>
      <c r="B264">
        <v>3</v>
      </c>
      <c r="C264" t="s">
        <v>30</v>
      </c>
      <c r="D264" t="s">
        <v>32</v>
      </c>
      <c r="E264">
        <v>9200000</v>
      </c>
      <c r="F264">
        <v>34300000</v>
      </c>
      <c r="G264">
        <v>18</v>
      </c>
      <c r="H264">
        <v>523</v>
      </c>
      <c r="I264">
        <v>25600000</v>
      </c>
      <c r="J264">
        <v>4000000</v>
      </c>
      <c r="K264">
        <v>29100000</v>
      </c>
      <c r="L264">
        <v>8800000</v>
      </c>
      <c r="M264" t="s">
        <v>35</v>
      </c>
      <c r="N264">
        <f t="shared" si="25"/>
        <v>0</v>
      </c>
      <c r="O264" t="str">
        <f t="shared" si="24"/>
        <v>Low</v>
      </c>
      <c r="P264" t="str">
        <f t="shared" si="26"/>
        <v>High</v>
      </c>
      <c r="Q264" t="str">
        <f t="shared" si="27"/>
        <v>High Loan</v>
      </c>
      <c r="R264">
        <f t="shared" si="28"/>
        <v>67500000</v>
      </c>
      <c r="S264" t="str">
        <f t="shared" si="29"/>
        <v>Strong</v>
      </c>
    </row>
    <row r="265" spans="1:19" x14ac:dyDescent="0.25">
      <c r="A265">
        <v>264</v>
      </c>
      <c r="B265">
        <v>5</v>
      </c>
      <c r="C265" t="s">
        <v>31</v>
      </c>
      <c r="D265" t="s">
        <v>32</v>
      </c>
      <c r="E265">
        <v>9500000</v>
      </c>
      <c r="F265">
        <v>22200000</v>
      </c>
      <c r="G265">
        <v>20</v>
      </c>
      <c r="H265">
        <v>352</v>
      </c>
      <c r="I265">
        <v>24500000</v>
      </c>
      <c r="J265">
        <v>0</v>
      </c>
      <c r="K265">
        <v>30800000</v>
      </c>
      <c r="L265">
        <v>7000000</v>
      </c>
      <c r="M265" t="s">
        <v>35</v>
      </c>
      <c r="N265">
        <f t="shared" si="25"/>
        <v>0</v>
      </c>
      <c r="O265" t="str">
        <f t="shared" si="24"/>
        <v>Low</v>
      </c>
      <c r="P265" t="str">
        <f t="shared" si="26"/>
        <v>High</v>
      </c>
      <c r="Q265" t="str">
        <f t="shared" si="27"/>
        <v>High Loan</v>
      </c>
      <c r="R265">
        <f t="shared" si="28"/>
        <v>62300000</v>
      </c>
      <c r="S265" t="str">
        <f t="shared" si="29"/>
        <v>Strong</v>
      </c>
    </row>
    <row r="266" spans="1:19" x14ac:dyDescent="0.25">
      <c r="A266">
        <v>265</v>
      </c>
      <c r="B266">
        <v>5</v>
      </c>
      <c r="C266" t="s">
        <v>30</v>
      </c>
      <c r="D266" t="s">
        <v>33</v>
      </c>
      <c r="E266">
        <v>3800000</v>
      </c>
      <c r="F266">
        <v>14400000</v>
      </c>
      <c r="G266">
        <v>2</v>
      </c>
      <c r="H266">
        <v>345</v>
      </c>
      <c r="I266">
        <v>3300000</v>
      </c>
      <c r="J266">
        <v>800000</v>
      </c>
      <c r="K266">
        <v>13000000</v>
      </c>
      <c r="L266">
        <v>4700000</v>
      </c>
      <c r="M266" t="s">
        <v>34</v>
      </c>
      <c r="N266">
        <f t="shared" si="25"/>
        <v>1</v>
      </c>
      <c r="O266" t="str">
        <f t="shared" si="24"/>
        <v>Low</v>
      </c>
      <c r="P266" t="str">
        <f t="shared" si="26"/>
        <v>High</v>
      </c>
      <c r="Q266" t="str">
        <f t="shared" si="27"/>
        <v>Low Loan</v>
      </c>
      <c r="R266">
        <f t="shared" si="28"/>
        <v>21800000</v>
      </c>
      <c r="S266" t="str">
        <f t="shared" si="29"/>
        <v>Strong</v>
      </c>
    </row>
    <row r="267" spans="1:19" x14ac:dyDescent="0.25">
      <c r="A267">
        <v>266</v>
      </c>
      <c r="B267">
        <v>0</v>
      </c>
      <c r="C267" t="s">
        <v>30</v>
      </c>
      <c r="D267" t="s">
        <v>32</v>
      </c>
      <c r="E267">
        <v>8300000</v>
      </c>
      <c r="F267">
        <v>19400000</v>
      </c>
      <c r="G267">
        <v>18</v>
      </c>
      <c r="H267">
        <v>649</v>
      </c>
      <c r="I267">
        <v>2500000</v>
      </c>
      <c r="J267">
        <v>16100000</v>
      </c>
      <c r="K267">
        <v>24300000</v>
      </c>
      <c r="L267">
        <v>11300000</v>
      </c>
      <c r="M267" t="s">
        <v>34</v>
      </c>
      <c r="N267">
        <f t="shared" si="25"/>
        <v>1</v>
      </c>
      <c r="O267" t="str">
        <f t="shared" si="24"/>
        <v>Low</v>
      </c>
      <c r="P267" t="str">
        <f t="shared" si="26"/>
        <v>High</v>
      </c>
      <c r="Q267" t="str">
        <f t="shared" si="27"/>
        <v>Low Loan</v>
      </c>
      <c r="R267">
        <f t="shared" si="28"/>
        <v>54200000</v>
      </c>
      <c r="S267" t="str">
        <f t="shared" si="29"/>
        <v>Strong</v>
      </c>
    </row>
    <row r="268" spans="1:19" x14ac:dyDescent="0.25">
      <c r="A268">
        <v>267</v>
      </c>
      <c r="B268">
        <v>2</v>
      </c>
      <c r="C268" t="s">
        <v>30</v>
      </c>
      <c r="D268" t="s">
        <v>33</v>
      </c>
      <c r="E268">
        <v>2800000</v>
      </c>
      <c r="F268">
        <v>7400000</v>
      </c>
      <c r="G268">
        <v>18</v>
      </c>
      <c r="H268">
        <v>666</v>
      </c>
      <c r="I268">
        <v>100000</v>
      </c>
      <c r="J268">
        <v>2300000</v>
      </c>
      <c r="K268">
        <v>6300000</v>
      </c>
      <c r="L268">
        <v>3400000</v>
      </c>
      <c r="M268" t="s">
        <v>34</v>
      </c>
      <c r="N268">
        <f t="shared" si="25"/>
        <v>1</v>
      </c>
      <c r="O268" t="str">
        <f t="shared" si="24"/>
        <v>Medium</v>
      </c>
      <c r="P268" t="str">
        <f t="shared" si="26"/>
        <v>High</v>
      </c>
      <c r="Q268" t="str">
        <f t="shared" si="27"/>
        <v>Low Loan</v>
      </c>
      <c r="R268">
        <f t="shared" si="28"/>
        <v>12100000</v>
      </c>
      <c r="S268" t="str">
        <f t="shared" si="29"/>
        <v>Strong</v>
      </c>
    </row>
    <row r="269" spans="1:19" x14ac:dyDescent="0.25">
      <c r="A269">
        <v>268</v>
      </c>
      <c r="B269">
        <v>0</v>
      </c>
      <c r="C269" t="s">
        <v>30</v>
      </c>
      <c r="D269" t="s">
        <v>32</v>
      </c>
      <c r="E269">
        <v>8600000</v>
      </c>
      <c r="F269">
        <v>20900000</v>
      </c>
      <c r="G269">
        <v>10</v>
      </c>
      <c r="H269">
        <v>813</v>
      </c>
      <c r="I269">
        <v>11300000</v>
      </c>
      <c r="J269">
        <v>11900000</v>
      </c>
      <c r="K269">
        <v>26000000</v>
      </c>
      <c r="L269">
        <v>4800000</v>
      </c>
      <c r="M269" t="s">
        <v>34</v>
      </c>
      <c r="N269">
        <f t="shared" si="25"/>
        <v>1</v>
      </c>
      <c r="O269" t="str">
        <f t="shared" si="24"/>
        <v>Excellent</v>
      </c>
      <c r="P269" t="str">
        <f t="shared" si="26"/>
        <v>High</v>
      </c>
      <c r="Q269" t="str">
        <f t="shared" si="27"/>
        <v>High Loan</v>
      </c>
      <c r="R269">
        <f t="shared" si="28"/>
        <v>54000000</v>
      </c>
      <c r="S269" t="str">
        <f t="shared" si="29"/>
        <v>Strong</v>
      </c>
    </row>
    <row r="270" spans="1:19" x14ac:dyDescent="0.25">
      <c r="A270">
        <v>269</v>
      </c>
      <c r="B270">
        <v>0</v>
      </c>
      <c r="C270" t="s">
        <v>31</v>
      </c>
      <c r="D270" t="s">
        <v>32</v>
      </c>
      <c r="E270">
        <v>5400000</v>
      </c>
      <c r="F270">
        <v>16800000</v>
      </c>
      <c r="G270">
        <v>10</v>
      </c>
      <c r="H270">
        <v>599</v>
      </c>
      <c r="I270">
        <v>5300000</v>
      </c>
      <c r="J270">
        <v>7400000</v>
      </c>
      <c r="K270">
        <v>14500000</v>
      </c>
      <c r="L270">
        <v>7600000</v>
      </c>
      <c r="M270" t="s">
        <v>34</v>
      </c>
      <c r="N270">
        <f t="shared" si="25"/>
        <v>1</v>
      </c>
      <c r="O270" t="str">
        <f t="shared" si="24"/>
        <v>Low</v>
      </c>
      <c r="P270" t="str">
        <f t="shared" si="26"/>
        <v>High</v>
      </c>
      <c r="Q270" t="str">
        <f t="shared" si="27"/>
        <v>Low Loan</v>
      </c>
      <c r="R270">
        <f t="shared" si="28"/>
        <v>34800000</v>
      </c>
      <c r="S270" t="str">
        <f t="shared" si="29"/>
        <v>Strong</v>
      </c>
    </row>
    <row r="271" spans="1:19" x14ac:dyDescent="0.25">
      <c r="A271">
        <v>270</v>
      </c>
      <c r="B271">
        <v>5</v>
      </c>
      <c r="C271" t="s">
        <v>30</v>
      </c>
      <c r="D271" t="s">
        <v>33</v>
      </c>
      <c r="E271">
        <v>4200000</v>
      </c>
      <c r="F271">
        <v>9400000</v>
      </c>
      <c r="G271">
        <v>6</v>
      </c>
      <c r="H271">
        <v>678</v>
      </c>
      <c r="I271">
        <v>4700000</v>
      </c>
      <c r="J271">
        <v>5500000</v>
      </c>
      <c r="K271">
        <v>9900000</v>
      </c>
      <c r="L271">
        <v>5700000</v>
      </c>
      <c r="M271" t="s">
        <v>34</v>
      </c>
      <c r="N271">
        <f t="shared" si="25"/>
        <v>1</v>
      </c>
      <c r="O271" t="str">
        <f t="shared" si="24"/>
        <v>Medium</v>
      </c>
      <c r="P271" t="str">
        <f t="shared" si="26"/>
        <v>High</v>
      </c>
      <c r="Q271" t="str">
        <f t="shared" si="27"/>
        <v>Low Loan</v>
      </c>
      <c r="R271">
        <f t="shared" si="28"/>
        <v>25800000</v>
      </c>
      <c r="S271" t="str">
        <f t="shared" si="29"/>
        <v>Strong</v>
      </c>
    </row>
    <row r="272" spans="1:19" x14ac:dyDescent="0.25">
      <c r="A272">
        <v>271</v>
      </c>
      <c r="B272">
        <v>5</v>
      </c>
      <c r="C272" t="s">
        <v>31</v>
      </c>
      <c r="D272" t="s">
        <v>32</v>
      </c>
      <c r="E272">
        <v>5200000</v>
      </c>
      <c r="F272">
        <v>12200000</v>
      </c>
      <c r="G272">
        <v>20</v>
      </c>
      <c r="H272">
        <v>513</v>
      </c>
      <c r="I272">
        <v>13400000</v>
      </c>
      <c r="J272">
        <v>2000000</v>
      </c>
      <c r="K272">
        <v>16800000</v>
      </c>
      <c r="L272">
        <v>5400000</v>
      </c>
      <c r="M272" t="s">
        <v>35</v>
      </c>
      <c r="N272">
        <f t="shared" si="25"/>
        <v>0</v>
      </c>
      <c r="O272" t="str">
        <f t="shared" si="24"/>
        <v>Low</v>
      </c>
      <c r="P272" t="str">
        <f t="shared" si="26"/>
        <v>High</v>
      </c>
      <c r="Q272" t="str">
        <f t="shared" si="27"/>
        <v>Low Loan</v>
      </c>
      <c r="R272">
        <f t="shared" si="28"/>
        <v>37600000</v>
      </c>
      <c r="S272" t="str">
        <f t="shared" si="29"/>
        <v>Strong</v>
      </c>
    </row>
    <row r="273" spans="1:19" x14ac:dyDescent="0.25">
      <c r="A273">
        <v>272</v>
      </c>
      <c r="B273">
        <v>5</v>
      </c>
      <c r="C273" t="s">
        <v>30</v>
      </c>
      <c r="D273" t="s">
        <v>32</v>
      </c>
      <c r="E273">
        <v>9400000</v>
      </c>
      <c r="F273">
        <v>27900000</v>
      </c>
      <c r="G273">
        <v>4</v>
      </c>
      <c r="H273">
        <v>870</v>
      </c>
      <c r="I273">
        <v>1100000</v>
      </c>
      <c r="J273">
        <v>200000</v>
      </c>
      <c r="K273">
        <v>29500000</v>
      </c>
      <c r="L273">
        <v>10400000</v>
      </c>
      <c r="M273" t="s">
        <v>34</v>
      </c>
      <c r="N273">
        <f t="shared" si="25"/>
        <v>1</v>
      </c>
      <c r="O273" t="str">
        <f t="shared" si="24"/>
        <v>Excellent</v>
      </c>
      <c r="P273" t="str">
        <f t="shared" si="26"/>
        <v>High</v>
      </c>
      <c r="Q273" t="str">
        <f t="shared" si="27"/>
        <v>High Loan</v>
      </c>
      <c r="R273">
        <f t="shared" si="28"/>
        <v>41200000</v>
      </c>
      <c r="S273" t="str">
        <f t="shared" si="29"/>
        <v>Strong</v>
      </c>
    </row>
    <row r="274" spans="1:19" x14ac:dyDescent="0.25">
      <c r="A274">
        <v>273</v>
      </c>
      <c r="B274">
        <v>3</v>
      </c>
      <c r="C274" t="s">
        <v>30</v>
      </c>
      <c r="D274" t="s">
        <v>32</v>
      </c>
      <c r="E274">
        <v>8800000</v>
      </c>
      <c r="F274">
        <v>20400000</v>
      </c>
      <c r="G274">
        <v>8</v>
      </c>
      <c r="H274">
        <v>483</v>
      </c>
      <c r="I274">
        <v>3200000</v>
      </c>
      <c r="J274">
        <v>11400000</v>
      </c>
      <c r="K274">
        <v>28200000</v>
      </c>
      <c r="L274">
        <v>11800000</v>
      </c>
      <c r="M274" t="s">
        <v>35</v>
      </c>
      <c r="N274">
        <f t="shared" si="25"/>
        <v>0</v>
      </c>
      <c r="O274" t="str">
        <f t="shared" si="24"/>
        <v>Low</v>
      </c>
      <c r="P274" t="str">
        <f t="shared" si="26"/>
        <v>High</v>
      </c>
      <c r="Q274" t="str">
        <f t="shared" si="27"/>
        <v>High Loan</v>
      </c>
      <c r="R274">
        <f t="shared" si="28"/>
        <v>54600000</v>
      </c>
      <c r="S274" t="str">
        <f t="shared" si="29"/>
        <v>Strong</v>
      </c>
    </row>
    <row r="275" spans="1:19" x14ac:dyDescent="0.25">
      <c r="A275">
        <v>274</v>
      </c>
      <c r="B275">
        <v>1</v>
      </c>
      <c r="C275" t="s">
        <v>30</v>
      </c>
      <c r="D275" t="s">
        <v>33</v>
      </c>
      <c r="E275">
        <v>5900000</v>
      </c>
      <c r="F275">
        <v>16700000</v>
      </c>
      <c r="G275">
        <v>16</v>
      </c>
      <c r="H275">
        <v>308</v>
      </c>
      <c r="I275">
        <v>5800000</v>
      </c>
      <c r="J275">
        <v>8800000</v>
      </c>
      <c r="K275">
        <v>19100000</v>
      </c>
      <c r="L275">
        <v>5300000</v>
      </c>
      <c r="M275" t="s">
        <v>35</v>
      </c>
      <c r="N275">
        <f t="shared" si="25"/>
        <v>0</v>
      </c>
      <c r="O275" t="str">
        <f t="shared" si="24"/>
        <v>Low</v>
      </c>
      <c r="P275" t="str">
        <f t="shared" si="26"/>
        <v>High</v>
      </c>
      <c r="Q275" t="str">
        <f t="shared" si="27"/>
        <v>Low Loan</v>
      </c>
      <c r="R275">
        <f t="shared" si="28"/>
        <v>39000000</v>
      </c>
      <c r="S275" t="str">
        <f t="shared" si="29"/>
        <v>Strong</v>
      </c>
    </row>
    <row r="276" spans="1:19" x14ac:dyDescent="0.25">
      <c r="A276">
        <v>275</v>
      </c>
      <c r="B276">
        <v>3</v>
      </c>
      <c r="C276" t="s">
        <v>30</v>
      </c>
      <c r="D276" t="s">
        <v>33</v>
      </c>
      <c r="E276">
        <v>1700000</v>
      </c>
      <c r="F276">
        <v>4900000</v>
      </c>
      <c r="G276">
        <v>16</v>
      </c>
      <c r="H276">
        <v>591</v>
      </c>
      <c r="I276">
        <v>4700000</v>
      </c>
      <c r="J276">
        <v>1000000</v>
      </c>
      <c r="K276">
        <v>4300000</v>
      </c>
      <c r="L276">
        <v>1400000</v>
      </c>
      <c r="M276" t="s">
        <v>34</v>
      </c>
      <c r="N276">
        <f t="shared" si="25"/>
        <v>1</v>
      </c>
      <c r="O276" t="str">
        <f t="shared" si="24"/>
        <v>Low</v>
      </c>
      <c r="P276" t="str">
        <f t="shared" si="26"/>
        <v>High</v>
      </c>
      <c r="Q276" t="str">
        <f t="shared" si="27"/>
        <v>Low Loan</v>
      </c>
      <c r="R276">
        <f t="shared" si="28"/>
        <v>11400000</v>
      </c>
      <c r="S276" t="str">
        <f t="shared" si="29"/>
        <v>Strong</v>
      </c>
    </row>
    <row r="277" spans="1:19" x14ac:dyDescent="0.25">
      <c r="A277">
        <v>276</v>
      </c>
      <c r="B277">
        <v>1</v>
      </c>
      <c r="C277" t="s">
        <v>31</v>
      </c>
      <c r="D277" t="s">
        <v>32</v>
      </c>
      <c r="E277">
        <v>7000000</v>
      </c>
      <c r="F277">
        <v>23000000</v>
      </c>
      <c r="G277">
        <v>10</v>
      </c>
      <c r="H277">
        <v>886</v>
      </c>
      <c r="I277">
        <v>14000000</v>
      </c>
      <c r="J277">
        <v>3700000</v>
      </c>
      <c r="K277">
        <v>26700000</v>
      </c>
      <c r="L277">
        <v>3600000</v>
      </c>
      <c r="M277" t="s">
        <v>34</v>
      </c>
      <c r="N277">
        <f t="shared" si="25"/>
        <v>1</v>
      </c>
      <c r="O277" t="str">
        <f t="shared" si="24"/>
        <v>Excellent</v>
      </c>
      <c r="P277" t="str">
        <f t="shared" si="26"/>
        <v>High</v>
      </c>
      <c r="Q277" t="str">
        <f t="shared" si="27"/>
        <v>High Loan</v>
      </c>
      <c r="R277">
        <f t="shared" si="28"/>
        <v>48000000</v>
      </c>
      <c r="S277" t="str">
        <f t="shared" si="29"/>
        <v>Strong</v>
      </c>
    </row>
    <row r="278" spans="1:19" x14ac:dyDescent="0.25">
      <c r="A278">
        <v>277</v>
      </c>
      <c r="B278">
        <v>4</v>
      </c>
      <c r="C278" t="s">
        <v>31</v>
      </c>
      <c r="D278" t="s">
        <v>32</v>
      </c>
      <c r="E278">
        <v>1700000</v>
      </c>
      <c r="F278">
        <v>4000000</v>
      </c>
      <c r="G278">
        <v>6</v>
      </c>
      <c r="H278">
        <v>829</v>
      </c>
      <c r="I278">
        <v>0</v>
      </c>
      <c r="J278">
        <v>1600000</v>
      </c>
      <c r="K278">
        <v>5200000</v>
      </c>
      <c r="L278">
        <v>1700000</v>
      </c>
      <c r="M278" t="s">
        <v>34</v>
      </c>
      <c r="N278">
        <f t="shared" si="25"/>
        <v>1</v>
      </c>
      <c r="O278" t="str">
        <f t="shared" si="24"/>
        <v>Excellent</v>
      </c>
      <c r="P278" t="str">
        <f t="shared" si="26"/>
        <v>High</v>
      </c>
      <c r="Q278" t="str">
        <f t="shared" si="27"/>
        <v>Low Loan</v>
      </c>
      <c r="R278">
        <f t="shared" si="28"/>
        <v>8500000</v>
      </c>
      <c r="S278" t="str">
        <f t="shared" si="29"/>
        <v>Moderate</v>
      </c>
    </row>
    <row r="279" spans="1:19" x14ac:dyDescent="0.25">
      <c r="A279">
        <v>278</v>
      </c>
      <c r="B279">
        <v>0</v>
      </c>
      <c r="C279" t="s">
        <v>31</v>
      </c>
      <c r="D279" t="s">
        <v>32</v>
      </c>
      <c r="E279">
        <v>1500000</v>
      </c>
      <c r="F279">
        <v>4900000</v>
      </c>
      <c r="G279">
        <v>12</v>
      </c>
      <c r="H279">
        <v>651</v>
      </c>
      <c r="I279">
        <v>1600000</v>
      </c>
      <c r="J279">
        <v>2800000</v>
      </c>
      <c r="K279">
        <v>4600000</v>
      </c>
      <c r="L279">
        <v>800000</v>
      </c>
      <c r="M279" t="s">
        <v>34</v>
      </c>
      <c r="N279">
        <f t="shared" si="25"/>
        <v>1</v>
      </c>
      <c r="O279" t="str">
        <f t="shared" si="24"/>
        <v>Medium</v>
      </c>
      <c r="P279" t="str">
        <f t="shared" si="26"/>
        <v>High</v>
      </c>
      <c r="Q279" t="str">
        <f t="shared" si="27"/>
        <v>Low Loan</v>
      </c>
      <c r="R279">
        <f t="shared" si="28"/>
        <v>9800000</v>
      </c>
      <c r="S279" t="str">
        <f t="shared" si="29"/>
        <v>Moderate</v>
      </c>
    </row>
    <row r="280" spans="1:19" x14ac:dyDescent="0.25">
      <c r="A280">
        <v>279</v>
      </c>
      <c r="B280">
        <v>4</v>
      </c>
      <c r="C280" t="s">
        <v>31</v>
      </c>
      <c r="D280" t="s">
        <v>32</v>
      </c>
      <c r="E280">
        <v>2000000</v>
      </c>
      <c r="F280">
        <v>4700000</v>
      </c>
      <c r="G280">
        <v>18</v>
      </c>
      <c r="H280">
        <v>733</v>
      </c>
      <c r="I280">
        <v>3700000</v>
      </c>
      <c r="J280">
        <v>3700000</v>
      </c>
      <c r="K280">
        <v>7000000</v>
      </c>
      <c r="L280">
        <v>2800000</v>
      </c>
      <c r="M280" t="s">
        <v>34</v>
      </c>
      <c r="N280">
        <f t="shared" si="25"/>
        <v>1</v>
      </c>
      <c r="O280" t="str">
        <f t="shared" si="24"/>
        <v>Good</v>
      </c>
      <c r="P280" t="str">
        <f t="shared" si="26"/>
        <v>High</v>
      </c>
      <c r="Q280" t="str">
        <f t="shared" si="27"/>
        <v>Low Loan</v>
      </c>
      <c r="R280">
        <f t="shared" si="28"/>
        <v>17200000</v>
      </c>
      <c r="S280" t="str">
        <f t="shared" si="29"/>
        <v>Strong</v>
      </c>
    </row>
    <row r="281" spans="1:19" x14ac:dyDescent="0.25">
      <c r="A281">
        <v>280</v>
      </c>
      <c r="B281">
        <v>5</v>
      </c>
      <c r="C281" t="s">
        <v>30</v>
      </c>
      <c r="D281" t="s">
        <v>33</v>
      </c>
      <c r="E281">
        <v>3900000</v>
      </c>
      <c r="F281">
        <v>15500000</v>
      </c>
      <c r="G281">
        <v>12</v>
      </c>
      <c r="H281">
        <v>433</v>
      </c>
      <c r="I281">
        <v>9500000</v>
      </c>
      <c r="J281">
        <v>5400000</v>
      </c>
      <c r="K281">
        <v>7900000</v>
      </c>
      <c r="L281">
        <v>4600000</v>
      </c>
      <c r="M281" t="s">
        <v>35</v>
      </c>
      <c r="N281">
        <f t="shared" si="25"/>
        <v>0</v>
      </c>
      <c r="O281" t="str">
        <f t="shared" si="24"/>
        <v>Low</v>
      </c>
      <c r="P281" t="str">
        <f t="shared" si="26"/>
        <v>High</v>
      </c>
      <c r="Q281" t="str">
        <f t="shared" si="27"/>
        <v>Low Loan</v>
      </c>
      <c r="R281">
        <f t="shared" si="28"/>
        <v>27400000</v>
      </c>
      <c r="S281" t="str">
        <f t="shared" si="29"/>
        <v>Strong</v>
      </c>
    </row>
    <row r="282" spans="1:19" x14ac:dyDescent="0.25">
      <c r="A282">
        <v>281</v>
      </c>
      <c r="B282">
        <v>1</v>
      </c>
      <c r="C282" t="s">
        <v>30</v>
      </c>
      <c r="D282" t="s">
        <v>33</v>
      </c>
      <c r="E282">
        <v>900000</v>
      </c>
      <c r="F282">
        <v>3600000</v>
      </c>
      <c r="G282">
        <v>14</v>
      </c>
      <c r="H282">
        <v>713</v>
      </c>
      <c r="I282">
        <v>1300000</v>
      </c>
      <c r="J282">
        <v>1000000</v>
      </c>
      <c r="K282">
        <v>1800000</v>
      </c>
      <c r="L282">
        <v>1200000</v>
      </c>
      <c r="M282" t="s">
        <v>34</v>
      </c>
      <c r="N282">
        <f t="shared" si="25"/>
        <v>1</v>
      </c>
      <c r="O282" t="str">
        <f t="shared" si="24"/>
        <v>Good</v>
      </c>
      <c r="P282" t="str">
        <f t="shared" si="26"/>
        <v>High</v>
      </c>
      <c r="Q282" t="str">
        <f t="shared" si="27"/>
        <v>Low Loan</v>
      </c>
      <c r="R282">
        <f t="shared" si="28"/>
        <v>5300000</v>
      </c>
      <c r="S282" t="str">
        <f t="shared" si="29"/>
        <v>Moderate</v>
      </c>
    </row>
    <row r="283" spans="1:19" x14ac:dyDescent="0.25">
      <c r="A283">
        <v>282</v>
      </c>
      <c r="B283">
        <v>1</v>
      </c>
      <c r="C283" t="s">
        <v>30</v>
      </c>
      <c r="D283" t="s">
        <v>32</v>
      </c>
      <c r="E283">
        <v>6900000</v>
      </c>
      <c r="F283">
        <v>22500000</v>
      </c>
      <c r="G283">
        <v>18</v>
      </c>
      <c r="H283">
        <v>403</v>
      </c>
      <c r="I283">
        <v>800000</v>
      </c>
      <c r="J283">
        <v>8400000</v>
      </c>
      <c r="K283">
        <v>16900000</v>
      </c>
      <c r="L283">
        <v>6300000</v>
      </c>
      <c r="M283" t="s">
        <v>35</v>
      </c>
      <c r="N283">
        <f t="shared" si="25"/>
        <v>0</v>
      </c>
      <c r="O283" t="str">
        <f t="shared" si="24"/>
        <v>Low</v>
      </c>
      <c r="P283" t="str">
        <f t="shared" si="26"/>
        <v>High</v>
      </c>
      <c r="Q283" t="str">
        <f t="shared" si="27"/>
        <v>High Loan</v>
      </c>
      <c r="R283">
        <f t="shared" si="28"/>
        <v>32400000</v>
      </c>
      <c r="S283" t="str">
        <f t="shared" si="29"/>
        <v>Strong</v>
      </c>
    </row>
    <row r="284" spans="1:19" x14ac:dyDescent="0.25">
      <c r="A284">
        <v>283</v>
      </c>
      <c r="B284">
        <v>0</v>
      </c>
      <c r="C284" t="s">
        <v>30</v>
      </c>
      <c r="D284" t="s">
        <v>33</v>
      </c>
      <c r="E284">
        <v>2800000</v>
      </c>
      <c r="F284">
        <v>7800000</v>
      </c>
      <c r="G284">
        <v>10</v>
      </c>
      <c r="H284">
        <v>405</v>
      </c>
      <c r="I284">
        <v>7800000</v>
      </c>
      <c r="J284">
        <v>2500000</v>
      </c>
      <c r="K284">
        <v>7100000</v>
      </c>
      <c r="L284">
        <v>3400000</v>
      </c>
      <c r="M284" t="s">
        <v>35</v>
      </c>
      <c r="N284">
        <f t="shared" si="25"/>
        <v>0</v>
      </c>
      <c r="O284" t="str">
        <f t="shared" si="24"/>
        <v>Low</v>
      </c>
      <c r="P284" t="str">
        <f t="shared" si="26"/>
        <v>High</v>
      </c>
      <c r="Q284" t="str">
        <f t="shared" si="27"/>
        <v>Low Loan</v>
      </c>
      <c r="R284">
        <f t="shared" si="28"/>
        <v>20800000</v>
      </c>
      <c r="S284" t="str">
        <f t="shared" si="29"/>
        <v>Strong</v>
      </c>
    </row>
    <row r="285" spans="1:19" x14ac:dyDescent="0.25">
      <c r="A285">
        <v>284</v>
      </c>
      <c r="B285">
        <v>3</v>
      </c>
      <c r="C285" t="s">
        <v>30</v>
      </c>
      <c r="D285" t="s">
        <v>33</v>
      </c>
      <c r="E285">
        <v>6800000</v>
      </c>
      <c r="F285">
        <v>19900000</v>
      </c>
      <c r="G285">
        <v>10</v>
      </c>
      <c r="H285">
        <v>516</v>
      </c>
      <c r="I285">
        <v>16000000</v>
      </c>
      <c r="J285">
        <v>6000000</v>
      </c>
      <c r="K285">
        <v>26000000</v>
      </c>
      <c r="L285">
        <v>8500000</v>
      </c>
      <c r="M285" t="s">
        <v>35</v>
      </c>
      <c r="N285">
        <f t="shared" si="25"/>
        <v>0</v>
      </c>
      <c r="O285" t="str">
        <f t="shared" si="24"/>
        <v>Low</v>
      </c>
      <c r="P285" t="str">
        <f t="shared" si="26"/>
        <v>High</v>
      </c>
      <c r="Q285" t="str">
        <f t="shared" si="27"/>
        <v>Low Loan</v>
      </c>
      <c r="R285">
        <f t="shared" si="28"/>
        <v>56500000</v>
      </c>
      <c r="S285" t="str">
        <f t="shared" si="29"/>
        <v>Strong</v>
      </c>
    </row>
    <row r="286" spans="1:19" x14ac:dyDescent="0.25">
      <c r="A286">
        <v>285</v>
      </c>
      <c r="B286">
        <v>4</v>
      </c>
      <c r="C286" t="s">
        <v>31</v>
      </c>
      <c r="D286" t="s">
        <v>33</v>
      </c>
      <c r="E286">
        <v>600000</v>
      </c>
      <c r="F286">
        <v>1800000</v>
      </c>
      <c r="G286">
        <v>8</v>
      </c>
      <c r="H286">
        <v>417</v>
      </c>
      <c r="I286">
        <v>1700000</v>
      </c>
      <c r="J286">
        <v>700000</v>
      </c>
      <c r="K286">
        <v>1800000</v>
      </c>
      <c r="L286">
        <v>800000</v>
      </c>
      <c r="M286" t="s">
        <v>35</v>
      </c>
      <c r="N286">
        <f t="shared" si="25"/>
        <v>0</v>
      </c>
      <c r="O286" t="str">
        <f t="shared" si="24"/>
        <v>Low</v>
      </c>
      <c r="P286" t="str">
        <f t="shared" si="26"/>
        <v>Middle</v>
      </c>
      <c r="Q286" t="str">
        <f t="shared" si="27"/>
        <v>Low Loan</v>
      </c>
      <c r="R286">
        <f t="shared" si="28"/>
        <v>5000000</v>
      </c>
      <c r="S286" t="str">
        <f t="shared" si="29"/>
        <v>Moderate</v>
      </c>
    </row>
    <row r="287" spans="1:19" x14ac:dyDescent="0.25">
      <c r="A287">
        <v>286</v>
      </c>
      <c r="B287">
        <v>1</v>
      </c>
      <c r="C287" t="s">
        <v>31</v>
      </c>
      <c r="D287" t="s">
        <v>32</v>
      </c>
      <c r="E287">
        <v>4700000</v>
      </c>
      <c r="F287">
        <v>14000000</v>
      </c>
      <c r="G287">
        <v>6</v>
      </c>
      <c r="H287">
        <v>468</v>
      </c>
      <c r="I287">
        <v>11300000</v>
      </c>
      <c r="J287">
        <v>1800000</v>
      </c>
      <c r="K287">
        <v>10600000</v>
      </c>
      <c r="L287">
        <v>4600000</v>
      </c>
      <c r="M287" t="s">
        <v>35</v>
      </c>
      <c r="N287">
        <f t="shared" si="25"/>
        <v>0</v>
      </c>
      <c r="O287" t="str">
        <f t="shared" si="24"/>
        <v>Low</v>
      </c>
      <c r="P287" t="str">
        <f t="shared" si="26"/>
        <v>High</v>
      </c>
      <c r="Q287" t="str">
        <f t="shared" si="27"/>
        <v>Low Loan</v>
      </c>
      <c r="R287">
        <f t="shared" si="28"/>
        <v>28300000</v>
      </c>
      <c r="S287" t="str">
        <f t="shared" si="29"/>
        <v>Strong</v>
      </c>
    </row>
    <row r="288" spans="1:19" x14ac:dyDescent="0.25">
      <c r="A288">
        <v>287</v>
      </c>
      <c r="B288">
        <v>5</v>
      </c>
      <c r="C288" t="s">
        <v>30</v>
      </c>
      <c r="D288" t="s">
        <v>33</v>
      </c>
      <c r="E288">
        <v>3000000</v>
      </c>
      <c r="F288">
        <v>11800000</v>
      </c>
      <c r="G288">
        <v>10</v>
      </c>
      <c r="H288">
        <v>672</v>
      </c>
      <c r="I288">
        <v>8700000</v>
      </c>
      <c r="J288">
        <v>3600000</v>
      </c>
      <c r="K288">
        <v>9800000</v>
      </c>
      <c r="L288">
        <v>4100000</v>
      </c>
      <c r="M288" t="s">
        <v>34</v>
      </c>
      <c r="N288">
        <f t="shared" si="25"/>
        <v>1</v>
      </c>
      <c r="O288" t="str">
        <f t="shared" si="24"/>
        <v>Medium</v>
      </c>
      <c r="P288" t="str">
        <f t="shared" si="26"/>
        <v>High</v>
      </c>
      <c r="Q288" t="str">
        <f t="shared" si="27"/>
        <v>Low Loan</v>
      </c>
      <c r="R288">
        <f t="shared" si="28"/>
        <v>26200000</v>
      </c>
      <c r="S288" t="str">
        <f t="shared" si="29"/>
        <v>Strong</v>
      </c>
    </row>
    <row r="289" spans="1:19" x14ac:dyDescent="0.25">
      <c r="A289">
        <v>288</v>
      </c>
      <c r="B289">
        <v>5</v>
      </c>
      <c r="C289" t="s">
        <v>31</v>
      </c>
      <c r="D289" t="s">
        <v>32</v>
      </c>
      <c r="E289">
        <v>4000000</v>
      </c>
      <c r="F289">
        <v>13900000</v>
      </c>
      <c r="G289">
        <v>6</v>
      </c>
      <c r="H289">
        <v>530</v>
      </c>
      <c r="I289">
        <v>6000000</v>
      </c>
      <c r="J289">
        <v>5600000</v>
      </c>
      <c r="K289">
        <v>12500000</v>
      </c>
      <c r="L289">
        <v>6000000</v>
      </c>
      <c r="M289" t="s">
        <v>35</v>
      </c>
      <c r="N289">
        <f t="shared" si="25"/>
        <v>0</v>
      </c>
      <c r="O289" t="str">
        <f t="shared" si="24"/>
        <v>Low</v>
      </c>
      <c r="P289" t="str">
        <f t="shared" si="26"/>
        <v>High</v>
      </c>
      <c r="Q289" t="str">
        <f t="shared" si="27"/>
        <v>Low Loan</v>
      </c>
      <c r="R289">
        <f t="shared" si="28"/>
        <v>30100000</v>
      </c>
      <c r="S289" t="str">
        <f t="shared" si="29"/>
        <v>Strong</v>
      </c>
    </row>
    <row r="290" spans="1:19" x14ac:dyDescent="0.25">
      <c r="A290">
        <v>289</v>
      </c>
      <c r="B290">
        <v>1</v>
      </c>
      <c r="C290" t="s">
        <v>31</v>
      </c>
      <c r="D290" t="s">
        <v>33</v>
      </c>
      <c r="E290">
        <v>3100000</v>
      </c>
      <c r="F290">
        <v>11300000</v>
      </c>
      <c r="G290">
        <v>14</v>
      </c>
      <c r="H290">
        <v>824</v>
      </c>
      <c r="I290">
        <v>3700000</v>
      </c>
      <c r="J290">
        <v>6000000</v>
      </c>
      <c r="K290">
        <v>11000000</v>
      </c>
      <c r="L290">
        <v>4400000</v>
      </c>
      <c r="M290" t="s">
        <v>34</v>
      </c>
      <c r="N290">
        <f t="shared" si="25"/>
        <v>1</v>
      </c>
      <c r="O290" t="str">
        <f t="shared" si="24"/>
        <v>Excellent</v>
      </c>
      <c r="P290" t="str">
        <f t="shared" si="26"/>
        <v>High</v>
      </c>
      <c r="Q290" t="str">
        <f t="shared" si="27"/>
        <v>Low Loan</v>
      </c>
      <c r="R290">
        <f t="shared" si="28"/>
        <v>25100000</v>
      </c>
      <c r="S290" t="str">
        <f t="shared" si="29"/>
        <v>Strong</v>
      </c>
    </row>
    <row r="291" spans="1:19" x14ac:dyDescent="0.25">
      <c r="A291">
        <v>290</v>
      </c>
      <c r="B291">
        <v>1</v>
      </c>
      <c r="C291" t="s">
        <v>31</v>
      </c>
      <c r="D291" t="s">
        <v>33</v>
      </c>
      <c r="E291">
        <v>7700000</v>
      </c>
      <c r="F291">
        <v>25500000</v>
      </c>
      <c r="G291">
        <v>12</v>
      </c>
      <c r="H291">
        <v>549</v>
      </c>
      <c r="I291">
        <v>18100000</v>
      </c>
      <c r="J291">
        <v>10600000</v>
      </c>
      <c r="K291">
        <v>20500000</v>
      </c>
      <c r="L291">
        <v>7000000</v>
      </c>
      <c r="M291" t="s">
        <v>35</v>
      </c>
      <c r="N291">
        <f t="shared" si="25"/>
        <v>0</v>
      </c>
      <c r="O291" t="str">
        <f t="shared" si="24"/>
        <v>Low</v>
      </c>
      <c r="P291" t="str">
        <f t="shared" si="26"/>
        <v>High</v>
      </c>
      <c r="Q291" t="str">
        <f t="shared" si="27"/>
        <v>High Loan</v>
      </c>
      <c r="R291">
        <f t="shared" si="28"/>
        <v>56200000</v>
      </c>
      <c r="S291" t="str">
        <f t="shared" si="29"/>
        <v>Strong</v>
      </c>
    </row>
    <row r="292" spans="1:19" x14ac:dyDescent="0.25">
      <c r="A292">
        <v>291</v>
      </c>
      <c r="B292">
        <v>5</v>
      </c>
      <c r="C292" t="s">
        <v>31</v>
      </c>
      <c r="D292" t="s">
        <v>33</v>
      </c>
      <c r="E292">
        <v>4300000</v>
      </c>
      <c r="F292">
        <v>9300000</v>
      </c>
      <c r="G292">
        <v>10</v>
      </c>
      <c r="H292">
        <v>450</v>
      </c>
      <c r="I292">
        <v>2100000</v>
      </c>
      <c r="J292">
        <v>6700000</v>
      </c>
      <c r="K292">
        <v>10000000</v>
      </c>
      <c r="L292">
        <v>4100000</v>
      </c>
      <c r="M292" t="s">
        <v>35</v>
      </c>
      <c r="N292">
        <f t="shared" si="25"/>
        <v>0</v>
      </c>
      <c r="O292" t="str">
        <f t="shared" si="24"/>
        <v>Low</v>
      </c>
      <c r="P292" t="str">
        <f t="shared" si="26"/>
        <v>High</v>
      </c>
      <c r="Q292" t="str">
        <f t="shared" si="27"/>
        <v>Low Loan</v>
      </c>
      <c r="R292">
        <f t="shared" si="28"/>
        <v>22900000</v>
      </c>
      <c r="S292" t="str">
        <f t="shared" si="29"/>
        <v>Strong</v>
      </c>
    </row>
    <row r="293" spans="1:19" x14ac:dyDescent="0.25">
      <c r="A293">
        <v>292</v>
      </c>
      <c r="B293">
        <v>1</v>
      </c>
      <c r="C293" t="s">
        <v>30</v>
      </c>
      <c r="D293" t="s">
        <v>33</v>
      </c>
      <c r="E293">
        <v>5800000</v>
      </c>
      <c r="F293">
        <v>19500000</v>
      </c>
      <c r="G293">
        <v>20</v>
      </c>
      <c r="H293">
        <v>431</v>
      </c>
      <c r="I293">
        <v>13800000</v>
      </c>
      <c r="J293">
        <v>5000000</v>
      </c>
      <c r="K293">
        <v>15600000</v>
      </c>
      <c r="L293">
        <v>3300000</v>
      </c>
      <c r="M293" t="s">
        <v>35</v>
      </c>
      <c r="N293">
        <f t="shared" si="25"/>
        <v>0</v>
      </c>
      <c r="O293" t="str">
        <f t="shared" si="24"/>
        <v>Low</v>
      </c>
      <c r="P293" t="str">
        <f t="shared" si="26"/>
        <v>High</v>
      </c>
      <c r="Q293" t="str">
        <f t="shared" si="27"/>
        <v>Low Loan</v>
      </c>
      <c r="R293">
        <f t="shared" si="28"/>
        <v>37700000</v>
      </c>
      <c r="S293" t="str">
        <f t="shared" si="29"/>
        <v>Strong</v>
      </c>
    </row>
    <row r="294" spans="1:19" x14ac:dyDescent="0.25">
      <c r="A294">
        <v>293</v>
      </c>
      <c r="B294">
        <v>3</v>
      </c>
      <c r="C294" t="s">
        <v>30</v>
      </c>
      <c r="D294" t="s">
        <v>33</v>
      </c>
      <c r="E294">
        <v>3600000</v>
      </c>
      <c r="F294">
        <v>10700000</v>
      </c>
      <c r="G294">
        <v>16</v>
      </c>
      <c r="H294">
        <v>312</v>
      </c>
      <c r="I294">
        <v>2300000</v>
      </c>
      <c r="J294">
        <v>1600000</v>
      </c>
      <c r="K294">
        <v>13100000</v>
      </c>
      <c r="L294">
        <v>5200000</v>
      </c>
      <c r="M294" t="s">
        <v>35</v>
      </c>
      <c r="N294">
        <f t="shared" si="25"/>
        <v>0</v>
      </c>
      <c r="O294" t="str">
        <f t="shared" si="24"/>
        <v>Low</v>
      </c>
      <c r="P294" t="str">
        <f t="shared" si="26"/>
        <v>High</v>
      </c>
      <c r="Q294" t="str">
        <f t="shared" si="27"/>
        <v>Low Loan</v>
      </c>
      <c r="R294">
        <f t="shared" si="28"/>
        <v>22200000</v>
      </c>
      <c r="S294" t="str">
        <f t="shared" si="29"/>
        <v>Strong</v>
      </c>
    </row>
    <row r="295" spans="1:19" x14ac:dyDescent="0.25">
      <c r="A295">
        <v>294</v>
      </c>
      <c r="B295">
        <v>0</v>
      </c>
      <c r="C295" t="s">
        <v>31</v>
      </c>
      <c r="D295" t="s">
        <v>33</v>
      </c>
      <c r="E295">
        <v>2900000</v>
      </c>
      <c r="F295">
        <v>7600000</v>
      </c>
      <c r="G295">
        <v>8</v>
      </c>
      <c r="H295">
        <v>320</v>
      </c>
      <c r="I295">
        <v>8000000</v>
      </c>
      <c r="J295">
        <v>5600000</v>
      </c>
      <c r="K295">
        <v>9600000</v>
      </c>
      <c r="L295">
        <v>3100000</v>
      </c>
      <c r="M295" t="s">
        <v>35</v>
      </c>
      <c r="N295">
        <f t="shared" si="25"/>
        <v>0</v>
      </c>
      <c r="O295" t="str">
        <f t="shared" si="24"/>
        <v>Low</v>
      </c>
      <c r="P295" t="str">
        <f t="shared" si="26"/>
        <v>High</v>
      </c>
      <c r="Q295" t="str">
        <f t="shared" si="27"/>
        <v>Low Loan</v>
      </c>
      <c r="R295">
        <f t="shared" si="28"/>
        <v>26300000</v>
      </c>
      <c r="S295" t="str">
        <f t="shared" si="29"/>
        <v>Strong</v>
      </c>
    </row>
    <row r="296" spans="1:19" x14ac:dyDescent="0.25">
      <c r="A296">
        <v>295</v>
      </c>
      <c r="B296">
        <v>0</v>
      </c>
      <c r="C296" t="s">
        <v>30</v>
      </c>
      <c r="D296" t="s">
        <v>32</v>
      </c>
      <c r="E296">
        <v>8800000</v>
      </c>
      <c r="F296">
        <v>20200000</v>
      </c>
      <c r="G296">
        <v>4</v>
      </c>
      <c r="H296">
        <v>433</v>
      </c>
      <c r="I296">
        <v>16000000</v>
      </c>
      <c r="J296">
        <v>4200000</v>
      </c>
      <c r="K296">
        <v>30500000</v>
      </c>
      <c r="L296">
        <v>12400000</v>
      </c>
      <c r="M296" t="s">
        <v>35</v>
      </c>
      <c r="N296">
        <f t="shared" si="25"/>
        <v>0</v>
      </c>
      <c r="O296" t="str">
        <f t="shared" si="24"/>
        <v>Low</v>
      </c>
      <c r="P296" t="str">
        <f t="shared" si="26"/>
        <v>High</v>
      </c>
      <c r="Q296" t="str">
        <f t="shared" si="27"/>
        <v>High Loan</v>
      </c>
      <c r="R296">
        <f t="shared" si="28"/>
        <v>63100000</v>
      </c>
      <c r="S296" t="str">
        <f t="shared" si="29"/>
        <v>Strong</v>
      </c>
    </row>
    <row r="297" spans="1:19" x14ac:dyDescent="0.25">
      <c r="A297">
        <v>296</v>
      </c>
      <c r="B297">
        <v>1</v>
      </c>
      <c r="C297" t="s">
        <v>31</v>
      </c>
      <c r="D297" t="s">
        <v>33</v>
      </c>
      <c r="E297">
        <v>300000</v>
      </c>
      <c r="F297">
        <v>1000000</v>
      </c>
      <c r="G297">
        <v>10</v>
      </c>
      <c r="H297">
        <v>431</v>
      </c>
      <c r="I297">
        <v>400000</v>
      </c>
      <c r="J297">
        <v>500000</v>
      </c>
      <c r="K297">
        <v>900000</v>
      </c>
      <c r="L297">
        <v>100000</v>
      </c>
      <c r="M297" t="s">
        <v>35</v>
      </c>
      <c r="N297">
        <f t="shared" si="25"/>
        <v>0</v>
      </c>
      <c r="O297" t="str">
        <f t="shared" si="24"/>
        <v>Low</v>
      </c>
      <c r="P297" t="str">
        <f t="shared" si="26"/>
        <v>Middle</v>
      </c>
      <c r="Q297" t="str">
        <f t="shared" si="27"/>
        <v>Low Loan</v>
      </c>
      <c r="R297">
        <f t="shared" si="28"/>
        <v>1900000</v>
      </c>
      <c r="S297" t="str">
        <f t="shared" si="29"/>
        <v>Weak</v>
      </c>
    </row>
    <row r="298" spans="1:19" x14ac:dyDescent="0.25">
      <c r="A298">
        <v>297</v>
      </c>
      <c r="B298">
        <v>5</v>
      </c>
      <c r="C298" t="s">
        <v>31</v>
      </c>
      <c r="D298" t="s">
        <v>33</v>
      </c>
      <c r="E298">
        <v>8600000</v>
      </c>
      <c r="F298">
        <v>28900000</v>
      </c>
      <c r="G298">
        <v>8</v>
      </c>
      <c r="H298">
        <v>516</v>
      </c>
      <c r="I298">
        <v>9900000</v>
      </c>
      <c r="J298">
        <v>1800000</v>
      </c>
      <c r="K298">
        <v>30200000</v>
      </c>
      <c r="L298">
        <v>6800000</v>
      </c>
      <c r="M298" t="s">
        <v>35</v>
      </c>
      <c r="N298">
        <f t="shared" si="25"/>
        <v>0</v>
      </c>
      <c r="O298" t="str">
        <f t="shared" si="24"/>
        <v>Low</v>
      </c>
      <c r="P298" t="str">
        <f t="shared" si="26"/>
        <v>High</v>
      </c>
      <c r="Q298" t="str">
        <f t="shared" si="27"/>
        <v>High Loan</v>
      </c>
      <c r="R298">
        <f t="shared" si="28"/>
        <v>48700000</v>
      </c>
      <c r="S298" t="str">
        <f t="shared" si="29"/>
        <v>Strong</v>
      </c>
    </row>
    <row r="299" spans="1:19" x14ac:dyDescent="0.25">
      <c r="A299">
        <v>298</v>
      </c>
      <c r="B299">
        <v>2</v>
      </c>
      <c r="C299" t="s">
        <v>31</v>
      </c>
      <c r="D299" t="s">
        <v>33</v>
      </c>
      <c r="E299">
        <v>3500000</v>
      </c>
      <c r="F299">
        <v>12000000</v>
      </c>
      <c r="G299">
        <v>14</v>
      </c>
      <c r="H299">
        <v>476</v>
      </c>
      <c r="I299">
        <v>1100000</v>
      </c>
      <c r="J299">
        <v>6800000</v>
      </c>
      <c r="K299">
        <v>12400000</v>
      </c>
      <c r="L299">
        <v>2900000</v>
      </c>
      <c r="M299" t="s">
        <v>35</v>
      </c>
      <c r="N299">
        <f t="shared" si="25"/>
        <v>0</v>
      </c>
      <c r="O299" t="str">
        <f t="shared" si="24"/>
        <v>Low</v>
      </c>
      <c r="P299" t="str">
        <f t="shared" si="26"/>
        <v>High</v>
      </c>
      <c r="Q299" t="str">
        <f t="shared" si="27"/>
        <v>Low Loan</v>
      </c>
      <c r="R299">
        <f t="shared" si="28"/>
        <v>23200000</v>
      </c>
      <c r="S299" t="str">
        <f t="shared" si="29"/>
        <v>Strong</v>
      </c>
    </row>
    <row r="300" spans="1:19" x14ac:dyDescent="0.25">
      <c r="A300">
        <v>299</v>
      </c>
      <c r="B300">
        <v>5</v>
      </c>
      <c r="C300" t="s">
        <v>30</v>
      </c>
      <c r="D300" t="s">
        <v>32</v>
      </c>
      <c r="E300">
        <v>800000</v>
      </c>
      <c r="F300">
        <v>2600000</v>
      </c>
      <c r="G300">
        <v>6</v>
      </c>
      <c r="H300">
        <v>560</v>
      </c>
      <c r="I300">
        <v>100000</v>
      </c>
      <c r="J300">
        <v>200000</v>
      </c>
      <c r="K300">
        <v>3000000</v>
      </c>
      <c r="L300">
        <v>1000000</v>
      </c>
      <c r="M300" t="s">
        <v>34</v>
      </c>
      <c r="N300">
        <f t="shared" si="25"/>
        <v>1</v>
      </c>
      <c r="O300" t="str">
        <f t="shared" si="24"/>
        <v>Low</v>
      </c>
      <c r="P300" t="str">
        <f t="shared" si="26"/>
        <v>High</v>
      </c>
      <c r="Q300" t="str">
        <f t="shared" si="27"/>
        <v>Low Loan</v>
      </c>
      <c r="R300">
        <f t="shared" si="28"/>
        <v>4300000</v>
      </c>
      <c r="S300" t="str">
        <f t="shared" si="29"/>
        <v>Weak</v>
      </c>
    </row>
    <row r="301" spans="1:19" x14ac:dyDescent="0.25">
      <c r="A301">
        <v>300</v>
      </c>
      <c r="B301">
        <v>2</v>
      </c>
      <c r="C301" t="s">
        <v>30</v>
      </c>
      <c r="D301" t="s">
        <v>32</v>
      </c>
      <c r="E301">
        <v>8000000</v>
      </c>
      <c r="F301">
        <v>27100000</v>
      </c>
      <c r="G301">
        <v>12</v>
      </c>
      <c r="H301">
        <v>674</v>
      </c>
      <c r="I301">
        <v>14400000</v>
      </c>
      <c r="J301">
        <v>400000</v>
      </c>
      <c r="K301">
        <v>25300000</v>
      </c>
      <c r="L301">
        <v>6400000</v>
      </c>
      <c r="M301" t="s">
        <v>34</v>
      </c>
      <c r="N301">
        <f t="shared" si="25"/>
        <v>1</v>
      </c>
      <c r="O301" t="str">
        <f t="shared" si="24"/>
        <v>Medium</v>
      </c>
      <c r="P301" t="str">
        <f t="shared" si="26"/>
        <v>High</v>
      </c>
      <c r="Q301" t="str">
        <f t="shared" si="27"/>
        <v>High Loan</v>
      </c>
      <c r="R301">
        <f t="shared" si="28"/>
        <v>46500000</v>
      </c>
      <c r="S301" t="str">
        <f t="shared" si="29"/>
        <v>Strong</v>
      </c>
    </row>
    <row r="302" spans="1:19" x14ac:dyDescent="0.25">
      <c r="A302">
        <v>301</v>
      </c>
      <c r="B302">
        <v>0</v>
      </c>
      <c r="C302" t="s">
        <v>31</v>
      </c>
      <c r="D302" t="s">
        <v>33</v>
      </c>
      <c r="E302">
        <v>9900000</v>
      </c>
      <c r="F302">
        <v>38200000</v>
      </c>
      <c r="G302">
        <v>6</v>
      </c>
      <c r="H302">
        <v>573</v>
      </c>
      <c r="I302">
        <v>17200000</v>
      </c>
      <c r="J302">
        <v>10000000</v>
      </c>
      <c r="K302">
        <v>20100000</v>
      </c>
      <c r="L302">
        <v>5900000</v>
      </c>
      <c r="M302" t="s">
        <v>34</v>
      </c>
      <c r="N302">
        <f t="shared" si="25"/>
        <v>1</v>
      </c>
      <c r="O302" t="str">
        <f t="shared" si="24"/>
        <v>Low</v>
      </c>
      <c r="P302" t="str">
        <f t="shared" si="26"/>
        <v>High</v>
      </c>
      <c r="Q302" t="str">
        <f t="shared" si="27"/>
        <v>High Loan</v>
      </c>
      <c r="R302">
        <f t="shared" si="28"/>
        <v>53200000</v>
      </c>
      <c r="S302" t="str">
        <f t="shared" si="29"/>
        <v>Strong</v>
      </c>
    </row>
    <row r="303" spans="1:19" x14ac:dyDescent="0.25">
      <c r="A303">
        <v>302</v>
      </c>
      <c r="B303">
        <v>2</v>
      </c>
      <c r="C303" t="s">
        <v>31</v>
      </c>
      <c r="D303" t="s">
        <v>32</v>
      </c>
      <c r="E303">
        <v>3300000</v>
      </c>
      <c r="F303">
        <v>6600000</v>
      </c>
      <c r="G303">
        <v>6</v>
      </c>
      <c r="H303">
        <v>331</v>
      </c>
      <c r="I303">
        <v>6300000</v>
      </c>
      <c r="J303">
        <v>2000000</v>
      </c>
      <c r="K303">
        <v>8900000</v>
      </c>
      <c r="L303">
        <v>2700000</v>
      </c>
      <c r="M303" t="s">
        <v>35</v>
      </c>
      <c r="N303">
        <f t="shared" si="25"/>
        <v>0</v>
      </c>
      <c r="O303" t="str">
        <f t="shared" si="24"/>
        <v>Low</v>
      </c>
      <c r="P303" t="str">
        <f t="shared" si="26"/>
        <v>High</v>
      </c>
      <c r="Q303" t="str">
        <f t="shared" si="27"/>
        <v>Low Loan</v>
      </c>
      <c r="R303">
        <f t="shared" si="28"/>
        <v>19900000</v>
      </c>
      <c r="S303" t="str">
        <f t="shared" si="29"/>
        <v>Strong</v>
      </c>
    </row>
    <row r="304" spans="1:19" x14ac:dyDescent="0.25">
      <c r="A304">
        <v>303</v>
      </c>
      <c r="B304">
        <v>4</v>
      </c>
      <c r="C304" t="s">
        <v>30</v>
      </c>
      <c r="D304" t="s">
        <v>33</v>
      </c>
      <c r="E304">
        <v>2000000</v>
      </c>
      <c r="F304">
        <v>6700000</v>
      </c>
      <c r="G304">
        <v>12</v>
      </c>
      <c r="H304">
        <v>633</v>
      </c>
      <c r="I304">
        <v>100000</v>
      </c>
      <c r="J304">
        <v>800000</v>
      </c>
      <c r="K304">
        <v>4800000</v>
      </c>
      <c r="L304">
        <v>2000000</v>
      </c>
      <c r="M304" t="s">
        <v>34</v>
      </c>
      <c r="N304">
        <f t="shared" si="25"/>
        <v>1</v>
      </c>
      <c r="O304" t="str">
        <f t="shared" si="24"/>
        <v>Low</v>
      </c>
      <c r="P304" t="str">
        <f t="shared" si="26"/>
        <v>High</v>
      </c>
      <c r="Q304" t="str">
        <f t="shared" si="27"/>
        <v>Low Loan</v>
      </c>
      <c r="R304">
        <f t="shared" si="28"/>
        <v>7700000</v>
      </c>
      <c r="S304" t="str">
        <f t="shared" si="29"/>
        <v>Moderate</v>
      </c>
    </row>
    <row r="305" spans="1:19" x14ac:dyDescent="0.25">
      <c r="A305">
        <v>304</v>
      </c>
      <c r="B305">
        <v>3</v>
      </c>
      <c r="C305" t="s">
        <v>31</v>
      </c>
      <c r="D305" t="s">
        <v>32</v>
      </c>
      <c r="E305">
        <v>4900000</v>
      </c>
      <c r="F305">
        <v>12900000</v>
      </c>
      <c r="G305">
        <v>18</v>
      </c>
      <c r="H305">
        <v>877</v>
      </c>
      <c r="I305">
        <v>1800000</v>
      </c>
      <c r="J305">
        <v>7000000</v>
      </c>
      <c r="K305">
        <v>17900000</v>
      </c>
      <c r="L305">
        <v>3300000</v>
      </c>
      <c r="M305" t="s">
        <v>34</v>
      </c>
      <c r="N305">
        <f t="shared" si="25"/>
        <v>1</v>
      </c>
      <c r="O305" t="str">
        <f t="shared" si="24"/>
        <v>Excellent</v>
      </c>
      <c r="P305" t="str">
        <f t="shared" si="26"/>
        <v>High</v>
      </c>
      <c r="Q305" t="str">
        <f t="shared" si="27"/>
        <v>Low Loan</v>
      </c>
      <c r="R305">
        <f t="shared" si="28"/>
        <v>30000000</v>
      </c>
      <c r="S305" t="str">
        <f t="shared" si="29"/>
        <v>Strong</v>
      </c>
    </row>
    <row r="306" spans="1:19" x14ac:dyDescent="0.25">
      <c r="A306">
        <v>305</v>
      </c>
      <c r="B306">
        <v>5</v>
      </c>
      <c r="C306" t="s">
        <v>31</v>
      </c>
      <c r="D306" t="s">
        <v>33</v>
      </c>
      <c r="E306">
        <v>9200000</v>
      </c>
      <c r="F306">
        <v>23600000</v>
      </c>
      <c r="G306">
        <v>12</v>
      </c>
      <c r="H306">
        <v>656</v>
      </c>
      <c r="I306">
        <v>1400000</v>
      </c>
      <c r="J306">
        <v>11200000</v>
      </c>
      <c r="K306">
        <v>36400000</v>
      </c>
      <c r="L306">
        <v>4900000</v>
      </c>
      <c r="M306" t="s">
        <v>34</v>
      </c>
      <c r="N306">
        <f t="shared" si="25"/>
        <v>1</v>
      </c>
      <c r="O306" t="str">
        <f t="shared" si="24"/>
        <v>Medium</v>
      </c>
      <c r="P306" t="str">
        <f t="shared" si="26"/>
        <v>High</v>
      </c>
      <c r="Q306" t="str">
        <f t="shared" si="27"/>
        <v>High Loan</v>
      </c>
      <c r="R306">
        <f t="shared" si="28"/>
        <v>53900000</v>
      </c>
      <c r="S306" t="str">
        <f t="shared" si="29"/>
        <v>Strong</v>
      </c>
    </row>
    <row r="307" spans="1:19" x14ac:dyDescent="0.25">
      <c r="A307">
        <v>306</v>
      </c>
      <c r="B307">
        <v>0</v>
      </c>
      <c r="C307" t="s">
        <v>31</v>
      </c>
      <c r="D307" t="s">
        <v>32</v>
      </c>
      <c r="E307">
        <v>7500000</v>
      </c>
      <c r="F307">
        <v>18200000</v>
      </c>
      <c r="G307">
        <v>6</v>
      </c>
      <c r="H307">
        <v>782</v>
      </c>
      <c r="I307">
        <v>7400000</v>
      </c>
      <c r="J307">
        <v>12000000</v>
      </c>
      <c r="K307">
        <v>19800000</v>
      </c>
      <c r="L307">
        <v>4100000</v>
      </c>
      <c r="M307" t="s">
        <v>34</v>
      </c>
      <c r="N307">
        <f t="shared" si="25"/>
        <v>1</v>
      </c>
      <c r="O307" t="str">
        <f t="shared" si="24"/>
        <v>Excellent</v>
      </c>
      <c r="P307" t="str">
        <f t="shared" si="26"/>
        <v>High</v>
      </c>
      <c r="Q307" t="str">
        <f t="shared" si="27"/>
        <v>Low Loan</v>
      </c>
      <c r="R307">
        <f t="shared" si="28"/>
        <v>43300000</v>
      </c>
      <c r="S307" t="str">
        <f t="shared" si="29"/>
        <v>Strong</v>
      </c>
    </row>
    <row r="308" spans="1:19" x14ac:dyDescent="0.25">
      <c r="A308">
        <v>307</v>
      </c>
      <c r="B308">
        <v>5</v>
      </c>
      <c r="C308" t="s">
        <v>31</v>
      </c>
      <c r="D308" t="s">
        <v>32</v>
      </c>
      <c r="E308">
        <v>9000000</v>
      </c>
      <c r="F308">
        <v>29300000</v>
      </c>
      <c r="G308">
        <v>4</v>
      </c>
      <c r="H308">
        <v>531</v>
      </c>
      <c r="I308">
        <v>10400000</v>
      </c>
      <c r="J308">
        <v>9500000</v>
      </c>
      <c r="K308">
        <v>35500000</v>
      </c>
      <c r="L308">
        <v>5800000</v>
      </c>
      <c r="M308" t="s">
        <v>34</v>
      </c>
      <c r="N308">
        <f t="shared" si="25"/>
        <v>1</v>
      </c>
      <c r="O308" t="str">
        <f t="shared" si="24"/>
        <v>Low</v>
      </c>
      <c r="P308" t="str">
        <f t="shared" si="26"/>
        <v>High</v>
      </c>
      <c r="Q308" t="str">
        <f t="shared" si="27"/>
        <v>High Loan</v>
      </c>
      <c r="R308">
        <f t="shared" si="28"/>
        <v>61200000</v>
      </c>
      <c r="S308" t="str">
        <f t="shared" si="29"/>
        <v>Strong</v>
      </c>
    </row>
    <row r="309" spans="1:19" x14ac:dyDescent="0.25">
      <c r="A309">
        <v>308</v>
      </c>
      <c r="B309">
        <v>3</v>
      </c>
      <c r="C309" t="s">
        <v>31</v>
      </c>
      <c r="D309" t="s">
        <v>32</v>
      </c>
      <c r="E309">
        <v>1400000</v>
      </c>
      <c r="F309">
        <v>4100000</v>
      </c>
      <c r="G309">
        <v>8</v>
      </c>
      <c r="H309">
        <v>455</v>
      </c>
      <c r="I309">
        <v>3000000</v>
      </c>
      <c r="J309">
        <v>1400000</v>
      </c>
      <c r="K309">
        <v>2900000</v>
      </c>
      <c r="L309">
        <v>2100000</v>
      </c>
      <c r="M309" t="s">
        <v>35</v>
      </c>
      <c r="N309">
        <f t="shared" si="25"/>
        <v>0</v>
      </c>
      <c r="O309" t="str">
        <f t="shared" si="24"/>
        <v>Low</v>
      </c>
      <c r="P309" t="str">
        <f t="shared" si="26"/>
        <v>High</v>
      </c>
      <c r="Q309" t="str">
        <f t="shared" si="27"/>
        <v>Low Loan</v>
      </c>
      <c r="R309">
        <f t="shared" si="28"/>
        <v>9400000</v>
      </c>
      <c r="S309" t="str">
        <f t="shared" si="29"/>
        <v>Moderate</v>
      </c>
    </row>
    <row r="310" spans="1:19" x14ac:dyDescent="0.25">
      <c r="A310">
        <v>309</v>
      </c>
      <c r="B310">
        <v>3</v>
      </c>
      <c r="C310" t="s">
        <v>30</v>
      </c>
      <c r="D310" t="s">
        <v>32</v>
      </c>
      <c r="E310">
        <v>9600000</v>
      </c>
      <c r="F310">
        <v>19900000</v>
      </c>
      <c r="G310">
        <v>14</v>
      </c>
      <c r="H310">
        <v>452</v>
      </c>
      <c r="I310">
        <v>4200000</v>
      </c>
      <c r="J310">
        <v>16200000</v>
      </c>
      <c r="K310">
        <v>28500000</v>
      </c>
      <c r="L310">
        <v>6600000</v>
      </c>
      <c r="M310" t="s">
        <v>35</v>
      </c>
      <c r="N310">
        <f t="shared" si="25"/>
        <v>0</v>
      </c>
      <c r="O310" t="str">
        <f t="shared" si="24"/>
        <v>Low</v>
      </c>
      <c r="P310" t="str">
        <f t="shared" si="26"/>
        <v>High</v>
      </c>
      <c r="Q310" t="str">
        <f t="shared" si="27"/>
        <v>Low Loan</v>
      </c>
      <c r="R310">
        <f t="shared" si="28"/>
        <v>55500000</v>
      </c>
      <c r="S310" t="str">
        <f t="shared" si="29"/>
        <v>Strong</v>
      </c>
    </row>
    <row r="311" spans="1:19" x14ac:dyDescent="0.25">
      <c r="A311">
        <v>310</v>
      </c>
      <c r="B311">
        <v>2</v>
      </c>
      <c r="C311" t="s">
        <v>30</v>
      </c>
      <c r="D311" t="s">
        <v>32</v>
      </c>
      <c r="E311">
        <v>8400000</v>
      </c>
      <c r="F311">
        <v>33200000</v>
      </c>
      <c r="G311">
        <v>14</v>
      </c>
      <c r="H311">
        <v>474</v>
      </c>
      <c r="I311">
        <v>19600000</v>
      </c>
      <c r="J311">
        <v>15000000</v>
      </c>
      <c r="K311">
        <v>25400000</v>
      </c>
      <c r="L311">
        <v>11500000</v>
      </c>
      <c r="M311" t="s">
        <v>35</v>
      </c>
      <c r="N311">
        <f t="shared" si="25"/>
        <v>0</v>
      </c>
      <c r="O311" t="str">
        <f t="shared" si="24"/>
        <v>Low</v>
      </c>
      <c r="P311" t="str">
        <f t="shared" si="26"/>
        <v>High</v>
      </c>
      <c r="Q311" t="str">
        <f t="shared" si="27"/>
        <v>High Loan</v>
      </c>
      <c r="R311">
        <f t="shared" si="28"/>
        <v>71500000</v>
      </c>
      <c r="S311" t="str">
        <f t="shared" si="29"/>
        <v>Strong</v>
      </c>
    </row>
    <row r="312" spans="1:19" x14ac:dyDescent="0.25">
      <c r="A312">
        <v>311</v>
      </c>
      <c r="B312">
        <v>3</v>
      </c>
      <c r="C312" t="s">
        <v>31</v>
      </c>
      <c r="D312" t="s">
        <v>32</v>
      </c>
      <c r="E312">
        <v>6400000</v>
      </c>
      <c r="F312">
        <v>24400000</v>
      </c>
      <c r="G312">
        <v>4</v>
      </c>
      <c r="H312">
        <v>483</v>
      </c>
      <c r="I312">
        <v>7800000</v>
      </c>
      <c r="J312">
        <v>2400000</v>
      </c>
      <c r="K312">
        <v>19100000</v>
      </c>
      <c r="L312">
        <v>4500000</v>
      </c>
      <c r="M312" t="s">
        <v>34</v>
      </c>
      <c r="N312">
        <f t="shared" si="25"/>
        <v>1</v>
      </c>
      <c r="O312" t="str">
        <f t="shared" si="24"/>
        <v>Low</v>
      </c>
      <c r="P312" t="str">
        <f t="shared" si="26"/>
        <v>High</v>
      </c>
      <c r="Q312" t="str">
        <f t="shared" si="27"/>
        <v>High Loan</v>
      </c>
      <c r="R312">
        <f t="shared" si="28"/>
        <v>33800000</v>
      </c>
      <c r="S312" t="str">
        <f t="shared" si="29"/>
        <v>Strong</v>
      </c>
    </row>
    <row r="313" spans="1:19" x14ac:dyDescent="0.25">
      <c r="A313">
        <v>312</v>
      </c>
      <c r="B313">
        <v>4</v>
      </c>
      <c r="C313" t="s">
        <v>30</v>
      </c>
      <c r="D313" t="s">
        <v>32</v>
      </c>
      <c r="E313">
        <v>5900000</v>
      </c>
      <c r="F313">
        <v>16800000</v>
      </c>
      <c r="G313">
        <v>8</v>
      </c>
      <c r="H313">
        <v>481</v>
      </c>
      <c r="I313">
        <v>6900000</v>
      </c>
      <c r="J313">
        <v>11400000</v>
      </c>
      <c r="K313">
        <v>19500000</v>
      </c>
      <c r="L313">
        <v>3300000</v>
      </c>
      <c r="M313" t="s">
        <v>35</v>
      </c>
      <c r="N313">
        <f t="shared" si="25"/>
        <v>0</v>
      </c>
      <c r="O313" t="str">
        <f t="shared" si="24"/>
        <v>Low</v>
      </c>
      <c r="P313" t="str">
        <f t="shared" si="26"/>
        <v>High</v>
      </c>
      <c r="Q313" t="str">
        <f t="shared" si="27"/>
        <v>Low Loan</v>
      </c>
      <c r="R313">
        <f t="shared" si="28"/>
        <v>41100000</v>
      </c>
      <c r="S313" t="str">
        <f t="shared" si="29"/>
        <v>Strong</v>
      </c>
    </row>
    <row r="314" spans="1:19" x14ac:dyDescent="0.25">
      <c r="A314">
        <v>313</v>
      </c>
      <c r="B314">
        <v>2</v>
      </c>
      <c r="C314" t="s">
        <v>30</v>
      </c>
      <c r="D314" t="s">
        <v>33</v>
      </c>
      <c r="E314">
        <v>2200000</v>
      </c>
      <c r="F314">
        <v>5100000</v>
      </c>
      <c r="G314">
        <v>20</v>
      </c>
      <c r="H314">
        <v>859</v>
      </c>
      <c r="I314">
        <v>3800000</v>
      </c>
      <c r="J314">
        <v>1200000</v>
      </c>
      <c r="K314">
        <v>6400000</v>
      </c>
      <c r="L314">
        <v>3100000</v>
      </c>
      <c r="M314" t="s">
        <v>34</v>
      </c>
      <c r="N314">
        <f t="shared" si="25"/>
        <v>1</v>
      </c>
      <c r="O314" t="str">
        <f t="shared" si="24"/>
        <v>Excellent</v>
      </c>
      <c r="P314" t="str">
        <f t="shared" si="26"/>
        <v>High</v>
      </c>
      <c r="Q314" t="str">
        <f t="shared" si="27"/>
        <v>Low Loan</v>
      </c>
      <c r="R314">
        <f t="shared" si="28"/>
        <v>14500000</v>
      </c>
      <c r="S314" t="str">
        <f t="shared" si="29"/>
        <v>Strong</v>
      </c>
    </row>
    <row r="315" spans="1:19" x14ac:dyDescent="0.25">
      <c r="A315">
        <v>314</v>
      </c>
      <c r="B315">
        <v>4</v>
      </c>
      <c r="C315" t="s">
        <v>30</v>
      </c>
      <c r="D315" t="s">
        <v>33</v>
      </c>
      <c r="E315">
        <v>5600000</v>
      </c>
      <c r="F315">
        <v>14100000</v>
      </c>
      <c r="G315">
        <v>14</v>
      </c>
      <c r="H315">
        <v>696</v>
      </c>
      <c r="I315">
        <v>9000000</v>
      </c>
      <c r="J315">
        <v>9200000</v>
      </c>
      <c r="K315">
        <v>16500000</v>
      </c>
      <c r="L315">
        <v>6800000</v>
      </c>
      <c r="M315" t="s">
        <v>34</v>
      </c>
      <c r="N315">
        <f t="shared" si="25"/>
        <v>1</v>
      </c>
      <c r="O315" t="str">
        <f t="shared" si="24"/>
        <v>Medium</v>
      </c>
      <c r="P315" t="str">
        <f t="shared" si="26"/>
        <v>High</v>
      </c>
      <c r="Q315" t="str">
        <f t="shared" si="27"/>
        <v>Low Loan</v>
      </c>
      <c r="R315">
        <f t="shared" si="28"/>
        <v>41500000</v>
      </c>
      <c r="S315" t="str">
        <f t="shared" si="29"/>
        <v>Strong</v>
      </c>
    </row>
    <row r="316" spans="1:19" x14ac:dyDescent="0.25">
      <c r="A316">
        <v>315</v>
      </c>
      <c r="B316">
        <v>4</v>
      </c>
      <c r="C316" t="s">
        <v>31</v>
      </c>
      <c r="D316" t="s">
        <v>32</v>
      </c>
      <c r="E316">
        <v>9800000</v>
      </c>
      <c r="F316">
        <v>28700000</v>
      </c>
      <c r="G316">
        <v>6</v>
      </c>
      <c r="H316">
        <v>778</v>
      </c>
      <c r="I316">
        <v>16600000</v>
      </c>
      <c r="J316">
        <v>7400000</v>
      </c>
      <c r="K316">
        <v>29700000</v>
      </c>
      <c r="L316">
        <v>11100000</v>
      </c>
      <c r="M316" t="s">
        <v>34</v>
      </c>
      <c r="N316">
        <f t="shared" si="25"/>
        <v>1</v>
      </c>
      <c r="O316" t="str">
        <f t="shared" si="24"/>
        <v>Excellent</v>
      </c>
      <c r="P316" t="str">
        <f t="shared" si="26"/>
        <v>High</v>
      </c>
      <c r="Q316" t="str">
        <f t="shared" si="27"/>
        <v>High Loan</v>
      </c>
      <c r="R316">
        <f t="shared" si="28"/>
        <v>64800000</v>
      </c>
      <c r="S316" t="str">
        <f t="shared" si="29"/>
        <v>Strong</v>
      </c>
    </row>
    <row r="317" spans="1:19" x14ac:dyDescent="0.25">
      <c r="A317">
        <v>316</v>
      </c>
      <c r="B317">
        <v>4</v>
      </c>
      <c r="C317" t="s">
        <v>30</v>
      </c>
      <c r="D317" t="s">
        <v>32</v>
      </c>
      <c r="E317">
        <v>4400000</v>
      </c>
      <c r="F317">
        <v>14600000</v>
      </c>
      <c r="G317">
        <v>4</v>
      </c>
      <c r="H317">
        <v>499</v>
      </c>
      <c r="I317">
        <v>1300000</v>
      </c>
      <c r="J317">
        <v>6500000</v>
      </c>
      <c r="K317">
        <v>16100000</v>
      </c>
      <c r="L317">
        <v>5700000</v>
      </c>
      <c r="M317" t="s">
        <v>34</v>
      </c>
      <c r="N317">
        <f t="shared" si="25"/>
        <v>1</v>
      </c>
      <c r="O317" t="str">
        <f t="shared" si="24"/>
        <v>Low</v>
      </c>
      <c r="P317" t="str">
        <f t="shared" si="26"/>
        <v>High</v>
      </c>
      <c r="Q317" t="str">
        <f t="shared" si="27"/>
        <v>Low Loan</v>
      </c>
      <c r="R317">
        <f t="shared" si="28"/>
        <v>29600000</v>
      </c>
      <c r="S317" t="str">
        <f t="shared" si="29"/>
        <v>Strong</v>
      </c>
    </row>
    <row r="318" spans="1:19" x14ac:dyDescent="0.25">
      <c r="A318">
        <v>317</v>
      </c>
      <c r="B318">
        <v>2</v>
      </c>
      <c r="C318" t="s">
        <v>31</v>
      </c>
      <c r="D318" t="s">
        <v>33</v>
      </c>
      <c r="E318">
        <v>2400000</v>
      </c>
      <c r="F318">
        <v>4900000</v>
      </c>
      <c r="G318">
        <v>4</v>
      </c>
      <c r="H318">
        <v>888</v>
      </c>
      <c r="I318">
        <v>6400000</v>
      </c>
      <c r="J318">
        <v>4300000</v>
      </c>
      <c r="K318">
        <v>5100000</v>
      </c>
      <c r="L318">
        <v>3400000</v>
      </c>
      <c r="M318" t="s">
        <v>34</v>
      </c>
      <c r="N318">
        <f t="shared" si="25"/>
        <v>1</v>
      </c>
      <c r="O318" t="str">
        <f t="shared" si="24"/>
        <v>Excellent</v>
      </c>
      <c r="P318" t="str">
        <f t="shared" si="26"/>
        <v>High</v>
      </c>
      <c r="Q318" t="str">
        <f t="shared" si="27"/>
        <v>Low Loan</v>
      </c>
      <c r="R318">
        <f t="shared" si="28"/>
        <v>19200000</v>
      </c>
      <c r="S318" t="str">
        <f t="shared" si="29"/>
        <v>Strong</v>
      </c>
    </row>
    <row r="319" spans="1:19" x14ac:dyDescent="0.25">
      <c r="A319">
        <v>318</v>
      </c>
      <c r="B319">
        <v>1</v>
      </c>
      <c r="C319" t="s">
        <v>30</v>
      </c>
      <c r="D319" t="s">
        <v>32</v>
      </c>
      <c r="E319">
        <v>4400000</v>
      </c>
      <c r="F319">
        <v>10800000</v>
      </c>
      <c r="G319">
        <v>12</v>
      </c>
      <c r="H319">
        <v>674</v>
      </c>
      <c r="I319">
        <v>9600000</v>
      </c>
      <c r="J319">
        <v>2700000</v>
      </c>
      <c r="K319">
        <v>17200000</v>
      </c>
      <c r="L319">
        <v>5300000</v>
      </c>
      <c r="M319" t="s">
        <v>34</v>
      </c>
      <c r="N319">
        <f t="shared" si="25"/>
        <v>1</v>
      </c>
      <c r="O319" t="str">
        <f t="shared" si="24"/>
        <v>Medium</v>
      </c>
      <c r="P319" t="str">
        <f t="shared" si="26"/>
        <v>High</v>
      </c>
      <c r="Q319" t="str">
        <f t="shared" si="27"/>
        <v>Low Loan</v>
      </c>
      <c r="R319">
        <f t="shared" si="28"/>
        <v>34800000</v>
      </c>
      <c r="S319" t="str">
        <f t="shared" si="29"/>
        <v>Strong</v>
      </c>
    </row>
    <row r="320" spans="1:19" x14ac:dyDescent="0.25">
      <c r="A320">
        <v>319</v>
      </c>
      <c r="B320">
        <v>4</v>
      </c>
      <c r="C320" t="s">
        <v>30</v>
      </c>
      <c r="D320" t="s">
        <v>32</v>
      </c>
      <c r="E320">
        <v>3700000</v>
      </c>
      <c r="F320">
        <v>13200000</v>
      </c>
      <c r="G320">
        <v>4</v>
      </c>
      <c r="H320">
        <v>802</v>
      </c>
      <c r="I320">
        <v>9800000</v>
      </c>
      <c r="J320">
        <v>2400000</v>
      </c>
      <c r="K320">
        <v>12500000</v>
      </c>
      <c r="L320">
        <v>4300000</v>
      </c>
      <c r="M320" t="s">
        <v>34</v>
      </c>
      <c r="N320">
        <f t="shared" si="25"/>
        <v>1</v>
      </c>
      <c r="O320" t="str">
        <f t="shared" si="24"/>
        <v>Excellent</v>
      </c>
      <c r="P320" t="str">
        <f t="shared" si="26"/>
        <v>High</v>
      </c>
      <c r="Q320" t="str">
        <f t="shared" si="27"/>
        <v>Low Loan</v>
      </c>
      <c r="R320">
        <f t="shared" si="28"/>
        <v>29000000</v>
      </c>
      <c r="S320" t="str">
        <f t="shared" si="29"/>
        <v>Strong</v>
      </c>
    </row>
    <row r="321" spans="1:19" x14ac:dyDescent="0.25">
      <c r="A321">
        <v>320</v>
      </c>
      <c r="B321">
        <v>4</v>
      </c>
      <c r="C321" t="s">
        <v>31</v>
      </c>
      <c r="D321" t="s">
        <v>33</v>
      </c>
      <c r="E321">
        <v>2300000</v>
      </c>
      <c r="F321">
        <v>7800000</v>
      </c>
      <c r="G321">
        <v>8</v>
      </c>
      <c r="H321">
        <v>540</v>
      </c>
      <c r="I321">
        <v>1500000</v>
      </c>
      <c r="J321">
        <v>3400000</v>
      </c>
      <c r="K321">
        <v>4700000</v>
      </c>
      <c r="L321">
        <v>2800000</v>
      </c>
      <c r="M321" t="s">
        <v>35</v>
      </c>
      <c r="N321">
        <f t="shared" si="25"/>
        <v>0</v>
      </c>
      <c r="O321" t="str">
        <f t="shared" si="24"/>
        <v>Low</v>
      </c>
      <c r="P321" t="str">
        <f t="shared" si="26"/>
        <v>High</v>
      </c>
      <c r="Q321" t="str">
        <f t="shared" si="27"/>
        <v>Low Loan</v>
      </c>
      <c r="R321">
        <f t="shared" si="28"/>
        <v>12400000</v>
      </c>
      <c r="S321" t="str">
        <f t="shared" si="29"/>
        <v>Strong</v>
      </c>
    </row>
    <row r="322" spans="1:19" x14ac:dyDescent="0.25">
      <c r="A322">
        <v>321</v>
      </c>
      <c r="B322">
        <v>4</v>
      </c>
      <c r="C322" t="s">
        <v>30</v>
      </c>
      <c r="D322" t="s">
        <v>33</v>
      </c>
      <c r="E322">
        <v>5900000</v>
      </c>
      <c r="F322">
        <v>19600000</v>
      </c>
      <c r="G322">
        <v>8</v>
      </c>
      <c r="H322">
        <v>726</v>
      </c>
      <c r="I322">
        <v>17400000</v>
      </c>
      <c r="J322">
        <v>6800000</v>
      </c>
      <c r="K322">
        <v>20100000</v>
      </c>
      <c r="L322">
        <v>8000000</v>
      </c>
      <c r="M322" t="s">
        <v>34</v>
      </c>
      <c r="N322">
        <f t="shared" si="25"/>
        <v>1</v>
      </c>
      <c r="O322" t="str">
        <f t="shared" ref="O322:O385" si="30">IF(H322&lt;650,"Low",
 IF(H322&lt;700,"Medium",
 IF(H322&lt;750,"Good","Excellent")))</f>
        <v>Good</v>
      </c>
      <c r="P322" t="str">
        <f t="shared" si="26"/>
        <v>High</v>
      </c>
      <c r="Q322" t="str">
        <f t="shared" si="27"/>
        <v>Low Loan</v>
      </c>
      <c r="R322">
        <f t="shared" si="28"/>
        <v>52300000</v>
      </c>
      <c r="S322" t="str">
        <f t="shared" si="29"/>
        <v>Strong</v>
      </c>
    </row>
    <row r="323" spans="1:19" x14ac:dyDescent="0.25">
      <c r="A323">
        <v>322</v>
      </c>
      <c r="B323">
        <v>4</v>
      </c>
      <c r="C323" t="s">
        <v>31</v>
      </c>
      <c r="D323" t="s">
        <v>33</v>
      </c>
      <c r="E323">
        <v>6400000</v>
      </c>
      <c r="F323">
        <v>23500000</v>
      </c>
      <c r="G323">
        <v>2</v>
      </c>
      <c r="H323">
        <v>485</v>
      </c>
      <c r="I323">
        <v>7300000</v>
      </c>
      <c r="J323">
        <v>2700000</v>
      </c>
      <c r="K323">
        <v>23600000</v>
      </c>
      <c r="L323">
        <v>3900000</v>
      </c>
      <c r="M323" t="s">
        <v>34</v>
      </c>
      <c r="N323">
        <f t="shared" ref="N323:N386" si="31">IF(TRIM(CLEAN(M323))="Approved",1,0)</f>
        <v>1</v>
      </c>
      <c r="O323" t="str">
        <f t="shared" si="30"/>
        <v>Low</v>
      </c>
      <c r="P323" t="str">
        <f t="shared" ref="P323:P386" si="32">IF(E323&lt;300000,"Low",
 IF(E323&lt;700000,"Middle","High"))</f>
        <v>High</v>
      </c>
      <c r="Q323" t="str">
        <f t="shared" ref="Q323:Q386" si="33">IF(F323&lt;20000000,"Low Loan","High Loan")</f>
        <v>High Loan</v>
      </c>
      <c r="R323">
        <f t="shared" ref="R323:R386" si="34">I323+J323+K323+L323</f>
        <v>37500000</v>
      </c>
      <c r="S323" t="str">
        <f t="shared" ref="S323:S386" si="35">IF(R323&lt;5000000,"Weak",
 IF(R323&lt;10000000,"Moderate","Strong"))</f>
        <v>Strong</v>
      </c>
    </row>
    <row r="324" spans="1:19" x14ac:dyDescent="0.25">
      <c r="A324">
        <v>323</v>
      </c>
      <c r="B324">
        <v>4</v>
      </c>
      <c r="C324" t="s">
        <v>30</v>
      </c>
      <c r="D324" t="s">
        <v>33</v>
      </c>
      <c r="E324">
        <v>4900000</v>
      </c>
      <c r="F324">
        <v>17100000</v>
      </c>
      <c r="G324">
        <v>6</v>
      </c>
      <c r="H324">
        <v>612</v>
      </c>
      <c r="I324">
        <v>1300000</v>
      </c>
      <c r="J324">
        <v>7000000</v>
      </c>
      <c r="K324">
        <v>19500000</v>
      </c>
      <c r="L324">
        <v>5000000</v>
      </c>
      <c r="M324" t="s">
        <v>34</v>
      </c>
      <c r="N324">
        <f t="shared" si="31"/>
        <v>1</v>
      </c>
      <c r="O324" t="str">
        <f t="shared" si="30"/>
        <v>Low</v>
      </c>
      <c r="P324" t="str">
        <f t="shared" si="32"/>
        <v>High</v>
      </c>
      <c r="Q324" t="str">
        <f t="shared" si="33"/>
        <v>Low Loan</v>
      </c>
      <c r="R324">
        <f t="shared" si="34"/>
        <v>32800000</v>
      </c>
      <c r="S324" t="str">
        <f t="shared" si="35"/>
        <v>Strong</v>
      </c>
    </row>
    <row r="325" spans="1:19" x14ac:dyDescent="0.25">
      <c r="A325">
        <v>324</v>
      </c>
      <c r="B325">
        <v>3</v>
      </c>
      <c r="C325" t="s">
        <v>31</v>
      </c>
      <c r="D325" t="s">
        <v>33</v>
      </c>
      <c r="E325">
        <v>9500000</v>
      </c>
      <c r="F325">
        <v>24200000</v>
      </c>
      <c r="G325">
        <v>8</v>
      </c>
      <c r="H325">
        <v>879</v>
      </c>
      <c r="I325">
        <v>3100000</v>
      </c>
      <c r="J325">
        <v>17200000</v>
      </c>
      <c r="K325">
        <v>26400000</v>
      </c>
      <c r="L325">
        <v>12700000</v>
      </c>
      <c r="M325" t="s">
        <v>34</v>
      </c>
      <c r="N325">
        <f t="shared" si="31"/>
        <v>1</v>
      </c>
      <c r="O325" t="str">
        <f t="shared" si="30"/>
        <v>Excellent</v>
      </c>
      <c r="P325" t="str">
        <f t="shared" si="32"/>
        <v>High</v>
      </c>
      <c r="Q325" t="str">
        <f t="shared" si="33"/>
        <v>High Loan</v>
      </c>
      <c r="R325">
        <f t="shared" si="34"/>
        <v>59400000</v>
      </c>
      <c r="S325" t="str">
        <f t="shared" si="35"/>
        <v>Strong</v>
      </c>
    </row>
    <row r="326" spans="1:19" x14ac:dyDescent="0.25">
      <c r="A326">
        <v>325</v>
      </c>
      <c r="B326">
        <v>2</v>
      </c>
      <c r="C326" t="s">
        <v>31</v>
      </c>
      <c r="D326" t="s">
        <v>32</v>
      </c>
      <c r="E326">
        <v>5700000</v>
      </c>
      <c r="F326">
        <v>16400000</v>
      </c>
      <c r="G326">
        <v>12</v>
      </c>
      <c r="H326">
        <v>708</v>
      </c>
      <c r="I326">
        <v>3700000</v>
      </c>
      <c r="J326">
        <v>800000</v>
      </c>
      <c r="K326">
        <v>15000000</v>
      </c>
      <c r="L326">
        <v>4400000</v>
      </c>
      <c r="M326" t="s">
        <v>34</v>
      </c>
      <c r="N326">
        <f t="shared" si="31"/>
        <v>1</v>
      </c>
      <c r="O326" t="str">
        <f t="shared" si="30"/>
        <v>Good</v>
      </c>
      <c r="P326" t="str">
        <f t="shared" si="32"/>
        <v>High</v>
      </c>
      <c r="Q326" t="str">
        <f t="shared" si="33"/>
        <v>Low Loan</v>
      </c>
      <c r="R326">
        <f t="shared" si="34"/>
        <v>23900000</v>
      </c>
      <c r="S326" t="str">
        <f t="shared" si="35"/>
        <v>Strong</v>
      </c>
    </row>
    <row r="327" spans="1:19" x14ac:dyDescent="0.25">
      <c r="A327">
        <v>326</v>
      </c>
      <c r="B327">
        <v>2</v>
      </c>
      <c r="C327" t="s">
        <v>31</v>
      </c>
      <c r="D327" t="s">
        <v>33</v>
      </c>
      <c r="E327">
        <v>2700000</v>
      </c>
      <c r="F327">
        <v>5700000</v>
      </c>
      <c r="G327">
        <v>8</v>
      </c>
      <c r="H327">
        <v>850</v>
      </c>
      <c r="I327">
        <v>3500000</v>
      </c>
      <c r="J327">
        <v>5000000</v>
      </c>
      <c r="K327">
        <v>10500000</v>
      </c>
      <c r="L327">
        <v>3900000</v>
      </c>
      <c r="M327" t="s">
        <v>34</v>
      </c>
      <c r="N327">
        <f t="shared" si="31"/>
        <v>1</v>
      </c>
      <c r="O327" t="str">
        <f t="shared" si="30"/>
        <v>Excellent</v>
      </c>
      <c r="P327" t="str">
        <f t="shared" si="32"/>
        <v>High</v>
      </c>
      <c r="Q327" t="str">
        <f t="shared" si="33"/>
        <v>Low Loan</v>
      </c>
      <c r="R327">
        <f t="shared" si="34"/>
        <v>22900000</v>
      </c>
      <c r="S327" t="str">
        <f t="shared" si="35"/>
        <v>Strong</v>
      </c>
    </row>
    <row r="328" spans="1:19" x14ac:dyDescent="0.25">
      <c r="A328">
        <v>327</v>
      </c>
      <c r="B328">
        <v>2</v>
      </c>
      <c r="C328" t="s">
        <v>31</v>
      </c>
      <c r="D328" t="s">
        <v>33</v>
      </c>
      <c r="E328">
        <v>3900000</v>
      </c>
      <c r="F328">
        <v>11300000</v>
      </c>
      <c r="G328">
        <v>12</v>
      </c>
      <c r="H328">
        <v>516</v>
      </c>
      <c r="I328">
        <v>3100000</v>
      </c>
      <c r="J328">
        <v>0</v>
      </c>
      <c r="K328">
        <v>10400000</v>
      </c>
      <c r="L328">
        <v>4600000</v>
      </c>
      <c r="M328" t="s">
        <v>35</v>
      </c>
      <c r="N328">
        <f t="shared" si="31"/>
        <v>0</v>
      </c>
      <c r="O328" t="str">
        <f t="shared" si="30"/>
        <v>Low</v>
      </c>
      <c r="P328" t="str">
        <f t="shared" si="32"/>
        <v>High</v>
      </c>
      <c r="Q328" t="str">
        <f t="shared" si="33"/>
        <v>Low Loan</v>
      </c>
      <c r="R328">
        <f t="shared" si="34"/>
        <v>18100000</v>
      </c>
      <c r="S328" t="str">
        <f t="shared" si="35"/>
        <v>Strong</v>
      </c>
    </row>
    <row r="329" spans="1:19" x14ac:dyDescent="0.25">
      <c r="A329">
        <v>328</v>
      </c>
      <c r="B329">
        <v>0</v>
      </c>
      <c r="C329" t="s">
        <v>31</v>
      </c>
      <c r="D329" t="s">
        <v>32</v>
      </c>
      <c r="E329">
        <v>7800000</v>
      </c>
      <c r="F329">
        <v>28800000</v>
      </c>
      <c r="G329">
        <v>12</v>
      </c>
      <c r="H329">
        <v>465</v>
      </c>
      <c r="I329">
        <v>4700000</v>
      </c>
      <c r="J329">
        <v>7500000</v>
      </c>
      <c r="K329">
        <v>28800000</v>
      </c>
      <c r="L329">
        <v>7400000</v>
      </c>
      <c r="M329" t="s">
        <v>35</v>
      </c>
      <c r="N329">
        <f t="shared" si="31"/>
        <v>0</v>
      </c>
      <c r="O329" t="str">
        <f t="shared" si="30"/>
        <v>Low</v>
      </c>
      <c r="P329" t="str">
        <f t="shared" si="32"/>
        <v>High</v>
      </c>
      <c r="Q329" t="str">
        <f t="shared" si="33"/>
        <v>High Loan</v>
      </c>
      <c r="R329">
        <f t="shared" si="34"/>
        <v>48400000</v>
      </c>
      <c r="S329" t="str">
        <f t="shared" si="35"/>
        <v>Strong</v>
      </c>
    </row>
    <row r="330" spans="1:19" x14ac:dyDescent="0.25">
      <c r="A330">
        <v>329</v>
      </c>
      <c r="B330">
        <v>0</v>
      </c>
      <c r="C330" t="s">
        <v>30</v>
      </c>
      <c r="D330" t="s">
        <v>32</v>
      </c>
      <c r="E330">
        <v>1100000</v>
      </c>
      <c r="F330">
        <v>3200000</v>
      </c>
      <c r="G330">
        <v>20</v>
      </c>
      <c r="H330">
        <v>716</v>
      </c>
      <c r="I330">
        <v>1800000</v>
      </c>
      <c r="J330">
        <v>1400000</v>
      </c>
      <c r="K330">
        <v>3600000</v>
      </c>
      <c r="L330">
        <v>1500000</v>
      </c>
      <c r="M330" t="s">
        <v>34</v>
      </c>
      <c r="N330">
        <f t="shared" si="31"/>
        <v>1</v>
      </c>
      <c r="O330" t="str">
        <f t="shared" si="30"/>
        <v>Good</v>
      </c>
      <c r="P330" t="str">
        <f t="shared" si="32"/>
        <v>High</v>
      </c>
      <c r="Q330" t="str">
        <f t="shared" si="33"/>
        <v>Low Loan</v>
      </c>
      <c r="R330">
        <f t="shared" si="34"/>
        <v>8300000</v>
      </c>
      <c r="S330" t="str">
        <f t="shared" si="35"/>
        <v>Moderate</v>
      </c>
    </row>
    <row r="331" spans="1:19" x14ac:dyDescent="0.25">
      <c r="A331">
        <v>330</v>
      </c>
      <c r="B331">
        <v>4</v>
      </c>
      <c r="C331" t="s">
        <v>31</v>
      </c>
      <c r="D331" t="s">
        <v>32</v>
      </c>
      <c r="E331">
        <v>200000</v>
      </c>
      <c r="F331">
        <v>600000</v>
      </c>
      <c r="G331">
        <v>10</v>
      </c>
      <c r="H331">
        <v>404</v>
      </c>
      <c r="I331">
        <v>0</v>
      </c>
      <c r="J331">
        <v>100000</v>
      </c>
      <c r="K331">
        <v>400000</v>
      </c>
      <c r="L331">
        <v>0</v>
      </c>
      <c r="M331" t="s">
        <v>35</v>
      </c>
      <c r="N331">
        <f t="shared" si="31"/>
        <v>0</v>
      </c>
      <c r="O331" t="str">
        <f t="shared" si="30"/>
        <v>Low</v>
      </c>
      <c r="P331" t="str">
        <f t="shared" si="32"/>
        <v>Low</v>
      </c>
      <c r="Q331" t="str">
        <f t="shared" si="33"/>
        <v>Low Loan</v>
      </c>
      <c r="R331">
        <f t="shared" si="34"/>
        <v>500000</v>
      </c>
      <c r="S331" t="str">
        <f t="shared" si="35"/>
        <v>Weak</v>
      </c>
    </row>
    <row r="332" spans="1:19" x14ac:dyDescent="0.25">
      <c r="A332">
        <v>331</v>
      </c>
      <c r="B332">
        <v>0</v>
      </c>
      <c r="C332" t="s">
        <v>31</v>
      </c>
      <c r="D332" t="s">
        <v>33</v>
      </c>
      <c r="E332">
        <v>4700000</v>
      </c>
      <c r="F332">
        <v>10600000</v>
      </c>
      <c r="G332">
        <v>20</v>
      </c>
      <c r="H332">
        <v>512</v>
      </c>
      <c r="I332">
        <v>8400000</v>
      </c>
      <c r="J332">
        <v>4000000</v>
      </c>
      <c r="K332">
        <v>12300000</v>
      </c>
      <c r="L332">
        <v>7000000</v>
      </c>
      <c r="M332" t="s">
        <v>35</v>
      </c>
      <c r="N332">
        <f t="shared" si="31"/>
        <v>0</v>
      </c>
      <c r="O332" t="str">
        <f t="shared" si="30"/>
        <v>Low</v>
      </c>
      <c r="P332" t="str">
        <f t="shared" si="32"/>
        <v>High</v>
      </c>
      <c r="Q332" t="str">
        <f t="shared" si="33"/>
        <v>Low Loan</v>
      </c>
      <c r="R332">
        <f t="shared" si="34"/>
        <v>31700000</v>
      </c>
      <c r="S332" t="str">
        <f t="shared" si="35"/>
        <v>Strong</v>
      </c>
    </row>
    <row r="333" spans="1:19" x14ac:dyDescent="0.25">
      <c r="A333">
        <v>332</v>
      </c>
      <c r="B333">
        <v>3</v>
      </c>
      <c r="C333" t="s">
        <v>31</v>
      </c>
      <c r="D333" t="s">
        <v>33</v>
      </c>
      <c r="E333">
        <v>8200000</v>
      </c>
      <c r="F333">
        <v>20600000</v>
      </c>
      <c r="G333">
        <v>10</v>
      </c>
      <c r="H333">
        <v>441</v>
      </c>
      <c r="I333">
        <v>16100000</v>
      </c>
      <c r="J333">
        <v>11400000</v>
      </c>
      <c r="K333">
        <v>29100000</v>
      </c>
      <c r="L333">
        <v>6100000</v>
      </c>
      <c r="M333" t="s">
        <v>35</v>
      </c>
      <c r="N333">
        <f t="shared" si="31"/>
        <v>0</v>
      </c>
      <c r="O333" t="str">
        <f t="shared" si="30"/>
        <v>Low</v>
      </c>
      <c r="P333" t="str">
        <f t="shared" si="32"/>
        <v>High</v>
      </c>
      <c r="Q333" t="str">
        <f t="shared" si="33"/>
        <v>High Loan</v>
      </c>
      <c r="R333">
        <f t="shared" si="34"/>
        <v>62700000</v>
      </c>
      <c r="S333" t="str">
        <f t="shared" si="35"/>
        <v>Strong</v>
      </c>
    </row>
    <row r="334" spans="1:19" x14ac:dyDescent="0.25">
      <c r="A334">
        <v>333</v>
      </c>
      <c r="B334">
        <v>2</v>
      </c>
      <c r="C334" t="s">
        <v>31</v>
      </c>
      <c r="D334" t="s">
        <v>33</v>
      </c>
      <c r="E334">
        <v>4600000</v>
      </c>
      <c r="F334">
        <v>18400000</v>
      </c>
      <c r="G334">
        <v>2</v>
      </c>
      <c r="H334">
        <v>555</v>
      </c>
      <c r="I334">
        <v>7700000</v>
      </c>
      <c r="J334">
        <v>2400000</v>
      </c>
      <c r="K334">
        <v>14200000</v>
      </c>
      <c r="L334">
        <v>4200000</v>
      </c>
      <c r="M334" t="s">
        <v>34</v>
      </c>
      <c r="N334">
        <f t="shared" si="31"/>
        <v>1</v>
      </c>
      <c r="O334" t="str">
        <f t="shared" si="30"/>
        <v>Low</v>
      </c>
      <c r="P334" t="str">
        <f t="shared" si="32"/>
        <v>High</v>
      </c>
      <c r="Q334" t="str">
        <f t="shared" si="33"/>
        <v>Low Loan</v>
      </c>
      <c r="R334">
        <f t="shared" si="34"/>
        <v>28500000</v>
      </c>
      <c r="S334" t="str">
        <f t="shared" si="35"/>
        <v>Strong</v>
      </c>
    </row>
    <row r="335" spans="1:19" x14ac:dyDescent="0.25">
      <c r="A335">
        <v>334</v>
      </c>
      <c r="B335">
        <v>5</v>
      </c>
      <c r="C335" t="s">
        <v>31</v>
      </c>
      <c r="D335" t="s">
        <v>32</v>
      </c>
      <c r="E335">
        <v>1800000</v>
      </c>
      <c r="F335">
        <v>7000000</v>
      </c>
      <c r="G335">
        <v>18</v>
      </c>
      <c r="H335">
        <v>466</v>
      </c>
      <c r="I335">
        <v>2600000</v>
      </c>
      <c r="J335">
        <v>2100000</v>
      </c>
      <c r="K335">
        <v>6000000</v>
      </c>
      <c r="L335">
        <v>1900000</v>
      </c>
      <c r="M335" t="s">
        <v>35</v>
      </c>
      <c r="N335">
        <f t="shared" si="31"/>
        <v>0</v>
      </c>
      <c r="O335" t="str">
        <f t="shared" si="30"/>
        <v>Low</v>
      </c>
      <c r="P335" t="str">
        <f t="shared" si="32"/>
        <v>High</v>
      </c>
      <c r="Q335" t="str">
        <f t="shared" si="33"/>
        <v>Low Loan</v>
      </c>
      <c r="R335">
        <f t="shared" si="34"/>
        <v>12600000</v>
      </c>
      <c r="S335" t="str">
        <f t="shared" si="35"/>
        <v>Strong</v>
      </c>
    </row>
    <row r="336" spans="1:19" x14ac:dyDescent="0.25">
      <c r="A336">
        <v>335</v>
      </c>
      <c r="B336">
        <v>3</v>
      </c>
      <c r="C336" t="s">
        <v>30</v>
      </c>
      <c r="D336" t="s">
        <v>33</v>
      </c>
      <c r="E336">
        <v>3200000</v>
      </c>
      <c r="F336">
        <v>8600000</v>
      </c>
      <c r="G336">
        <v>2</v>
      </c>
      <c r="H336">
        <v>427</v>
      </c>
      <c r="I336">
        <v>3900000</v>
      </c>
      <c r="J336">
        <v>1800000</v>
      </c>
      <c r="K336">
        <v>7100000</v>
      </c>
      <c r="L336">
        <v>4700000</v>
      </c>
      <c r="M336" t="s">
        <v>35</v>
      </c>
      <c r="N336">
        <f t="shared" si="31"/>
        <v>0</v>
      </c>
      <c r="O336" t="str">
        <f t="shared" si="30"/>
        <v>Low</v>
      </c>
      <c r="P336" t="str">
        <f t="shared" si="32"/>
        <v>High</v>
      </c>
      <c r="Q336" t="str">
        <f t="shared" si="33"/>
        <v>Low Loan</v>
      </c>
      <c r="R336">
        <f t="shared" si="34"/>
        <v>17500000</v>
      </c>
      <c r="S336" t="str">
        <f t="shared" si="35"/>
        <v>Strong</v>
      </c>
    </row>
    <row r="337" spans="1:19" x14ac:dyDescent="0.25">
      <c r="A337">
        <v>336</v>
      </c>
      <c r="B337">
        <v>4</v>
      </c>
      <c r="C337" t="s">
        <v>31</v>
      </c>
      <c r="D337" t="s">
        <v>33</v>
      </c>
      <c r="E337">
        <v>5500000</v>
      </c>
      <c r="F337">
        <v>20000000</v>
      </c>
      <c r="G337">
        <v>14</v>
      </c>
      <c r="H337">
        <v>593</v>
      </c>
      <c r="I337">
        <v>15100000</v>
      </c>
      <c r="J337">
        <v>2700000</v>
      </c>
      <c r="K337">
        <v>19900000</v>
      </c>
      <c r="L337">
        <v>4900000</v>
      </c>
      <c r="M337" t="s">
        <v>34</v>
      </c>
      <c r="N337">
        <f t="shared" si="31"/>
        <v>1</v>
      </c>
      <c r="O337" t="str">
        <f t="shared" si="30"/>
        <v>Low</v>
      </c>
      <c r="P337" t="str">
        <f t="shared" si="32"/>
        <v>High</v>
      </c>
      <c r="Q337" t="str">
        <f t="shared" si="33"/>
        <v>High Loan</v>
      </c>
      <c r="R337">
        <f t="shared" si="34"/>
        <v>42600000</v>
      </c>
      <c r="S337" t="str">
        <f t="shared" si="35"/>
        <v>Strong</v>
      </c>
    </row>
    <row r="338" spans="1:19" x14ac:dyDescent="0.25">
      <c r="A338">
        <v>337</v>
      </c>
      <c r="B338">
        <v>3</v>
      </c>
      <c r="C338" t="s">
        <v>30</v>
      </c>
      <c r="D338" t="s">
        <v>32</v>
      </c>
      <c r="E338">
        <v>7900000</v>
      </c>
      <c r="F338">
        <v>18300000</v>
      </c>
      <c r="G338">
        <v>10</v>
      </c>
      <c r="H338">
        <v>731</v>
      </c>
      <c r="I338">
        <v>4200000</v>
      </c>
      <c r="J338">
        <v>3400000</v>
      </c>
      <c r="K338">
        <v>22200000</v>
      </c>
      <c r="L338">
        <v>8400000</v>
      </c>
      <c r="M338" t="s">
        <v>34</v>
      </c>
      <c r="N338">
        <f t="shared" si="31"/>
        <v>1</v>
      </c>
      <c r="O338" t="str">
        <f t="shared" si="30"/>
        <v>Good</v>
      </c>
      <c r="P338" t="str">
        <f t="shared" si="32"/>
        <v>High</v>
      </c>
      <c r="Q338" t="str">
        <f t="shared" si="33"/>
        <v>Low Loan</v>
      </c>
      <c r="R338">
        <f t="shared" si="34"/>
        <v>38200000</v>
      </c>
      <c r="S338" t="str">
        <f t="shared" si="35"/>
        <v>Strong</v>
      </c>
    </row>
    <row r="339" spans="1:19" x14ac:dyDescent="0.25">
      <c r="A339">
        <v>338</v>
      </c>
      <c r="B339">
        <v>1</v>
      </c>
      <c r="C339" t="s">
        <v>30</v>
      </c>
      <c r="D339" t="s">
        <v>33</v>
      </c>
      <c r="E339">
        <v>4000000</v>
      </c>
      <c r="F339">
        <v>10100000</v>
      </c>
      <c r="G339">
        <v>16</v>
      </c>
      <c r="H339">
        <v>451</v>
      </c>
      <c r="I339">
        <v>7000000</v>
      </c>
      <c r="J339">
        <v>3900000</v>
      </c>
      <c r="K339">
        <v>14300000</v>
      </c>
      <c r="L339">
        <v>3900000</v>
      </c>
      <c r="M339" t="s">
        <v>35</v>
      </c>
      <c r="N339">
        <f t="shared" si="31"/>
        <v>0</v>
      </c>
      <c r="O339" t="str">
        <f t="shared" si="30"/>
        <v>Low</v>
      </c>
      <c r="P339" t="str">
        <f t="shared" si="32"/>
        <v>High</v>
      </c>
      <c r="Q339" t="str">
        <f t="shared" si="33"/>
        <v>Low Loan</v>
      </c>
      <c r="R339">
        <f t="shared" si="34"/>
        <v>29100000</v>
      </c>
      <c r="S339" t="str">
        <f t="shared" si="35"/>
        <v>Strong</v>
      </c>
    </row>
    <row r="340" spans="1:19" x14ac:dyDescent="0.25">
      <c r="A340">
        <v>339</v>
      </c>
      <c r="B340">
        <v>3</v>
      </c>
      <c r="C340" t="s">
        <v>31</v>
      </c>
      <c r="D340" t="s">
        <v>33</v>
      </c>
      <c r="E340">
        <v>6800000</v>
      </c>
      <c r="F340">
        <v>16900000</v>
      </c>
      <c r="G340">
        <v>18</v>
      </c>
      <c r="H340">
        <v>628</v>
      </c>
      <c r="I340">
        <v>3600000</v>
      </c>
      <c r="J340">
        <v>900000</v>
      </c>
      <c r="K340">
        <v>15600000</v>
      </c>
      <c r="L340">
        <v>4900000</v>
      </c>
      <c r="M340" t="s">
        <v>34</v>
      </c>
      <c r="N340">
        <f t="shared" si="31"/>
        <v>1</v>
      </c>
      <c r="O340" t="str">
        <f t="shared" si="30"/>
        <v>Low</v>
      </c>
      <c r="P340" t="str">
        <f t="shared" si="32"/>
        <v>High</v>
      </c>
      <c r="Q340" t="str">
        <f t="shared" si="33"/>
        <v>Low Loan</v>
      </c>
      <c r="R340">
        <f t="shared" si="34"/>
        <v>25000000</v>
      </c>
      <c r="S340" t="str">
        <f t="shared" si="35"/>
        <v>Strong</v>
      </c>
    </row>
    <row r="341" spans="1:19" x14ac:dyDescent="0.25">
      <c r="A341">
        <v>340</v>
      </c>
      <c r="B341">
        <v>1</v>
      </c>
      <c r="C341" t="s">
        <v>31</v>
      </c>
      <c r="D341" t="s">
        <v>32</v>
      </c>
      <c r="E341">
        <v>2700000</v>
      </c>
      <c r="F341">
        <v>9400000</v>
      </c>
      <c r="G341">
        <v>18</v>
      </c>
      <c r="H341">
        <v>704</v>
      </c>
      <c r="I341">
        <v>5300000</v>
      </c>
      <c r="J341">
        <v>2300000</v>
      </c>
      <c r="K341">
        <v>6400000</v>
      </c>
      <c r="L341">
        <v>2400000</v>
      </c>
      <c r="M341" t="s">
        <v>34</v>
      </c>
      <c r="N341">
        <f t="shared" si="31"/>
        <v>1</v>
      </c>
      <c r="O341" t="str">
        <f t="shared" si="30"/>
        <v>Good</v>
      </c>
      <c r="P341" t="str">
        <f t="shared" si="32"/>
        <v>High</v>
      </c>
      <c r="Q341" t="str">
        <f t="shared" si="33"/>
        <v>Low Loan</v>
      </c>
      <c r="R341">
        <f t="shared" si="34"/>
        <v>16400000</v>
      </c>
      <c r="S341" t="str">
        <f t="shared" si="35"/>
        <v>Strong</v>
      </c>
    </row>
    <row r="342" spans="1:19" x14ac:dyDescent="0.25">
      <c r="A342">
        <v>341</v>
      </c>
      <c r="B342">
        <v>2</v>
      </c>
      <c r="C342" t="s">
        <v>31</v>
      </c>
      <c r="D342" t="s">
        <v>32</v>
      </c>
      <c r="E342">
        <v>6800000</v>
      </c>
      <c r="F342">
        <v>23500000</v>
      </c>
      <c r="G342">
        <v>12</v>
      </c>
      <c r="H342">
        <v>341</v>
      </c>
      <c r="I342">
        <v>19300000</v>
      </c>
      <c r="J342">
        <v>11800000</v>
      </c>
      <c r="K342">
        <v>14300000</v>
      </c>
      <c r="L342">
        <v>8500000</v>
      </c>
      <c r="M342" t="s">
        <v>35</v>
      </c>
      <c r="N342">
        <f t="shared" si="31"/>
        <v>0</v>
      </c>
      <c r="O342" t="str">
        <f t="shared" si="30"/>
        <v>Low</v>
      </c>
      <c r="P342" t="str">
        <f t="shared" si="32"/>
        <v>High</v>
      </c>
      <c r="Q342" t="str">
        <f t="shared" si="33"/>
        <v>High Loan</v>
      </c>
      <c r="R342">
        <f t="shared" si="34"/>
        <v>53900000</v>
      </c>
      <c r="S342" t="str">
        <f t="shared" si="35"/>
        <v>Strong</v>
      </c>
    </row>
    <row r="343" spans="1:19" x14ac:dyDescent="0.25">
      <c r="A343">
        <v>342</v>
      </c>
      <c r="B343">
        <v>5</v>
      </c>
      <c r="C343" t="s">
        <v>30</v>
      </c>
      <c r="D343" t="s">
        <v>32</v>
      </c>
      <c r="E343">
        <v>8600000</v>
      </c>
      <c r="F343">
        <v>21000000</v>
      </c>
      <c r="G343">
        <v>8</v>
      </c>
      <c r="H343">
        <v>465</v>
      </c>
      <c r="I343">
        <v>11700000</v>
      </c>
      <c r="J343">
        <v>14900000</v>
      </c>
      <c r="K343">
        <v>19500000</v>
      </c>
      <c r="L343">
        <v>9900000</v>
      </c>
      <c r="M343" t="s">
        <v>35</v>
      </c>
      <c r="N343">
        <f t="shared" si="31"/>
        <v>0</v>
      </c>
      <c r="O343" t="str">
        <f t="shared" si="30"/>
        <v>Low</v>
      </c>
      <c r="P343" t="str">
        <f t="shared" si="32"/>
        <v>High</v>
      </c>
      <c r="Q343" t="str">
        <f t="shared" si="33"/>
        <v>High Loan</v>
      </c>
      <c r="R343">
        <f t="shared" si="34"/>
        <v>56000000</v>
      </c>
      <c r="S343" t="str">
        <f t="shared" si="35"/>
        <v>Strong</v>
      </c>
    </row>
    <row r="344" spans="1:19" x14ac:dyDescent="0.25">
      <c r="A344">
        <v>343</v>
      </c>
      <c r="B344">
        <v>4</v>
      </c>
      <c r="C344" t="s">
        <v>30</v>
      </c>
      <c r="D344" t="s">
        <v>32</v>
      </c>
      <c r="E344">
        <v>8000000</v>
      </c>
      <c r="F344">
        <v>30100000</v>
      </c>
      <c r="G344">
        <v>4</v>
      </c>
      <c r="H344">
        <v>431</v>
      </c>
      <c r="I344">
        <v>11900000</v>
      </c>
      <c r="J344">
        <v>13800000</v>
      </c>
      <c r="K344">
        <v>18800000</v>
      </c>
      <c r="L344">
        <v>11500000</v>
      </c>
      <c r="M344" t="s">
        <v>34</v>
      </c>
      <c r="N344">
        <f t="shared" si="31"/>
        <v>1</v>
      </c>
      <c r="O344" t="str">
        <f t="shared" si="30"/>
        <v>Low</v>
      </c>
      <c r="P344" t="str">
        <f t="shared" si="32"/>
        <v>High</v>
      </c>
      <c r="Q344" t="str">
        <f t="shared" si="33"/>
        <v>High Loan</v>
      </c>
      <c r="R344">
        <f t="shared" si="34"/>
        <v>56000000</v>
      </c>
      <c r="S344" t="str">
        <f t="shared" si="35"/>
        <v>Strong</v>
      </c>
    </row>
    <row r="345" spans="1:19" x14ac:dyDescent="0.25">
      <c r="A345">
        <v>344</v>
      </c>
      <c r="B345">
        <v>1</v>
      </c>
      <c r="C345" t="s">
        <v>30</v>
      </c>
      <c r="D345" t="s">
        <v>33</v>
      </c>
      <c r="E345">
        <v>3700000</v>
      </c>
      <c r="F345">
        <v>12600000</v>
      </c>
      <c r="G345">
        <v>10</v>
      </c>
      <c r="H345">
        <v>424</v>
      </c>
      <c r="I345">
        <v>5400000</v>
      </c>
      <c r="J345">
        <v>1100000</v>
      </c>
      <c r="K345">
        <v>14200000</v>
      </c>
      <c r="L345">
        <v>4400000</v>
      </c>
      <c r="M345" t="s">
        <v>35</v>
      </c>
      <c r="N345">
        <f t="shared" si="31"/>
        <v>0</v>
      </c>
      <c r="O345" t="str">
        <f t="shared" si="30"/>
        <v>Low</v>
      </c>
      <c r="P345" t="str">
        <f t="shared" si="32"/>
        <v>High</v>
      </c>
      <c r="Q345" t="str">
        <f t="shared" si="33"/>
        <v>Low Loan</v>
      </c>
      <c r="R345">
        <f t="shared" si="34"/>
        <v>25100000</v>
      </c>
      <c r="S345" t="str">
        <f t="shared" si="35"/>
        <v>Strong</v>
      </c>
    </row>
    <row r="346" spans="1:19" x14ac:dyDescent="0.25">
      <c r="A346">
        <v>345</v>
      </c>
      <c r="B346">
        <v>0</v>
      </c>
      <c r="C346" t="s">
        <v>30</v>
      </c>
      <c r="D346" t="s">
        <v>32</v>
      </c>
      <c r="E346">
        <v>2600000</v>
      </c>
      <c r="F346">
        <v>5100000</v>
      </c>
      <c r="G346">
        <v>14</v>
      </c>
      <c r="H346">
        <v>678</v>
      </c>
      <c r="I346">
        <v>500000</v>
      </c>
      <c r="J346">
        <v>1200000</v>
      </c>
      <c r="K346">
        <v>6000000</v>
      </c>
      <c r="L346">
        <v>3100000</v>
      </c>
      <c r="M346" t="s">
        <v>34</v>
      </c>
      <c r="N346">
        <f t="shared" si="31"/>
        <v>1</v>
      </c>
      <c r="O346" t="str">
        <f t="shared" si="30"/>
        <v>Medium</v>
      </c>
      <c r="P346" t="str">
        <f t="shared" si="32"/>
        <v>High</v>
      </c>
      <c r="Q346" t="str">
        <f t="shared" si="33"/>
        <v>Low Loan</v>
      </c>
      <c r="R346">
        <f t="shared" si="34"/>
        <v>10800000</v>
      </c>
      <c r="S346" t="str">
        <f t="shared" si="35"/>
        <v>Strong</v>
      </c>
    </row>
    <row r="347" spans="1:19" x14ac:dyDescent="0.25">
      <c r="A347">
        <v>346</v>
      </c>
      <c r="B347">
        <v>4</v>
      </c>
      <c r="C347" t="s">
        <v>30</v>
      </c>
      <c r="D347" t="s">
        <v>32</v>
      </c>
      <c r="E347">
        <v>4200000</v>
      </c>
      <c r="F347">
        <v>16800000</v>
      </c>
      <c r="G347">
        <v>6</v>
      </c>
      <c r="H347">
        <v>381</v>
      </c>
      <c r="I347">
        <v>9600000</v>
      </c>
      <c r="J347">
        <v>3800000</v>
      </c>
      <c r="K347">
        <v>14800000</v>
      </c>
      <c r="L347">
        <v>5900000</v>
      </c>
      <c r="M347" t="s">
        <v>35</v>
      </c>
      <c r="N347">
        <f t="shared" si="31"/>
        <v>0</v>
      </c>
      <c r="O347" t="str">
        <f t="shared" si="30"/>
        <v>Low</v>
      </c>
      <c r="P347" t="str">
        <f t="shared" si="32"/>
        <v>High</v>
      </c>
      <c r="Q347" t="str">
        <f t="shared" si="33"/>
        <v>Low Loan</v>
      </c>
      <c r="R347">
        <f t="shared" si="34"/>
        <v>34100000</v>
      </c>
      <c r="S347" t="str">
        <f t="shared" si="35"/>
        <v>Strong</v>
      </c>
    </row>
    <row r="348" spans="1:19" x14ac:dyDescent="0.25">
      <c r="A348">
        <v>347</v>
      </c>
      <c r="B348">
        <v>5</v>
      </c>
      <c r="C348" t="s">
        <v>30</v>
      </c>
      <c r="D348" t="s">
        <v>33</v>
      </c>
      <c r="E348">
        <v>8000000</v>
      </c>
      <c r="F348">
        <v>28000000</v>
      </c>
      <c r="G348">
        <v>10</v>
      </c>
      <c r="H348">
        <v>449</v>
      </c>
      <c r="I348">
        <v>18500000</v>
      </c>
      <c r="J348">
        <v>1500000</v>
      </c>
      <c r="K348">
        <v>17400000</v>
      </c>
      <c r="L348">
        <v>3900000</v>
      </c>
      <c r="M348" t="s">
        <v>35</v>
      </c>
      <c r="N348">
        <f t="shared" si="31"/>
        <v>0</v>
      </c>
      <c r="O348" t="str">
        <f t="shared" si="30"/>
        <v>Low</v>
      </c>
      <c r="P348" t="str">
        <f t="shared" si="32"/>
        <v>High</v>
      </c>
      <c r="Q348" t="str">
        <f t="shared" si="33"/>
        <v>High Loan</v>
      </c>
      <c r="R348">
        <f t="shared" si="34"/>
        <v>41300000</v>
      </c>
      <c r="S348" t="str">
        <f t="shared" si="35"/>
        <v>Strong</v>
      </c>
    </row>
    <row r="349" spans="1:19" x14ac:dyDescent="0.25">
      <c r="A349">
        <v>348</v>
      </c>
      <c r="B349">
        <v>1</v>
      </c>
      <c r="C349" t="s">
        <v>31</v>
      </c>
      <c r="D349" t="s">
        <v>32</v>
      </c>
      <c r="E349">
        <v>7100000</v>
      </c>
      <c r="F349">
        <v>23500000</v>
      </c>
      <c r="G349">
        <v>12</v>
      </c>
      <c r="H349">
        <v>768</v>
      </c>
      <c r="I349">
        <v>6400000</v>
      </c>
      <c r="J349">
        <v>12100000</v>
      </c>
      <c r="K349">
        <v>22400000</v>
      </c>
      <c r="L349">
        <v>7300000</v>
      </c>
      <c r="M349" t="s">
        <v>34</v>
      </c>
      <c r="N349">
        <f t="shared" si="31"/>
        <v>1</v>
      </c>
      <c r="O349" t="str">
        <f t="shared" si="30"/>
        <v>Excellent</v>
      </c>
      <c r="P349" t="str">
        <f t="shared" si="32"/>
        <v>High</v>
      </c>
      <c r="Q349" t="str">
        <f t="shared" si="33"/>
        <v>High Loan</v>
      </c>
      <c r="R349">
        <f t="shared" si="34"/>
        <v>48200000</v>
      </c>
      <c r="S349" t="str">
        <f t="shared" si="35"/>
        <v>Strong</v>
      </c>
    </row>
    <row r="350" spans="1:19" x14ac:dyDescent="0.25">
      <c r="A350">
        <v>349</v>
      </c>
      <c r="B350">
        <v>0</v>
      </c>
      <c r="C350" t="s">
        <v>31</v>
      </c>
      <c r="D350" t="s">
        <v>32</v>
      </c>
      <c r="E350">
        <v>2000000</v>
      </c>
      <c r="F350">
        <v>7000000</v>
      </c>
      <c r="G350">
        <v>6</v>
      </c>
      <c r="H350">
        <v>666</v>
      </c>
      <c r="I350">
        <v>0</v>
      </c>
      <c r="J350">
        <v>1200000</v>
      </c>
      <c r="K350">
        <v>4300000</v>
      </c>
      <c r="L350">
        <v>1400000</v>
      </c>
      <c r="M350" t="s">
        <v>35</v>
      </c>
      <c r="N350">
        <f t="shared" si="31"/>
        <v>0</v>
      </c>
      <c r="O350" t="str">
        <f t="shared" si="30"/>
        <v>Medium</v>
      </c>
      <c r="P350" t="str">
        <f t="shared" si="32"/>
        <v>High</v>
      </c>
      <c r="Q350" t="str">
        <f t="shared" si="33"/>
        <v>Low Loan</v>
      </c>
      <c r="R350">
        <f t="shared" si="34"/>
        <v>6900000</v>
      </c>
      <c r="S350" t="str">
        <f t="shared" si="35"/>
        <v>Moderate</v>
      </c>
    </row>
    <row r="351" spans="1:19" x14ac:dyDescent="0.25">
      <c r="A351">
        <v>350</v>
      </c>
      <c r="B351">
        <v>4</v>
      </c>
      <c r="C351" t="s">
        <v>31</v>
      </c>
      <c r="D351" t="s">
        <v>33</v>
      </c>
      <c r="E351">
        <v>5800000</v>
      </c>
      <c r="F351">
        <v>13300000</v>
      </c>
      <c r="G351">
        <v>14</v>
      </c>
      <c r="H351">
        <v>742</v>
      </c>
      <c r="I351">
        <v>16100000</v>
      </c>
      <c r="J351">
        <v>9300000</v>
      </c>
      <c r="K351">
        <v>16300000</v>
      </c>
      <c r="L351">
        <v>7000000</v>
      </c>
      <c r="M351" t="s">
        <v>34</v>
      </c>
      <c r="N351">
        <f t="shared" si="31"/>
        <v>1</v>
      </c>
      <c r="O351" t="str">
        <f t="shared" si="30"/>
        <v>Good</v>
      </c>
      <c r="P351" t="str">
        <f t="shared" si="32"/>
        <v>High</v>
      </c>
      <c r="Q351" t="str">
        <f t="shared" si="33"/>
        <v>Low Loan</v>
      </c>
      <c r="R351">
        <f t="shared" si="34"/>
        <v>48700000</v>
      </c>
      <c r="S351" t="str">
        <f t="shared" si="35"/>
        <v>Strong</v>
      </c>
    </row>
    <row r="352" spans="1:19" x14ac:dyDescent="0.25">
      <c r="A352">
        <v>351</v>
      </c>
      <c r="B352">
        <v>3</v>
      </c>
      <c r="C352" t="s">
        <v>31</v>
      </c>
      <c r="D352" t="s">
        <v>33</v>
      </c>
      <c r="E352">
        <v>6700000</v>
      </c>
      <c r="F352">
        <v>15800000</v>
      </c>
      <c r="G352">
        <v>4</v>
      </c>
      <c r="H352">
        <v>445</v>
      </c>
      <c r="I352">
        <v>10500000</v>
      </c>
      <c r="J352">
        <v>7600000</v>
      </c>
      <c r="K352">
        <v>14100000</v>
      </c>
      <c r="L352">
        <v>9100000</v>
      </c>
      <c r="M352" t="s">
        <v>35</v>
      </c>
      <c r="N352">
        <f t="shared" si="31"/>
        <v>0</v>
      </c>
      <c r="O352" t="str">
        <f t="shared" si="30"/>
        <v>Low</v>
      </c>
      <c r="P352" t="str">
        <f t="shared" si="32"/>
        <v>High</v>
      </c>
      <c r="Q352" t="str">
        <f t="shared" si="33"/>
        <v>Low Loan</v>
      </c>
      <c r="R352">
        <f t="shared" si="34"/>
        <v>41300000</v>
      </c>
      <c r="S352" t="str">
        <f t="shared" si="35"/>
        <v>Strong</v>
      </c>
    </row>
    <row r="353" spans="1:19" x14ac:dyDescent="0.25">
      <c r="A353">
        <v>352</v>
      </c>
      <c r="B353">
        <v>2</v>
      </c>
      <c r="C353" t="s">
        <v>30</v>
      </c>
      <c r="D353" t="s">
        <v>32</v>
      </c>
      <c r="E353">
        <v>7300000</v>
      </c>
      <c r="F353">
        <v>28700000</v>
      </c>
      <c r="G353">
        <v>14</v>
      </c>
      <c r="H353">
        <v>634</v>
      </c>
      <c r="I353">
        <v>5900000</v>
      </c>
      <c r="J353">
        <v>3800000</v>
      </c>
      <c r="K353">
        <v>21200000</v>
      </c>
      <c r="L353">
        <v>10800000</v>
      </c>
      <c r="M353" t="s">
        <v>34</v>
      </c>
      <c r="N353">
        <f t="shared" si="31"/>
        <v>1</v>
      </c>
      <c r="O353" t="str">
        <f t="shared" si="30"/>
        <v>Low</v>
      </c>
      <c r="P353" t="str">
        <f t="shared" si="32"/>
        <v>High</v>
      </c>
      <c r="Q353" t="str">
        <f t="shared" si="33"/>
        <v>High Loan</v>
      </c>
      <c r="R353">
        <f t="shared" si="34"/>
        <v>41700000</v>
      </c>
      <c r="S353" t="str">
        <f t="shared" si="35"/>
        <v>Strong</v>
      </c>
    </row>
    <row r="354" spans="1:19" x14ac:dyDescent="0.25">
      <c r="A354">
        <v>353</v>
      </c>
      <c r="B354">
        <v>4</v>
      </c>
      <c r="C354" t="s">
        <v>31</v>
      </c>
      <c r="D354" t="s">
        <v>32</v>
      </c>
      <c r="E354">
        <v>3300000</v>
      </c>
      <c r="F354">
        <v>9700000</v>
      </c>
      <c r="G354">
        <v>14</v>
      </c>
      <c r="H354">
        <v>782</v>
      </c>
      <c r="I354">
        <v>2500000</v>
      </c>
      <c r="J354">
        <v>0</v>
      </c>
      <c r="K354">
        <v>10400000</v>
      </c>
      <c r="L354">
        <v>2200000</v>
      </c>
      <c r="M354" t="s">
        <v>34</v>
      </c>
      <c r="N354">
        <f t="shared" si="31"/>
        <v>1</v>
      </c>
      <c r="O354" t="str">
        <f t="shared" si="30"/>
        <v>Excellent</v>
      </c>
      <c r="P354" t="str">
        <f t="shared" si="32"/>
        <v>High</v>
      </c>
      <c r="Q354" t="str">
        <f t="shared" si="33"/>
        <v>Low Loan</v>
      </c>
      <c r="R354">
        <f t="shared" si="34"/>
        <v>15100000</v>
      </c>
      <c r="S354" t="str">
        <f t="shared" si="35"/>
        <v>Strong</v>
      </c>
    </row>
    <row r="355" spans="1:19" x14ac:dyDescent="0.25">
      <c r="A355">
        <v>354</v>
      </c>
      <c r="B355">
        <v>0</v>
      </c>
      <c r="C355" t="s">
        <v>30</v>
      </c>
      <c r="D355" t="s">
        <v>32</v>
      </c>
      <c r="E355">
        <v>3000000</v>
      </c>
      <c r="F355">
        <v>7000000</v>
      </c>
      <c r="G355">
        <v>10</v>
      </c>
      <c r="H355">
        <v>781</v>
      </c>
      <c r="I355">
        <v>7200000</v>
      </c>
      <c r="J355">
        <v>600000</v>
      </c>
      <c r="K355">
        <v>11700000</v>
      </c>
      <c r="L355">
        <v>2700000</v>
      </c>
      <c r="M355" t="s">
        <v>34</v>
      </c>
      <c r="N355">
        <f t="shared" si="31"/>
        <v>1</v>
      </c>
      <c r="O355" t="str">
        <f t="shared" si="30"/>
        <v>Excellent</v>
      </c>
      <c r="P355" t="str">
        <f t="shared" si="32"/>
        <v>High</v>
      </c>
      <c r="Q355" t="str">
        <f t="shared" si="33"/>
        <v>Low Loan</v>
      </c>
      <c r="R355">
        <f t="shared" si="34"/>
        <v>22200000</v>
      </c>
      <c r="S355" t="str">
        <f t="shared" si="35"/>
        <v>Strong</v>
      </c>
    </row>
    <row r="356" spans="1:19" x14ac:dyDescent="0.25">
      <c r="A356">
        <v>355</v>
      </c>
      <c r="B356">
        <v>4</v>
      </c>
      <c r="C356" t="s">
        <v>31</v>
      </c>
      <c r="D356" t="s">
        <v>32</v>
      </c>
      <c r="E356">
        <v>7900000</v>
      </c>
      <c r="F356">
        <v>17200000</v>
      </c>
      <c r="G356">
        <v>14</v>
      </c>
      <c r="H356">
        <v>318</v>
      </c>
      <c r="I356">
        <v>14200000</v>
      </c>
      <c r="J356">
        <v>9500000</v>
      </c>
      <c r="K356">
        <v>23200000</v>
      </c>
      <c r="L356">
        <v>9000000</v>
      </c>
      <c r="M356" t="s">
        <v>35</v>
      </c>
      <c r="N356">
        <f t="shared" si="31"/>
        <v>0</v>
      </c>
      <c r="O356" t="str">
        <f t="shared" si="30"/>
        <v>Low</v>
      </c>
      <c r="P356" t="str">
        <f t="shared" si="32"/>
        <v>High</v>
      </c>
      <c r="Q356" t="str">
        <f t="shared" si="33"/>
        <v>Low Loan</v>
      </c>
      <c r="R356">
        <f t="shared" si="34"/>
        <v>55900000</v>
      </c>
      <c r="S356" t="str">
        <f t="shared" si="35"/>
        <v>Strong</v>
      </c>
    </row>
    <row r="357" spans="1:19" x14ac:dyDescent="0.25">
      <c r="A357">
        <v>356</v>
      </c>
      <c r="B357">
        <v>5</v>
      </c>
      <c r="C357" t="s">
        <v>31</v>
      </c>
      <c r="D357" t="s">
        <v>32</v>
      </c>
      <c r="E357">
        <v>7600000</v>
      </c>
      <c r="F357">
        <v>24100000</v>
      </c>
      <c r="G357">
        <v>18</v>
      </c>
      <c r="H357">
        <v>721</v>
      </c>
      <c r="I357">
        <v>21900000</v>
      </c>
      <c r="J357">
        <v>11500000</v>
      </c>
      <c r="K357">
        <v>22900000</v>
      </c>
      <c r="L357">
        <v>7200000</v>
      </c>
      <c r="M357" t="s">
        <v>34</v>
      </c>
      <c r="N357">
        <f t="shared" si="31"/>
        <v>1</v>
      </c>
      <c r="O357" t="str">
        <f t="shared" si="30"/>
        <v>Good</v>
      </c>
      <c r="P357" t="str">
        <f t="shared" si="32"/>
        <v>High</v>
      </c>
      <c r="Q357" t="str">
        <f t="shared" si="33"/>
        <v>High Loan</v>
      </c>
      <c r="R357">
        <f t="shared" si="34"/>
        <v>63500000</v>
      </c>
      <c r="S357" t="str">
        <f t="shared" si="35"/>
        <v>Strong</v>
      </c>
    </row>
    <row r="358" spans="1:19" x14ac:dyDescent="0.25">
      <c r="A358">
        <v>357</v>
      </c>
      <c r="B358">
        <v>5</v>
      </c>
      <c r="C358" t="s">
        <v>31</v>
      </c>
      <c r="D358" t="s">
        <v>32</v>
      </c>
      <c r="E358">
        <v>3700000</v>
      </c>
      <c r="F358">
        <v>9800000</v>
      </c>
      <c r="G358">
        <v>4</v>
      </c>
      <c r="H358">
        <v>563</v>
      </c>
      <c r="I358">
        <v>9500000</v>
      </c>
      <c r="J358">
        <v>5100000</v>
      </c>
      <c r="K358">
        <v>11200000</v>
      </c>
      <c r="L358">
        <v>3000000</v>
      </c>
      <c r="M358" t="s">
        <v>34</v>
      </c>
      <c r="N358">
        <f t="shared" si="31"/>
        <v>1</v>
      </c>
      <c r="O358" t="str">
        <f t="shared" si="30"/>
        <v>Low</v>
      </c>
      <c r="P358" t="str">
        <f t="shared" si="32"/>
        <v>High</v>
      </c>
      <c r="Q358" t="str">
        <f t="shared" si="33"/>
        <v>Low Loan</v>
      </c>
      <c r="R358">
        <f t="shared" si="34"/>
        <v>28800000</v>
      </c>
      <c r="S358" t="str">
        <f t="shared" si="35"/>
        <v>Strong</v>
      </c>
    </row>
    <row r="359" spans="1:19" x14ac:dyDescent="0.25">
      <c r="A359">
        <v>358</v>
      </c>
      <c r="B359">
        <v>2</v>
      </c>
      <c r="C359" t="s">
        <v>31</v>
      </c>
      <c r="D359" t="s">
        <v>32</v>
      </c>
      <c r="E359">
        <v>8400000</v>
      </c>
      <c r="F359">
        <v>26300000</v>
      </c>
      <c r="G359">
        <v>4</v>
      </c>
      <c r="H359">
        <v>419</v>
      </c>
      <c r="I359">
        <v>22900000</v>
      </c>
      <c r="J359">
        <v>7900000</v>
      </c>
      <c r="K359">
        <v>29200000</v>
      </c>
      <c r="L359">
        <v>6200000</v>
      </c>
      <c r="M359" t="s">
        <v>34</v>
      </c>
      <c r="N359">
        <f t="shared" si="31"/>
        <v>1</v>
      </c>
      <c r="O359" t="str">
        <f t="shared" si="30"/>
        <v>Low</v>
      </c>
      <c r="P359" t="str">
        <f t="shared" si="32"/>
        <v>High</v>
      </c>
      <c r="Q359" t="str">
        <f t="shared" si="33"/>
        <v>High Loan</v>
      </c>
      <c r="R359">
        <f t="shared" si="34"/>
        <v>66200000</v>
      </c>
      <c r="S359" t="str">
        <f t="shared" si="35"/>
        <v>Strong</v>
      </c>
    </row>
    <row r="360" spans="1:19" x14ac:dyDescent="0.25">
      <c r="A360">
        <v>359</v>
      </c>
      <c r="B360">
        <v>0</v>
      </c>
      <c r="C360" t="s">
        <v>30</v>
      </c>
      <c r="D360" t="s">
        <v>33</v>
      </c>
      <c r="E360">
        <v>8200000</v>
      </c>
      <c r="F360">
        <v>20800000</v>
      </c>
      <c r="G360">
        <v>14</v>
      </c>
      <c r="H360">
        <v>372</v>
      </c>
      <c r="I360">
        <v>3800000</v>
      </c>
      <c r="J360">
        <v>100000</v>
      </c>
      <c r="K360">
        <v>26100000</v>
      </c>
      <c r="L360">
        <v>5200000</v>
      </c>
      <c r="M360" t="s">
        <v>35</v>
      </c>
      <c r="N360">
        <f t="shared" si="31"/>
        <v>0</v>
      </c>
      <c r="O360" t="str">
        <f t="shared" si="30"/>
        <v>Low</v>
      </c>
      <c r="P360" t="str">
        <f t="shared" si="32"/>
        <v>High</v>
      </c>
      <c r="Q360" t="str">
        <f t="shared" si="33"/>
        <v>High Loan</v>
      </c>
      <c r="R360">
        <f t="shared" si="34"/>
        <v>35200000</v>
      </c>
      <c r="S360" t="str">
        <f t="shared" si="35"/>
        <v>Strong</v>
      </c>
    </row>
    <row r="361" spans="1:19" x14ac:dyDescent="0.25">
      <c r="A361">
        <v>360</v>
      </c>
      <c r="B361">
        <v>0</v>
      </c>
      <c r="C361" t="s">
        <v>31</v>
      </c>
      <c r="D361" t="s">
        <v>32</v>
      </c>
      <c r="E361">
        <v>2900000</v>
      </c>
      <c r="F361">
        <v>9500000</v>
      </c>
      <c r="G361">
        <v>18</v>
      </c>
      <c r="H361">
        <v>885</v>
      </c>
      <c r="I361">
        <v>4300000</v>
      </c>
      <c r="J361">
        <v>2300000</v>
      </c>
      <c r="K361">
        <v>6500000</v>
      </c>
      <c r="L361">
        <v>3500000</v>
      </c>
      <c r="M361" t="s">
        <v>34</v>
      </c>
      <c r="N361">
        <f t="shared" si="31"/>
        <v>1</v>
      </c>
      <c r="O361" t="str">
        <f t="shared" si="30"/>
        <v>Excellent</v>
      </c>
      <c r="P361" t="str">
        <f t="shared" si="32"/>
        <v>High</v>
      </c>
      <c r="Q361" t="str">
        <f t="shared" si="33"/>
        <v>Low Loan</v>
      </c>
      <c r="R361">
        <f t="shared" si="34"/>
        <v>16600000</v>
      </c>
      <c r="S361" t="str">
        <f t="shared" si="35"/>
        <v>Strong</v>
      </c>
    </row>
    <row r="362" spans="1:19" x14ac:dyDescent="0.25">
      <c r="A362">
        <v>361</v>
      </c>
      <c r="B362">
        <v>1</v>
      </c>
      <c r="C362" t="s">
        <v>31</v>
      </c>
      <c r="D362" t="s">
        <v>33</v>
      </c>
      <c r="E362">
        <v>9900000</v>
      </c>
      <c r="F362">
        <v>38400000</v>
      </c>
      <c r="G362">
        <v>12</v>
      </c>
      <c r="H362">
        <v>596</v>
      </c>
      <c r="I362">
        <v>10000000</v>
      </c>
      <c r="J362">
        <v>9300000</v>
      </c>
      <c r="K362">
        <v>36500000</v>
      </c>
      <c r="L362">
        <v>6800000</v>
      </c>
      <c r="M362" t="s">
        <v>34</v>
      </c>
      <c r="N362">
        <f t="shared" si="31"/>
        <v>1</v>
      </c>
      <c r="O362" t="str">
        <f t="shared" si="30"/>
        <v>Low</v>
      </c>
      <c r="P362" t="str">
        <f t="shared" si="32"/>
        <v>High</v>
      </c>
      <c r="Q362" t="str">
        <f t="shared" si="33"/>
        <v>High Loan</v>
      </c>
      <c r="R362">
        <f t="shared" si="34"/>
        <v>62600000</v>
      </c>
      <c r="S362" t="str">
        <f t="shared" si="35"/>
        <v>Strong</v>
      </c>
    </row>
    <row r="363" spans="1:19" x14ac:dyDescent="0.25">
      <c r="A363">
        <v>362</v>
      </c>
      <c r="B363">
        <v>0</v>
      </c>
      <c r="C363" t="s">
        <v>30</v>
      </c>
      <c r="D363" t="s">
        <v>32</v>
      </c>
      <c r="E363">
        <v>4400000</v>
      </c>
      <c r="F363">
        <v>14100000</v>
      </c>
      <c r="G363">
        <v>2</v>
      </c>
      <c r="H363">
        <v>349</v>
      </c>
      <c r="I363">
        <v>3300000</v>
      </c>
      <c r="J363">
        <v>1300000</v>
      </c>
      <c r="K363">
        <v>8800000</v>
      </c>
      <c r="L363">
        <v>6200000</v>
      </c>
      <c r="M363" t="s">
        <v>34</v>
      </c>
      <c r="N363">
        <f t="shared" si="31"/>
        <v>1</v>
      </c>
      <c r="O363" t="str">
        <f t="shared" si="30"/>
        <v>Low</v>
      </c>
      <c r="P363" t="str">
        <f t="shared" si="32"/>
        <v>High</v>
      </c>
      <c r="Q363" t="str">
        <f t="shared" si="33"/>
        <v>Low Loan</v>
      </c>
      <c r="R363">
        <f t="shared" si="34"/>
        <v>19600000</v>
      </c>
      <c r="S363" t="str">
        <f t="shared" si="35"/>
        <v>Strong</v>
      </c>
    </row>
    <row r="364" spans="1:19" x14ac:dyDescent="0.25">
      <c r="A364">
        <v>363</v>
      </c>
      <c r="B364">
        <v>1</v>
      </c>
      <c r="C364" t="s">
        <v>31</v>
      </c>
      <c r="D364" t="s">
        <v>33</v>
      </c>
      <c r="E364">
        <v>9000000</v>
      </c>
      <c r="F364">
        <v>32200000</v>
      </c>
      <c r="G364">
        <v>16</v>
      </c>
      <c r="H364">
        <v>468</v>
      </c>
      <c r="I364">
        <v>4500000</v>
      </c>
      <c r="J364">
        <v>16400000</v>
      </c>
      <c r="K364">
        <v>28600000</v>
      </c>
      <c r="L364">
        <v>10900000</v>
      </c>
      <c r="M364" t="s">
        <v>35</v>
      </c>
      <c r="N364">
        <f t="shared" si="31"/>
        <v>0</v>
      </c>
      <c r="O364" t="str">
        <f t="shared" si="30"/>
        <v>Low</v>
      </c>
      <c r="P364" t="str">
        <f t="shared" si="32"/>
        <v>High</v>
      </c>
      <c r="Q364" t="str">
        <f t="shared" si="33"/>
        <v>High Loan</v>
      </c>
      <c r="R364">
        <f t="shared" si="34"/>
        <v>60400000</v>
      </c>
      <c r="S364" t="str">
        <f t="shared" si="35"/>
        <v>Strong</v>
      </c>
    </row>
    <row r="365" spans="1:19" x14ac:dyDescent="0.25">
      <c r="A365">
        <v>364</v>
      </c>
      <c r="B365">
        <v>3</v>
      </c>
      <c r="C365" t="s">
        <v>31</v>
      </c>
      <c r="D365" t="s">
        <v>33</v>
      </c>
      <c r="E365">
        <v>6800000</v>
      </c>
      <c r="F365">
        <v>26900000</v>
      </c>
      <c r="G365">
        <v>16</v>
      </c>
      <c r="H365">
        <v>818</v>
      </c>
      <c r="I365">
        <v>14700000</v>
      </c>
      <c r="J365">
        <v>10400000</v>
      </c>
      <c r="K365">
        <v>26300000</v>
      </c>
      <c r="L365">
        <v>7300000</v>
      </c>
      <c r="M365" t="s">
        <v>34</v>
      </c>
      <c r="N365">
        <f t="shared" si="31"/>
        <v>1</v>
      </c>
      <c r="O365" t="str">
        <f t="shared" si="30"/>
        <v>Excellent</v>
      </c>
      <c r="P365" t="str">
        <f t="shared" si="32"/>
        <v>High</v>
      </c>
      <c r="Q365" t="str">
        <f t="shared" si="33"/>
        <v>High Loan</v>
      </c>
      <c r="R365">
        <f t="shared" si="34"/>
        <v>58700000</v>
      </c>
      <c r="S365" t="str">
        <f t="shared" si="35"/>
        <v>Strong</v>
      </c>
    </row>
    <row r="366" spans="1:19" x14ac:dyDescent="0.25">
      <c r="A366">
        <v>365</v>
      </c>
      <c r="B366">
        <v>2</v>
      </c>
      <c r="C366" t="s">
        <v>31</v>
      </c>
      <c r="D366" t="s">
        <v>32</v>
      </c>
      <c r="E366">
        <v>8700000</v>
      </c>
      <c r="F366">
        <v>28000000</v>
      </c>
      <c r="G366">
        <v>12</v>
      </c>
      <c r="H366">
        <v>543</v>
      </c>
      <c r="I366">
        <v>16900000</v>
      </c>
      <c r="J366">
        <v>6000000</v>
      </c>
      <c r="K366">
        <v>22900000</v>
      </c>
      <c r="L366">
        <v>6700000</v>
      </c>
      <c r="M366" t="s">
        <v>35</v>
      </c>
      <c r="N366">
        <f t="shared" si="31"/>
        <v>0</v>
      </c>
      <c r="O366" t="str">
        <f t="shared" si="30"/>
        <v>Low</v>
      </c>
      <c r="P366" t="str">
        <f t="shared" si="32"/>
        <v>High</v>
      </c>
      <c r="Q366" t="str">
        <f t="shared" si="33"/>
        <v>High Loan</v>
      </c>
      <c r="R366">
        <f t="shared" si="34"/>
        <v>52500000</v>
      </c>
      <c r="S366" t="str">
        <f t="shared" si="35"/>
        <v>Strong</v>
      </c>
    </row>
    <row r="367" spans="1:19" x14ac:dyDescent="0.25">
      <c r="A367">
        <v>366</v>
      </c>
      <c r="B367">
        <v>3</v>
      </c>
      <c r="C367" t="s">
        <v>30</v>
      </c>
      <c r="D367" t="s">
        <v>32</v>
      </c>
      <c r="E367">
        <v>9400000</v>
      </c>
      <c r="F367">
        <v>21900000</v>
      </c>
      <c r="G367">
        <v>16</v>
      </c>
      <c r="H367">
        <v>685</v>
      </c>
      <c r="I367">
        <v>8100000</v>
      </c>
      <c r="J367">
        <v>5600000</v>
      </c>
      <c r="K367">
        <v>34500000</v>
      </c>
      <c r="L367">
        <v>5000000</v>
      </c>
      <c r="M367" t="s">
        <v>34</v>
      </c>
      <c r="N367">
        <f t="shared" si="31"/>
        <v>1</v>
      </c>
      <c r="O367" t="str">
        <f t="shared" si="30"/>
        <v>Medium</v>
      </c>
      <c r="P367" t="str">
        <f t="shared" si="32"/>
        <v>High</v>
      </c>
      <c r="Q367" t="str">
        <f t="shared" si="33"/>
        <v>High Loan</v>
      </c>
      <c r="R367">
        <f t="shared" si="34"/>
        <v>53200000</v>
      </c>
      <c r="S367" t="str">
        <f t="shared" si="35"/>
        <v>Strong</v>
      </c>
    </row>
    <row r="368" spans="1:19" x14ac:dyDescent="0.25">
      <c r="A368">
        <v>367</v>
      </c>
      <c r="B368">
        <v>3</v>
      </c>
      <c r="C368" t="s">
        <v>31</v>
      </c>
      <c r="D368" t="s">
        <v>33</v>
      </c>
      <c r="E368">
        <v>6000000</v>
      </c>
      <c r="F368">
        <v>12500000</v>
      </c>
      <c r="G368">
        <v>18</v>
      </c>
      <c r="H368">
        <v>851</v>
      </c>
      <c r="I368">
        <v>14600000</v>
      </c>
      <c r="J368">
        <v>5000000</v>
      </c>
      <c r="K368">
        <v>16800000</v>
      </c>
      <c r="L368">
        <v>5000000</v>
      </c>
      <c r="M368" t="s">
        <v>34</v>
      </c>
      <c r="N368">
        <f t="shared" si="31"/>
        <v>1</v>
      </c>
      <c r="O368" t="str">
        <f t="shared" si="30"/>
        <v>Excellent</v>
      </c>
      <c r="P368" t="str">
        <f t="shared" si="32"/>
        <v>High</v>
      </c>
      <c r="Q368" t="str">
        <f t="shared" si="33"/>
        <v>Low Loan</v>
      </c>
      <c r="R368">
        <f t="shared" si="34"/>
        <v>41400000</v>
      </c>
      <c r="S368" t="str">
        <f t="shared" si="35"/>
        <v>Strong</v>
      </c>
    </row>
    <row r="369" spans="1:19" x14ac:dyDescent="0.25">
      <c r="A369">
        <v>368</v>
      </c>
      <c r="B369">
        <v>1</v>
      </c>
      <c r="C369" t="s">
        <v>31</v>
      </c>
      <c r="D369" t="s">
        <v>33</v>
      </c>
      <c r="E369">
        <v>9400000</v>
      </c>
      <c r="F369">
        <v>29800000</v>
      </c>
      <c r="G369">
        <v>10</v>
      </c>
      <c r="H369">
        <v>377</v>
      </c>
      <c r="I369">
        <v>24100000</v>
      </c>
      <c r="J369">
        <v>18500000</v>
      </c>
      <c r="K369">
        <v>30900000</v>
      </c>
      <c r="L369">
        <v>11700000</v>
      </c>
      <c r="M369" t="s">
        <v>35</v>
      </c>
      <c r="N369">
        <f t="shared" si="31"/>
        <v>0</v>
      </c>
      <c r="O369" t="str">
        <f t="shared" si="30"/>
        <v>Low</v>
      </c>
      <c r="P369" t="str">
        <f t="shared" si="32"/>
        <v>High</v>
      </c>
      <c r="Q369" t="str">
        <f t="shared" si="33"/>
        <v>High Loan</v>
      </c>
      <c r="R369">
        <f t="shared" si="34"/>
        <v>85200000</v>
      </c>
      <c r="S369" t="str">
        <f t="shared" si="35"/>
        <v>Strong</v>
      </c>
    </row>
    <row r="370" spans="1:19" x14ac:dyDescent="0.25">
      <c r="A370">
        <v>369</v>
      </c>
      <c r="B370">
        <v>0</v>
      </c>
      <c r="C370" t="s">
        <v>31</v>
      </c>
      <c r="D370" t="s">
        <v>33</v>
      </c>
      <c r="E370">
        <v>1000000</v>
      </c>
      <c r="F370">
        <v>4000000</v>
      </c>
      <c r="G370">
        <v>10</v>
      </c>
      <c r="H370">
        <v>620</v>
      </c>
      <c r="I370">
        <v>2400000</v>
      </c>
      <c r="J370">
        <v>1300000</v>
      </c>
      <c r="K370">
        <v>3700000</v>
      </c>
      <c r="L370">
        <v>1100000</v>
      </c>
      <c r="M370" t="s">
        <v>34</v>
      </c>
      <c r="N370">
        <f t="shared" si="31"/>
        <v>1</v>
      </c>
      <c r="O370" t="str">
        <f t="shared" si="30"/>
        <v>Low</v>
      </c>
      <c r="P370" t="str">
        <f t="shared" si="32"/>
        <v>High</v>
      </c>
      <c r="Q370" t="str">
        <f t="shared" si="33"/>
        <v>Low Loan</v>
      </c>
      <c r="R370">
        <f t="shared" si="34"/>
        <v>8500000</v>
      </c>
      <c r="S370" t="str">
        <f t="shared" si="35"/>
        <v>Moderate</v>
      </c>
    </row>
    <row r="371" spans="1:19" x14ac:dyDescent="0.25">
      <c r="A371">
        <v>370</v>
      </c>
      <c r="B371">
        <v>3</v>
      </c>
      <c r="C371" t="s">
        <v>30</v>
      </c>
      <c r="D371" t="s">
        <v>33</v>
      </c>
      <c r="E371">
        <v>900000</v>
      </c>
      <c r="F371">
        <v>2300000</v>
      </c>
      <c r="G371">
        <v>20</v>
      </c>
      <c r="H371">
        <v>611</v>
      </c>
      <c r="I371">
        <v>600000</v>
      </c>
      <c r="J371">
        <v>1500000</v>
      </c>
      <c r="K371">
        <v>1900000</v>
      </c>
      <c r="L371">
        <v>500000</v>
      </c>
      <c r="M371" t="s">
        <v>34</v>
      </c>
      <c r="N371">
        <f t="shared" si="31"/>
        <v>1</v>
      </c>
      <c r="O371" t="str">
        <f t="shared" si="30"/>
        <v>Low</v>
      </c>
      <c r="P371" t="str">
        <f t="shared" si="32"/>
        <v>High</v>
      </c>
      <c r="Q371" t="str">
        <f t="shared" si="33"/>
        <v>Low Loan</v>
      </c>
      <c r="R371">
        <f t="shared" si="34"/>
        <v>4500000</v>
      </c>
      <c r="S371" t="str">
        <f t="shared" si="35"/>
        <v>Weak</v>
      </c>
    </row>
    <row r="372" spans="1:19" x14ac:dyDescent="0.25">
      <c r="A372">
        <v>371</v>
      </c>
      <c r="B372">
        <v>4</v>
      </c>
      <c r="C372" t="s">
        <v>31</v>
      </c>
      <c r="D372" t="s">
        <v>32</v>
      </c>
      <c r="E372">
        <v>2100000</v>
      </c>
      <c r="F372">
        <v>7700000</v>
      </c>
      <c r="G372">
        <v>4</v>
      </c>
      <c r="H372">
        <v>767</v>
      </c>
      <c r="I372">
        <v>1200000</v>
      </c>
      <c r="J372">
        <v>1700000</v>
      </c>
      <c r="K372">
        <v>6900000</v>
      </c>
      <c r="L372">
        <v>1300000</v>
      </c>
      <c r="M372" t="s">
        <v>34</v>
      </c>
      <c r="N372">
        <f t="shared" si="31"/>
        <v>1</v>
      </c>
      <c r="O372" t="str">
        <f t="shared" si="30"/>
        <v>Excellent</v>
      </c>
      <c r="P372" t="str">
        <f t="shared" si="32"/>
        <v>High</v>
      </c>
      <c r="Q372" t="str">
        <f t="shared" si="33"/>
        <v>Low Loan</v>
      </c>
      <c r="R372">
        <f t="shared" si="34"/>
        <v>11100000</v>
      </c>
      <c r="S372" t="str">
        <f t="shared" si="35"/>
        <v>Strong</v>
      </c>
    </row>
    <row r="373" spans="1:19" x14ac:dyDescent="0.25">
      <c r="A373">
        <v>372</v>
      </c>
      <c r="B373">
        <v>5</v>
      </c>
      <c r="C373" t="s">
        <v>30</v>
      </c>
      <c r="D373" t="s">
        <v>33</v>
      </c>
      <c r="E373">
        <v>1100000</v>
      </c>
      <c r="F373">
        <v>3200000</v>
      </c>
      <c r="G373">
        <v>20</v>
      </c>
      <c r="H373">
        <v>592</v>
      </c>
      <c r="I373">
        <v>3200000</v>
      </c>
      <c r="J373">
        <v>700000</v>
      </c>
      <c r="K373">
        <v>3500000</v>
      </c>
      <c r="L373">
        <v>500000</v>
      </c>
      <c r="M373" t="s">
        <v>34</v>
      </c>
      <c r="N373">
        <f t="shared" si="31"/>
        <v>1</v>
      </c>
      <c r="O373" t="str">
        <f t="shared" si="30"/>
        <v>Low</v>
      </c>
      <c r="P373" t="str">
        <f t="shared" si="32"/>
        <v>High</v>
      </c>
      <c r="Q373" t="str">
        <f t="shared" si="33"/>
        <v>Low Loan</v>
      </c>
      <c r="R373">
        <f t="shared" si="34"/>
        <v>7900000</v>
      </c>
      <c r="S373" t="str">
        <f t="shared" si="35"/>
        <v>Moderate</v>
      </c>
    </row>
    <row r="374" spans="1:19" x14ac:dyDescent="0.25">
      <c r="A374">
        <v>373</v>
      </c>
      <c r="B374">
        <v>0</v>
      </c>
      <c r="C374" t="s">
        <v>30</v>
      </c>
      <c r="D374" t="s">
        <v>33</v>
      </c>
      <c r="E374">
        <v>600000</v>
      </c>
      <c r="F374">
        <v>2300000</v>
      </c>
      <c r="G374">
        <v>4</v>
      </c>
      <c r="H374">
        <v>319</v>
      </c>
      <c r="I374">
        <v>1600000</v>
      </c>
      <c r="J374">
        <v>800000</v>
      </c>
      <c r="K374">
        <v>2300000</v>
      </c>
      <c r="L374">
        <v>700000</v>
      </c>
      <c r="M374" t="s">
        <v>34</v>
      </c>
      <c r="N374">
        <f t="shared" si="31"/>
        <v>1</v>
      </c>
      <c r="O374" t="str">
        <f t="shared" si="30"/>
        <v>Low</v>
      </c>
      <c r="P374" t="str">
        <f t="shared" si="32"/>
        <v>Middle</v>
      </c>
      <c r="Q374" t="str">
        <f t="shared" si="33"/>
        <v>Low Loan</v>
      </c>
      <c r="R374">
        <f t="shared" si="34"/>
        <v>5400000</v>
      </c>
      <c r="S374" t="str">
        <f t="shared" si="35"/>
        <v>Moderate</v>
      </c>
    </row>
    <row r="375" spans="1:19" x14ac:dyDescent="0.25">
      <c r="A375">
        <v>374</v>
      </c>
      <c r="B375">
        <v>4</v>
      </c>
      <c r="C375" t="s">
        <v>31</v>
      </c>
      <c r="D375" t="s">
        <v>33</v>
      </c>
      <c r="E375">
        <v>9200000</v>
      </c>
      <c r="F375">
        <v>25500000</v>
      </c>
      <c r="G375">
        <v>10</v>
      </c>
      <c r="H375">
        <v>900</v>
      </c>
      <c r="I375">
        <v>9400000</v>
      </c>
      <c r="J375">
        <v>10500000</v>
      </c>
      <c r="K375">
        <v>27400000</v>
      </c>
      <c r="L375">
        <v>12800000</v>
      </c>
      <c r="M375" t="s">
        <v>34</v>
      </c>
      <c r="N375">
        <f t="shared" si="31"/>
        <v>1</v>
      </c>
      <c r="O375" t="str">
        <f t="shared" si="30"/>
        <v>Excellent</v>
      </c>
      <c r="P375" t="str">
        <f t="shared" si="32"/>
        <v>High</v>
      </c>
      <c r="Q375" t="str">
        <f t="shared" si="33"/>
        <v>High Loan</v>
      </c>
      <c r="R375">
        <f t="shared" si="34"/>
        <v>60100000</v>
      </c>
      <c r="S375" t="str">
        <f t="shared" si="35"/>
        <v>Strong</v>
      </c>
    </row>
    <row r="376" spans="1:19" x14ac:dyDescent="0.25">
      <c r="A376">
        <v>375</v>
      </c>
      <c r="B376">
        <v>2</v>
      </c>
      <c r="C376" t="s">
        <v>31</v>
      </c>
      <c r="D376" t="s">
        <v>33</v>
      </c>
      <c r="E376">
        <v>3600000</v>
      </c>
      <c r="F376">
        <v>12800000</v>
      </c>
      <c r="G376">
        <v>18</v>
      </c>
      <c r="H376">
        <v>814</v>
      </c>
      <c r="I376">
        <v>8600000</v>
      </c>
      <c r="J376">
        <v>4100000</v>
      </c>
      <c r="K376">
        <v>10300000</v>
      </c>
      <c r="L376">
        <v>4100000</v>
      </c>
      <c r="M376" t="s">
        <v>34</v>
      </c>
      <c r="N376">
        <f t="shared" si="31"/>
        <v>1</v>
      </c>
      <c r="O376" t="str">
        <f t="shared" si="30"/>
        <v>Excellent</v>
      </c>
      <c r="P376" t="str">
        <f t="shared" si="32"/>
        <v>High</v>
      </c>
      <c r="Q376" t="str">
        <f t="shared" si="33"/>
        <v>Low Loan</v>
      </c>
      <c r="R376">
        <f t="shared" si="34"/>
        <v>27100000</v>
      </c>
      <c r="S376" t="str">
        <f t="shared" si="35"/>
        <v>Strong</v>
      </c>
    </row>
    <row r="377" spans="1:19" x14ac:dyDescent="0.25">
      <c r="A377">
        <v>376</v>
      </c>
      <c r="B377">
        <v>5</v>
      </c>
      <c r="C377" t="s">
        <v>31</v>
      </c>
      <c r="D377" t="s">
        <v>33</v>
      </c>
      <c r="E377">
        <v>1300000</v>
      </c>
      <c r="F377">
        <v>5000000</v>
      </c>
      <c r="G377">
        <v>10</v>
      </c>
      <c r="H377">
        <v>755</v>
      </c>
      <c r="I377">
        <v>2100000</v>
      </c>
      <c r="J377">
        <v>2200000</v>
      </c>
      <c r="K377">
        <v>4800000</v>
      </c>
      <c r="L377">
        <v>1900000</v>
      </c>
      <c r="M377" t="s">
        <v>34</v>
      </c>
      <c r="N377">
        <f t="shared" si="31"/>
        <v>1</v>
      </c>
      <c r="O377" t="str">
        <f t="shared" si="30"/>
        <v>Excellent</v>
      </c>
      <c r="P377" t="str">
        <f t="shared" si="32"/>
        <v>High</v>
      </c>
      <c r="Q377" t="str">
        <f t="shared" si="33"/>
        <v>Low Loan</v>
      </c>
      <c r="R377">
        <f t="shared" si="34"/>
        <v>11000000</v>
      </c>
      <c r="S377" t="str">
        <f t="shared" si="35"/>
        <v>Strong</v>
      </c>
    </row>
    <row r="378" spans="1:19" x14ac:dyDescent="0.25">
      <c r="A378">
        <v>377</v>
      </c>
      <c r="B378">
        <v>5</v>
      </c>
      <c r="C378" t="s">
        <v>30</v>
      </c>
      <c r="D378" t="s">
        <v>33</v>
      </c>
      <c r="E378">
        <v>7700000</v>
      </c>
      <c r="F378">
        <v>16800000</v>
      </c>
      <c r="G378">
        <v>20</v>
      </c>
      <c r="H378">
        <v>584</v>
      </c>
      <c r="I378">
        <v>8600000</v>
      </c>
      <c r="J378">
        <v>4800000</v>
      </c>
      <c r="K378">
        <v>23400000</v>
      </c>
      <c r="L378">
        <v>8000000</v>
      </c>
      <c r="M378" t="s">
        <v>34</v>
      </c>
      <c r="N378">
        <f t="shared" si="31"/>
        <v>1</v>
      </c>
      <c r="O378" t="str">
        <f t="shared" si="30"/>
        <v>Low</v>
      </c>
      <c r="P378" t="str">
        <f t="shared" si="32"/>
        <v>High</v>
      </c>
      <c r="Q378" t="str">
        <f t="shared" si="33"/>
        <v>Low Loan</v>
      </c>
      <c r="R378">
        <f t="shared" si="34"/>
        <v>44800000</v>
      </c>
      <c r="S378" t="str">
        <f t="shared" si="35"/>
        <v>Strong</v>
      </c>
    </row>
    <row r="379" spans="1:19" x14ac:dyDescent="0.25">
      <c r="A379">
        <v>378</v>
      </c>
      <c r="B379">
        <v>4</v>
      </c>
      <c r="C379" t="s">
        <v>30</v>
      </c>
      <c r="D379" t="s">
        <v>33</v>
      </c>
      <c r="E379">
        <v>9500000</v>
      </c>
      <c r="F379">
        <v>23500000</v>
      </c>
      <c r="G379">
        <v>14</v>
      </c>
      <c r="H379">
        <v>380</v>
      </c>
      <c r="I379">
        <v>22900000</v>
      </c>
      <c r="J379">
        <v>6700000</v>
      </c>
      <c r="K379">
        <v>25100000</v>
      </c>
      <c r="L379">
        <v>7300000</v>
      </c>
      <c r="M379" t="s">
        <v>35</v>
      </c>
      <c r="N379">
        <f t="shared" si="31"/>
        <v>0</v>
      </c>
      <c r="O379" t="str">
        <f t="shared" si="30"/>
        <v>Low</v>
      </c>
      <c r="P379" t="str">
        <f t="shared" si="32"/>
        <v>High</v>
      </c>
      <c r="Q379" t="str">
        <f t="shared" si="33"/>
        <v>High Loan</v>
      </c>
      <c r="R379">
        <f t="shared" si="34"/>
        <v>62000000</v>
      </c>
      <c r="S379" t="str">
        <f t="shared" si="35"/>
        <v>Strong</v>
      </c>
    </row>
    <row r="380" spans="1:19" x14ac:dyDescent="0.25">
      <c r="A380">
        <v>379</v>
      </c>
      <c r="B380">
        <v>2</v>
      </c>
      <c r="C380" t="s">
        <v>31</v>
      </c>
      <c r="D380" t="s">
        <v>33</v>
      </c>
      <c r="E380">
        <v>5000000</v>
      </c>
      <c r="F380">
        <v>17600000</v>
      </c>
      <c r="G380">
        <v>20</v>
      </c>
      <c r="H380">
        <v>465</v>
      </c>
      <c r="I380">
        <v>6200000</v>
      </c>
      <c r="J380">
        <v>5200000</v>
      </c>
      <c r="K380">
        <v>16500000</v>
      </c>
      <c r="L380">
        <v>5200000</v>
      </c>
      <c r="M380" t="s">
        <v>35</v>
      </c>
      <c r="N380">
        <f t="shared" si="31"/>
        <v>0</v>
      </c>
      <c r="O380" t="str">
        <f t="shared" si="30"/>
        <v>Low</v>
      </c>
      <c r="P380" t="str">
        <f t="shared" si="32"/>
        <v>High</v>
      </c>
      <c r="Q380" t="str">
        <f t="shared" si="33"/>
        <v>Low Loan</v>
      </c>
      <c r="R380">
        <f t="shared" si="34"/>
        <v>33100000</v>
      </c>
      <c r="S380" t="str">
        <f t="shared" si="35"/>
        <v>Strong</v>
      </c>
    </row>
    <row r="381" spans="1:19" x14ac:dyDescent="0.25">
      <c r="A381">
        <v>380</v>
      </c>
      <c r="B381">
        <v>0</v>
      </c>
      <c r="C381" t="s">
        <v>31</v>
      </c>
      <c r="D381" t="s">
        <v>32</v>
      </c>
      <c r="E381">
        <v>500000</v>
      </c>
      <c r="F381">
        <v>1800000</v>
      </c>
      <c r="G381">
        <v>2</v>
      </c>
      <c r="H381">
        <v>531</v>
      </c>
      <c r="I381">
        <v>1300000</v>
      </c>
      <c r="J381">
        <v>500000</v>
      </c>
      <c r="K381">
        <v>1900000</v>
      </c>
      <c r="L381">
        <v>700000</v>
      </c>
      <c r="M381" t="s">
        <v>34</v>
      </c>
      <c r="N381">
        <f t="shared" si="31"/>
        <v>1</v>
      </c>
      <c r="O381" t="str">
        <f t="shared" si="30"/>
        <v>Low</v>
      </c>
      <c r="P381" t="str">
        <f t="shared" si="32"/>
        <v>Middle</v>
      </c>
      <c r="Q381" t="str">
        <f t="shared" si="33"/>
        <v>Low Loan</v>
      </c>
      <c r="R381">
        <f t="shared" si="34"/>
        <v>4400000</v>
      </c>
      <c r="S381" t="str">
        <f t="shared" si="35"/>
        <v>Weak</v>
      </c>
    </row>
    <row r="382" spans="1:19" x14ac:dyDescent="0.25">
      <c r="A382">
        <v>381</v>
      </c>
      <c r="B382">
        <v>1</v>
      </c>
      <c r="C382" t="s">
        <v>30</v>
      </c>
      <c r="D382" t="s">
        <v>33</v>
      </c>
      <c r="E382">
        <v>8300000</v>
      </c>
      <c r="F382">
        <v>32100000</v>
      </c>
      <c r="G382">
        <v>16</v>
      </c>
      <c r="H382">
        <v>814</v>
      </c>
      <c r="I382">
        <v>18500000</v>
      </c>
      <c r="J382">
        <v>2700000</v>
      </c>
      <c r="K382">
        <v>28900000</v>
      </c>
      <c r="L382">
        <v>7500000</v>
      </c>
      <c r="M382" t="s">
        <v>34</v>
      </c>
      <c r="N382">
        <f t="shared" si="31"/>
        <v>1</v>
      </c>
      <c r="O382" t="str">
        <f t="shared" si="30"/>
        <v>Excellent</v>
      </c>
      <c r="P382" t="str">
        <f t="shared" si="32"/>
        <v>High</v>
      </c>
      <c r="Q382" t="str">
        <f t="shared" si="33"/>
        <v>High Loan</v>
      </c>
      <c r="R382">
        <f t="shared" si="34"/>
        <v>57600000</v>
      </c>
      <c r="S382" t="str">
        <f t="shared" si="35"/>
        <v>Strong</v>
      </c>
    </row>
    <row r="383" spans="1:19" x14ac:dyDescent="0.25">
      <c r="A383">
        <v>382</v>
      </c>
      <c r="B383">
        <v>0</v>
      </c>
      <c r="C383" t="s">
        <v>30</v>
      </c>
      <c r="D383" t="s">
        <v>32</v>
      </c>
      <c r="E383">
        <v>5300000</v>
      </c>
      <c r="F383">
        <v>17900000</v>
      </c>
      <c r="G383">
        <v>6</v>
      </c>
      <c r="H383">
        <v>678</v>
      </c>
      <c r="I383">
        <v>4700000</v>
      </c>
      <c r="J383">
        <v>3900000</v>
      </c>
      <c r="K383">
        <v>14400000</v>
      </c>
      <c r="L383">
        <v>3600000</v>
      </c>
      <c r="M383" t="s">
        <v>34</v>
      </c>
      <c r="N383">
        <f t="shared" si="31"/>
        <v>1</v>
      </c>
      <c r="O383" t="str">
        <f t="shared" si="30"/>
        <v>Medium</v>
      </c>
      <c r="P383" t="str">
        <f t="shared" si="32"/>
        <v>High</v>
      </c>
      <c r="Q383" t="str">
        <f t="shared" si="33"/>
        <v>Low Loan</v>
      </c>
      <c r="R383">
        <f t="shared" si="34"/>
        <v>26600000</v>
      </c>
      <c r="S383" t="str">
        <f t="shared" si="35"/>
        <v>Strong</v>
      </c>
    </row>
    <row r="384" spans="1:19" x14ac:dyDescent="0.25">
      <c r="A384">
        <v>383</v>
      </c>
      <c r="B384">
        <v>2</v>
      </c>
      <c r="C384" t="s">
        <v>31</v>
      </c>
      <c r="D384" t="s">
        <v>33</v>
      </c>
      <c r="E384">
        <v>9300000</v>
      </c>
      <c r="F384">
        <v>29000000</v>
      </c>
      <c r="G384">
        <v>12</v>
      </c>
      <c r="H384">
        <v>655</v>
      </c>
      <c r="I384">
        <v>7900000</v>
      </c>
      <c r="J384">
        <v>6800000</v>
      </c>
      <c r="K384">
        <v>29900000</v>
      </c>
      <c r="L384">
        <v>4900000</v>
      </c>
      <c r="M384" t="s">
        <v>34</v>
      </c>
      <c r="N384">
        <f t="shared" si="31"/>
        <v>1</v>
      </c>
      <c r="O384" t="str">
        <f t="shared" si="30"/>
        <v>Medium</v>
      </c>
      <c r="P384" t="str">
        <f t="shared" si="32"/>
        <v>High</v>
      </c>
      <c r="Q384" t="str">
        <f t="shared" si="33"/>
        <v>High Loan</v>
      </c>
      <c r="R384">
        <f t="shared" si="34"/>
        <v>49500000</v>
      </c>
      <c r="S384" t="str">
        <f t="shared" si="35"/>
        <v>Strong</v>
      </c>
    </row>
    <row r="385" spans="1:19" x14ac:dyDescent="0.25">
      <c r="A385">
        <v>384</v>
      </c>
      <c r="B385">
        <v>3</v>
      </c>
      <c r="C385" t="s">
        <v>31</v>
      </c>
      <c r="D385" t="s">
        <v>32</v>
      </c>
      <c r="E385">
        <v>2300000</v>
      </c>
      <c r="F385">
        <v>7400000</v>
      </c>
      <c r="G385">
        <v>2</v>
      </c>
      <c r="H385">
        <v>682</v>
      </c>
      <c r="I385">
        <v>6500000</v>
      </c>
      <c r="J385">
        <v>2400000</v>
      </c>
      <c r="K385">
        <v>7600000</v>
      </c>
      <c r="L385">
        <v>2100000</v>
      </c>
      <c r="M385" t="s">
        <v>34</v>
      </c>
      <c r="N385">
        <f t="shared" si="31"/>
        <v>1</v>
      </c>
      <c r="O385" t="str">
        <f t="shared" si="30"/>
        <v>Medium</v>
      </c>
      <c r="P385" t="str">
        <f t="shared" si="32"/>
        <v>High</v>
      </c>
      <c r="Q385" t="str">
        <f t="shared" si="33"/>
        <v>Low Loan</v>
      </c>
      <c r="R385">
        <f t="shared" si="34"/>
        <v>18600000</v>
      </c>
      <c r="S385" t="str">
        <f t="shared" si="35"/>
        <v>Strong</v>
      </c>
    </row>
    <row r="386" spans="1:19" x14ac:dyDescent="0.25">
      <c r="A386">
        <v>385</v>
      </c>
      <c r="B386">
        <v>1</v>
      </c>
      <c r="C386" t="s">
        <v>31</v>
      </c>
      <c r="D386" t="s">
        <v>32</v>
      </c>
      <c r="E386">
        <v>400000</v>
      </c>
      <c r="F386">
        <v>1300000</v>
      </c>
      <c r="G386">
        <v>6</v>
      </c>
      <c r="H386">
        <v>695</v>
      </c>
      <c r="I386">
        <v>200000</v>
      </c>
      <c r="J386">
        <v>500000</v>
      </c>
      <c r="K386">
        <v>800000</v>
      </c>
      <c r="L386">
        <v>100000</v>
      </c>
      <c r="M386" t="s">
        <v>34</v>
      </c>
      <c r="N386">
        <f t="shared" si="31"/>
        <v>1</v>
      </c>
      <c r="O386" t="str">
        <f t="shared" ref="O386:O449" si="36">IF(H386&lt;650,"Low",
 IF(H386&lt;700,"Medium",
 IF(H386&lt;750,"Good","Excellent")))</f>
        <v>Medium</v>
      </c>
      <c r="P386" t="str">
        <f t="shared" si="32"/>
        <v>Middle</v>
      </c>
      <c r="Q386" t="str">
        <f t="shared" si="33"/>
        <v>Low Loan</v>
      </c>
      <c r="R386">
        <f t="shared" si="34"/>
        <v>1600000</v>
      </c>
      <c r="S386" t="str">
        <f t="shared" si="35"/>
        <v>Weak</v>
      </c>
    </row>
    <row r="387" spans="1:19" x14ac:dyDescent="0.25">
      <c r="A387">
        <v>386</v>
      </c>
      <c r="B387">
        <v>3</v>
      </c>
      <c r="C387" t="s">
        <v>31</v>
      </c>
      <c r="D387" t="s">
        <v>32</v>
      </c>
      <c r="E387">
        <v>3200000</v>
      </c>
      <c r="F387">
        <v>10800000</v>
      </c>
      <c r="G387">
        <v>4</v>
      </c>
      <c r="H387">
        <v>833</v>
      </c>
      <c r="I387">
        <v>2600000</v>
      </c>
      <c r="J387">
        <v>1000000</v>
      </c>
      <c r="K387">
        <v>8700000</v>
      </c>
      <c r="L387">
        <v>2600000</v>
      </c>
      <c r="M387" t="s">
        <v>34</v>
      </c>
      <c r="N387">
        <f t="shared" ref="N387:N450" si="37">IF(TRIM(CLEAN(M387))="Approved",1,0)</f>
        <v>1</v>
      </c>
      <c r="O387" t="str">
        <f t="shared" si="36"/>
        <v>Excellent</v>
      </c>
      <c r="P387" t="str">
        <f t="shared" ref="P387:P450" si="38">IF(E387&lt;300000,"Low",
 IF(E387&lt;700000,"Middle","High"))</f>
        <v>High</v>
      </c>
      <c r="Q387" t="str">
        <f t="shared" ref="Q387:Q450" si="39">IF(F387&lt;20000000,"Low Loan","High Loan")</f>
        <v>Low Loan</v>
      </c>
      <c r="R387">
        <f t="shared" ref="R387:R450" si="40">I387+J387+K387+L387</f>
        <v>14900000</v>
      </c>
      <c r="S387" t="str">
        <f t="shared" ref="S387:S450" si="41">IF(R387&lt;5000000,"Weak",
 IF(R387&lt;10000000,"Moderate","Strong"))</f>
        <v>Strong</v>
      </c>
    </row>
    <row r="388" spans="1:19" x14ac:dyDescent="0.25">
      <c r="A388">
        <v>387</v>
      </c>
      <c r="B388">
        <v>5</v>
      </c>
      <c r="C388" t="s">
        <v>31</v>
      </c>
      <c r="D388" t="s">
        <v>33</v>
      </c>
      <c r="E388">
        <v>9400000</v>
      </c>
      <c r="F388">
        <v>35300000</v>
      </c>
      <c r="G388">
        <v>16</v>
      </c>
      <c r="H388">
        <v>302</v>
      </c>
      <c r="I388">
        <v>4100000</v>
      </c>
      <c r="J388">
        <v>12500000</v>
      </c>
      <c r="K388">
        <v>37000000</v>
      </c>
      <c r="L388">
        <v>12900000</v>
      </c>
      <c r="M388" t="s">
        <v>35</v>
      </c>
      <c r="N388">
        <f t="shared" si="37"/>
        <v>0</v>
      </c>
      <c r="O388" t="str">
        <f t="shared" si="36"/>
        <v>Low</v>
      </c>
      <c r="P388" t="str">
        <f t="shared" si="38"/>
        <v>High</v>
      </c>
      <c r="Q388" t="str">
        <f t="shared" si="39"/>
        <v>High Loan</v>
      </c>
      <c r="R388">
        <f t="shared" si="40"/>
        <v>66500000</v>
      </c>
      <c r="S388" t="str">
        <f t="shared" si="41"/>
        <v>Strong</v>
      </c>
    </row>
    <row r="389" spans="1:19" x14ac:dyDescent="0.25">
      <c r="A389">
        <v>388</v>
      </c>
      <c r="B389">
        <v>1</v>
      </c>
      <c r="C389" t="s">
        <v>30</v>
      </c>
      <c r="D389" t="s">
        <v>32</v>
      </c>
      <c r="E389">
        <v>2300000</v>
      </c>
      <c r="F389">
        <v>6600000</v>
      </c>
      <c r="G389">
        <v>2</v>
      </c>
      <c r="H389">
        <v>357</v>
      </c>
      <c r="I389">
        <v>5900000</v>
      </c>
      <c r="J389">
        <v>200000</v>
      </c>
      <c r="K389">
        <v>6000000</v>
      </c>
      <c r="L389">
        <v>2200000</v>
      </c>
      <c r="M389" t="s">
        <v>35</v>
      </c>
      <c r="N389">
        <f t="shared" si="37"/>
        <v>0</v>
      </c>
      <c r="O389" t="str">
        <f t="shared" si="36"/>
        <v>Low</v>
      </c>
      <c r="P389" t="str">
        <f t="shared" si="38"/>
        <v>High</v>
      </c>
      <c r="Q389" t="str">
        <f t="shared" si="39"/>
        <v>Low Loan</v>
      </c>
      <c r="R389">
        <f t="shared" si="40"/>
        <v>14300000</v>
      </c>
      <c r="S389" t="str">
        <f t="shared" si="41"/>
        <v>Strong</v>
      </c>
    </row>
    <row r="390" spans="1:19" x14ac:dyDescent="0.25">
      <c r="A390">
        <v>389</v>
      </c>
      <c r="B390">
        <v>5</v>
      </c>
      <c r="C390" t="s">
        <v>31</v>
      </c>
      <c r="D390" t="s">
        <v>32</v>
      </c>
      <c r="E390">
        <v>4300000</v>
      </c>
      <c r="F390">
        <v>14500000</v>
      </c>
      <c r="G390">
        <v>12</v>
      </c>
      <c r="H390">
        <v>302</v>
      </c>
      <c r="I390">
        <v>12500000</v>
      </c>
      <c r="J390">
        <v>4300000</v>
      </c>
      <c r="K390">
        <v>12500000</v>
      </c>
      <c r="L390">
        <v>5100000</v>
      </c>
      <c r="M390" t="s">
        <v>35</v>
      </c>
      <c r="N390">
        <f t="shared" si="37"/>
        <v>0</v>
      </c>
      <c r="O390" t="str">
        <f t="shared" si="36"/>
        <v>Low</v>
      </c>
      <c r="P390" t="str">
        <f t="shared" si="38"/>
        <v>High</v>
      </c>
      <c r="Q390" t="str">
        <f t="shared" si="39"/>
        <v>Low Loan</v>
      </c>
      <c r="R390">
        <f t="shared" si="40"/>
        <v>34400000</v>
      </c>
      <c r="S390" t="str">
        <f t="shared" si="41"/>
        <v>Strong</v>
      </c>
    </row>
    <row r="391" spans="1:19" x14ac:dyDescent="0.25">
      <c r="A391">
        <v>390</v>
      </c>
      <c r="B391">
        <v>0</v>
      </c>
      <c r="C391" t="s">
        <v>30</v>
      </c>
      <c r="D391" t="s">
        <v>33</v>
      </c>
      <c r="E391">
        <v>6200000</v>
      </c>
      <c r="F391">
        <v>22400000</v>
      </c>
      <c r="G391">
        <v>18</v>
      </c>
      <c r="H391">
        <v>873</v>
      </c>
      <c r="I391">
        <v>15700000</v>
      </c>
      <c r="J391">
        <v>6600000</v>
      </c>
      <c r="K391">
        <v>15800000</v>
      </c>
      <c r="L391">
        <v>8200000</v>
      </c>
      <c r="M391" t="s">
        <v>34</v>
      </c>
      <c r="N391">
        <f t="shared" si="37"/>
        <v>1</v>
      </c>
      <c r="O391" t="str">
        <f t="shared" si="36"/>
        <v>Excellent</v>
      </c>
      <c r="P391" t="str">
        <f t="shared" si="38"/>
        <v>High</v>
      </c>
      <c r="Q391" t="str">
        <f t="shared" si="39"/>
        <v>High Loan</v>
      </c>
      <c r="R391">
        <f t="shared" si="40"/>
        <v>46300000</v>
      </c>
      <c r="S391" t="str">
        <f t="shared" si="41"/>
        <v>Strong</v>
      </c>
    </row>
    <row r="392" spans="1:19" x14ac:dyDescent="0.25">
      <c r="A392">
        <v>391</v>
      </c>
      <c r="B392">
        <v>0</v>
      </c>
      <c r="C392" t="s">
        <v>31</v>
      </c>
      <c r="D392" t="s">
        <v>33</v>
      </c>
      <c r="E392">
        <v>7200000</v>
      </c>
      <c r="F392">
        <v>19800000</v>
      </c>
      <c r="G392">
        <v>12</v>
      </c>
      <c r="H392">
        <v>658</v>
      </c>
      <c r="I392">
        <v>12700000</v>
      </c>
      <c r="J392">
        <v>8100000</v>
      </c>
      <c r="K392">
        <v>25000000</v>
      </c>
      <c r="L392">
        <v>7300000</v>
      </c>
      <c r="M392" t="s">
        <v>34</v>
      </c>
      <c r="N392">
        <f t="shared" si="37"/>
        <v>1</v>
      </c>
      <c r="O392" t="str">
        <f t="shared" si="36"/>
        <v>Medium</v>
      </c>
      <c r="P392" t="str">
        <f t="shared" si="38"/>
        <v>High</v>
      </c>
      <c r="Q392" t="str">
        <f t="shared" si="39"/>
        <v>Low Loan</v>
      </c>
      <c r="R392">
        <f t="shared" si="40"/>
        <v>53100000</v>
      </c>
      <c r="S392" t="str">
        <f t="shared" si="41"/>
        <v>Strong</v>
      </c>
    </row>
    <row r="393" spans="1:19" x14ac:dyDescent="0.25">
      <c r="A393">
        <v>392</v>
      </c>
      <c r="B393">
        <v>5</v>
      </c>
      <c r="C393" t="s">
        <v>30</v>
      </c>
      <c r="D393" t="s">
        <v>33</v>
      </c>
      <c r="E393">
        <v>2400000</v>
      </c>
      <c r="F393">
        <v>8700000</v>
      </c>
      <c r="G393">
        <v>18</v>
      </c>
      <c r="H393">
        <v>877</v>
      </c>
      <c r="I393">
        <v>2800000</v>
      </c>
      <c r="J393">
        <v>2900000</v>
      </c>
      <c r="K393">
        <v>7100000</v>
      </c>
      <c r="L393">
        <v>1100000</v>
      </c>
      <c r="M393" t="s">
        <v>34</v>
      </c>
      <c r="N393">
        <f t="shared" si="37"/>
        <v>1</v>
      </c>
      <c r="O393" t="str">
        <f t="shared" si="36"/>
        <v>Excellent</v>
      </c>
      <c r="P393" t="str">
        <f t="shared" si="38"/>
        <v>High</v>
      </c>
      <c r="Q393" t="str">
        <f t="shared" si="39"/>
        <v>Low Loan</v>
      </c>
      <c r="R393">
        <f t="shared" si="40"/>
        <v>13900000</v>
      </c>
      <c r="S393" t="str">
        <f t="shared" si="41"/>
        <v>Strong</v>
      </c>
    </row>
    <row r="394" spans="1:19" x14ac:dyDescent="0.25">
      <c r="A394">
        <v>393</v>
      </c>
      <c r="B394">
        <v>3</v>
      </c>
      <c r="C394" t="s">
        <v>31</v>
      </c>
      <c r="D394" t="s">
        <v>32</v>
      </c>
      <c r="E394">
        <v>2900000</v>
      </c>
      <c r="F394">
        <v>6300000</v>
      </c>
      <c r="G394">
        <v>8</v>
      </c>
      <c r="H394">
        <v>648</v>
      </c>
      <c r="I394">
        <v>3400000</v>
      </c>
      <c r="J394">
        <v>3400000</v>
      </c>
      <c r="K394">
        <v>7600000</v>
      </c>
      <c r="L394">
        <v>1400000</v>
      </c>
      <c r="M394" t="s">
        <v>34</v>
      </c>
      <c r="N394">
        <f t="shared" si="37"/>
        <v>1</v>
      </c>
      <c r="O394" t="str">
        <f t="shared" si="36"/>
        <v>Low</v>
      </c>
      <c r="P394" t="str">
        <f t="shared" si="38"/>
        <v>High</v>
      </c>
      <c r="Q394" t="str">
        <f t="shared" si="39"/>
        <v>Low Loan</v>
      </c>
      <c r="R394">
        <f t="shared" si="40"/>
        <v>15800000</v>
      </c>
      <c r="S394" t="str">
        <f t="shared" si="41"/>
        <v>Strong</v>
      </c>
    </row>
    <row r="395" spans="1:19" x14ac:dyDescent="0.25">
      <c r="A395">
        <v>394</v>
      </c>
      <c r="B395">
        <v>1</v>
      </c>
      <c r="C395" t="s">
        <v>30</v>
      </c>
      <c r="D395" t="s">
        <v>32</v>
      </c>
      <c r="E395">
        <v>1400000</v>
      </c>
      <c r="F395">
        <v>5200000</v>
      </c>
      <c r="G395">
        <v>12</v>
      </c>
      <c r="H395">
        <v>730</v>
      </c>
      <c r="I395">
        <v>2900000</v>
      </c>
      <c r="J395">
        <v>0</v>
      </c>
      <c r="K395">
        <v>3700000</v>
      </c>
      <c r="L395">
        <v>700000</v>
      </c>
      <c r="M395" t="s">
        <v>34</v>
      </c>
      <c r="N395">
        <f t="shared" si="37"/>
        <v>1</v>
      </c>
      <c r="O395" t="str">
        <f t="shared" si="36"/>
        <v>Good</v>
      </c>
      <c r="P395" t="str">
        <f t="shared" si="38"/>
        <v>High</v>
      </c>
      <c r="Q395" t="str">
        <f t="shared" si="39"/>
        <v>Low Loan</v>
      </c>
      <c r="R395">
        <f t="shared" si="40"/>
        <v>7300000</v>
      </c>
      <c r="S395" t="str">
        <f t="shared" si="41"/>
        <v>Moderate</v>
      </c>
    </row>
    <row r="396" spans="1:19" x14ac:dyDescent="0.25">
      <c r="A396">
        <v>395</v>
      </c>
      <c r="B396">
        <v>4</v>
      </c>
      <c r="C396" t="s">
        <v>31</v>
      </c>
      <c r="D396" t="s">
        <v>33</v>
      </c>
      <c r="E396">
        <v>2200000</v>
      </c>
      <c r="F396">
        <v>8200000</v>
      </c>
      <c r="G396">
        <v>14</v>
      </c>
      <c r="H396">
        <v>737</v>
      </c>
      <c r="I396">
        <v>5800000</v>
      </c>
      <c r="J396">
        <v>2800000</v>
      </c>
      <c r="K396">
        <v>8200000</v>
      </c>
      <c r="L396">
        <v>1400000</v>
      </c>
      <c r="M396" t="s">
        <v>34</v>
      </c>
      <c r="N396">
        <f t="shared" si="37"/>
        <v>1</v>
      </c>
      <c r="O396" t="str">
        <f t="shared" si="36"/>
        <v>Good</v>
      </c>
      <c r="P396" t="str">
        <f t="shared" si="38"/>
        <v>High</v>
      </c>
      <c r="Q396" t="str">
        <f t="shared" si="39"/>
        <v>Low Loan</v>
      </c>
      <c r="R396">
        <f t="shared" si="40"/>
        <v>18200000</v>
      </c>
      <c r="S396" t="str">
        <f t="shared" si="41"/>
        <v>Strong</v>
      </c>
    </row>
    <row r="397" spans="1:19" x14ac:dyDescent="0.25">
      <c r="A397">
        <v>396</v>
      </c>
      <c r="B397">
        <v>2</v>
      </c>
      <c r="C397" t="s">
        <v>30</v>
      </c>
      <c r="D397" t="s">
        <v>33</v>
      </c>
      <c r="E397">
        <v>800000</v>
      </c>
      <c r="F397">
        <v>3200000</v>
      </c>
      <c r="G397">
        <v>10</v>
      </c>
      <c r="H397">
        <v>584</v>
      </c>
      <c r="I397">
        <v>0</v>
      </c>
      <c r="J397">
        <v>200000</v>
      </c>
      <c r="K397">
        <v>2100000</v>
      </c>
      <c r="L397">
        <v>700000</v>
      </c>
      <c r="M397" t="s">
        <v>35</v>
      </c>
      <c r="N397">
        <f t="shared" si="37"/>
        <v>0</v>
      </c>
      <c r="O397" t="str">
        <f t="shared" si="36"/>
        <v>Low</v>
      </c>
      <c r="P397" t="str">
        <f t="shared" si="38"/>
        <v>High</v>
      </c>
      <c r="Q397" t="str">
        <f t="shared" si="39"/>
        <v>Low Loan</v>
      </c>
      <c r="R397">
        <f t="shared" si="40"/>
        <v>3000000</v>
      </c>
      <c r="S397" t="str">
        <f t="shared" si="41"/>
        <v>Weak</v>
      </c>
    </row>
    <row r="398" spans="1:19" x14ac:dyDescent="0.25">
      <c r="A398">
        <v>397</v>
      </c>
      <c r="B398">
        <v>0</v>
      </c>
      <c r="C398" t="s">
        <v>30</v>
      </c>
      <c r="D398" t="s">
        <v>32</v>
      </c>
      <c r="E398">
        <v>600000</v>
      </c>
      <c r="F398">
        <v>1700000</v>
      </c>
      <c r="G398">
        <v>2</v>
      </c>
      <c r="H398">
        <v>621</v>
      </c>
      <c r="I398">
        <v>400000</v>
      </c>
      <c r="J398">
        <v>400000</v>
      </c>
      <c r="K398">
        <v>2000000</v>
      </c>
      <c r="L398">
        <v>200000</v>
      </c>
      <c r="M398" t="s">
        <v>34</v>
      </c>
      <c r="N398">
        <f t="shared" si="37"/>
        <v>1</v>
      </c>
      <c r="O398" t="str">
        <f t="shared" si="36"/>
        <v>Low</v>
      </c>
      <c r="P398" t="str">
        <f t="shared" si="38"/>
        <v>Middle</v>
      </c>
      <c r="Q398" t="str">
        <f t="shared" si="39"/>
        <v>Low Loan</v>
      </c>
      <c r="R398">
        <f t="shared" si="40"/>
        <v>3000000</v>
      </c>
      <c r="S398" t="str">
        <f t="shared" si="41"/>
        <v>Weak</v>
      </c>
    </row>
    <row r="399" spans="1:19" x14ac:dyDescent="0.25">
      <c r="A399">
        <v>398</v>
      </c>
      <c r="B399">
        <v>4</v>
      </c>
      <c r="C399" t="s">
        <v>30</v>
      </c>
      <c r="D399" t="s">
        <v>33</v>
      </c>
      <c r="E399">
        <v>700000</v>
      </c>
      <c r="F399">
        <v>2700000</v>
      </c>
      <c r="G399">
        <v>16</v>
      </c>
      <c r="H399">
        <v>583</v>
      </c>
      <c r="I399">
        <v>1100000</v>
      </c>
      <c r="J399">
        <v>1200000</v>
      </c>
      <c r="K399">
        <v>1400000</v>
      </c>
      <c r="L399">
        <v>300000</v>
      </c>
      <c r="M399" t="s">
        <v>34</v>
      </c>
      <c r="N399">
        <f t="shared" si="37"/>
        <v>1</v>
      </c>
      <c r="O399" t="str">
        <f t="shared" si="36"/>
        <v>Low</v>
      </c>
      <c r="P399" t="str">
        <f t="shared" si="38"/>
        <v>High</v>
      </c>
      <c r="Q399" t="str">
        <f t="shared" si="39"/>
        <v>Low Loan</v>
      </c>
      <c r="R399">
        <f t="shared" si="40"/>
        <v>4000000</v>
      </c>
      <c r="S399" t="str">
        <f t="shared" si="41"/>
        <v>Weak</v>
      </c>
    </row>
    <row r="400" spans="1:19" x14ac:dyDescent="0.25">
      <c r="A400">
        <v>399</v>
      </c>
      <c r="B400">
        <v>2</v>
      </c>
      <c r="C400" t="s">
        <v>31</v>
      </c>
      <c r="D400" t="s">
        <v>32</v>
      </c>
      <c r="E400">
        <v>8400000</v>
      </c>
      <c r="F400">
        <v>25900000</v>
      </c>
      <c r="G400">
        <v>16</v>
      </c>
      <c r="H400">
        <v>621</v>
      </c>
      <c r="I400">
        <v>8600000</v>
      </c>
      <c r="J400">
        <v>13400000</v>
      </c>
      <c r="K400">
        <v>33500000</v>
      </c>
      <c r="L400">
        <v>4200000</v>
      </c>
      <c r="M400" t="s">
        <v>34</v>
      </c>
      <c r="N400">
        <f t="shared" si="37"/>
        <v>1</v>
      </c>
      <c r="O400" t="str">
        <f t="shared" si="36"/>
        <v>Low</v>
      </c>
      <c r="P400" t="str">
        <f t="shared" si="38"/>
        <v>High</v>
      </c>
      <c r="Q400" t="str">
        <f t="shared" si="39"/>
        <v>High Loan</v>
      </c>
      <c r="R400">
        <f t="shared" si="40"/>
        <v>59700000</v>
      </c>
      <c r="S400" t="str">
        <f t="shared" si="41"/>
        <v>Strong</v>
      </c>
    </row>
    <row r="401" spans="1:19" x14ac:dyDescent="0.25">
      <c r="A401">
        <v>400</v>
      </c>
      <c r="B401">
        <v>2</v>
      </c>
      <c r="C401" t="s">
        <v>31</v>
      </c>
      <c r="D401" t="s">
        <v>32</v>
      </c>
      <c r="E401">
        <v>7100000</v>
      </c>
      <c r="F401">
        <v>21500000</v>
      </c>
      <c r="G401">
        <v>16</v>
      </c>
      <c r="H401">
        <v>610</v>
      </c>
      <c r="I401">
        <v>5800000</v>
      </c>
      <c r="J401">
        <v>12100000</v>
      </c>
      <c r="K401">
        <v>14200000</v>
      </c>
      <c r="L401">
        <v>9300000</v>
      </c>
      <c r="M401" t="s">
        <v>34</v>
      </c>
      <c r="N401">
        <f t="shared" si="37"/>
        <v>1</v>
      </c>
      <c r="O401" t="str">
        <f t="shared" si="36"/>
        <v>Low</v>
      </c>
      <c r="P401" t="str">
        <f t="shared" si="38"/>
        <v>High</v>
      </c>
      <c r="Q401" t="str">
        <f t="shared" si="39"/>
        <v>High Loan</v>
      </c>
      <c r="R401">
        <f t="shared" si="40"/>
        <v>41400000</v>
      </c>
      <c r="S401" t="str">
        <f t="shared" si="41"/>
        <v>Strong</v>
      </c>
    </row>
    <row r="402" spans="1:19" x14ac:dyDescent="0.25">
      <c r="A402">
        <v>401</v>
      </c>
      <c r="B402">
        <v>4</v>
      </c>
      <c r="C402" t="s">
        <v>30</v>
      </c>
      <c r="D402" t="s">
        <v>32</v>
      </c>
      <c r="E402">
        <v>5400000</v>
      </c>
      <c r="F402">
        <v>15700000</v>
      </c>
      <c r="G402">
        <v>18</v>
      </c>
      <c r="H402">
        <v>452</v>
      </c>
      <c r="I402">
        <v>13700000</v>
      </c>
      <c r="J402">
        <v>2600000</v>
      </c>
      <c r="K402">
        <v>16500000</v>
      </c>
      <c r="L402">
        <v>6600000</v>
      </c>
      <c r="M402" t="s">
        <v>35</v>
      </c>
      <c r="N402">
        <f t="shared" si="37"/>
        <v>0</v>
      </c>
      <c r="O402" t="str">
        <f t="shared" si="36"/>
        <v>Low</v>
      </c>
      <c r="P402" t="str">
        <f t="shared" si="38"/>
        <v>High</v>
      </c>
      <c r="Q402" t="str">
        <f t="shared" si="39"/>
        <v>Low Loan</v>
      </c>
      <c r="R402">
        <f t="shared" si="40"/>
        <v>39400000</v>
      </c>
      <c r="S402" t="str">
        <f t="shared" si="41"/>
        <v>Strong</v>
      </c>
    </row>
    <row r="403" spans="1:19" x14ac:dyDescent="0.25">
      <c r="A403">
        <v>402</v>
      </c>
      <c r="B403">
        <v>5</v>
      </c>
      <c r="C403" t="s">
        <v>30</v>
      </c>
      <c r="D403" t="s">
        <v>32</v>
      </c>
      <c r="E403">
        <v>3700000</v>
      </c>
      <c r="F403">
        <v>7300000</v>
      </c>
      <c r="G403">
        <v>18</v>
      </c>
      <c r="H403">
        <v>339</v>
      </c>
      <c r="I403">
        <v>9300000</v>
      </c>
      <c r="J403">
        <v>100000</v>
      </c>
      <c r="K403">
        <v>13900000</v>
      </c>
      <c r="L403">
        <v>5300000</v>
      </c>
      <c r="M403" t="s">
        <v>35</v>
      </c>
      <c r="N403">
        <f t="shared" si="37"/>
        <v>0</v>
      </c>
      <c r="O403" t="str">
        <f t="shared" si="36"/>
        <v>Low</v>
      </c>
      <c r="P403" t="str">
        <f t="shared" si="38"/>
        <v>High</v>
      </c>
      <c r="Q403" t="str">
        <f t="shared" si="39"/>
        <v>Low Loan</v>
      </c>
      <c r="R403">
        <f t="shared" si="40"/>
        <v>28600000</v>
      </c>
      <c r="S403" t="str">
        <f t="shared" si="41"/>
        <v>Strong</v>
      </c>
    </row>
    <row r="404" spans="1:19" x14ac:dyDescent="0.25">
      <c r="A404">
        <v>403</v>
      </c>
      <c r="B404">
        <v>3</v>
      </c>
      <c r="C404" t="s">
        <v>30</v>
      </c>
      <c r="D404" t="s">
        <v>33</v>
      </c>
      <c r="E404">
        <v>5200000</v>
      </c>
      <c r="F404">
        <v>15200000</v>
      </c>
      <c r="G404">
        <v>16</v>
      </c>
      <c r="H404">
        <v>650</v>
      </c>
      <c r="I404">
        <v>1300000</v>
      </c>
      <c r="J404">
        <v>5700000</v>
      </c>
      <c r="K404">
        <v>13500000</v>
      </c>
      <c r="L404">
        <v>4100000</v>
      </c>
      <c r="M404" t="s">
        <v>34</v>
      </c>
      <c r="N404">
        <f t="shared" si="37"/>
        <v>1</v>
      </c>
      <c r="O404" t="str">
        <f t="shared" si="36"/>
        <v>Medium</v>
      </c>
      <c r="P404" t="str">
        <f t="shared" si="38"/>
        <v>High</v>
      </c>
      <c r="Q404" t="str">
        <f t="shared" si="39"/>
        <v>Low Loan</v>
      </c>
      <c r="R404">
        <f t="shared" si="40"/>
        <v>24600000</v>
      </c>
      <c r="S404" t="str">
        <f t="shared" si="41"/>
        <v>Strong</v>
      </c>
    </row>
    <row r="405" spans="1:19" x14ac:dyDescent="0.25">
      <c r="A405">
        <v>404</v>
      </c>
      <c r="B405">
        <v>4</v>
      </c>
      <c r="C405" t="s">
        <v>31</v>
      </c>
      <c r="D405" t="s">
        <v>33</v>
      </c>
      <c r="E405">
        <v>200000</v>
      </c>
      <c r="F405">
        <v>700000</v>
      </c>
      <c r="G405">
        <v>10</v>
      </c>
      <c r="H405">
        <v>672</v>
      </c>
      <c r="I405">
        <v>200000</v>
      </c>
      <c r="J405">
        <v>200000</v>
      </c>
      <c r="K405">
        <v>300000</v>
      </c>
      <c r="L405">
        <v>300000</v>
      </c>
      <c r="M405" t="s">
        <v>34</v>
      </c>
      <c r="N405">
        <f t="shared" si="37"/>
        <v>1</v>
      </c>
      <c r="O405" t="str">
        <f t="shared" si="36"/>
        <v>Medium</v>
      </c>
      <c r="P405" t="str">
        <f t="shared" si="38"/>
        <v>Low</v>
      </c>
      <c r="Q405" t="str">
        <f t="shared" si="39"/>
        <v>Low Loan</v>
      </c>
      <c r="R405">
        <f t="shared" si="40"/>
        <v>1000000</v>
      </c>
      <c r="S405" t="str">
        <f t="shared" si="41"/>
        <v>Weak</v>
      </c>
    </row>
    <row r="406" spans="1:19" x14ac:dyDescent="0.25">
      <c r="A406">
        <v>405</v>
      </c>
      <c r="B406">
        <v>3</v>
      </c>
      <c r="C406" t="s">
        <v>30</v>
      </c>
      <c r="D406" t="s">
        <v>32</v>
      </c>
      <c r="E406">
        <v>500000</v>
      </c>
      <c r="F406">
        <v>1000000</v>
      </c>
      <c r="G406">
        <v>20</v>
      </c>
      <c r="H406">
        <v>501</v>
      </c>
      <c r="I406">
        <v>800000</v>
      </c>
      <c r="J406">
        <v>800000</v>
      </c>
      <c r="K406">
        <v>900000</v>
      </c>
      <c r="L406">
        <v>200000</v>
      </c>
      <c r="M406" t="s">
        <v>35</v>
      </c>
      <c r="N406">
        <f t="shared" si="37"/>
        <v>0</v>
      </c>
      <c r="O406" t="str">
        <f t="shared" si="36"/>
        <v>Low</v>
      </c>
      <c r="P406" t="str">
        <f t="shared" si="38"/>
        <v>Middle</v>
      </c>
      <c r="Q406" t="str">
        <f t="shared" si="39"/>
        <v>Low Loan</v>
      </c>
      <c r="R406">
        <f t="shared" si="40"/>
        <v>2700000</v>
      </c>
      <c r="S406" t="str">
        <f t="shared" si="41"/>
        <v>Weak</v>
      </c>
    </row>
    <row r="407" spans="1:19" x14ac:dyDescent="0.25">
      <c r="A407">
        <v>406</v>
      </c>
      <c r="B407">
        <v>2</v>
      </c>
      <c r="C407" t="s">
        <v>31</v>
      </c>
      <c r="D407" t="s">
        <v>33</v>
      </c>
      <c r="E407">
        <v>1800000</v>
      </c>
      <c r="F407">
        <v>5700000</v>
      </c>
      <c r="G407">
        <v>4</v>
      </c>
      <c r="H407">
        <v>809</v>
      </c>
      <c r="I407">
        <v>1200000</v>
      </c>
      <c r="J407">
        <v>1900000</v>
      </c>
      <c r="K407">
        <v>6300000</v>
      </c>
      <c r="L407">
        <v>2400000</v>
      </c>
      <c r="M407" t="s">
        <v>34</v>
      </c>
      <c r="N407">
        <f t="shared" si="37"/>
        <v>1</v>
      </c>
      <c r="O407" t="str">
        <f t="shared" si="36"/>
        <v>Excellent</v>
      </c>
      <c r="P407" t="str">
        <f t="shared" si="38"/>
        <v>High</v>
      </c>
      <c r="Q407" t="str">
        <f t="shared" si="39"/>
        <v>Low Loan</v>
      </c>
      <c r="R407">
        <f t="shared" si="40"/>
        <v>11800000</v>
      </c>
      <c r="S407" t="str">
        <f t="shared" si="41"/>
        <v>Strong</v>
      </c>
    </row>
    <row r="408" spans="1:19" x14ac:dyDescent="0.25">
      <c r="A408">
        <v>407</v>
      </c>
      <c r="B408">
        <v>5</v>
      </c>
      <c r="C408" t="s">
        <v>30</v>
      </c>
      <c r="D408" t="s">
        <v>33</v>
      </c>
      <c r="E408">
        <v>9200000</v>
      </c>
      <c r="F408">
        <v>29400000</v>
      </c>
      <c r="G408">
        <v>8</v>
      </c>
      <c r="H408">
        <v>318</v>
      </c>
      <c r="I408">
        <v>18000000</v>
      </c>
      <c r="J408">
        <v>5900000</v>
      </c>
      <c r="K408">
        <v>33800000</v>
      </c>
      <c r="L408">
        <v>5400000</v>
      </c>
      <c r="M408" t="s">
        <v>35</v>
      </c>
      <c r="N408">
        <f t="shared" si="37"/>
        <v>0</v>
      </c>
      <c r="O408" t="str">
        <f t="shared" si="36"/>
        <v>Low</v>
      </c>
      <c r="P408" t="str">
        <f t="shared" si="38"/>
        <v>High</v>
      </c>
      <c r="Q408" t="str">
        <f t="shared" si="39"/>
        <v>High Loan</v>
      </c>
      <c r="R408">
        <f t="shared" si="40"/>
        <v>63100000</v>
      </c>
      <c r="S408" t="str">
        <f t="shared" si="41"/>
        <v>Strong</v>
      </c>
    </row>
    <row r="409" spans="1:19" x14ac:dyDescent="0.25">
      <c r="A409">
        <v>408</v>
      </c>
      <c r="B409">
        <v>4</v>
      </c>
      <c r="C409" t="s">
        <v>31</v>
      </c>
      <c r="D409" t="s">
        <v>32</v>
      </c>
      <c r="E409">
        <v>900000</v>
      </c>
      <c r="F409">
        <v>3300000</v>
      </c>
      <c r="G409">
        <v>10</v>
      </c>
      <c r="H409">
        <v>649</v>
      </c>
      <c r="I409">
        <v>0</v>
      </c>
      <c r="J409">
        <v>400000</v>
      </c>
      <c r="K409">
        <v>1800000</v>
      </c>
      <c r="L409">
        <v>1200000</v>
      </c>
      <c r="M409" t="s">
        <v>34</v>
      </c>
      <c r="N409">
        <f t="shared" si="37"/>
        <v>1</v>
      </c>
      <c r="O409" t="str">
        <f t="shared" si="36"/>
        <v>Low</v>
      </c>
      <c r="P409" t="str">
        <f t="shared" si="38"/>
        <v>High</v>
      </c>
      <c r="Q409" t="str">
        <f t="shared" si="39"/>
        <v>Low Loan</v>
      </c>
      <c r="R409">
        <f t="shared" si="40"/>
        <v>3400000</v>
      </c>
      <c r="S409" t="str">
        <f t="shared" si="41"/>
        <v>Weak</v>
      </c>
    </row>
    <row r="410" spans="1:19" x14ac:dyDescent="0.25">
      <c r="A410">
        <v>409</v>
      </c>
      <c r="B410">
        <v>3</v>
      </c>
      <c r="C410" t="s">
        <v>31</v>
      </c>
      <c r="D410" t="s">
        <v>32</v>
      </c>
      <c r="E410">
        <v>7500000</v>
      </c>
      <c r="F410">
        <v>28300000</v>
      </c>
      <c r="G410">
        <v>12</v>
      </c>
      <c r="H410">
        <v>367</v>
      </c>
      <c r="I410">
        <v>9200000</v>
      </c>
      <c r="J410">
        <v>11300000</v>
      </c>
      <c r="K410">
        <v>22700000</v>
      </c>
      <c r="L410">
        <v>7000000</v>
      </c>
      <c r="M410" t="s">
        <v>35</v>
      </c>
      <c r="N410">
        <f t="shared" si="37"/>
        <v>0</v>
      </c>
      <c r="O410" t="str">
        <f t="shared" si="36"/>
        <v>Low</v>
      </c>
      <c r="P410" t="str">
        <f t="shared" si="38"/>
        <v>High</v>
      </c>
      <c r="Q410" t="str">
        <f t="shared" si="39"/>
        <v>High Loan</v>
      </c>
      <c r="R410">
        <f t="shared" si="40"/>
        <v>50200000</v>
      </c>
      <c r="S410" t="str">
        <f t="shared" si="41"/>
        <v>Strong</v>
      </c>
    </row>
    <row r="411" spans="1:19" x14ac:dyDescent="0.25">
      <c r="A411">
        <v>410</v>
      </c>
      <c r="B411">
        <v>5</v>
      </c>
      <c r="C411" t="s">
        <v>31</v>
      </c>
      <c r="D411" t="s">
        <v>32</v>
      </c>
      <c r="E411">
        <v>3000000</v>
      </c>
      <c r="F411">
        <v>11800000</v>
      </c>
      <c r="G411">
        <v>6</v>
      </c>
      <c r="H411">
        <v>847</v>
      </c>
      <c r="I411">
        <v>8200000</v>
      </c>
      <c r="J411">
        <v>2200000</v>
      </c>
      <c r="K411">
        <v>7100000</v>
      </c>
      <c r="L411">
        <v>2300000</v>
      </c>
      <c r="M411" t="s">
        <v>34</v>
      </c>
      <c r="N411">
        <f t="shared" si="37"/>
        <v>1</v>
      </c>
      <c r="O411" t="str">
        <f t="shared" si="36"/>
        <v>Excellent</v>
      </c>
      <c r="P411" t="str">
        <f t="shared" si="38"/>
        <v>High</v>
      </c>
      <c r="Q411" t="str">
        <f t="shared" si="39"/>
        <v>Low Loan</v>
      </c>
      <c r="R411">
        <f t="shared" si="40"/>
        <v>19800000</v>
      </c>
      <c r="S411" t="str">
        <f t="shared" si="41"/>
        <v>Strong</v>
      </c>
    </row>
    <row r="412" spans="1:19" x14ac:dyDescent="0.25">
      <c r="A412">
        <v>411</v>
      </c>
      <c r="B412">
        <v>5</v>
      </c>
      <c r="C412" t="s">
        <v>30</v>
      </c>
      <c r="D412" t="s">
        <v>32</v>
      </c>
      <c r="E412">
        <v>7100000</v>
      </c>
      <c r="F412">
        <v>18900000</v>
      </c>
      <c r="G412">
        <v>12</v>
      </c>
      <c r="H412">
        <v>360</v>
      </c>
      <c r="I412">
        <v>10700000</v>
      </c>
      <c r="J412">
        <v>1100000</v>
      </c>
      <c r="K412">
        <v>19800000</v>
      </c>
      <c r="L412">
        <v>8500000</v>
      </c>
      <c r="M412" t="s">
        <v>35</v>
      </c>
      <c r="N412">
        <f t="shared" si="37"/>
        <v>0</v>
      </c>
      <c r="O412" t="str">
        <f t="shared" si="36"/>
        <v>Low</v>
      </c>
      <c r="P412" t="str">
        <f t="shared" si="38"/>
        <v>High</v>
      </c>
      <c r="Q412" t="str">
        <f t="shared" si="39"/>
        <v>Low Loan</v>
      </c>
      <c r="R412">
        <f t="shared" si="40"/>
        <v>40100000</v>
      </c>
      <c r="S412" t="str">
        <f t="shared" si="41"/>
        <v>Strong</v>
      </c>
    </row>
    <row r="413" spans="1:19" x14ac:dyDescent="0.25">
      <c r="A413">
        <v>412</v>
      </c>
      <c r="B413">
        <v>1</v>
      </c>
      <c r="C413" t="s">
        <v>30</v>
      </c>
      <c r="D413" t="s">
        <v>33</v>
      </c>
      <c r="E413">
        <v>3500000</v>
      </c>
      <c r="F413">
        <v>7200000</v>
      </c>
      <c r="G413">
        <v>2</v>
      </c>
      <c r="H413">
        <v>865</v>
      </c>
      <c r="I413">
        <v>4100000</v>
      </c>
      <c r="J413">
        <v>3200000</v>
      </c>
      <c r="K413">
        <v>11900000</v>
      </c>
      <c r="L413">
        <v>4200000</v>
      </c>
      <c r="M413" t="s">
        <v>34</v>
      </c>
      <c r="N413">
        <f t="shared" si="37"/>
        <v>1</v>
      </c>
      <c r="O413" t="str">
        <f t="shared" si="36"/>
        <v>Excellent</v>
      </c>
      <c r="P413" t="str">
        <f t="shared" si="38"/>
        <v>High</v>
      </c>
      <c r="Q413" t="str">
        <f t="shared" si="39"/>
        <v>Low Loan</v>
      </c>
      <c r="R413">
        <f t="shared" si="40"/>
        <v>23400000</v>
      </c>
      <c r="S413" t="str">
        <f t="shared" si="41"/>
        <v>Strong</v>
      </c>
    </row>
    <row r="414" spans="1:19" x14ac:dyDescent="0.25">
      <c r="A414">
        <v>413</v>
      </c>
      <c r="B414">
        <v>4</v>
      </c>
      <c r="C414" t="s">
        <v>31</v>
      </c>
      <c r="D414" t="s">
        <v>32</v>
      </c>
      <c r="E414">
        <v>4900000</v>
      </c>
      <c r="F414">
        <v>18800000</v>
      </c>
      <c r="G414">
        <v>16</v>
      </c>
      <c r="H414">
        <v>880</v>
      </c>
      <c r="I414">
        <v>4200000</v>
      </c>
      <c r="J414">
        <v>4700000</v>
      </c>
      <c r="K414">
        <v>13200000</v>
      </c>
      <c r="L414">
        <v>2600000</v>
      </c>
      <c r="M414" t="s">
        <v>34</v>
      </c>
      <c r="N414">
        <f t="shared" si="37"/>
        <v>1</v>
      </c>
      <c r="O414" t="str">
        <f t="shared" si="36"/>
        <v>Excellent</v>
      </c>
      <c r="P414" t="str">
        <f t="shared" si="38"/>
        <v>High</v>
      </c>
      <c r="Q414" t="str">
        <f t="shared" si="39"/>
        <v>Low Loan</v>
      </c>
      <c r="R414">
        <f t="shared" si="40"/>
        <v>24700000</v>
      </c>
      <c r="S414" t="str">
        <f t="shared" si="41"/>
        <v>Strong</v>
      </c>
    </row>
    <row r="415" spans="1:19" x14ac:dyDescent="0.25">
      <c r="A415">
        <v>414</v>
      </c>
      <c r="B415">
        <v>1</v>
      </c>
      <c r="C415" t="s">
        <v>30</v>
      </c>
      <c r="D415" t="s">
        <v>32</v>
      </c>
      <c r="E415">
        <v>4100000</v>
      </c>
      <c r="F415">
        <v>8400000</v>
      </c>
      <c r="G415">
        <v>20</v>
      </c>
      <c r="H415">
        <v>608</v>
      </c>
      <c r="I415">
        <v>1400000</v>
      </c>
      <c r="J415">
        <v>8000000</v>
      </c>
      <c r="K415">
        <v>10000000</v>
      </c>
      <c r="L415">
        <v>4400000</v>
      </c>
      <c r="M415" t="s">
        <v>34</v>
      </c>
      <c r="N415">
        <f t="shared" si="37"/>
        <v>1</v>
      </c>
      <c r="O415" t="str">
        <f t="shared" si="36"/>
        <v>Low</v>
      </c>
      <c r="P415" t="str">
        <f t="shared" si="38"/>
        <v>High</v>
      </c>
      <c r="Q415" t="str">
        <f t="shared" si="39"/>
        <v>Low Loan</v>
      </c>
      <c r="R415">
        <f t="shared" si="40"/>
        <v>23800000</v>
      </c>
      <c r="S415" t="str">
        <f t="shared" si="41"/>
        <v>Strong</v>
      </c>
    </row>
    <row r="416" spans="1:19" x14ac:dyDescent="0.25">
      <c r="A416">
        <v>415</v>
      </c>
      <c r="B416">
        <v>0</v>
      </c>
      <c r="C416" t="s">
        <v>30</v>
      </c>
      <c r="D416" t="s">
        <v>33</v>
      </c>
      <c r="E416">
        <v>800000</v>
      </c>
      <c r="F416">
        <v>2100000</v>
      </c>
      <c r="G416">
        <v>6</v>
      </c>
      <c r="H416">
        <v>760</v>
      </c>
      <c r="I416">
        <v>300000</v>
      </c>
      <c r="J416">
        <v>100000</v>
      </c>
      <c r="K416">
        <v>1600000</v>
      </c>
      <c r="L416">
        <v>600000</v>
      </c>
      <c r="M416" t="s">
        <v>34</v>
      </c>
      <c r="N416">
        <f t="shared" si="37"/>
        <v>1</v>
      </c>
      <c r="O416" t="str">
        <f t="shared" si="36"/>
        <v>Excellent</v>
      </c>
      <c r="P416" t="str">
        <f t="shared" si="38"/>
        <v>High</v>
      </c>
      <c r="Q416" t="str">
        <f t="shared" si="39"/>
        <v>Low Loan</v>
      </c>
      <c r="R416">
        <f t="shared" si="40"/>
        <v>2600000</v>
      </c>
      <c r="S416" t="str">
        <f t="shared" si="41"/>
        <v>Weak</v>
      </c>
    </row>
    <row r="417" spans="1:19" x14ac:dyDescent="0.25">
      <c r="A417">
        <v>416</v>
      </c>
      <c r="B417">
        <v>3</v>
      </c>
      <c r="C417" t="s">
        <v>30</v>
      </c>
      <c r="D417" t="s">
        <v>33</v>
      </c>
      <c r="E417">
        <v>1700000</v>
      </c>
      <c r="F417">
        <v>4600000</v>
      </c>
      <c r="G417">
        <v>12</v>
      </c>
      <c r="H417">
        <v>385</v>
      </c>
      <c r="I417">
        <v>1500000</v>
      </c>
      <c r="J417">
        <v>1300000</v>
      </c>
      <c r="K417">
        <v>5200000</v>
      </c>
      <c r="L417">
        <v>1700000</v>
      </c>
      <c r="M417" t="s">
        <v>35</v>
      </c>
      <c r="N417">
        <f t="shared" si="37"/>
        <v>0</v>
      </c>
      <c r="O417" t="str">
        <f t="shared" si="36"/>
        <v>Low</v>
      </c>
      <c r="P417" t="str">
        <f t="shared" si="38"/>
        <v>High</v>
      </c>
      <c r="Q417" t="str">
        <f t="shared" si="39"/>
        <v>Low Loan</v>
      </c>
      <c r="R417">
        <f t="shared" si="40"/>
        <v>9700000</v>
      </c>
      <c r="S417" t="str">
        <f t="shared" si="41"/>
        <v>Moderate</v>
      </c>
    </row>
    <row r="418" spans="1:19" x14ac:dyDescent="0.25">
      <c r="A418">
        <v>417</v>
      </c>
      <c r="B418">
        <v>0</v>
      </c>
      <c r="C418" t="s">
        <v>30</v>
      </c>
      <c r="D418" t="s">
        <v>33</v>
      </c>
      <c r="E418">
        <v>6100000</v>
      </c>
      <c r="F418">
        <v>23300000</v>
      </c>
      <c r="G418">
        <v>12</v>
      </c>
      <c r="H418">
        <v>478</v>
      </c>
      <c r="I418">
        <v>3800000</v>
      </c>
      <c r="J418">
        <v>2300000</v>
      </c>
      <c r="K418">
        <v>17700000</v>
      </c>
      <c r="L418">
        <v>4900000</v>
      </c>
      <c r="M418" t="s">
        <v>35</v>
      </c>
      <c r="N418">
        <f t="shared" si="37"/>
        <v>0</v>
      </c>
      <c r="O418" t="str">
        <f t="shared" si="36"/>
        <v>Low</v>
      </c>
      <c r="P418" t="str">
        <f t="shared" si="38"/>
        <v>High</v>
      </c>
      <c r="Q418" t="str">
        <f t="shared" si="39"/>
        <v>High Loan</v>
      </c>
      <c r="R418">
        <f t="shared" si="40"/>
        <v>28700000</v>
      </c>
      <c r="S418" t="str">
        <f t="shared" si="41"/>
        <v>Strong</v>
      </c>
    </row>
    <row r="419" spans="1:19" x14ac:dyDescent="0.25">
      <c r="A419">
        <v>418</v>
      </c>
      <c r="B419">
        <v>1</v>
      </c>
      <c r="C419" t="s">
        <v>30</v>
      </c>
      <c r="D419" t="s">
        <v>33</v>
      </c>
      <c r="E419">
        <v>2100000</v>
      </c>
      <c r="F419">
        <v>7700000</v>
      </c>
      <c r="G419">
        <v>16</v>
      </c>
      <c r="H419">
        <v>327</v>
      </c>
      <c r="I419">
        <v>5000000</v>
      </c>
      <c r="J419">
        <v>500000</v>
      </c>
      <c r="K419">
        <v>4700000</v>
      </c>
      <c r="L419">
        <v>2300000</v>
      </c>
      <c r="M419" t="s">
        <v>35</v>
      </c>
      <c r="N419">
        <f t="shared" si="37"/>
        <v>0</v>
      </c>
      <c r="O419" t="str">
        <f t="shared" si="36"/>
        <v>Low</v>
      </c>
      <c r="P419" t="str">
        <f t="shared" si="38"/>
        <v>High</v>
      </c>
      <c r="Q419" t="str">
        <f t="shared" si="39"/>
        <v>Low Loan</v>
      </c>
      <c r="R419">
        <f t="shared" si="40"/>
        <v>12500000</v>
      </c>
      <c r="S419" t="str">
        <f t="shared" si="41"/>
        <v>Strong</v>
      </c>
    </row>
    <row r="420" spans="1:19" x14ac:dyDescent="0.25">
      <c r="A420">
        <v>419</v>
      </c>
      <c r="B420">
        <v>0</v>
      </c>
      <c r="C420" t="s">
        <v>30</v>
      </c>
      <c r="D420" t="s">
        <v>32</v>
      </c>
      <c r="E420">
        <v>3100000</v>
      </c>
      <c r="F420">
        <v>9300000</v>
      </c>
      <c r="G420">
        <v>6</v>
      </c>
      <c r="H420">
        <v>663</v>
      </c>
      <c r="I420">
        <v>1300000</v>
      </c>
      <c r="J420">
        <v>1400000</v>
      </c>
      <c r="K420">
        <v>8100000</v>
      </c>
      <c r="L420">
        <v>3800000</v>
      </c>
      <c r="M420" t="s">
        <v>34</v>
      </c>
      <c r="N420">
        <f t="shared" si="37"/>
        <v>1</v>
      </c>
      <c r="O420" t="str">
        <f t="shared" si="36"/>
        <v>Medium</v>
      </c>
      <c r="P420" t="str">
        <f t="shared" si="38"/>
        <v>High</v>
      </c>
      <c r="Q420" t="str">
        <f t="shared" si="39"/>
        <v>Low Loan</v>
      </c>
      <c r="R420">
        <f t="shared" si="40"/>
        <v>14600000</v>
      </c>
      <c r="S420" t="str">
        <f t="shared" si="41"/>
        <v>Strong</v>
      </c>
    </row>
    <row r="421" spans="1:19" x14ac:dyDescent="0.25">
      <c r="A421">
        <v>420</v>
      </c>
      <c r="B421">
        <v>2</v>
      </c>
      <c r="C421" t="s">
        <v>31</v>
      </c>
      <c r="D421" t="s">
        <v>33</v>
      </c>
      <c r="E421">
        <v>1700000</v>
      </c>
      <c r="F421">
        <v>3500000</v>
      </c>
      <c r="G421">
        <v>20</v>
      </c>
      <c r="H421">
        <v>693</v>
      </c>
      <c r="I421">
        <v>2200000</v>
      </c>
      <c r="J421">
        <v>1400000</v>
      </c>
      <c r="K421">
        <v>4800000</v>
      </c>
      <c r="L421">
        <v>1700000</v>
      </c>
      <c r="M421" t="s">
        <v>34</v>
      </c>
      <c r="N421">
        <f t="shared" si="37"/>
        <v>1</v>
      </c>
      <c r="O421" t="str">
        <f t="shared" si="36"/>
        <v>Medium</v>
      </c>
      <c r="P421" t="str">
        <f t="shared" si="38"/>
        <v>High</v>
      </c>
      <c r="Q421" t="str">
        <f t="shared" si="39"/>
        <v>Low Loan</v>
      </c>
      <c r="R421">
        <f t="shared" si="40"/>
        <v>10100000</v>
      </c>
      <c r="S421" t="str">
        <f t="shared" si="41"/>
        <v>Strong</v>
      </c>
    </row>
    <row r="422" spans="1:19" x14ac:dyDescent="0.25">
      <c r="A422">
        <v>421</v>
      </c>
      <c r="B422">
        <v>3</v>
      </c>
      <c r="C422" t="s">
        <v>30</v>
      </c>
      <c r="D422" t="s">
        <v>32</v>
      </c>
      <c r="E422">
        <v>1700000</v>
      </c>
      <c r="F422">
        <v>5400000</v>
      </c>
      <c r="G422">
        <v>6</v>
      </c>
      <c r="H422">
        <v>710</v>
      </c>
      <c r="I422">
        <v>4800000</v>
      </c>
      <c r="J422">
        <v>700000</v>
      </c>
      <c r="K422">
        <v>5800000</v>
      </c>
      <c r="L422">
        <v>1700000</v>
      </c>
      <c r="M422" t="s">
        <v>34</v>
      </c>
      <c r="N422">
        <f t="shared" si="37"/>
        <v>1</v>
      </c>
      <c r="O422" t="str">
        <f t="shared" si="36"/>
        <v>Good</v>
      </c>
      <c r="P422" t="str">
        <f t="shared" si="38"/>
        <v>High</v>
      </c>
      <c r="Q422" t="str">
        <f t="shared" si="39"/>
        <v>Low Loan</v>
      </c>
      <c r="R422">
        <f t="shared" si="40"/>
        <v>13000000</v>
      </c>
      <c r="S422" t="str">
        <f t="shared" si="41"/>
        <v>Strong</v>
      </c>
    </row>
    <row r="423" spans="1:19" x14ac:dyDescent="0.25">
      <c r="A423">
        <v>422</v>
      </c>
      <c r="B423">
        <v>4</v>
      </c>
      <c r="C423" t="s">
        <v>31</v>
      </c>
      <c r="D423" t="s">
        <v>33</v>
      </c>
      <c r="E423">
        <v>4000000</v>
      </c>
      <c r="F423">
        <v>14500000</v>
      </c>
      <c r="G423">
        <v>6</v>
      </c>
      <c r="H423">
        <v>711</v>
      </c>
      <c r="I423">
        <v>2400000</v>
      </c>
      <c r="J423">
        <v>5700000</v>
      </c>
      <c r="K423">
        <v>10900000</v>
      </c>
      <c r="L423">
        <v>4100000</v>
      </c>
      <c r="M423" t="s">
        <v>34</v>
      </c>
      <c r="N423">
        <f t="shared" si="37"/>
        <v>1</v>
      </c>
      <c r="O423" t="str">
        <f t="shared" si="36"/>
        <v>Good</v>
      </c>
      <c r="P423" t="str">
        <f t="shared" si="38"/>
        <v>High</v>
      </c>
      <c r="Q423" t="str">
        <f t="shared" si="39"/>
        <v>Low Loan</v>
      </c>
      <c r="R423">
        <f t="shared" si="40"/>
        <v>23100000</v>
      </c>
      <c r="S423" t="str">
        <f t="shared" si="41"/>
        <v>Strong</v>
      </c>
    </row>
    <row r="424" spans="1:19" x14ac:dyDescent="0.25">
      <c r="A424">
        <v>423</v>
      </c>
      <c r="B424">
        <v>5</v>
      </c>
      <c r="C424" t="s">
        <v>30</v>
      </c>
      <c r="D424" t="s">
        <v>32</v>
      </c>
      <c r="E424">
        <v>5600000</v>
      </c>
      <c r="F424">
        <v>18400000</v>
      </c>
      <c r="G424">
        <v>8</v>
      </c>
      <c r="H424">
        <v>386</v>
      </c>
      <c r="I424">
        <v>11300000</v>
      </c>
      <c r="J424">
        <v>6700000</v>
      </c>
      <c r="K424">
        <v>11300000</v>
      </c>
      <c r="L424">
        <v>5600000</v>
      </c>
      <c r="M424" t="s">
        <v>35</v>
      </c>
      <c r="N424">
        <f t="shared" si="37"/>
        <v>0</v>
      </c>
      <c r="O424" t="str">
        <f t="shared" si="36"/>
        <v>Low</v>
      </c>
      <c r="P424" t="str">
        <f t="shared" si="38"/>
        <v>High</v>
      </c>
      <c r="Q424" t="str">
        <f t="shared" si="39"/>
        <v>Low Loan</v>
      </c>
      <c r="R424">
        <f t="shared" si="40"/>
        <v>34900000</v>
      </c>
      <c r="S424" t="str">
        <f t="shared" si="41"/>
        <v>Strong</v>
      </c>
    </row>
    <row r="425" spans="1:19" x14ac:dyDescent="0.25">
      <c r="A425">
        <v>424</v>
      </c>
      <c r="B425">
        <v>4</v>
      </c>
      <c r="C425" t="s">
        <v>30</v>
      </c>
      <c r="D425" t="s">
        <v>33</v>
      </c>
      <c r="E425">
        <v>3900000</v>
      </c>
      <c r="F425">
        <v>11900000</v>
      </c>
      <c r="G425">
        <v>10</v>
      </c>
      <c r="H425">
        <v>855</v>
      </c>
      <c r="I425">
        <v>10200000</v>
      </c>
      <c r="J425">
        <v>4000000</v>
      </c>
      <c r="K425">
        <v>10200000</v>
      </c>
      <c r="L425">
        <v>2800000</v>
      </c>
      <c r="M425" t="s">
        <v>34</v>
      </c>
      <c r="N425">
        <f t="shared" si="37"/>
        <v>1</v>
      </c>
      <c r="O425" t="str">
        <f t="shared" si="36"/>
        <v>Excellent</v>
      </c>
      <c r="P425" t="str">
        <f t="shared" si="38"/>
        <v>High</v>
      </c>
      <c r="Q425" t="str">
        <f t="shared" si="39"/>
        <v>Low Loan</v>
      </c>
      <c r="R425">
        <f t="shared" si="40"/>
        <v>27200000</v>
      </c>
      <c r="S425" t="str">
        <f t="shared" si="41"/>
        <v>Strong</v>
      </c>
    </row>
    <row r="426" spans="1:19" x14ac:dyDescent="0.25">
      <c r="A426">
        <v>425</v>
      </c>
      <c r="B426">
        <v>4</v>
      </c>
      <c r="C426" t="s">
        <v>30</v>
      </c>
      <c r="D426" t="s">
        <v>33</v>
      </c>
      <c r="E426">
        <v>6100000</v>
      </c>
      <c r="F426">
        <v>15300000</v>
      </c>
      <c r="G426">
        <v>14</v>
      </c>
      <c r="H426">
        <v>573</v>
      </c>
      <c r="I426">
        <v>1100000</v>
      </c>
      <c r="J426">
        <v>9900000</v>
      </c>
      <c r="K426">
        <v>13300000</v>
      </c>
      <c r="L426">
        <v>8400000</v>
      </c>
      <c r="M426" t="s">
        <v>34</v>
      </c>
      <c r="N426">
        <f t="shared" si="37"/>
        <v>1</v>
      </c>
      <c r="O426" t="str">
        <f t="shared" si="36"/>
        <v>Low</v>
      </c>
      <c r="P426" t="str">
        <f t="shared" si="38"/>
        <v>High</v>
      </c>
      <c r="Q426" t="str">
        <f t="shared" si="39"/>
        <v>Low Loan</v>
      </c>
      <c r="R426">
        <f t="shared" si="40"/>
        <v>32700000</v>
      </c>
      <c r="S426" t="str">
        <f t="shared" si="41"/>
        <v>Strong</v>
      </c>
    </row>
    <row r="427" spans="1:19" x14ac:dyDescent="0.25">
      <c r="A427">
        <v>426</v>
      </c>
      <c r="B427">
        <v>0</v>
      </c>
      <c r="C427" t="s">
        <v>30</v>
      </c>
      <c r="D427" t="s">
        <v>33</v>
      </c>
      <c r="E427">
        <v>1100000</v>
      </c>
      <c r="F427">
        <v>2800000</v>
      </c>
      <c r="G427">
        <v>18</v>
      </c>
      <c r="H427">
        <v>431</v>
      </c>
      <c r="I427">
        <v>500000</v>
      </c>
      <c r="J427">
        <v>300000</v>
      </c>
      <c r="K427">
        <v>4300000</v>
      </c>
      <c r="L427">
        <v>1400000</v>
      </c>
      <c r="M427" t="s">
        <v>35</v>
      </c>
      <c r="N427">
        <f t="shared" si="37"/>
        <v>0</v>
      </c>
      <c r="O427" t="str">
        <f t="shared" si="36"/>
        <v>Low</v>
      </c>
      <c r="P427" t="str">
        <f t="shared" si="38"/>
        <v>High</v>
      </c>
      <c r="Q427" t="str">
        <f t="shared" si="39"/>
        <v>Low Loan</v>
      </c>
      <c r="R427">
        <f t="shared" si="40"/>
        <v>6500000</v>
      </c>
      <c r="S427" t="str">
        <f t="shared" si="41"/>
        <v>Moderate</v>
      </c>
    </row>
    <row r="428" spans="1:19" x14ac:dyDescent="0.25">
      <c r="A428">
        <v>427</v>
      </c>
      <c r="B428">
        <v>2</v>
      </c>
      <c r="C428" t="s">
        <v>30</v>
      </c>
      <c r="D428" t="s">
        <v>32</v>
      </c>
      <c r="E428">
        <v>5500000</v>
      </c>
      <c r="F428">
        <v>14800000</v>
      </c>
      <c r="G428">
        <v>8</v>
      </c>
      <c r="H428">
        <v>364</v>
      </c>
      <c r="I428">
        <v>13000000</v>
      </c>
      <c r="J428">
        <v>4500000</v>
      </c>
      <c r="K428">
        <v>12600000</v>
      </c>
      <c r="L428">
        <v>4500000</v>
      </c>
      <c r="M428" t="s">
        <v>35</v>
      </c>
      <c r="N428">
        <f t="shared" si="37"/>
        <v>0</v>
      </c>
      <c r="O428" t="str">
        <f t="shared" si="36"/>
        <v>Low</v>
      </c>
      <c r="P428" t="str">
        <f t="shared" si="38"/>
        <v>High</v>
      </c>
      <c r="Q428" t="str">
        <f t="shared" si="39"/>
        <v>Low Loan</v>
      </c>
      <c r="R428">
        <f t="shared" si="40"/>
        <v>34600000</v>
      </c>
      <c r="S428" t="str">
        <f t="shared" si="41"/>
        <v>Strong</v>
      </c>
    </row>
    <row r="429" spans="1:19" x14ac:dyDescent="0.25">
      <c r="A429">
        <v>428</v>
      </c>
      <c r="B429">
        <v>4</v>
      </c>
      <c r="C429" t="s">
        <v>30</v>
      </c>
      <c r="D429" t="s">
        <v>33</v>
      </c>
      <c r="E429">
        <v>1100000</v>
      </c>
      <c r="F429">
        <v>3600000</v>
      </c>
      <c r="G429">
        <v>14</v>
      </c>
      <c r="H429">
        <v>711</v>
      </c>
      <c r="I429">
        <v>2500000</v>
      </c>
      <c r="J429">
        <v>500000</v>
      </c>
      <c r="K429">
        <v>3600000</v>
      </c>
      <c r="L429">
        <v>600000</v>
      </c>
      <c r="M429" t="s">
        <v>34</v>
      </c>
      <c r="N429">
        <f t="shared" si="37"/>
        <v>1</v>
      </c>
      <c r="O429" t="str">
        <f t="shared" si="36"/>
        <v>Good</v>
      </c>
      <c r="P429" t="str">
        <f t="shared" si="38"/>
        <v>High</v>
      </c>
      <c r="Q429" t="str">
        <f t="shared" si="39"/>
        <v>Low Loan</v>
      </c>
      <c r="R429">
        <f t="shared" si="40"/>
        <v>7200000</v>
      </c>
      <c r="S429" t="str">
        <f t="shared" si="41"/>
        <v>Moderate</v>
      </c>
    </row>
    <row r="430" spans="1:19" x14ac:dyDescent="0.25">
      <c r="A430">
        <v>429</v>
      </c>
      <c r="B430">
        <v>4</v>
      </c>
      <c r="C430" t="s">
        <v>31</v>
      </c>
      <c r="D430" t="s">
        <v>33</v>
      </c>
      <c r="E430">
        <v>400000</v>
      </c>
      <c r="F430">
        <v>900000</v>
      </c>
      <c r="G430">
        <v>20</v>
      </c>
      <c r="H430">
        <v>771</v>
      </c>
      <c r="I430">
        <v>1000000</v>
      </c>
      <c r="J430">
        <v>500000</v>
      </c>
      <c r="K430">
        <v>1600000</v>
      </c>
      <c r="L430">
        <v>500000</v>
      </c>
      <c r="M430" t="s">
        <v>34</v>
      </c>
      <c r="N430">
        <f t="shared" si="37"/>
        <v>1</v>
      </c>
      <c r="O430" t="str">
        <f t="shared" si="36"/>
        <v>Excellent</v>
      </c>
      <c r="P430" t="str">
        <f t="shared" si="38"/>
        <v>Middle</v>
      </c>
      <c r="Q430" t="str">
        <f t="shared" si="39"/>
        <v>Low Loan</v>
      </c>
      <c r="R430">
        <f t="shared" si="40"/>
        <v>3600000</v>
      </c>
      <c r="S430" t="str">
        <f t="shared" si="41"/>
        <v>Weak</v>
      </c>
    </row>
    <row r="431" spans="1:19" x14ac:dyDescent="0.25">
      <c r="A431">
        <v>430</v>
      </c>
      <c r="B431">
        <v>3</v>
      </c>
      <c r="C431" t="s">
        <v>30</v>
      </c>
      <c r="D431" t="s">
        <v>32</v>
      </c>
      <c r="E431">
        <v>9200000</v>
      </c>
      <c r="F431">
        <v>36400000</v>
      </c>
      <c r="G431">
        <v>18</v>
      </c>
      <c r="H431">
        <v>669</v>
      </c>
      <c r="I431">
        <v>3100000</v>
      </c>
      <c r="J431">
        <v>12700000</v>
      </c>
      <c r="K431">
        <v>30900000</v>
      </c>
      <c r="L431">
        <v>12300000</v>
      </c>
      <c r="M431" t="s">
        <v>34</v>
      </c>
      <c r="N431">
        <f t="shared" si="37"/>
        <v>1</v>
      </c>
      <c r="O431" t="str">
        <f t="shared" si="36"/>
        <v>Medium</v>
      </c>
      <c r="P431" t="str">
        <f t="shared" si="38"/>
        <v>High</v>
      </c>
      <c r="Q431" t="str">
        <f t="shared" si="39"/>
        <v>High Loan</v>
      </c>
      <c r="R431">
        <f t="shared" si="40"/>
        <v>59000000</v>
      </c>
      <c r="S431" t="str">
        <f t="shared" si="41"/>
        <v>Strong</v>
      </c>
    </row>
    <row r="432" spans="1:19" x14ac:dyDescent="0.25">
      <c r="A432">
        <v>431</v>
      </c>
      <c r="B432">
        <v>4</v>
      </c>
      <c r="C432" t="s">
        <v>31</v>
      </c>
      <c r="D432" t="s">
        <v>33</v>
      </c>
      <c r="E432">
        <v>9300000</v>
      </c>
      <c r="F432">
        <v>27500000</v>
      </c>
      <c r="G432">
        <v>18</v>
      </c>
      <c r="H432">
        <v>338</v>
      </c>
      <c r="I432">
        <v>21500000</v>
      </c>
      <c r="J432">
        <v>500000</v>
      </c>
      <c r="K432">
        <v>34900000</v>
      </c>
      <c r="L432">
        <v>6600000</v>
      </c>
      <c r="M432" t="s">
        <v>35</v>
      </c>
      <c r="N432">
        <f t="shared" si="37"/>
        <v>0</v>
      </c>
      <c r="O432" t="str">
        <f t="shared" si="36"/>
        <v>Low</v>
      </c>
      <c r="P432" t="str">
        <f t="shared" si="38"/>
        <v>High</v>
      </c>
      <c r="Q432" t="str">
        <f t="shared" si="39"/>
        <v>High Loan</v>
      </c>
      <c r="R432">
        <f t="shared" si="40"/>
        <v>63500000</v>
      </c>
      <c r="S432" t="str">
        <f t="shared" si="41"/>
        <v>Strong</v>
      </c>
    </row>
    <row r="433" spans="1:19" x14ac:dyDescent="0.25">
      <c r="A433">
        <v>432</v>
      </c>
      <c r="B433">
        <v>1</v>
      </c>
      <c r="C433" t="s">
        <v>30</v>
      </c>
      <c r="D433" t="s">
        <v>32</v>
      </c>
      <c r="E433">
        <v>1100000</v>
      </c>
      <c r="F433">
        <v>3500000</v>
      </c>
      <c r="G433">
        <v>8</v>
      </c>
      <c r="H433">
        <v>562</v>
      </c>
      <c r="I433">
        <v>2300000</v>
      </c>
      <c r="J433">
        <v>1200000</v>
      </c>
      <c r="K433">
        <v>3200000</v>
      </c>
      <c r="L433">
        <v>500000</v>
      </c>
      <c r="M433" t="s">
        <v>34</v>
      </c>
      <c r="N433">
        <f t="shared" si="37"/>
        <v>1</v>
      </c>
      <c r="O433" t="str">
        <f t="shared" si="36"/>
        <v>Low</v>
      </c>
      <c r="P433" t="str">
        <f t="shared" si="38"/>
        <v>High</v>
      </c>
      <c r="Q433" t="str">
        <f t="shared" si="39"/>
        <v>Low Loan</v>
      </c>
      <c r="R433">
        <f t="shared" si="40"/>
        <v>7200000</v>
      </c>
      <c r="S433" t="str">
        <f t="shared" si="41"/>
        <v>Moderate</v>
      </c>
    </row>
    <row r="434" spans="1:19" x14ac:dyDescent="0.25">
      <c r="A434">
        <v>433</v>
      </c>
      <c r="B434">
        <v>3</v>
      </c>
      <c r="C434" t="s">
        <v>31</v>
      </c>
      <c r="D434" t="s">
        <v>32</v>
      </c>
      <c r="E434">
        <v>5600000</v>
      </c>
      <c r="F434">
        <v>18700000</v>
      </c>
      <c r="G434">
        <v>2</v>
      </c>
      <c r="H434">
        <v>769</v>
      </c>
      <c r="I434">
        <v>8000000</v>
      </c>
      <c r="J434">
        <v>8200000</v>
      </c>
      <c r="K434">
        <v>17300000</v>
      </c>
      <c r="L434">
        <v>4800000</v>
      </c>
      <c r="M434" t="s">
        <v>34</v>
      </c>
      <c r="N434">
        <f t="shared" si="37"/>
        <v>1</v>
      </c>
      <c r="O434" t="str">
        <f t="shared" si="36"/>
        <v>Excellent</v>
      </c>
      <c r="P434" t="str">
        <f t="shared" si="38"/>
        <v>High</v>
      </c>
      <c r="Q434" t="str">
        <f t="shared" si="39"/>
        <v>Low Loan</v>
      </c>
      <c r="R434">
        <f t="shared" si="40"/>
        <v>38300000</v>
      </c>
      <c r="S434" t="str">
        <f t="shared" si="41"/>
        <v>Strong</v>
      </c>
    </row>
    <row r="435" spans="1:19" x14ac:dyDescent="0.25">
      <c r="A435">
        <v>434</v>
      </c>
      <c r="B435">
        <v>0</v>
      </c>
      <c r="C435" t="s">
        <v>30</v>
      </c>
      <c r="D435" t="s">
        <v>33</v>
      </c>
      <c r="E435">
        <v>6300000</v>
      </c>
      <c r="F435">
        <v>21500000</v>
      </c>
      <c r="G435">
        <v>8</v>
      </c>
      <c r="H435">
        <v>629</v>
      </c>
      <c r="I435">
        <v>600000</v>
      </c>
      <c r="J435">
        <v>3400000</v>
      </c>
      <c r="K435">
        <v>22000000</v>
      </c>
      <c r="L435">
        <v>5200000</v>
      </c>
      <c r="M435" t="s">
        <v>34</v>
      </c>
      <c r="N435">
        <f t="shared" si="37"/>
        <v>1</v>
      </c>
      <c r="O435" t="str">
        <f t="shared" si="36"/>
        <v>Low</v>
      </c>
      <c r="P435" t="str">
        <f t="shared" si="38"/>
        <v>High</v>
      </c>
      <c r="Q435" t="str">
        <f t="shared" si="39"/>
        <v>High Loan</v>
      </c>
      <c r="R435">
        <f t="shared" si="40"/>
        <v>31200000</v>
      </c>
      <c r="S435" t="str">
        <f t="shared" si="41"/>
        <v>Strong</v>
      </c>
    </row>
    <row r="436" spans="1:19" x14ac:dyDescent="0.25">
      <c r="A436">
        <v>435</v>
      </c>
      <c r="B436">
        <v>3</v>
      </c>
      <c r="C436" t="s">
        <v>30</v>
      </c>
      <c r="D436" t="s">
        <v>32</v>
      </c>
      <c r="E436">
        <v>8800000</v>
      </c>
      <c r="F436">
        <v>18100000</v>
      </c>
      <c r="G436">
        <v>6</v>
      </c>
      <c r="H436">
        <v>699</v>
      </c>
      <c r="I436">
        <v>6400000</v>
      </c>
      <c r="J436">
        <v>2100000</v>
      </c>
      <c r="K436">
        <v>18500000</v>
      </c>
      <c r="L436">
        <v>9400000</v>
      </c>
      <c r="M436" t="s">
        <v>34</v>
      </c>
      <c r="N436">
        <f t="shared" si="37"/>
        <v>1</v>
      </c>
      <c r="O436" t="str">
        <f t="shared" si="36"/>
        <v>Medium</v>
      </c>
      <c r="P436" t="str">
        <f t="shared" si="38"/>
        <v>High</v>
      </c>
      <c r="Q436" t="str">
        <f t="shared" si="39"/>
        <v>Low Loan</v>
      </c>
      <c r="R436">
        <f t="shared" si="40"/>
        <v>36400000</v>
      </c>
      <c r="S436" t="str">
        <f t="shared" si="41"/>
        <v>Strong</v>
      </c>
    </row>
    <row r="437" spans="1:19" x14ac:dyDescent="0.25">
      <c r="A437">
        <v>436</v>
      </c>
      <c r="B437">
        <v>0</v>
      </c>
      <c r="C437" t="s">
        <v>31</v>
      </c>
      <c r="D437" t="s">
        <v>32</v>
      </c>
      <c r="E437">
        <v>8400000</v>
      </c>
      <c r="F437">
        <v>20800000</v>
      </c>
      <c r="G437">
        <v>20</v>
      </c>
      <c r="H437">
        <v>590</v>
      </c>
      <c r="I437">
        <v>5100000</v>
      </c>
      <c r="J437">
        <v>8900000</v>
      </c>
      <c r="K437">
        <v>32100000</v>
      </c>
      <c r="L437">
        <v>10800000</v>
      </c>
      <c r="M437" t="s">
        <v>34</v>
      </c>
      <c r="N437">
        <f t="shared" si="37"/>
        <v>1</v>
      </c>
      <c r="O437" t="str">
        <f t="shared" si="36"/>
        <v>Low</v>
      </c>
      <c r="P437" t="str">
        <f t="shared" si="38"/>
        <v>High</v>
      </c>
      <c r="Q437" t="str">
        <f t="shared" si="39"/>
        <v>High Loan</v>
      </c>
      <c r="R437">
        <f t="shared" si="40"/>
        <v>56900000</v>
      </c>
      <c r="S437" t="str">
        <f t="shared" si="41"/>
        <v>Strong</v>
      </c>
    </row>
    <row r="438" spans="1:19" x14ac:dyDescent="0.25">
      <c r="A438">
        <v>437</v>
      </c>
      <c r="B438">
        <v>3</v>
      </c>
      <c r="C438" t="s">
        <v>30</v>
      </c>
      <c r="D438" t="s">
        <v>33</v>
      </c>
      <c r="E438">
        <v>1600000</v>
      </c>
      <c r="F438">
        <v>5700000</v>
      </c>
      <c r="G438">
        <v>4</v>
      </c>
      <c r="H438">
        <v>707</v>
      </c>
      <c r="I438">
        <v>3300000</v>
      </c>
      <c r="J438">
        <v>2700000</v>
      </c>
      <c r="K438">
        <v>6200000</v>
      </c>
      <c r="L438">
        <v>2300000</v>
      </c>
      <c r="M438" t="s">
        <v>34</v>
      </c>
      <c r="N438">
        <f t="shared" si="37"/>
        <v>1</v>
      </c>
      <c r="O438" t="str">
        <f t="shared" si="36"/>
        <v>Good</v>
      </c>
      <c r="P438" t="str">
        <f t="shared" si="38"/>
        <v>High</v>
      </c>
      <c r="Q438" t="str">
        <f t="shared" si="39"/>
        <v>Low Loan</v>
      </c>
      <c r="R438">
        <f t="shared" si="40"/>
        <v>14500000</v>
      </c>
      <c r="S438" t="str">
        <f t="shared" si="41"/>
        <v>Strong</v>
      </c>
    </row>
    <row r="439" spans="1:19" x14ac:dyDescent="0.25">
      <c r="A439">
        <v>438</v>
      </c>
      <c r="B439">
        <v>3</v>
      </c>
      <c r="C439" t="s">
        <v>31</v>
      </c>
      <c r="D439" t="s">
        <v>33</v>
      </c>
      <c r="E439">
        <v>4500000</v>
      </c>
      <c r="F439">
        <v>11400000</v>
      </c>
      <c r="G439">
        <v>8</v>
      </c>
      <c r="H439">
        <v>391</v>
      </c>
      <c r="I439">
        <v>8500000</v>
      </c>
      <c r="J439">
        <v>6800000</v>
      </c>
      <c r="K439">
        <v>9900000</v>
      </c>
      <c r="L439">
        <v>4500000</v>
      </c>
      <c r="M439" t="s">
        <v>35</v>
      </c>
      <c r="N439">
        <f t="shared" si="37"/>
        <v>0</v>
      </c>
      <c r="O439" t="str">
        <f t="shared" si="36"/>
        <v>Low</v>
      </c>
      <c r="P439" t="str">
        <f t="shared" si="38"/>
        <v>High</v>
      </c>
      <c r="Q439" t="str">
        <f t="shared" si="39"/>
        <v>Low Loan</v>
      </c>
      <c r="R439">
        <f t="shared" si="40"/>
        <v>29700000</v>
      </c>
      <c r="S439" t="str">
        <f t="shared" si="41"/>
        <v>Strong</v>
      </c>
    </row>
    <row r="440" spans="1:19" x14ac:dyDescent="0.25">
      <c r="A440">
        <v>439</v>
      </c>
      <c r="B440">
        <v>5</v>
      </c>
      <c r="C440" t="s">
        <v>31</v>
      </c>
      <c r="D440" t="s">
        <v>32</v>
      </c>
      <c r="E440">
        <v>6500000</v>
      </c>
      <c r="F440">
        <v>18500000</v>
      </c>
      <c r="G440">
        <v>4</v>
      </c>
      <c r="H440">
        <v>891</v>
      </c>
      <c r="I440">
        <v>13600000</v>
      </c>
      <c r="J440">
        <v>3300000</v>
      </c>
      <c r="K440">
        <v>23600000</v>
      </c>
      <c r="L440">
        <v>7100000</v>
      </c>
      <c r="M440" t="s">
        <v>34</v>
      </c>
      <c r="N440">
        <f t="shared" si="37"/>
        <v>1</v>
      </c>
      <c r="O440" t="str">
        <f t="shared" si="36"/>
        <v>Excellent</v>
      </c>
      <c r="P440" t="str">
        <f t="shared" si="38"/>
        <v>High</v>
      </c>
      <c r="Q440" t="str">
        <f t="shared" si="39"/>
        <v>Low Loan</v>
      </c>
      <c r="R440">
        <f t="shared" si="40"/>
        <v>47600000</v>
      </c>
      <c r="S440" t="str">
        <f t="shared" si="41"/>
        <v>Strong</v>
      </c>
    </row>
    <row r="441" spans="1:19" x14ac:dyDescent="0.25">
      <c r="A441">
        <v>440</v>
      </c>
      <c r="B441">
        <v>3</v>
      </c>
      <c r="C441" t="s">
        <v>30</v>
      </c>
      <c r="D441" t="s">
        <v>33</v>
      </c>
      <c r="E441">
        <v>9500000</v>
      </c>
      <c r="F441">
        <v>20600000</v>
      </c>
      <c r="G441">
        <v>2</v>
      </c>
      <c r="H441">
        <v>731</v>
      </c>
      <c r="I441">
        <v>13400000</v>
      </c>
      <c r="J441">
        <v>3800000</v>
      </c>
      <c r="K441">
        <v>20700000</v>
      </c>
      <c r="L441">
        <v>9200000</v>
      </c>
      <c r="M441" t="s">
        <v>34</v>
      </c>
      <c r="N441">
        <f t="shared" si="37"/>
        <v>1</v>
      </c>
      <c r="O441" t="str">
        <f t="shared" si="36"/>
        <v>Good</v>
      </c>
      <c r="P441" t="str">
        <f t="shared" si="38"/>
        <v>High</v>
      </c>
      <c r="Q441" t="str">
        <f t="shared" si="39"/>
        <v>High Loan</v>
      </c>
      <c r="R441">
        <f t="shared" si="40"/>
        <v>47100000</v>
      </c>
      <c r="S441" t="str">
        <f t="shared" si="41"/>
        <v>Strong</v>
      </c>
    </row>
    <row r="442" spans="1:19" x14ac:dyDescent="0.25">
      <c r="A442">
        <v>441</v>
      </c>
      <c r="B442">
        <v>3</v>
      </c>
      <c r="C442" t="s">
        <v>31</v>
      </c>
      <c r="D442" t="s">
        <v>32</v>
      </c>
      <c r="E442">
        <v>4700000</v>
      </c>
      <c r="F442">
        <v>16700000</v>
      </c>
      <c r="G442">
        <v>12</v>
      </c>
      <c r="H442">
        <v>775</v>
      </c>
      <c r="I442">
        <v>4000000</v>
      </c>
      <c r="J442">
        <v>1700000</v>
      </c>
      <c r="K442">
        <v>17300000</v>
      </c>
      <c r="L442">
        <v>3500000</v>
      </c>
      <c r="M442" t="s">
        <v>34</v>
      </c>
      <c r="N442">
        <f t="shared" si="37"/>
        <v>1</v>
      </c>
      <c r="O442" t="str">
        <f t="shared" si="36"/>
        <v>Excellent</v>
      </c>
      <c r="P442" t="str">
        <f t="shared" si="38"/>
        <v>High</v>
      </c>
      <c r="Q442" t="str">
        <f t="shared" si="39"/>
        <v>Low Loan</v>
      </c>
      <c r="R442">
        <f t="shared" si="40"/>
        <v>26500000</v>
      </c>
      <c r="S442" t="str">
        <f t="shared" si="41"/>
        <v>Strong</v>
      </c>
    </row>
    <row r="443" spans="1:19" x14ac:dyDescent="0.25">
      <c r="A443">
        <v>442</v>
      </c>
      <c r="B443">
        <v>5</v>
      </c>
      <c r="C443" t="s">
        <v>30</v>
      </c>
      <c r="D443" t="s">
        <v>33</v>
      </c>
      <c r="E443">
        <v>9600000</v>
      </c>
      <c r="F443">
        <v>32400000</v>
      </c>
      <c r="G443">
        <v>2</v>
      </c>
      <c r="H443">
        <v>897</v>
      </c>
      <c r="I443">
        <v>3500000</v>
      </c>
      <c r="J443">
        <v>15400000</v>
      </c>
      <c r="K443">
        <v>26800000</v>
      </c>
      <c r="L443">
        <v>6200000</v>
      </c>
      <c r="M443" t="s">
        <v>34</v>
      </c>
      <c r="N443">
        <f t="shared" si="37"/>
        <v>1</v>
      </c>
      <c r="O443" t="str">
        <f t="shared" si="36"/>
        <v>Excellent</v>
      </c>
      <c r="P443" t="str">
        <f t="shared" si="38"/>
        <v>High</v>
      </c>
      <c r="Q443" t="str">
        <f t="shared" si="39"/>
        <v>High Loan</v>
      </c>
      <c r="R443">
        <f t="shared" si="40"/>
        <v>51900000</v>
      </c>
      <c r="S443" t="str">
        <f t="shared" si="41"/>
        <v>Strong</v>
      </c>
    </row>
    <row r="444" spans="1:19" x14ac:dyDescent="0.25">
      <c r="A444">
        <v>443</v>
      </c>
      <c r="B444">
        <v>5</v>
      </c>
      <c r="C444" t="s">
        <v>30</v>
      </c>
      <c r="D444" t="s">
        <v>32</v>
      </c>
      <c r="E444">
        <v>8000000</v>
      </c>
      <c r="F444">
        <v>26700000</v>
      </c>
      <c r="G444">
        <v>20</v>
      </c>
      <c r="H444">
        <v>794</v>
      </c>
      <c r="I444">
        <v>8000000</v>
      </c>
      <c r="J444">
        <v>14700000</v>
      </c>
      <c r="K444">
        <v>29900000</v>
      </c>
      <c r="L444">
        <v>7800000</v>
      </c>
      <c r="M444" t="s">
        <v>34</v>
      </c>
      <c r="N444">
        <f t="shared" si="37"/>
        <v>1</v>
      </c>
      <c r="O444" t="str">
        <f t="shared" si="36"/>
        <v>Excellent</v>
      </c>
      <c r="P444" t="str">
        <f t="shared" si="38"/>
        <v>High</v>
      </c>
      <c r="Q444" t="str">
        <f t="shared" si="39"/>
        <v>High Loan</v>
      </c>
      <c r="R444">
        <f t="shared" si="40"/>
        <v>60400000</v>
      </c>
      <c r="S444" t="str">
        <f t="shared" si="41"/>
        <v>Strong</v>
      </c>
    </row>
    <row r="445" spans="1:19" x14ac:dyDescent="0.25">
      <c r="A445">
        <v>444</v>
      </c>
      <c r="B445">
        <v>2</v>
      </c>
      <c r="C445" t="s">
        <v>30</v>
      </c>
      <c r="D445" t="s">
        <v>32</v>
      </c>
      <c r="E445">
        <v>7700000</v>
      </c>
      <c r="F445">
        <v>16700000</v>
      </c>
      <c r="G445">
        <v>6</v>
      </c>
      <c r="H445">
        <v>555</v>
      </c>
      <c r="I445">
        <v>12900000</v>
      </c>
      <c r="J445">
        <v>2900000</v>
      </c>
      <c r="K445">
        <v>18100000</v>
      </c>
      <c r="L445">
        <v>8500000</v>
      </c>
      <c r="M445" t="s">
        <v>34</v>
      </c>
      <c r="N445">
        <f t="shared" si="37"/>
        <v>1</v>
      </c>
      <c r="O445" t="str">
        <f t="shared" si="36"/>
        <v>Low</v>
      </c>
      <c r="P445" t="str">
        <f t="shared" si="38"/>
        <v>High</v>
      </c>
      <c r="Q445" t="str">
        <f t="shared" si="39"/>
        <v>Low Loan</v>
      </c>
      <c r="R445">
        <f t="shared" si="40"/>
        <v>42400000</v>
      </c>
      <c r="S445" t="str">
        <f t="shared" si="41"/>
        <v>Strong</v>
      </c>
    </row>
    <row r="446" spans="1:19" x14ac:dyDescent="0.25">
      <c r="A446">
        <v>445</v>
      </c>
      <c r="B446">
        <v>1</v>
      </c>
      <c r="C446" t="s">
        <v>31</v>
      </c>
      <c r="D446" t="s">
        <v>33</v>
      </c>
      <c r="E446">
        <v>3600000</v>
      </c>
      <c r="F446">
        <v>10300000</v>
      </c>
      <c r="G446">
        <v>12</v>
      </c>
      <c r="H446">
        <v>536</v>
      </c>
      <c r="I446">
        <v>6800000</v>
      </c>
      <c r="J446">
        <v>500000</v>
      </c>
      <c r="K446">
        <v>12200000</v>
      </c>
      <c r="L446">
        <v>2700000</v>
      </c>
      <c r="M446" t="s">
        <v>35</v>
      </c>
      <c r="N446">
        <f t="shared" si="37"/>
        <v>0</v>
      </c>
      <c r="O446" t="str">
        <f t="shared" si="36"/>
        <v>Low</v>
      </c>
      <c r="P446" t="str">
        <f t="shared" si="38"/>
        <v>High</v>
      </c>
      <c r="Q446" t="str">
        <f t="shared" si="39"/>
        <v>Low Loan</v>
      </c>
      <c r="R446">
        <f t="shared" si="40"/>
        <v>22200000</v>
      </c>
      <c r="S446" t="str">
        <f t="shared" si="41"/>
        <v>Strong</v>
      </c>
    </row>
    <row r="447" spans="1:19" x14ac:dyDescent="0.25">
      <c r="A447">
        <v>446</v>
      </c>
      <c r="B447">
        <v>2</v>
      </c>
      <c r="C447" t="s">
        <v>31</v>
      </c>
      <c r="D447" t="s">
        <v>32</v>
      </c>
      <c r="E447">
        <v>700000</v>
      </c>
      <c r="F447">
        <v>1700000</v>
      </c>
      <c r="G447">
        <v>10</v>
      </c>
      <c r="H447">
        <v>839</v>
      </c>
      <c r="I447">
        <v>100000</v>
      </c>
      <c r="J447">
        <v>700000</v>
      </c>
      <c r="K447">
        <v>2000000</v>
      </c>
      <c r="L447">
        <v>900000</v>
      </c>
      <c r="M447" t="s">
        <v>34</v>
      </c>
      <c r="N447">
        <f t="shared" si="37"/>
        <v>1</v>
      </c>
      <c r="O447" t="str">
        <f t="shared" si="36"/>
        <v>Excellent</v>
      </c>
      <c r="P447" t="str">
        <f t="shared" si="38"/>
        <v>High</v>
      </c>
      <c r="Q447" t="str">
        <f t="shared" si="39"/>
        <v>Low Loan</v>
      </c>
      <c r="R447">
        <f t="shared" si="40"/>
        <v>3700000</v>
      </c>
      <c r="S447" t="str">
        <f t="shared" si="41"/>
        <v>Weak</v>
      </c>
    </row>
    <row r="448" spans="1:19" x14ac:dyDescent="0.25">
      <c r="A448">
        <v>447</v>
      </c>
      <c r="B448">
        <v>0</v>
      </c>
      <c r="C448" t="s">
        <v>30</v>
      </c>
      <c r="D448" t="s">
        <v>33</v>
      </c>
      <c r="E448">
        <v>1400000</v>
      </c>
      <c r="F448">
        <v>5100000</v>
      </c>
      <c r="G448">
        <v>6</v>
      </c>
      <c r="H448">
        <v>890</v>
      </c>
      <c r="I448">
        <v>4100000</v>
      </c>
      <c r="J448">
        <v>1900000</v>
      </c>
      <c r="K448">
        <v>5200000</v>
      </c>
      <c r="L448">
        <v>1900000</v>
      </c>
      <c r="M448" t="s">
        <v>34</v>
      </c>
      <c r="N448">
        <f t="shared" si="37"/>
        <v>1</v>
      </c>
      <c r="O448" t="str">
        <f t="shared" si="36"/>
        <v>Excellent</v>
      </c>
      <c r="P448" t="str">
        <f t="shared" si="38"/>
        <v>High</v>
      </c>
      <c r="Q448" t="str">
        <f t="shared" si="39"/>
        <v>Low Loan</v>
      </c>
      <c r="R448">
        <f t="shared" si="40"/>
        <v>13100000</v>
      </c>
      <c r="S448" t="str">
        <f t="shared" si="41"/>
        <v>Strong</v>
      </c>
    </row>
    <row r="449" spans="1:19" x14ac:dyDescent="0.25">
      <c r="A449">
        <v>448</v>
      </c>
      <c r="B449">
        <v>1</v>
      </c>
      <c r="C449" t="s">
        <v>30</v>
      </c>
      <c r="D449" t="s">
        <v>33</v>
      </c>
      <c r="E449">
        <v>8600000</v>
      </c>
      <c r="F449">
        <v>27900000</v>
      </c>
      <c r="G449">
        <v>20</v>
      </c>
      <c r="H449">
        <v>415</v>
      </c>
      <c r="I449">
        <v>12200000</v>
      </c>
      <c r="J449">
        <v>14800000</v>
      </c>
      <c r="K449">
        <v>27100000</v>
      </c>
      <c r="L449">
        <v>7900000</v>
      </c>
      <c r="M449" t="s">
        <v>35</v>
      </c>
      <c r="N449">
        <f t="shared" si="37"/>
        <v>0</v>
      </c>
      <c r="O449" t="str">
        <f t="shared" si="36"/>
        <v>Low</v>
      </c>
      <c r="P449" t="str">
        <f t="shared" si="38"/>
        <v>High</v>
      </c>
      <c r="Q449" t="str">
        <f t="shared" si="39"/>
        <v>High Loan</v>
      </c>
      <c r="R449">
        <f t="shared" si="40"/>
        <v>62000000</v>
      </c>
      <c r="S449" t="str">
        <f t="shared" si="41"/>
        <v>Strong</v>
      </c>
    </row>
    <row r="450" spans="1:19" x14ac:dyDescent="0.25">
      <c r="A450">
        <v>449</v>
      </c>
      <c r="B450">
        <v>4</v>
      </c>
      <c r="C450" t="s">
        <v>30</v>
      </c>
      <c r="D450" t="s">
        <v>32</v>
      </c>
      <c r="E450">
        <v>4700000</v>
      </c>
      <c r="F450">
        <v>15700000</v>
      </c>
      <c r="G450">
        <v>4</v>
      </c>
      <c r="H450">
        <v>868</v>
      </c>
      <c r="I450">
        <v>3300000</v>
      </c>
      <c r="J450">
        <v>2500000</v>
      </c>
      <c r="K450">
        <v>13800000</v>
      </c>
      <c r="L450">
        <v>4800000</v>
      </c>
      <c r="M450" t="s">
        <v>34</v>
      </c>
      <c r="N450">
        <f t="shared" si="37"/>
        <v>1</v>
      </c>
      <c r="O450" t="str">
        <f t="shared" ref="O450:O513" si="42">IF(H450&lt;650,"Low",
 IF(H450&lt;700,"Medium",
 IF(H450&lt;750,"Good","Excellent")))</f>
        <v>Excellent</v>
      </c>
      <c r="P450" t="str">
        <f t="shared" si="38"/>
        <v>High</v>
      </c>
      <c r="Q450" t="str">
        <f t="shared" si="39"/>
        <v>Low Loan</v>
      </c>
      <c r="R450">
        <f t="shared" si="40"/>
        <v>24400000</v>
      </c>
      <c r="S450" t="str">
        <f t="shared" si="41"/>
        <v>Strong</v>
      </c>
    </row>
    <row r="451" spans="1:19" x14ac:dyDescent="0.25">
      <c r="A451">
        <v>450</v>
      </c>
      <c r="B451">
        <v>3</v>
      </c>
      <c r="C451" t="s">
        <v>30</v>
      </c>
      <c r="D451" t="s">
        <v>33</v>
      </c>
      <c r="E451">
        <v>2900000</v>
      </c>
      <c r="F451">
        <v>5800000</v>
      </c>
      <c r="G451">
        <v>12</v>
      </c>
      <c r="H451">
        <v>353</v>
      </c>
      <c r="I451">
        <v>8400000</v>
      </c>
      <c r="J451">
        <v>2600000</v>
      </c>
      <c r="K451">
        <v>10100000</v>
      </c>
      <c r="L451">
        <v>3100000</v>
      </c>
      <c r="M451" t="s">
        <v>35</v>
      </c>
      <c r="N451">
        <f t="shared" ref="N451:N514" si="43">IF(TRIM(CLEAN(M451))="Approved",1,0)</f>
        <v>0</v>
      </c>
      <c r="O451" t="str">
        <f t="shared" si="42"/>
        <v>Low</v>
      </c>
      <c r="P451" t="str">
        <f t="shared" ref="P451:P514" si="44">IF(E451&lt;300000,"Low",
 IF(E451&lt;700000,"Middle","High"))</f>
        <v>High</v>
      </c>
      <c r="Q451" t="str">
        <f t="shared" ref="Q451:Q514" si="45">IF(F451&lt;20000000,"Low Loan","High Loan")</f>
        <v>Low Loan</v>
      </c>
      <c r="R451">
        <f t="shared" ref="R451:R514" si="46">I451+J451+K451+L451</f>
        <v>24200000</v>
      </c>
      <c r="S451" t="str">
        <f t="shared" ref="S451:S514" si="47">IF(R451&lt;5000000,"Weak",
 IF(R451&lt;10000000,"Moderate","Strong"))</f>
        <v>Strong</v>
      </c>
    </row>
    <row r="452" spans="1:19" x14ac:dyDescent="0.25">
      <c r="A452">
        <v>451</v>
      </c>
      <c r="B452">
        <v>4</v>
      </c>
      <c r="C452" t="s">
        <v>31</v>
      </c>
      <c r="D452" t="s">
        <v>32</v>
      </c>
      <c r="E452">
        <v>9000000</v>
      </c>
      <c r="F452">
        <v>29000000</v>
      </c>
      <c r="G452">
        <v>16</v>
      </c>
      <c r="H452">
        <v>590</v>
      </c>
      <c r="I452">
        <v>4600000</v>
      </c>
      <c r="J452">
        <v>15600000</v>
      </c>
      <c r="K452">
        <v>29200000</v>
      </c>
      <c r="L452">
        <v>12300000</v>
      </c>
      <c r="M452" t="s">
        <v>34</v>
      </c>
      <c r="N452">
        <f t="shared" si="43"/>
        <v>1</v>
      </c>
      <c r="O452" t="str">
        <f t="shared" si="42"/>
        <v>Low</v>
      </c>
      <c r="P452" t="str">
        <f t="shared" si="44"/>
        <v>High</v>
      </c>
      <c r="Q452" t="str">
        <f t="shared" si="45"/>
        <v>High Loan</v>
      </c>
      <c r="R452">
        <f t="shared" si="46"/>
        <v>61700000</v>
      </c>
      <c r="S452" t="str">
        <f t="shared" si="47"/>
        <v>Strong</v>
      </c>
    </row>
    <row r="453" spans="1:19" x14ac:dyDescent="0.25">
      <c r="A453">
        <v>452</v>
      </c>
      <c r="B453">
        <v>5</v>
      </c>
      <c r="C453" t="s">
        <v>30</v>
      </c>
      <c r="D453" t="s">
        <v>33</v>
      </c>
      <c r="E453">
        <v>500000</v>
      </c>
      <c r="F453">
        <v>900000</v>
      </c>
      <c r="G453">
        <v>18</v>
      </c>
      <c r="H453">
        <v>618</v>
      </c>
      <c r="I453">
        <v>1400000</v>
      </c>
      <c r="J453">
        <v>600000</v>
      </c>
      <c r="K453">
        <v>1200000</v>
      </c>
      <c r="L453">
        <v>400000</v>
      </c>
      <c r="M453" t="s">
        <v>34</v>
      </c>
      <c r="N453">
        <f t="shared" si="43"/>
        <v>1</v>
      </c>
      <c r="O453" t="str">
        <f t="shared" si="42"/>
        <v>Low</v>
      </c>
      <c r="P453" t="str">
        <f t="shared" si="44"/>
        <v>Middle</v>
      </c>
      <c r="Q453" t="str">
        <f t="shared" si="45"/>
        <v>Low Loan</v>
      </c>
      <c r="R453">
        <f t="shared" si="46"/>
        <v>3600000</v>
      </c>
      <c r="S453" t="str">
        <f t="shared" si="47"/>
        <v>Weak</v>
      </c>
    </row>
    <row r="454" spans="1:19" x14ac:dyDescent="0.25">
      <c r="A454">
        <v>453</v>
      </c>
      <c r="B454">
        <v>2</v>
      </c>
      <c r="C454" t="s">
        <v>31</v>
      </c>
      <c r="D454" t="s">
        <v>33</v>
      </c>
      <c r="E454">
        <v>700000</v>
      </c>
      <c r="F454">
        <v>1700000</v>
      </c>
      <c r="G454">
        <v>10</v>
      </c>
      <c r="H454">
        <v>539</v>
      </c>
      <c r="I454">
        <v>1400000</v>
      </c>
      <c r="J454">
        <v>1000000</v>
      </c>
      <c r="K454">
        <v>1900000</v>
      </c>
      <c r="L454">
        <v>900000</v>
      </c>
      <c r="M454" t="s">
        <v>35</v>
      </c>
      <c r="N454">
        <f t="shared" si="43"/>
        <v>0</v>
      </c>
      <c r="O454" t="str">
        <f t="shared" si="42"/>
        <v>Low</v>
      </c>
      <c r="P454" t="str">
        <f t="shared" si="44"/>
        <v>High</v>
      </c>
      <c r="Q454" t="str">
        <f t="shared" si="45"/>
        <v>Low Loan</v>
      </c>
      <c r="R454">
        <f t="shared" si="46"/>
        <v>5200000</v>
      </c>
      <c r="S454" t="str">
        <f t="shared" si="47"/>
        <v>Moderate</v>
      </c>
    </row>
    <row r="455" spans="1:19" x14ac:dyDescent="0.25">
      <c r="A455">
        <v>454</v>
      </c>
      <c r="B455">
        <v>0</v>
      </c>
      <c r="C455" t="s">
        <v>30</v>
      </c>
      <c r="D455" t="s">
        <v>32</v>
      </c>
      <c r="E455">
        <v>6800000</v>
      </c>
      <c r="F455">
        <v>27000000</v>
      </c>
      <c r="G455">
        <v>4</v>
      </c>
      <c r="H455">
        <v>429</v>
      </c>
      <c r="I455">
        <v>17100000</v>
      </c>
      <c r="J455">
        <v>7600000</v>
      </c>
      <c r="K455">
        <v>21400000</v>
      </c>
      <c r="L455">
        <v>9400000</v>
      </c>
      <c r="M455" t="s">
        <v>34</v>
      </c>
      <c r="N455">
        <f t="shared" si="43"/>
        <v>1</v>
      </c>
      <c r="O455" t="str">
        <f t="shared" si="42"/>
        <v>Low</v>
      </c>
      <c r="P455" t="str">
        <f t="shared" si="44"/>
        <v>High</v>
      </c>
      <c r="Q455" t="str">
        <f t="shared" si="45"/>
        <v>High Loan</v>
      </c>
      <c r="R455">
        <f t="shared" si="46"/>
        <v>55500000</v>
      </c>
      <c r="S455" t="str">
        <f t="shared" si="47"/>
        <v>Strong</v>
      </c>
    </row>
    <row r="456" spans="1:19" x14ac:dyDescent="0.25">
      <c r="A456">
        <v>455</v>
      </c>
      <c r="B456">
        <v>2</v>
      </c>
      <c r="C456" t="s">
        <v>30</v>
      </c>
      <c r="D456" t="s">
        <v>32</v>
      </c>
      <c r="E456">
        <v>1800000</v>
      </c>
      <c r="F456">
        <v>4700000</v>
      </c>
      <c r="G456">
        <v>8</v>
      </c>
      <c r="H456">
        <v>792</v>
      </c>
      <c r="I456">
        <v>4500000</v>
      </c>
      <c r="J456">
        <v>1200000</v>
      </c>
      <c r="K456">
        <v>4100000</v>
      </c>
      <c r="L456">
        <v>2200000</v>
      </c>
      <c r="M456" t="s">
        <v>34</v>
      </c>
      <c r="N456">
        <f t="shared" si="43"/>
        <v>1</v>
      </c>
      <c r="O456" t="str">
        <f t="shared" si="42"/>
        <v>Excellent</v>
      </c>
      <c r="P456" t="str">
        <f t="shared" si="44"/>
        <v>High</v>
      </c>
      <c r="Q456" t="str">
        <f t="shared" si="45"/>
        <v>Low Loan</v>
      </c>
      <c r="R456">
        <f t="shared" si="46"/>
        <v>12000000</v>
      </c>
      <c r="S456" t="str">
        <f t="shared" si="47"/>
        <v>Strong</v>
      </c>
    </row>
    <row r="457" spans="1:19" x14ac:dyDescent="0.25">
      <c r="A457">
        <v>456</v>
      </c>
      <c r="B457">
        <v>0</v>
      </c>
      <c r="C457" t="s">
        <v>31</v>
      </c>
      <c r="D457" t="s">
        <v>32</v>
      </c>
      <c r="E457">
        <v>6000000</v>
      </c>
      <c r="F457">
        <v>12400000</v>
      </c>
      <c r="G457">
        <v>2</v>
      </c>
      <c r="H457">
        <v>608</v>
      </c>
      <c r="I457">
        <v>3000000</v>
      </c>
      <c r="J457">
        <v>2100000</v>
      </c>
      <c r="K457">
        <v>17900000</v>
      </c>
      <c r="L457">
        <v>6800000</v>
      </c>
      <c r="M457" t="s">
        <v>34</v>
      </c>
      <c r="N457">
        <f t="shared" si="43"/>
        <v>1</v>
      </c>
      <c r="O457" t="str">
        <f t="shared" si="42"/>
        <v>Low</v>
      </c>
      <c r="P457" t="str">
        <f t="shared" si="44"/>
        <v>High</v>
      </c>
      <c r="Q457" t="str">
        <f t="shared" si="45"/>
        <v>Low Loan</v>
      </c>
      <c r="R457">
        <f t="shared" si="46"/>
        <v>29800000</v>
      </c>
      <c r="S457" t="str">
        <f t="shared" si="47"/>
        <v>Strong</v>
      </c>
    </row>
    <row r="458" spans="1:19" x14ac:dyDescent="0.25">
      <c r="A458">
        <v>457</v>
      </c>
      <c r="B458">
        <v>4</v>
      </c>
      <c r="C458" t="s">
        <v>30</v>
      </c>
      <c r="D458" t="s">
        <v>33</v>
      </c>
      <c r="E458">
        <v>5400000</v>
      </c>
      <c r="F458">
        <v>21500000</v>
      </c>
      <c r="G458">
        <v>14</v>
      </c>
      <c r="H458">
        <v>555</v>
      </c>
      <c r="I458">
        <v>4300000</v>
      </c>
      <c r="J458">
        <v>1500000</v>
      </c>
      <c r="K458">
        <v>14300000</v>
      </c>
      <c r="L458">
        <v>7500000</v>
      </c>
      <c r="M458" t="s">
        <v>34</v>
      </c>
      <c r="N458">
        <f t="shared" si="43"/>
        <v>1</v>
      </c>
      <c r="O458" t="str">
        <f t="shared" si="42"/>
        <v>Low</v>
      </c>
      <c r="P458" t="str">
        <f t="shared" si="44"/>
        <v>High</v>
      </c>
      <c r="Q458" t="str">
        <f t="shared" si="45"/>
        <v>High Loan</v>
      </c>
      <c r="R458">
        <f t="shared" si="46"/>
        <v>27600000</v>
      </c>
      <c r="S458" t="str">
        <f t="shared" si="47"/>
        <v>Strong</v>
      </c>
    </row>
    <row r="459" spans="1:19" x14ac:dyDescent="0.25">
      <c r="A459">
        <v>458</v>
      </c>
      <c r="B459">
        <v>5</v>
      </c>
      <c r="C459" t="s">
        <v>30</v>
      </c>
      <c r="D459" t="s">
        <v>33</v>
      </c>
      <c r="E459">
        <v>8400000</v>
      </c>
      <c r="F459">
        <v>17500000</v>
      </c>
      <c r="G459">
        <v>12</v>
      </c>
      <c r="H459">
        <v>620</v>
      </c>
      <c r="I459">
        <v>15300000</v>
      </c>
      <c r="J459">
        <v>13600000</v>
      </c>
      <c r="K459">
        <v>26000000</v>
      </c>
      <c r="L459">
        <v>5800000</v>
      </c>
      <c r="M459" t="s">
        <v>34</v>
      </c>
      <c r="N459">
        <f t="shared" si="43"/>
        <v>1</v>
      </c>
      <c r="O459" t="str">
        <f t="shared" si="42"/>
        <v>Low</v>
      </c>
      <c r="P459" t="str">
        <f t="shared" si="44"/>
        <v>High</v>
      </c>
      <c r="Q459" t="str">
        <f t="shared" si="45"/>
        <v>Low Loan</v>
      </c>
      <c r="R459">
        <f t="shared" si="46"/>
        <v>60700000</v>
      </c>
      <c r="S459" t="str">
        <f t="shared" si="47"/>
        <v>Strong</v>
      </c>
    </row>
    <row r="460" spans="1:19" x14ac:dyDescent="0.25">
      <c r="A460">
        <v>459</v>
      </c>
      <c r="B460">
        <v>0</v>
      </c>
      <c r="C460" t="s">
        <v>30</v>
      </c>
      <c r="D460" t="s">
        <v>32</v>
      </c>
      <c r="E460">
        <v>7400000</v>
      </c>
      <c r="F460">
        <v>20900000</v>
      </c>
      <c r="G460">
        <v>6</v>
      </c>
      <c r="H460">
        <v>635</v>
      </c>
      <c r="I460">
        <v>15600000</v>
      </c>
      <c r="J460">
        <v>14000000</v>
      </c>
      <c r="K460">
        <v>21000000</v>
      </c>
      <c r="L460">
        <v>7200000</v>
      </c>
      <c r="M460" t="s">
        <v>34</v>
      </c>
      <c r="N460">
        <f t="shared" si="43"/>
        <v>1</v>
      </c>
      <c r="O460" t="str">
        <f t="shared" si="42"/>
        <v>Low</v>
      </c>
      <c r="P460" t="str">
        <f t="shared" si="44"/>
        <v>High</v>
      </c>
      <c r="Q460" t="str">
        <f t="shared" si="45"/>
        <v>High Loan</v>
      </c>
      <c r="R460">
        <f t="shared" si="46"/>
        <v>57800000</v>
      </c>
      <c r="S460" t="str">
        <f t="shared" si="47"/>
        <v>Strong</v>
      </c>
    </row>
    <row r="461" spans="1:19" x14ac:dyDescent="0.25">
      <c r="A461">
        <v>460</v>
      </c>
      <c r="B461">
        <v>2</v>
      </c>
      <c r="C461" t="s">
        <v>30</v>
      </c>
      <c r="D461" t="s">
        <v>32</v>
      </c>
      <c r="E461">
        <v>3200000</v>
      </c>
      <c r="F461">
        <v>12500000</v>
      </c>
      <c r="G461">
        <v>10</v>
      </c>
      <c r="H461">
        <v>457</v>
      </c>
      <c r="I461">
        <v>6100000</v>
      </c>
      <c r="J461">
        <v>2000000</v>
      </c>
      <c r="K461">
        <v>8200000</v>
      </c>
      <c r="L461">
        <v>4300000</v>
      </c>
      <c r="M461" t="s">
        <v>35</v>
      </c>
      <c r="N461">
        <f t="shared" si="43"/>
        <v>0</v>
      </c>
      <c r="O461" t="str">
        <f t="shared" si="42"/>
        <v>Low</v>
      </c>
      <c r="P461" t="str">
        <f t="shared" si="44"/>
        <v>High</v>
      </c>
      <c r="Q461" t="str">
        <f t="shared" si="45"/>
        <v>Low Loan</v>
      </c>
      <c r="R461">
        <f t="shared" si="46"/>
        <v>20600000</v>
      </c>
      <c r="S461" t="str">
        <f t="shared" si="47"/>
        <v>Strong</v>
      </c>
    </row>
    <row r="462" spans="1:19" x14ac:dyDescent="0.25">
      <c r="A462">
        <v>461</v>
      </c>
      <c r="B462">
        <v>1</v>
      </c>
      <c r="C462" t="s">
        <v>30</v>
      </c>
      <c r="D462" t="s">
        <v>33</v>
      </c>
      <c r="E462">
        <v>5400000</v>
      </c>
      <c r="F462">
        <v>21400000</v>
      </c>
      <c r="G462">
        <v>8</v>
      </c>
      <c r="H462">
        <v>350</v>
      </c>
      <c r="I462">
        <v>2600000</v>
      </c>
      <c r="J462">
        <v>1000000</v>
      </c>
      <c r="K462">
        <v>19700000</v>
      </c>
      <c r="L462">
        <v>6800000</v>
      </c>
      <c r="M462" t="s">
        <v>35</v>
      </c>
      <c r="N462">
        <f t="shared" si="43"/>
        <v>0</v>
      </c>
      <c r="O462" t="str">
        <f t="shared" si="42"/>
        <v>Low</v>
      </c>
      <c r="P462" t="str">
        <f t="shared" si="44"/>
        <v>High</v>
      </c>
      <c r="Q462" t="str">
        <f t="shared" si="45"/>
        <v>High Loan</v>
      </c>
      <c r="R462">
        <f t="shared" si="46"/>
        <v>30100000</v>
      </c>
      <c r="S462" t="str">
        <f t="shared" si="47"/>
        <v>Strong</v>
      </c>
    </row>
    <row r="463" spans="1:19" x14ac:dyDescent="0.25">
      <c r="A463">
        <v>462</v>
      </c>
      <c r="B463">
        <v>5</v>
      </c>
      <c r="C463" t="s">
        <v>30</v>
      </c>
      <c r="D463" t="s">
        <v>33</v>
      </c>
      <c r="E463">
        <v>1000000</v>
      </c>
      <c r="F463">
        <v>2500000</v>
      </c>
      <c r="G463">
        <v>14</v>
      </c>
      <c r="H463">
        <v>885</v>
      </c>
      <c r="I463">
        <v>2200000</v>
      </c>
      <c r="J463">
        <v>100000</v>
      </c>
      <c r="K463">
        <v>2300000</v>
      </c>
      <c r="L463">
        <v>1100000</v>
      </c>
      <c r="M463" t="s">
        <v>34</v>
      </c>
      <c r="N463">
        <f t="shared" si="43"/>
        <v>1</v>
      </c>
      <c r="O463" t="str">
        <f t="shared" si="42"/>
        <v>Excellent</v>
      </c>
      <c r="P463" t="str">
        <f t="shared" si="44"/>
        <v>High</v>
      </c>
      <c r="Q463" t="str">
        <f t="shared" si="45"/>
        <v>Low Loan</v>
      </c>
      <c r="R463">
        <f t="shared" si="46"/>
        <v>5700000</v>
      </c>
      <c r="S463" t="str">
        <f t="shared" si="47"/>
        <v>Moderate</v>
      </c>
    </row>
    <row r="464" spans="1:19" x14ac:dyDescent="0.25">
      <c r="A464">
        <v>463</v>
      </c>
      <c r="B464">
        <v>0</v>
      </c>
      <c r="C464" t="s">
        <v>30</v>
      </c>
      <c r="D464" t="s">
        <v>32</v>
      </c>
      <c r="E464">
        <v>4400000</v>
      </c>
      <c r="F464">
        <v>14700000</v>
      </c>
      <c r="G464">
        <v>16</v>
      </c>
      <c r="H464">
        <v>638</v>
      </c>
      <c r="I464">
        <v>4000000</v>
      </c>
      <c r="J464">
        <v>2700000</v>
      </c>
      <c r="K464">
        <v>14400000</v>
      </c>
      <c r="L464">
        <v>2700000</v>
      </c>
      <c r="M464" t="s">
        <v>34</v>
      </c>
      <c r="N464">
        <f t="shared" si="43"/>
        <v>1</v>
      </c>
      <c r="O464" t="str">
        <f t="shared" si="42"/>
        <v>Low</v>
      </c>
      <c r="P464" t="str">
        <f t="shared" si="44"/>
        <v>High</v>
      </c>
      <c r="Q464" t="str">
        <f t="shared" si="45"/>
        <v>Low Loan</v>
      </c>
      <c r="R464">
        <f t="shared" si="46"/>
        <v>23800000</v>
      </c>
      <c r="S464" t="str">
        <f t="shared" si="47"/>
        <v>Strong</v>
      </c>
    </row>
    <row r="465" spans="1:19" x14ac:dyDescent="0.25">
      <c r="A465">
        <v>464</v>
      </c>
      <c r="B465">
        <v>1</v>
      </c>
      <c r="C465" t="s">
        <v>30</v>
      </c>
      <c r="D465" t="s">
        <v>33</v>
      </c>
      <c r="E465">
        <v>3800000</v>
      </c>
      <c r="F465">
        <v>10500000</v>
      </c>
      <c r="G465">
        <v>12</v>
      </c>
      <c r="H465">
        <v>710</v>
      </c>
      <c r="I465">
        <v>1800000</v>
      </c>
      <c r="J465">
        <v>6200000</v>
      </c>
      <c r="K465">
        <v>12500000</v>
      </c>
      <c r="L465">
        <v>2500000</v>
      </c>
      <c r="M465" t="s">
        <v>34</v>
      </c>
      <c r="N465">
        <f t="shared" si="43"/>
        <v>1</v>
      </c>
      <c r="O465" t="str">
        <f t="shared" si="42"/>
        <v>Good</v>
      </c>
      <c r="P465" t="str">
        <f t="shared" si="44"/>
        <v>High</v>
      </c>
      <c r="Q465" t="str">
        <f t="shared" si="45"/>
        <v>Low Loan</v>
      </c>
      <c r="R465">
        <f t="shared" si="46"/>
        <v>23000000</v>
      </c>
      <c r="S465" t="str">
        <f t="shared" si="47"/>
        <v>Strong</v>
      </c>
    </row>
    <row r="466" spans="1:19" x14ac:dyDescent="0.25">
      <c r="A466">
        <v>465</v>
      </c>
      <c r="B466">
        <v>3</v>
      </c>
      <c r="C466" t="s">
        <v>31</v>
      </c>
      <c r="D466" t="s">
        <v>33</v>
      </c>
      <c r="E466">
        <v>6100000</v>
      </c>
      <c r="F466">
        <v>20900000</v>
      </c>
      <c r="G466">
        <v>18</v>
      </c>
      <c r="H466">
        <v>470</v>
      </c>
      <c r="I466">
        <v>500000</v>
      </c>
      <c r="J466">
        <v>8500000</v>
      </c>
      <c r="K466">
        <v>18000000</v>
      </c>
      <c r="L466">
        <v>7500000</v>
      </c>
      <c r="M466" t="s">
        <v>35</v>
      </c>
      <c r="N466">
        <f t="shared" si="43"/>
        <v>0</v>
      </c>
      <c r="O466" t="str">
        <f t="shared" si="42"/>
        <v>Low</v>
      </c>
      <c r="P466" t="str">
        <f t="shared" si="44"/>
        <v>High</v>
      </c>
      <c r="Q466" t="str">
        <f t="shared" si="45"/>
        <v>High Loan</v>
      </c>
      <c r="R466">
        <f t="shared" si="46"/>
        <v>34500000</v>
      </c>
      <c r="S466" t="str">
        <f t="shared" si="47"/>
        <v>Strong</v>
      </c>
    </row>
    <row r="467" spans="1:19" x14ac:dyDescent="0.25">
      <c r="A467">
        <v>466</v>
      </c>
      <c r="B467">
        <v>5</v>
      </c>
      <c r="C467" t="s">
        <v>31</v>
      </c>
      <c r="D467" t="s">
        <v>33</v>
      </c>
      <c r="E467">
        <v>5500000</v>
      </c>
      <c r="F467">
        <v>17300000</v>
      </c>
      <c r="G467">
        <v>16</v>
      </c>
      <c r="H467">
        <v>874</v>
      </c>
      <c r="I467">
        <v>1000000</v>
      </c>
      <c r="J467">
        <v>2900000</v>
      </c>
      <c r="K467">
        <v>13700000</v>
      </c>
      <c r="L467">
        <v>7900000</v>
      </c>
      <c r="M467" t="s">
        <v>34</v>
      </c>
      <c r="N467">
        <f t="shared" si="43"/>
        <v>1</v>
      </c>
      <c r="O467" t="str">
        <f t="shared" si="42"/>
        <v>Excellent</v>
      </c>
      <c r="P467" t="str">
        <f t="shared" si="44"/>
        <v>High</v>
      </c>
      <c r="Q467" t="str">
        <f t="shared" si="45"/>
        <v>Low Loan</v>
      </c>
      <c r="R467">
        <f t="shared" si="46"/>
        <v>25500000</v>
      </c>
      <c r="S467" t="str">
        <f t="shared" si="47"/>
        <v>Strong</v>
      </c>
    </row>
    <row r="468" spans="1:19" x14ac:dyDescent="0.25">
      <c r="A468">
        <v>467</v>
      </c>
      <c r="B468">
        <v>5</v>
      </c>
      <c r="C468" t="s">
        <v>31</v>
      </c>
      <c r="D468" t="s">
        <v>33</v>
      </c>
      <c r="E468">
        <v>500000</v>
      </c>
      <c r="F468">
        <v>1800000</v>
      </c>
      <c r="G468">
        <v>18</v>
      </c>
      <c r="H468">
        <v>411</v>
      </c>
      <c r="I468">
        <v>1000000</v>
      </c>
      <c r="J468">
        <v>500000</v>
      </c>
      <c r="K468">
        <v>1300000</v>
      </c>
      <c r="L468">
        <v>200000</v>
      </c>
      <c r="M468" t="s">
        <v>35</v>
      </c>
      <c r="N468">
        <f t="shared" si="43"/>
        <v>0</v>
      </c>
      <c r="O468" t="str">
        <f t="shared" si="42"/>
        <v>Low</v>
      </c>
      <c r="P468" t="str">
        <f t="shared" si="44"/>
        <v>Middle</v>
      </c>
      <c r="Q468" t="str">
        <f t="shared" si="45"/>
        <v>Low Loan</v>
      </c>
      <c r="R468">
        <f t="shared" si="46"/>
        <v>3000000</v>
      </c>
      <c r="S468" t="str">
        <f t="shared" si="47"/>
        <v>Weak</v>
      </c>
    </row>
    <row r="469" spans="1:19" x14ac:dyDescent="0.25">
      <c r="A469">
        <v>468</v>
      </c>
      <c r="B469">
        <v>0</v>
      </c>
      <c r="C469" t="s">
        <v>31</v>
      </c>
      <c r="D469" t="s">
        <v>33</v>
      </c>
      <c r="E469">
        <v>300000</v>
      </c>
      <c r="F469">
        <v>1100000</v>
      </c>
      <c r="G469">
        <v>2</v>
      </c>
      <c r="H469">
        <v>482</v>
      </c>
      <c r="I469">
        <v>200000</v>
      </c>
      <c r="J469">
        <v>100000</v>
      </c>
      <c r="K469">
        <v>1100000</v>
      </c>
      <c r="L469">
        <v>400000</v>
      </c>
      <c r="M469" t="s">
        <v>34</v>
      </c>
      <c r="N469">
        <f t="shared" si="43"/>
        <v>1</v>
      </c>
      <c r="O469" t="str">
        <f t="shared" si="42"/>
        <v>Low</v>
      </c>
      <c r="P469" t="str">
        <f t="shared" si="44"/>
        <v>Middle</v>
      </c>
      <c r="Q469" t="str">
        <f t="shared" si="45"/>
        <v>Low Loan</v>
      </c>
      <c r="R469">
        <f t="shared" si="46"/>
        <v>1800000</v>
      </c>
      <c r="S469" t="str">
        <f t="shared" si="47"/>
        <v>Weak</v>
      </c>
    </row>
    <row r="470" spans="1:19" x14ac:dyDescent="0.25">
      <c r="A470">
        <v>469</v>
      </c>
      <c r="B470">
        <v>1</v>
      </c>
      <c r="C470" t="s">
        <v>30</v>
      </c>
      <c r="D470" t="s">
        <v>33</v>
      </c>
      <c r="E470">
        <v>6200000</v>
      </c>
      <c r="F470">
        <v>16900000</v>
      </c>
      <c r="G470">
        <v>2</v>
      </c>
      <c r="H470">
        <v>396</v>
      </c>
      <c r="I470">
        <v>10600000</v>
      </c>
      <c r="J470">
        <v>7500000</v>
      </c>
      <c r="K470">
        <v>23700000</v>
      </c>
      <c r="L470">
        <v>7600000</v>
      </c>
      <c r="M470" t="s">
        <v>35</v>
      </c>
      <c r="N470">
        <f t="shared" si="43"/>
        <v>0</v>
      </c>
      <c r="O470" t="str">
        <f t="shared" si="42"/>
        <v>Low</v>
      </c>
      <c r="P470" t="str">
        <f t="shared" si="44"/>
        <v>High</v>
      </c>
      <c r="Q470" t="str">
        <f t="shared" si="45"/>
        <v>Low Loan</v>
      </c>
      <c r="R470">
        <f t="shared" si="46"/>
        <v>49400000</v>
      </c>
      <c r="S470" t="str">
        <f t="shared" si="47"/>
        <v>Strong</v>
      </c>
    </row>
    <row r="471" spans="1:19" x14ac:dyDescent="0.25">
      <c r="A471">
        <v>470</v>
      </c>
      <c r="B471">
        <v>0</v>
      </c>
      <c r="C471" t="s">
        <v>31</v>
      </c>
      <c r="D471" t="s">
        <v>32</v>
      </c>
      <c r="E471">
        <v>300000</v>
      </c>
      <c r="F471">
        <v>900000</v>
      </c>
      <c r="G471">
        <v>20</v>
      </c>
      <c r="H471">
        <v>436</v>
      </c>
      <c r="I471">
        <v>0</v>
      </c>
      <c r="J471">
        <v>400000</v>
      </c>
      <c r="K471">
        <v>600000</v>
      </c>
      <c r="L471">
        <v>200000</v>
      </c>
      <c r="M471" t="s">
        <v>35</v>
      </c>
      <c r="N471">
        <f t="shared" si="43"/>
        <v>0</v>
      </c>
      <c r="O471" t="str">
        <f t="shared" si="42"/>
        <v>Low</v>
      </c>
      <c r="P471" t="str">
        <f t="shared" si="44"/>
        <v>Middle</v>
      </c>
      <c r="Q471" t="str">
        <f t="shared" si="45"/>
        <v>Low Loan</v>
      </c>
      <c r="R471">
        <f t="shared" si="46"/>
        <v>1200000</v>
      </c>
      <c r="S471" t="str">
        <f t="shared" si="47"/>
        <v>Weak</v>
      </c>
    </row>
    <row r="472" spans="1:19" x14ac:dyDescent="0.25">
      <c r="A472">
        <v>471</v>
      </c>
      <c r="B472">
        <v>0</v>
      </c>
      <c r="C472" t="s">
        <v>31</v>
      </c>
      <c r="D472" t="s">
        <v>33</v>
      </c>
      <c r="E472">
        <v>6900000</v>
      </c>
      <c r="F472">
        <v>22100000</v>
      </c>
      <c r="G472">
        <v>20</v>
      </c>
      <c r="H472">
        <v>303</v>
      </c>
      <c r="I472">
        <v>13600000</v>
      </c>
      <c r="J472">
        <v>4600000</v>
      </c>
      <c r="K472">
        <v>22000000</v>
      </c>
      <c r="L472">
        <v>6900000</v>
      </c>
      <c r="M472" t="s">
        <v>35</v>
      </c>
      <c r="N472">
        <f t="shared" si="43"/>
        <v>0</v>
      </c>
      <c r="O472" t="str">
        <f t="shared" si="42"/>
        <v>Low</v>
      </c>
      <c r="P472" t="str">
        <f t="shared" si="44"/>
        <v>High</v>
      </c>
      <c r="Q472" t="str">
        <f t="shared" si="45"/>
        <v>High Loan</v>
      </c>
      <c r="R472">
        <f t="shared" si="46"/>
        <v>47100000</v>
      </c>
      <c r="S472" t="str">
        <f t="shared" si="47"/>
        <v>Strong</v>
      </c>
    </row>
    <row r="473" spans="1:19" x14ac:dyDescent="0.25">
      <c r="A473">
        <v>472</v>
      </c>
      <c r="B473">
        <v>4</v>
      </c>
      <c r="C473" t="s">
        <v>30</v>
      </c>
      <c r="D473" t="s">
        <v>32</v>
      </c>
      <c r="E473">
        <v>3700000</v>
      </c>
      <c r="F473">
        <v>11400000</v>
      </c>
      <c r="G473">
        <v>12</v>
      </c>
      <c r="H473">
        <v>728</v>
      </c>
      <c r="I473">
        <v>4200000</v>
      </c>
      <c r="J473">
        <v>5800000</v>
      </c>
      <c r="K473">
        <v>7300000</v>
      </c>
      <c r="L473">
        <v>2300000</v>
      </c>
      <c r="M473" t="s">
        <v>34</v>
      </c>
      <c r="N473">
        <f t="shared" si="43"/>
        <v>1</v>
      </c>
      <c r="O473" t="str">
        <f t="shared" si="42"/>
        <v>Good</v>
      </c>
      <c r="P473" t="str">
        <f t="shared" si="44"/>
        <v>High</v>
      </c>
      <c r="Q473" t="str">
        <f t="shared" si="45"/>
        <v>Low Loan</v>
      </c>
      <c r="R473">
        <f t="shared" si="46"/>
        <v>19600000</v>
      </c>
      <c r="S473" t="str">
        <f t="shared" si="47"/>
        <v>Strong</v>
      </c>
    </row>
    <row r="474" spans="1:19" x14ac:dyDescent="0.25">
      <c r="A474">
        <v>473</v>
      </c>
      <c r="B474">
        <v>3</v>
      </c>
      <c r="C474" t="s">
        <v>31</v>
      </c>
      <c r="D474" t="s">
        <v>33</v>
      </c>
      <c r="E474">
        <v>8800000</v>
      </c>
      <c r="F474">
        <v>28600000</v>
      </c>
      <c r="G474">
        <v>10</v>
      </c>
      <c r="H474">
        <v>775</v>
      </c>
      <c r="I474">
        <v>5200000</v>
      </c>
      <c r="J474">
        <v>5000000</v>
      </c>
      <c r="K474">
        <v>32000000</v>
      </c>
      <c r="L474">
        <v>9600000</v>
      </c>
      <c r="M474" t="s">
        <v>34</v>
      </c>
      <c r="N474">
        <f t="shared" si="43"/>
        <v>1</v>
      </c>
      <c r="O474" t="str">
        <f t="shared" si="42"/>
        <v>Excellent</v>
      </c>
      <c r="P474" t="str">
        <f t="shared" si="44"/>
        <v>High</v>
      </c>
      <c r="Q474" t="str">
        <f t="shared" si="45"/>
        <v>High Loan</v>
      </c>
      <c r="R474">
        <f t="shared" si="46"/>
        <v>51800000</v>
      </c>
      <c r="S474" t="str">
        <f t="shared" si="47"/>
        <v>Strong</v>
      </c>
    </row>
    <row r="475" spans="1:19" x14ac:dyDescent="0.25">
      <c r="A475">
        <v>474</v>
      </c>
      <c r="B475">
        <v>5</v>
      </c>
      <c r="C475" t="s">
        <v>30</v>
      </c>
      <c r="D475" t="s">
        <v>33</v>
      </c>
      <c r="E475">
        <v>8200000</v>
      </c>
      <c r="F475">
        <v>23500000</v>
      </c>
      <c r="G475">
        <v>12</v>
      </c>
      <c r="H475">
        <v>402</v>
      </c>
      <c r="I475">
        <v>15100000</v>
      </c>
      <c r="J475">
        <v>1500000</v>
      </c>
      <c r="K475">
        <v>24300000</v>
      </c>
      <c r="L475">
        <v>5800000</v>
      </c>
      <c r="M475" t="s">
        <v>35</v>
      </c>
      <c r="N475">
        <f t="shared" si="43"/>
        <v>0</v>
      </c>
      <c r="O475" t="str">
        <f t="shared" si="42"/>
        <v>Low</v>
      </c>
      <c r="P475" t="str">
        <f t="shared" si="44"/>
        <v>High</v>
      </c>
      <c r="Q475" t="str">
        <f t="shared" si="45"/>
        <v>High Loan</v>
      </c>
      <c r="R475">
        <f t="shared" si="46"/>
        <v>46700000</v>
      </c>
      <c r="S475" t="str">
        <f t="shared" si="47"/>
        <v>Strong</v>
      </c>
    </row>
    <row r="476" spans="1:19" x14ac:dyDescent="0.25">
      <c r="A476">
        <v>475</v>
      </c>
      <c r="B476">
        <v>1</v>
      </c>
      <c r="C476" t="s">
        <v>31</v>
      </c>
      <c r="D476" t="s">
        <v>33</v>
      </c>
      <c r="E476">
        <v>9200000</v>
      </c>
      <c r="F476">
        <v>31500000</v>
      </c>
      <c r="G476">
        <v>18</v>
      </c>
      <c r="H476">
        <v>698</v>
      </c>
      <c r="I476">
        <v>5300000</v>
      </c>
      <c r="J476">
        <v>6100000</v>
      </c>
      <c r="K476">
        <v>20400000</v>
      </c>
      <c r="L476">
        <v>8300000</v>
      </c>
      <c r="M476" t="s">
        <v>34</v>
      </c>
      <c r="N476">
        <f t="shared" si="43"/>
        <v>1</v>
      </c>
      <c r="O476" t="str">
        <f t="shared" si="42"/>
        <v>Medium</v>
      </c>
      <c r="P476" t="str">
        <f t="shared" si="44"/>
        <v>High</v>
      </c>
      <c r="Q476" t="str">
        <f t="shared" si="45"/>
        <v>High Loan</v>
      </c>
      <c r="R476">
        <f t="shared" si="46"/>
        <v>40100000</v>
      </c>
      <c r="S476" t="str">
        <f t="shared" si="47"/>
        <v>Strong</v>
      </c>
    </row>
    <row r="477" spans="1:19" x14ac:dyDescent="0.25">
      <c r="A477">
        <v>476</v>
      </c>
      <c r="B477">
        <v>0</v>
      </c>
      <c r="C477" t="s">
        <v>31</v>
      </c>
      <c r="D477" t="s">
        <v>32</v>
      </c>
      <c r="E477">
        <v>2400000</v>
      </c>
      <c r="F477">
        <v>7800000</v>
      </c>
      <c r="G477">
        <v>14</v>
      </c>
      <c r="H477">
        <v>665</v>
      </c>
      <c r="I477">
        <v>5200000</v>
      </c>
      <c r="J477">
        <v>2900000</v>
      </c>
      <c r="K477">
        <v>6200000</v>
      </c>
      <c r="L477">
        <v>2900000</v>
      </c>
      <c r="M477" t="s">
        <v>34</v>
      </c>
      <c r="N477">
        <f t="shared" si="43"/>
        <v>1</v>
      </c>
      <c r="O477" t="str">
        <f t="shared" si="42"/>
        <v>Medium</v>
      </c>
      <c r="P477" t="str">
        <f t="shared" si="44"/>
        <v>High</v>
      </c>
      <c r="Q477" t="str">
        <f t="shared" si="45"/>
        <v>Low Loan</v>
      </c>
      <c r="R477">
        <f t="shared" si="46"/>
        <v>17200000</v>
      </c>
      <c r="S477" t="str">
        <f t="shared" si="47"/>
        <v>Strong</v>
      </c>
    </row>
    <row r="478" spans="1:19" x14ac:dyDescent="0.25">
      <c r="A478">
        <v>477</v>
      </c>
      <c r="B478">
        <v>4</v>
      </c>
      <c r="C478" t="s">
        <v>31</v>
      </c>
      <c r="D478" t="s">
        <v>32</v>
      </c>
      <c r="E478">
        <v>4100000</v>
      </c>
      <c r="F478">
        <v>13500000</v>
      </c>
      <c r="G478">
        <v>18</v>
      </c>
      <c r="H478">
        <v>490</v>
      </c>
      <c r="I478">
        <v>4700000</v>
      </c>
      <c r="J478">
        <v>6200000</v>
      </c>
      <c r="K478">
        <v>13900000</v>
      </c>
      <c r="L478">
        <v>2000000</v>
      </c>
      <c r="M478" t="s">
        <v>35</v>
      </c>
      <c r="N478">
        <f t="shared" si="43"/>
        <v>0</v>
      </c>
      <c r="O478" t="str">
        <f t="shared" si="42"/>
        <v>Low</v>
      </c>
      <c r="P478" t="str">
        <f t="shared" si="44"/>
        <v>High</v>
      </c>
      <c r="Q478" t="str">
        <f t="shared" si="45"/>
        <v>Low Loan</v>
      </c>
      <c r="R478">
        <f t="shared" si="46"/>
        <v>26800000</v>
      </c>
      <c r="S478" t="str">
        <f t="shared" si="47"/>
        <v>Strong</v>
      </c>
    </row>
    <row r="479" spans="1:19" x14ac:dyDescent="0.25">
      <c r="A479">
        <v>478</v>
      </c>
      <c r="B479">
        <v>1</v>
      </c>
      <c r="C479" t="s">
        <v>30</v>
      </c>
      <c r="D479" t="s">
        <v>32</v>
      </c>
      <c r="E479">
        <v>8000000</v>
      </c>
      <c r="F479">
        <v>31900000</v>
      </c>
      <c r="G479">
        <v>12</v>
      </c>
      <c r="H479">
        <v>504</v>
      </c>
      <c r="I479">
        <v>23800000</v>
      </c>
      <c r="J479">
        <v>1500000</v>
      </c>
      <c r="K479">
        <v>22100000</v>
      </c>
      <c r="L479">
        <v>6000000</v>
      </c>
      <c r="M479" t="s">
        <v>35</v>
      </c>
      <c r="N479">
        <f t="shared" si="43"/>
        <v>0</v>
      </c>
      <c r="O479" t="str">
        <f t="shared" si="42"/>
        <v>Low</v>
      </c>
      <c r="P479" t="str">
        <f t="shared" si="44"/>
        <v>High</v>
      </c>
      <c r="Q479" t="str">
        <f t="shared" si="45"/>
        <v>High Loan</v>
      </c>
      <c r="R479">
        <f t="shared" si="46"/>
        <v>53400000</v>
      </c>
      <c r="S479" t="str">
        <f t="shared" si="47"/>
        <v>Strong</v>
      </c>
    </row>
    <row r="480" spans="1:19" x14ac:dyDescent="0.25">
      <c r="A480">
        <v>479</v>
      </c>
      <c r="B480">
        <v>3</v>
      </c>
      <c r="C480" t="s">
        <v>31</v>
      </c>
      <c r="D480" t="s">
        <v>33</v>
      </c>
      <c r="E480">
        <v>3600000</v>
      </c>
      <c r="F480">
        <v>8600000</v>
      </c>
      <c r="G480">
        <v>8</v>
      </c>
      <c r="H480">
        <v>790</v>
      </c>
      <c r="I480">
        <v>5400000</v>
      </c>
      <c r="J480">
        <v>5900000</v>
      </c>
      <c r="K480">
        <v>9800000</v>
      </c>
      <c r="L480">
        <v>5200000</v>
      </c>
      <c r="M480" t="s">
        <v>34</v>
      </c>
      <c r="N480">
        <f t="shared" si="43"/>
        <v>1</v>
      </c>
      <c r="O480" t="str">
        <f t="shared" si="42"/>
        <v>Excellent</v>
      </c>
      <c r="P480" t="str">
        <f t="shared" si="44"/>
        <v>High</v>
      </c>
      <c r="Q480" t="str">
        <f t="shared" si="45"/>
        <v>Low Loan</v>
      </c>
      <c r="R480">
        <f t="shared" si="46"/>
        <v>26300000</v>
      </c>
      <c r="S480" t="str">
        <f t="shared" si="47"/>
        <v>Strong</v>
      </c>
    </row>
    <row r="481" spans="1:19" x14ac:dyDescent="0.25">
      <c r="A481">
        <v>480</v>
      </c>
      <c r="B481">
        <v>1</v>
      </c>
      <c r="C481" t="s">
        <v>31</v>
      </c>
      <c r="D481" t="s">
        <v>33</v>
      </c>
      <c r="E481">
        <v>700000</v>
      </c>
      <c r="F481">
        <v>2700000</v>
      </c>
      <c r="G481">
        <v>20</v>
      </c>
      <c r="H481">
        <v>669</v>
      </c>
      <c r="I481">
        <v>100000</v>
      </c>
      <c r="J481">
        <v>1000000</v>
      </c>
      <c r="K481">
        <v>2600000</v>
      </c>
      <c r="L481">
        <v>500000</v>
      </c>
      <c r="M481" t="s">
        <v>34</v>
      </c>
      <c r="N481">
        <f t="shared" si="43"/>
        <v>1</v>
      </c>
      <c r="O481" t="str">
        <f t="shared" si="42"/>
        <v>Medium</v>
      </c>
      <c r="P481" t="str">
        <f t="shared" si="44"/>
        <v>High</v>
      </c>
      <c r="Q481" t="str">
        <f t="shared" si="45"/>
        <v>Low Loan</v>
      </c>
      <c r="R481">
        <f t="shared" si="46"/>
        <v>4200000</v>
      </c>
      <c r="S481" t="str">
        <f t="shared" si="47"/>
        <v>Weak</v>
      </c>
    </row>
    <row r="482" spans="1:19" x14ac:dyDescent="0.25">
      <c r="A482">
        <v>481</v>
      </c>
      <c r="B482">
        <v>4</v>
      </c>
      <c r="C482" t="s">
        <v>31</v>
      </c>
      <c r="D482" t="s">
        <v>32</v>
      </c>
      <c r="E482">
        <v>8300000</v>
      </c>
      <c r="F482">
        <v>30700000</v>
      </c>
      <c r="G482">
        <v>6</v>
      </c>
      <c r="H482">
        <v>381</v>
      </c>
      <c r="I482">
        <v>21700000</v>
      </c>
      <c r="J482">
        <v>2300000</v>
      </c>
      <c r="K482">
        <v>26700000</v>
      </c>
      <c r="L482">
        <v>4600000</v>
      </c>
      <c r="M482" t="s">
        <v>35</v>
      </c>
      <c r="N482">
        <f t="shared" si="43"/>
        <v>0</v>
      </c>
      <c r="O482" t="str">
        <f t="shared" si="42"/>
        <v>Low</v>
      </c>
      <c r="P482" t="str">
        <f t="shared" si="44"/>
        <v>High</v>
      </c>
      <c r="Q482" t="str">
        <f t="shared" si="45"/>
        <v>High Loan</v>
      </c>
      <c r="R482">
        <f t="shared" si="46"/>
        <v>55300000</v>
      </c>
      <c r="S482" t="str">
        <f t="shared" si="47"/>
        <v>Strong</v>
      </c>
    </row>
    <row r="483" spans="1:19" x14ac:dyDescent="0.25">
      <c r="A483">
        <v>482</v>
      </c>
      <c r="B483">
        <v>0</v>
      </c>
      <c r="C483" t="s">
        <v>30</v>
      </c>
      <c r="D483" t="s">
        <v>33</v>
      </c>
      <c r="E483">
        <v>5300000</v>
      </c>
      <c r="F483">
        <v>15000000</v>
      </c>
      <c r="G483">
        <v>2</v>
      </c>
      <c r="H483">
        <v>900</v>
      </c>
      <c r="I483">
        <v>1700000</v>
      </c>
      <c r="J483">
        <v>2100000</v>
      </c>
      <c r="K483">
        <v>21000000</v>
      </c>
      <c r="L483">
        <v>5800000</v>
      </c>
      <c r="M483" t="s">
        <v>34</v>
      </c>
      <c r="N483">
        <f t="shared" si="43"/>
        <v>1</v>
      </c>
      <c r="O483" t="str">
        <f t="shared" si="42"/>
        <v>Excellent</v>
      </c>
      <c r="P483" t="str">
        <f t="shared" si="44"/>
        <v>High</v>
      </c>
      <c r="Q483" t="str">
        <f t="shared" si="45"/>
        <v>Low Loan</v>
      </c>
      <c r="R483">
        <f t="shared" si="46"/>
        <v>30600000</v>
      </c>
      <c r="S483" t="str">
        <f t="shared" si="47"/>
        <v>Strong</v>
      </c>
    </row>
    <row r="484" spans="1:19" x14ac:dyDescent="0.25">
      <c r="A484">
        <v>483</v>
      </c>
      <c r="B484">
        <v>4</v>
      </c>
      <c r="C484" t="s">
        <v>30</v>
      </c>
      <c r="D484" t="s">
        <v>32</v>
      </c>
      <c r="E484">
        <v>8300000</v>
      </c>
      <c r="F484">
        <v>24900000</v>
      </c>
      <c r="G484">
        <v>16</v>
      </c>
      <c r="H484">
        <v>506</v>
      </c>
      <c r="I484">
        <v>15400000</v>
      </c>
      <c r="J484">
        <v>5600000</v>
      </c>
      <c r="K484">
        <v>26700000</v>
      </c>
      <c r="L484">
        <v>7000000</v>
      </c>
      <c r="M484" t="s">
        <v>35</v>
      </c>
      <c r="N484">
        <f t="shared" si="43"/>
        <v>0</v>
      </c>
      <c r="O484" t="str">
        <f t="shared" si="42"/>
        <v>Low</v>
      </c>
      <c r="P484" t="str">
        <f t="shared" si="44"/>
        <v>High</v>
      </c>
      <c r="Q484" t="str">
        <f t="shared" si="45"/>
        <v>High Loan</v>
      </c>
      <c r="R484">
        <f t="shared" si="46"/>
        <v>54700000</v>
      </c>
      <c r="S484" t="str">
        <f t="shared" si="47"/>
        <v>Strong</v>
      </c>
    </row>
    <row r="485" spans="1:19" x14ac:dyDescent="0.25">
      <c r="A485">
        <v>484</v>
      </c>
      <c r="B485">
        <v>3</v>
      </c>
      <c r="C485" t="s">
        <v>31</v>
      </c>
      <c r="D485" t="s">
        <v>33</v>
      </c>
      <c r="E485">
        <v>2500000</v>
      </c>
      <c r="F485">
        <v>8800000</v>
      </c>
      <c r="G485">
        <v>12</v>
      </c>
      <c r="H485">
        <v>538</v>
      </c>
      <c r="I485">
        <v>4900000</v>
      </c>
      <c r="J485">
        <v>1800000</v>
      </c>
      <c r="K485">
        <v>9100000</v>
      </c>
      <c r="L485">
        <v>3300000</v>
      </c>
      <c r="M485" t="s">
        <v>35</v>
      </c>
      <c r="N485">
        <f t="shared" si="43"/>
        <v>0</v>
      </c>
      <c r="O485" t="str">
        <f t="shared" si="42"/>
        <v>Low</v>
      </c>
      <c r="P485" t="str">
        <f t="shared" si="44"/>
        <v>High</v>
      </c>
      <c r="Q485" t="str">
        <f t="shared" si="45"/>
        <v>Low Loan</v>
      </c>
      <c r="R485">
        <f t="shared" si="46"/>
        <v>19100000</v>
      </c>
      <c r="S485" t="str">
        <f t="shared" si="47"/>
        <v>Strong</v>
      </c>
    </row>
    <row r="486" spans="1:19" x14ac:dyDescent="0.25">
      <c r="A486">
        <v>485</v>
      </c>
      <c r="B486">
        <v>3</v>
      </c>
      <c r="C486" t="s">
        <v>30</v>
      </c>
      <c r="D486" t="s">
        <v>33</v>
      </c>
      <c r="E486">
        <v>5400000</v>
      </c>
      <c r="F486">
        <v>14400000</v>
      </c>
      <c r="G486">
        <v>8</v>
      </c>
      <c r="H486">
        <v>677</v>
      </c>
      <c r="I486">
        <v>11000000</v>
      </c>
      <c r="J486">
        <v>7900000</v>
      </c>
      <c r="K486">
        <v>20800000</v>
      </c>
      <c r="L486">
        <v>3100000</v>
      </c>
      <c r="M486" t="s">
        <v>34</v>
      </c>
      <c r="N486">
        <f t="shared" si="43"/>
        <v>1</v>
      </c>
      <c r="O486" t="str">
        <f t="shared" si="42"/>
        <v>Medium</v>
      </c>
      <c r="P486" t="str">
        <f t="shared" si="44"/>
        <v>High</v>
      </c>
      <c r="Q486" t="str">
        <f t="shared" si="45"/>
        <v>Low Loan</v>
      </c>
      <c r="R486">
        <f t="shared" si="46"/>
        <v>42800000</v>
      </c>
      <c r="S486" t="str">
        <f t="shared" si="47"/>
        <v>Strong</v>
      </c>
    </row>
    <row r="487" spans="1:19" x14ac:dyDescent="0.25">
      <c r="A487">
        <v>486</v>
      </c>
      <c r="B487">
        <v>4</v>
      </c>
      <c r="C487" t="s">
        <v>30</v>
      </c>
      <c r="D487" t="s">
        <v>32</v>
      </c>
      <c r="E487">
        <v>1600000</v>
      </c>
      <c r="F487">
        <v>4900000</v>
      </c>
      <c r="G487">
        <v>8</v>
      </c>
      <c r="H487">
        <v>685</v>
      </c>
      <c r="I487">
        <v>3200000</v>
      </c>
      <c r="J487">
        <v>2000000</v>
      </c>
      <c r="K487">
        <v>3800000</v>
      </c>
      <c r="L487">
        <v>1500000</v>
      </c>
      <c r="M487" t="s">
        <v>34</v>
      </c>
      <c r="N487">
        <f t="shared" si="43"/>
        <v>1</v>
      </c>
      <c r="O487" t="str">
        <f t="shared" si="42"/>
        <v>Medium</v>
      </c>
      <c r="P487" t="str">
        <f t="shared" si="44"/>
        <v>High</v>
      </c>
      <c r="Q487" t="str">
        <f t="shared" si="45"/>
        <v>Low Loan</v>
      </c>
      <c r="R487">
        <f t="shared" si="46"/>
        <v>10500000</v>
      </c>
      <c r="S487" t="str">
        <f t="shared" si="47"/>
        <v>Strong</v>
      </c>
    </row>
    <row r="488" spans="1:19" x14ac:dyDescent="0.25">
      <c r="A488">
        <v>487</v>
      </c>
      <c r="B488">
        <v>2</v>
      </c>
      <c r="C488" t="s">
        <v>31</v>
      </c>
      <c r="D488" t="s">
        <v>32</v>
      </c>
      <c r="E488">
        <v>2400000</v>
      </c>
      <c r="F488">
        <v>6200000</v>
      </c>
      <c r="G488">
        <v>12</v>
      </c>
      <c r="H488">
        <v>860</v>
      </c>
      <c r="I488">
        <v>4900000</v>
      </c>
      <c r="J488">
        <v>3700000</v>
      </c>
      <c r="K488">
        <v>9500000</v>
      </c>
      <c r="L488">
        <v>1100000</v>
      </c>
      <c r="M488" t="s">
        <v>34</v>
      </c>
      <c r="N488">
        <f t="shared" si="43"/>
        <v>1</v>
      </c>
      <c r="O488" t="str">
        <f t="shared" si="42"/>
        <v>Excellent</v>
      </c>
      <c r="P488" t="str">
        <f t="shared" si="44"/>
        <v>High</v>
      </c>
      <c r="Q488" t="str">
        <f t="shared" si="45"/>
        <v>Low Loan</v>
      </c>
      <c r="R488">
        <f t="shared" si="46"/>
        <v>19200000</v>
      </c>
      <c r="S488" t="str">
        <f t="shared" si="47"/>
        <v>Strong</v>
      </c>
    </row>
    <row r="489" spans="1:19" x14ac:dyDescent="0.25">
      <c r="A489">
        <v>488</v>
      </c>
      <c r="B489">
        <v>5</v>
      </c>
      <c r="C489" t="s">
        <v>31</v>
      </c>
      <c r="D489" t="s">
        <v>32</v>
      </c>
      <c r="E489">
        <v>6300000</v>
      </c>
      <c r="F489">
        <v>14800000</v>
      </c>
      <c r="G489">
        <v>6</v>
      </c>
      <c r="H489">
        <v>608</v>
      </c>
      <c r="I489">
        <v>16100000</v>
      </c>
      <c r="J489">
        <v>10500000</v>
      </c>
      <c r="K489">
        <v>21800000</v>
      </c>
      <c r="L489">
        <v>5400000</v>
      </c>
      <c r="M489" t="s">
        <v>34</v>
      </c>
      <c r="N489">
        <f t="shared" si="43"/>
        <v>1</v>
      </c>
      <c r="O489" t="str">
        <f t="shared" si="42"/>
        <v>Low</v>
      </c>
      <c r="P489" t="str">
        <f t="shared" si="44"/>
        <v>High</v>
      </c>
      <c r="Q489" t="str">
        <f t="shared" si="45"/>
        <v>Low Loan</v>
      </c>
      <c r="R489">
        <f t="shared" si="46"/>
        <v>53800000</v>
      </c>
      <c r="S489" t="str">
        <f t="shared" si="47"/>
        <v>Strong</v>
      </c>
    </row>
    <row r="490" spans="1:19" x14ac:dyDescent="0.25">
      <c r="A490">
        <v>489</v>
      </c>
      <c r="B490">
        <v>4</v>
      </c>
      <c r="C490" t="s">
        <v>30</v>
      </c>
      <c r="D490" t="s">
        <v>33</v>
      </c>
      <c r="E490">
        <v>2500000</v>
      </c>
      <c r="F490">
        <v>5300000</v>
      </c>
      <c r="G490">
        <v>10</v>
      </c>
      <c r="H490">
        <v>540</v>
      </c>
      <c r="I490">
        <v>2300000</v>
      </c>
      <c r="J490">
        <v>2800000</v>
      </c>
      <c r="K490">
        <v>7100000</v>
      </c>
      <c r="L490">
        <v>1700000</v>
      </c>
      <c r="M490" t="s">
        <v>35</v>
      </c>
      <c r="N490">
        <f t="shared" si="43"/>
        <v>0</v>
      </c>
      <c r="O490" t="str">
        <f t="shared" si="42"/>
        <v>Low</v>
      </c>
      <c r="P490" t="str">
        <f t="shared" si="44"/>
        <v>High</v>
      </c>
      <c r="Q490" t="str">
        <f t="shared" si="45"/>
        <v>Low Loan</v>
      </c>
      <c r="R490">
        <f t="shared" si="46"/>
        <v>13900000</v>
      </c>
      <c r="S490" t="str">
        <f t="shared" si="47"/>
        <v>Strong</v>
      </c>
    </row>
    <row r="491" spans="1:19" x14ac:dyDescent="0.25">
      <c r="A491">
        <v>490</v>
      </c>
      <c r="B491">
        <v>0</v>
      </c>
      <c r="C491" t="s">
        <v>30</v>
      </c>
      <c r="D491" t="s">
        <v>33</v>
      </c>
      <c r="E491">
        <v>7500000</v>
      </c>
      <c r="F491">
        <v>16800000</v>
      </c>
      <c r="G491">
        <v>16</v>
      </c>
      <c r="H491">
        <v>492</v>
      </c>
      <c r="I491">
        <v>21500000</v>
      </c>
      <c r="J491">
        <v>4800000</v>
      </c>
      <c r="K491">
        <v>25400000</v>
      </c>
      <c r="L491">
        <v>11100000</v>
      </c>
      <c r="M491" t="s">
        <v>35</v>
      </c>
      <c r="N491">
        <f t="shared" si="43"/>
        <v>0</v>
      </c>
      <c r="O491" t="str">
        <f t="shared" si="42"/>
        <v>Low</v>
      </c>
      <c r="P491" t="str">
        <f t="shared" si="44"/>
        <v>High</v>
      </c>
      <c r="Q491" t="str">
        <f t="shared" si="45"/>
        <v>Low Loan</v>
      </c>
      <c r="R491">
        <f t="shared" si="46"/>
        <v>62800000</v>
      </c>
      <c r="S491" t="str">
        <f t="shared" si="47"/>
        <v>Strong</v>
      </c>
    </row>
    <row r="492" spans="1:19" x14ac:dyDescent="0.25">
      <c r="A492">
        <v>491</v>
      </c>
      <c r="B492">
        <v>3</v>
      </c>
      <c r="C492" t="s">
        <v>31</v>
      </c>
      <c r="D492" t="s">
        <v>32</v>
      </c>
      <c r="E492">
        <v>2900000</v>
      </c>
      <c r="F492">
        <v>8500000</v>
      </c>
      <c r="G492">
        <v>14</v>
      </c>
      <c r="H492">
        <v>834</v>
      </c>
      <c r="I492">
        <v>1200000</v>
      </c>
      <c r="J492">
        <v>4500000</v>
      </c>
      <c r="K492">
        <v>8800000</v>
      </c>
      <c r="L492">
        <v>1800000</v>
      </c>
      <c r="M492" t="s">
        <v>34</v>
      </c>
      <c r="N492">
        <f t="shared" si="43"/>
        <v>1</v>
      </c>
      <c r="O492" t="str">
        <f t="shared" si="42"/>
        <v>Excellent</v>
      </c>
      <c r="P492" t="str">
        <f t="shared" si="44"/>
        <v>High</v>
      </c>
      <c r="Q492" t="str">
        <f t="shared" si="45"/>
        <v>Low Loan</v>
      </c>
      <c r="R492">
        <f t="shared" si="46"/>
        <v>16300000</v>
      </c>
      <c r="S492" t="str">
        <f t="shared" si="47"/>
        <v>Strong</v>
      </c>
    </row>
    <row r="493" spans="1:19" x14ac:dyDescent="0.25">
      <c r="A493">
        <v>492</v>
      </c>
      <c r="B493">
        <v>3</v>
      </c>
      <c r="C493" t="s">
        <v>30</v>
      </c>
      <c r="D493" t="s">
        <v>33</v>
      </c>
      <c r="E493">
        <v>1000000</v>
      </c>
      <c r="F493">
        <v>3500000</v>
      </c>
      <c r="G493">
        <v>16</v>
      </c>
      <c r="H493">
        <v>834</v>
      </c>
      <c r="I493">
        <v>800000</v>
      </c>
      <c r="J493">
        <v>1700000</v>
      </c>
      <c r="K493">
        <v>3000000</v>
      </c>
      <c r="L493">
        <v>700000</v>
      </c>
      <c r="M493" t="s">
        <v>34</v>
      </c>
      <c r="N493">
        <f t="shared" si="43"/>
        <v>1</v>
      </c>
      <c r="O493" t="str">
        <f t="shared" si="42"/>
        <v>Excellent</v>
      </c>
      <c r="P493" t="str">
        <f t="shared" si="44"/>
        <v>High</v>
      </c>
      <c r="Q493" t="str">
        <f t="shared" si="45"/>
        <v>Low Loan</v>
      </c>
      <c r="R493">
        <f t="shared" si="46"/>
        <v>6200000</v>
      </c>
      <c r="S493" t="str">
        <f t="shared" si="47"/>
        <v>Moderate</v>
      </c>
    </row>
    <row r="494" spans="1:19" x14ac:dyDescent="0.25">
      <c r="A494">
        <v>493</v>
      </c>
      <c r="B494">
        <v>2</v>
      </c>
      <c r="C494" t="s">
        <v>30</v>
      </c>
      <c r="D494" t="s">
        <v>33</v>
      </c>
      <c r="E494">
        <v>8600000</v>
      </c>
      <c r="F494">
        <v>28800000</v>
      </c>
      <c r="G494">
        <v>8</v>
      </c>
      <c r="H494">
        <v>890</v>
      </c>
      <c r="I494">
        <v>23300000</v>
      </c>
      <c r="J494">
        <v>5900000</v>
      </c>
      <c r="K494">
        <v>21200000</v>
      </c>
      <c r="L494">
        <v>7200000</v>
      </c>
      <c r="M494" t="s">
        <v>34</v>
      </c>
      <c r="N494">
        <f t="shared" si="43"/>
        <v>1</v>
      </c>
      <c r="O494" t="str">
        <f t="shared" si="42"/>
        <v>Excellent</v>
      </c>
      <c r="P494" t="str">
        <f t="shared" si="44"/>
        <v>High</v>
      </c>
      <c r="Q494" t="str">
        <f t="shared" si="45"/>
        <v>High Loan</v>
      </c>
      <c r="R494">
        <f t="shared" si="46"/>
        <v>57600000</v>
      </c>
      <c r="S494" t="str">
        <f t="shared" si="47"/>
        <v>Strong</v>
      </c>
    </row>
    <row r="495" spans="1:19" x14ac:dyDescent="0.25">
      <c r="A495">
        <v>494</v>
      </c>
      <c r="B495">
        <v>1</v>
      </c>
      <c r="C495" t="s">
        <v>31</v>
      </c>
      <c r="D495" t="s">
        <v>32</v>
      </c>
      <c r="E495">
        <v>300000</v>
      </c>
      <c r="F495">
        <v>1100000</v>
      </c>
      <c r="G495">
        <v>12</v>
      </c>
      <c r="H495">
        <v>443</v>
      </c>
      <c r="I495">
        <v>600000</v>
      </c>
      <c r="J495">
        <v>400000</v>
      </c>
      <c r="K495">
        <v>1200000</v>
      </c>
      <c r="L495">
        <v>200000</v>
      </c>
      <c r="M495" t="s">
        <v>35</v>
      </c>
      <c r="N495">
        <f t="shared" si="43"/>
        <v>0</v>
      </c>
      <c r="O495" t="str">
        <f t="shared" si="42"/>
        <v>Low</v>
      </c>
      <c r="P495" t="str">
        <f t="shared" si="44"/>
        <v>Middle</v>
      </c>
      <c r="Q495" t="str">
        <f t="shared" si="45"/>
        <v>Low Loan</v>
      </c>
      <c r="R495">
        <f t="shared" si="46"/>
        <v>2400000</v>
      </c>
      <c r="S495" t="str">
        <f t="shared" si="47"/>
        <v>Weak</v>
      </c>
    </row>
    <row r="496" spans="1:19" x14ac:dyDescent="0.25">
      <c r="A496">
        <v>495</v>
      </c>
      <c r="B496">
        <v>5</v>
      </c>
      <c r="C496" t="s">
        <v>31</v>
      </c>
      <c r="D496" t="s">
        <v>32</v>
      </c>
      <c r="E496">
        <v>2300000</v>
      </c>
      <c r="F496">
        <v>5700000</v>
      </c>
      <c r="G496">
        <v>18</v>
      </c>
      <c r="H496">
        <v>329</v>
      </c>
      <c r="I496">
        <v>5600000</v>
      </c>
      <c r="J496">
        <v>3300000</v>
      </c>
      <c r="K496">
        <v>4900000</v>
      </c>
      <c r="L496">
        <v>2700000</v>
      </c>
      <c r="M496" t="s">
        <v>35</v>
      </c>
      <c r="N496">
        <f t="shared" si="43"/>
        <v>0</v>
      </c>
      <c r="O496" t="str">
        <f t="shared" si="42"/>
        <v>Low</v>
      </c>
      <c r="P496" t="str">
        <f t="shared" si="44"/>
        <v>High</v>
      </c>
      <c r="Q496" t="str">
        <f t="shared" si="45"/>
        <v>Low Loan</v>
      </c>
      <c r="R496">
        <f t="shared" si="46"/>
        <v>16500000</v>
      </c>
      <c r="S496" t="str">
        <f t="shared" si="47"/>
        <v>Strong</v>
      </c>
    </row>
    <row r="497" spans="1:19" x14ac:dyDescent="0.25">
      <c r="A497">
        <v>496</v>
      </c>
      <c r="B497">
        <v>2</v>
      </c>
      <c r="C497" t="s">
        <v>31</v>
      </c>
      <c r="D497" t="s">
        <v>33</v>
      </c>
      <c r="E497">
        <v>2400000</v>
      </c>
      <c r="F497">
        <v>5400000</v>
      </c>
      <c r="G497">
        <v>12</v>
      </c>
      <c r="H497">
        <v>739</v>
      </c>
      <c r="I497">
        <v>300000</v>
      </c>
      <c r="J497">
        <v>2500000</v>
      </c>
      <c r="K497">
        <v>5000000</v>
      </c>
      <c r="L497">
        <v>3000000</v>
      </c>
      <c r="M497" t="s">
        <v>34</v>
      </c>
      <c r="N497">
        <f t="shared" si="43"/>
        <v>1</v>
      </c>
      <c r="O497" t="str">
        <f t="shared" si="42"/>
        <v>Good</v>
      </c>
      <c r="P497" t="str">
        <f t="shared" si="44"/>
        <v>High</v>
      </c>
      <c r="Q497" t="str">
        <f t="shared" si="45"/>
        <v>Low Loan</v>
      </c>
      <c r="R497">
        <f t="shared" si="46"/>
        <v>10800000</v>
      </c>
      <c r="S497" t="str">
        <f t="shared" si="47"/>
        <v>Strong</v>
      </c>
    </row>
    <row r="498" spans="1:19" x14ac:dyDescent="0.25">
      <c r="A498">
        <v>497</v>
      </c>
      <c r="B498">
        <v>5</v>
      </c>
      <c r="C498" t="s">
        <v>30</v>
      </c>
      <c r="D498" t="s">
        <v>33</v>
      </c>
      <c r="E498">
        <v>9800000</v>
      </c>
      <c r="F498">
        <v>30300000</v>
      </c>
      <c r="G498">
        <v>6</v>
      </c>
      <c r="H498">
        <v>867</v>
      </c>
      <c r="I498">
        <v>20800000</v>
      </c>
      <c r="J498">
        <v>16000000</v>
      </c>
      <c r="K498">
        <v>30200000</v>
      </c>
      <c r="L498">
        <v>7600000</v>
      </c>
      <c r="M498" t="s">
        <v>34</v>
      </c>
      <c r="N498">
        <f t="shared" si="43"/>
        <v>1</v>
      </c>
      <c r="O498" t="str">
        <f t="shared" si="42"/>
        <v>Excellent</v>
      </c>
      <c r="P498" t="str">
        <f t="shared" si="44"/>
        <v>High</v>
      </c>
      <c r="Q498" t="str">
        <f t="shared" si="45"/>
        <v>High Loan</v>
      </c>
      <c r="R498">
        <f t="shared" si="46"/>
        <v>74600000</v>
      </c>
      <c r="S498" t="str">
        <f t="shared" si="47"/>
        <v>Strong</v>
      </c>
    </row>
    <row r="499" spans="1:19" x14ac:dyDescent="0.25">
      <c r="A499">
        <v>498</v>
      </c>
      <c r="B499">
        <v>2</v>
      </c>
      <c r="C499" t="s">
        <v>31</v>
      </c>
      <c r="D499" t="s">
        <v>32</v>
      </c>
      <c r="E499">
        <v>8100000</v>
      </c>
      <c r="F499">
        <v>24800000</v>
      </c>
      <c r="G499">
        <v>6</v>
      </c>
      <c r="H499">
        <v>307</v>
      </c>
      <c r="I499">
        <v>200000</v>
      </c>
      <c r="J499">
        <v>4000000</v>
      </c>
      <c r="K499">
        <v>31100000</v>
      </c>
      <c r="L499">
        <v>10500000</v>
      </c>
      <c r="M499" t="s">
        <v>35</v>
      </c>
      <c r="N499">
        <f t="shared" si="43"/>
        <v>0</v>
      </c>
      <c r="O499" t="str">
        <f t="shared" si="42"/>
        <v>Low</v>
      </c>
      <c r="P499" t="str">
        <f t="shared" si="44"/>
        <v>High</v>
      </c>
      <c r="Q499" t="str">
        <f t="shared" si="45"/>
        <v>High Loan</v>
      </c>
      <c r="R499">
        <f t="shared" si="46"/>
        <v>45800000</v>
      </c>
      <c r="S499" t="str">
        <f t="shared" si="47"/>
        <v>Strong</v>
      </c>
    </row>
    <row r="500" spans="1:19" x14ac:dyDescent="0.25">
      <c r="A500">
        <v>499</v>
      </c>
      <c r="B500">
        <v>3</v>
      </c>
      <c r="C500" t="s">
        <v>30</v>
      </c>
      <c r="D500" t="s">
        <v>32</v>
      </c>
      <c r="E500">
        <v>6700000</v>
      </c>
      <c r="F500">
        <v>15500000</v>
      </c>
      <c r="G500">
        <v>18</v>
      </c>
      <c r="H500">
        <v>492</v>
      </c>
      <c r="I500">
        <v>2100000</v>
      </c>
      <c r="J500">
        <v>2000000</v>
      </c>
      <c r="K500">
        <v>26300000</v>
      </c>
      <c r="L500">
        <v>9400000</v>
      </c>
      <c r="M500" t="s">
        <v>35</v>
      </c>
      <c r="N500">
        <f t="shared" si="43"/>
        <v>0</v>
      </c>
      <c r="O500" t="str">
        <f t="shared" si="42"/>
        <v>Low</v>
      </c>
      <c r="P500" t="str">
        <f t="shared" si="44"/>
        <v>High</v>
      </c>
      <c r="Q500" t="str">
        <f t="shared" si="45"/>
        <v>Low Loan</v>
      </c>
      <c r="R500">
        <f t="shared" si="46"/>
        <v>39800000</v>
      </c>
      <c r="S500" t="str">
        <f t="shared" si="47"/>
        <v>Strong</v>
      </c>
    </row>
    <row r="501" spans="1:19" x14ac:dyDescent="0.25">
      <c r="A501">
        <v>500</v>
      </c>
      <c r="B501">
        <v>1</v>
      </c>
      <c r="C501" t="s">
        <v>31</v>
      </c>
      <c r="D501" t="s">
        <v>33</v>
      </c>
      <c r="E501">
        <v>8400000</v>
      </c>
      <c r="F501">
        <v>24700000</v>
      </c>
      <c r="G501">
        <v>18</v>
      </c>
      <c r="H501">
        <v>698</v>
      </c>
      <c r="I501">
        <v>23000000</v>
      </c>
      <c r="J501">
        <v>13200000</v>
      </c>
      <c r="K501">
        <v>32700000</v>
      </c>
      <c r="L501">
        <v>12200000</v>
      </c>
      <c r="M501" t="s">
        <v>34</v>
      </c>
      <c r="N501">
        <f t="shared" si="43"/>
        <v>1</v>
      </c>
      <c r="O501" t="str">
        <f t="shared" si="42"/>
        <v>Medium</v>
      </c>
      <c r="P501" t="str">
        <f t="shared" si="44"/>
        <v>High</v>
      </c>
      <c r="Q501" t="str">
        <f t="shared" si="45"/>
        <v>High Loan</v>
      </c>
      <c r="R501">
        <f t="shared" si="46"/>
        <v>81100000</v>
      </c>
      <c r="S501" t="str">
        <f t="shared" si="47"/>
        <v>Strong</v>
      </c>
    </row>
    <row r="502" spans="1:19" x14ac:dyDescent="0.25">
      <c r="A502">
        <v>501</v>
      </c>
      <c r="B502">
        <v>2</v>
      </c>
      <c r="C502" t="s">
        <v>30</v>
      </c>
      <c r="D502" t="s">
        <v>32</v>
      </c>
      <c r="E502">
        <v>200000</v>
      </c>
      <c r="F502">
        <v>700000</v>
      </c>
      <c r="G502">
        <v>8</v>
      </c>
      <c r="H502">
        <v>851</v>
      </c>
      <c r="I502">
        <v>400000</v>
      </c>
      <c r="J502">
        <v>200000</v>
      </c>
      <c r="K502">
        <v>800000</v>
      </c>
      <c r="L502">
        <v>200000</v>
      </c>
      <c r="M502" t="s">
        <v>34</v>
      </c>
      <c r="N502">
        <f t="shared" si="43"/>
        <v>1</v>
      </c>
      <c r="O502" t="str">
        <f t="shared" si="42"/>
        <v>Excellent</v>
      </c>
      <c r="P502" t="str">
        <f t="shared" si="44"/>
        <v>Low</v>
      </c>
      <c r="Q502" t="str">
        <f t="shared" si="45"/>
        <v>Low Loan</v>
      </c>
      <c r="R502">
        <f t="shared" si="46"/>
        <v>1600000</v>
      </c>
      <c r="S502" t="str">
        <f t="shared" si="47"/>
        <v>Weak</v>
      </c>
    </row>
    <row r="503" spans="1:19" x14ac:dyDescent="0.25">
      <c r="A503">
        <v>502</v>
      </c>
      <c r="B503">
        <v>2</v>
      </c>
      <c r="C503" t="s">
        <v>30</v>
      </c>
      <c r="D503" t="s">
        <v>32</v>
      </c>
      <c r="E503">
        <v>4700000</v>
      </c>
      <c r="F503">
        <v>12500000</v>
      </c>
      <c r="G503">
        <v>14</v>
      </c>
      <c r="H503">
        <v>375</v>
      </c>
      <c r="I503">
        <v>1300000</v>
      </c>
      <c r="J503">
        <v>6300000</v>
      </c>
      <c r="K503">
        <v>10100000</v>
      </c>
      <c r="L503">
        <v>5400000</v>
      </c>
      <c r="M503" t="s">
        <v>35</v>
      </c>
      <c r="N503">
        <f t="shared" si="43"/>
        <v>0</v>
      </c>
      <c r="O503" t="str">
        <f t="shared" si="42"/>
        <v>Low</v>
      </c>
      <c r="P503" t="str">
        <f t="shared" si="44"/>
        <v>High</v>
      </c>
      <c r="Q503" t="str">
        <f t="shared" si="45"/>
        <v>Low Loan</v>
      </c>
      <c r="R503">
        <f t="shared" si="46"/>
        <v>23100000</v>
      </c>
      <c r="S503" t="str">
        <f t="shared" si="47"/>
        <v>Strong</v>
      </c>
    </row>
    <row r="504" spans="1:19" x14ac:dyDescent="0.25">
      <c r="A504">
        <v>503</v>
      </c>
      <c r="B504">
        <v>0</v>
      </c>
      <c r="C504" t="s">
        <v>30</v>
      </c>
      <c r="D504" t="s">
        <v>33</v>
      </c>
      <c r="E504">
        <v>4300000</v>
      </c>
      <c r="F504">
        <v>14300000</v>
      </c>
      <c r="G504">
        <v>14</v>
      </c>
      <c r="H504">
        <v>601</v>
      </c>
      <c r="I504">
        <v>3800000</v>
      </c>
      <c r="J504">
        <v>900000</v>
      </c>
      <c r="K504">
        <v>16700000</v>
      </c>
      <c r="L504">
        <v>5700000</v>
      </c>
      <c r="M504" t="s">
        <v>34</v>
      </c>
      <c r="N504">
        <f t="shared" si="43"/>
        <v>1</v>
      </c>
      <c r="O504" t="str">
        <f t="shared" si="42"/>
        <v>Low</v>
      </c>
      <c r="P504" t="str">
        <f t="shared" si="44"/>
        <v>High</v>
      </c>
      <c r="Q504" t="str">
        <f t="shared" si="45"/>
        <v>Low Loan</v>
      </c>
      <c r="R504">
        <f t="shared" si="46"/>
        <v>27100000</v>
      </c>
      <c r="S504" t="str">
        <f t="shared" si="47"/>
        <v>Strong</v>
      </c>
    </row>
    <row r="505" spans="1:19" x14ac:dyDescent="0.25">
      <c r="A505">
        <v>504</v>
      </c>
      <c r="B505">
        <v>4</v>
      </c>
      <c r="C505" t="s">
        <v>31</v>
      </c>
      <c r="D505" t="s">
        <v>32</v>
      </c>
      <c r="E505">
        <v>2200000</v>
      </c>
      <c r="F505">
        <v>7000000</v>
      </c>
      <c r="G505">
        <v>20</v>
      </c>
      <c r="H505">
        <v>756</v>
      </c>
      <c r="I505">
        <v>3600000</v>
      </c>
      <c r="J505">
        <v>3900000</v>
      </c>
      <c r="K505">
        <v>5700000</v>
      </c>
      <c r="L505">
        <v>1200000</v>
      </c>
      <c r="M505" t="s">
        <v>34</v>
      </c>
      <c r="N505">
        <f t="shared" si="43"/>
        <v>1</v>
      </c>
      <c r="O505" t="str">
        <f t="shared" si="42"/>
        <v>Excellent</v>
      </c>
      <c r="P505" t="str">
        <f t="shared" si="44"/>
        <v>High</v>
      </c>
      <c r="Q505" t="str">
        <f t="shared" si="45"/>
        <v>Low Loan</v>
      </c>
      <c r="R505">
        <f t="shared" si="46"/>
        <v>14400000</v>
      </c>
      <c r="S505" t="str">
        <f t="shared" si="47"/>
        <v>Strong</v>
      </c>
    </row>
    <row r="506" spans="1:19" x14ac:dyDescent="0.25">
      <c r="A506">
        <v>505</v>
      </c>
      <c r="B506">
        <v>4</v>
      </c>
      <c r="C506" t="s">
        <v>30</v>
      </c>
      <c r="D506" t="s">
        <v>33</v>
      </c>
      <c r="E506">
        <v>8600000</v>
      </c>
      <c r="F506">
        <v>19200000</v>
      </c>
      <c r="G506">
        <v>4</v>
      </c>
      <c r="H506">
        <v>868</v>
      </c>
      <c r="I506">
        <v>20400000</v>
      </c>
      <c r="J506">
        <v>1500000</v>
      </c>
      <c r="K506">
        <v>32800000</v>
      </c>
      <c r="L506">
        <v>9300000</v>
      </c>
      <c r="M506" t="s">
        <v>34</v>
      </c>
      <c r="N506">
        <f t="shared" si="43"/>
        <v>1</v>
      </c>
      <c r="O506" t="str">
        <f t="shared" si="42"/>
        <v>Excellent</v>
      </c>
      <c r="P506" t="str">
        <f t="shared" si="44"/>
        <v>High</v>
      </c>
      <c r="Q506" t="str">
        <f t="shared" si="45"/>
        <v>Low Loan</v>
      </c>
      <c r="R506">
        <f t="shared" si="46"/>
        <v>64000000</v>
      </c>
      <c r="S506" t="str">
        <f t="shared" si="47"/>
        <v>Strong</v>
      </c>
    </row>
    <row r="507" spans="1:19" x14ac:dyDescent="0.25">
      <c r="A507">
        <v>506</v>
      </c>
      <c r="B507">
        <v>4</v>
      </c>
      <c r="C507" t="s">
        <v>30</v>
      </c>
      <c r="D507" t="s">
        <v>33</v>
      </c>
      <c r="E507">
        <v>2000000</v>
      </c>
      <c r="F507">
        <v>7200000</v>
      </c>
      <c r="G507">
        <v>10</v>
      </c>
      <c r="H507">
        <v>838</v>
      </c>
      <c r="I507">
        <v>2500000</v>
      </c>
      <c r="J507">
        <v>300000</v>
      </c>
      <c r="K507">
        <v>7600000</v>
      </c>
      <c r="L507">
        <v>1000000</v>
      </c>
      <c r="M507" t="s">
        <v>34</v>
      </c>
      <c r="N507">
        <f t="shared" si="43"/>
        <v>1</v>
      </c>
      <c r="O507" t="str">
        <f t="shared" si="42"/>
        <v>Excellent</v>
      </c>
      <c r="P507" t="str">
        <f t="shared" si="44"/>
        <v>High</v>
      </c>
      <c r="Q507" t="str">
        <f t="shared" si="45"/>
        <v>Low Loan</v>
      </c>
      <c r="R507">
        <f t="shared" si="46"/>
        <v>11400000</v>
      </c>
      <c r="S507" t="str">
        <f t="shared" si="47"/>
        <v>Strong</v>
      </c>
    </row>
    <row r="508" spans="1:19" x14ac:dyDescent="0.25">
      <c r="A508">
        <v>507</v>
      </c>
      <c r="B508">
        <v>4</v>
      </c>
      <c r="C508" t="s">
        <v>31</v>
      </c>
      <c r="D508" t="s">
        <v>33</v>
      </c>
      <c r="E508">
        <v>4200000</v>
      </c>
      <c r="F508">
        <v>15900000</v>
      </c>
      <c r="G508">
        <v>14</v>
      </c>
      <c r="H508">
        <v>375</v>
      </c>
      <c r="I508">
        <v>7200000</v>
      </c>
      <c r="J508">
        <v>7900000</v>
      </c>
      <c r="K508">
        <v>16200000</v>
      </c>
      <c r="L508">
        <v>3000000</v>
      </c>
      <c r="M508" t="s">
        <v>35</v>
      </c>
      <c r="N508">
        <f t="shared" si="43"/>
        <v>0</v>
      </c>
      <c r="O508" t="str">
        <f t="shared" si="42"/>
        <v>Low</v>
      </c>
      <c r="P508" t="str">
        <f t="shared" si="44"/>
        <v>High</v>
      </c>
      <c r="Q508" t="str">
        <f t="shared" si="45"/>
        <v>Low Loan</v>
      </c>
      <c r="R508">
        <f t="shared" si="46"/>
        <v>34300000</v>
      </c>
      <c r="S508" t="str">
        <f t="shared" si="47"/>
        <v>Strong</v>
      </c>
    </row>
    <row r="509" spans="1:19" x14ac:dyDescent="0.25">
      <c r="A509">
        <v>508</v>
      </c>
      <c r="B509">
        <v>0</v>
      </c>
      <c r="C509" t="s">
        <v>31</v>
      </c>
      <c r="D509" t="s">
        <v>33</v>
      </c>
      <c r="E509">
        <v>5100000</v>
      </c>
      <c r="F509">
        <v>12500000</v>
      </c>
      <c r="G509">
        <v>18</v>
      </c>
      <c r="H509">
        <v>778</v>
      </c>
      <c r="I509">
        <v>3300000</v>
      </c>
      <c r="J509">
        <v>1000000</v>
      </c>
      <c r="K509">
        <v>14800000</v>
      </c>
      <c r="L509">
        <v>3200000</v>
      </c>
      <c r="M509" t="s">
        <v>34</v>
      </c>
      <c r="N509">
        <f t="shared" si="43"/>
        <v>1</v>
      </c>
      <c r="O509" t="str">
        <f t="shared" si="42"/>
        <v>Excellent</v>
      </c>
      <c r="P509" t="str">
        <f t="shared" si="44"/>
        <v>High</v>
      </c>
      <c r="Q509" t="str">
        <f t="shared" si="45"/>
        <v>Low Loan</v>
      </c>
      <c r="R509">
        <f t="shared" si="46"/>
        <v>22300000</v>
      </c>
      <c r="S509" t="str">
        <f t="shared" si="47"/>
        <v>Strong</v>
      </c>
    </row>
    <row r="510" spans="1:19" x14ac:dyDescent="0.25">
      <c r="A510">
        <v>509</v>
      </c>
      <c r="B510">
        <v>2</v>
      </c>
      <c r="C510" t="s">
        <v>30</v>
      </c>
      <c r="D510" t="s">
        <v>33</v>
      </c>
      <c r="E510">
        <v>4100000</v>
      </c>
      <c r="F510">
        <v>11200000</v>
      </c>
      <c r="G510">
        <v>6</v>
      </c>
      <c r="H510">
        <v>442</v>
      </c>
      <c r="I510">
        <v>12200000</v>
      </c>
      <c r="J510">
        <v>4100000</v>
      </c>
      <c r="K510">
        <v>10000000</v>
      </c>
      <c r="L510">
        <v>4500000</v>
      </c>
      <c r="M510" t="s">
        <v>35</v>
      </c>
      <c r="N510">
        <f t="shared" si="43"/>
        <v>0</v>
      </c>
      <c r="O510" t="str">
        <f t="shared" si="42"/>
        <v>Low</v>
      </c>
      <c r="P510" t="str">
        <f t="shared" si="44"/>
        <v>High</v>
      </c>
      <c r="Q510" t="str">
        <f t="shared" si="45"/>
        <v>Low Loan</v>
      </c>
      <c r="R510">
        <f t="shared" si="46"/>
        <v>30800000</v>
      </c>
      <c r="S510" t="str">
        <f t="shared" si="47"/>
        <v>Strong</v>
      </c>
    </row>
    <row r="511" spans="1:19" x14ac:dyDescent="0.25">
      <c r="A511">
        <v>510</v>
      </c>
      <c r="B511">
        <v>1</v>
      </c>
      <c r="C511" t="s">
        <v>30</v>
      </c>
      <c r="D511" t="s">
        <v>33</v>
      </c>
      <c r="E511">
        <v>9900000</v>
      </c>
      <c r="F511">
        <v>39500000</v>
      </c>
      <c r="G511">
        <v>12</v>
      </c>
      <c r="H511">
        <v>808</v>
      </c>
      <c r="I511">
        <v>11800000</v>
      </c>
      <c r="J511">
        <v>3700000</v>
      </c>
      <c r="K511">
        <v>30200000</v>
      </c>
      <c r="L511">
        <v>13500000</v>
      </c>
      <c r="M511" t="s">
        <v>34</v>
      </c>
      <c r="N511">
        <f t="shared" si="43"/>
        <v>1</v>
      </c>
      <c r="O511" t="str">
        <f t="shared" si="42"/>
        <v>Excellent</v>
      </c>
      <c r="P511" t="str">
        <f t="shared" si="44"/>
        <v>High</v>
      </c>
      <c r="Q511" t="str">
        <f t="shared" si="45"/>
        <v>High Loan</v>
      </c>
      <c r="R511">
        <f t="shared" si="46"/>
        <v>59200000</v>
      </c>
      <c r="S511" t="str">
        <f t="shared" si="47"/>
        <v>Strong</v>
      </c>
    </row>
    <row r="512" spans="1:19" x14ac:dyDescent="0.25">
      <c r="A512">
        <v>511</v>
      </c>
      <c r="B512">
        <v>1</v>
      </c>
      <c r="C512" t="s">
        <v>31</v>
      </c>
      <c r="D512" t="s">
        <v>33</v>
      </c>
      <c r="E512">
        <v>3200000</v>
      </c>
      <c r="F512">
        <v>9000000</v>
      </c>
      <c r="G512">
        <v>20</v>
      </c>
      <c r="H512">
        <v>372</v>
      </c>
      <c r="I512">
        <v>2700000</v>
      </c>
      <c r="J512">
        <v>2800000</v>
      </c>
      <c r="K512">
        <v>7200000</v>
      </c>
      <c r="L512">
        <v>3800000</v>
      </c>
      <c r="M512" t="s">
        <v>35</v>
      </c>
      <c r="N512">
        <f t="shared" si="43"/>
        <v>0</v>
      </c>
      <c r="O512" t="str">
        <f t="shared" si="42"/>
        <v>Low</v>
      </c>
      <c r="P512" t="str">
        <f t="shared" si="44"/>
        <v>High</v>
      </c>
      <c r="Q512" t="str">
        <f t="shared" si="45"/>
        <v>Low Loan</v>
      </c>
      <c r="R512">
        <f t="shared" si="46"/>
        <v>16500000</v>
      </c>
      <c r="S512" t="str">
        <f t="shared" si="47"/>
        <v>Strong</v>
      </c>
    </row>
    <row r="513" spans="1:19" x14ac:dyDescent="0.25">
      <c r="A513">
        <v>512</v>
      </c>
      <c r="B513">
        <v>2</v>
      </c>
      <c r="C513" t="s">
        <v>30</v>
      </c>
      <c r="D513" t="s">
        <v>32</v>
      </c>
      <c r="E513">
        <v>5500000</v>
      </c>
      <c r="F513">
        <v>19000000</v>
      </c>
      <c r="G513">
        <v>4</v>
      </c>
      <c r="H513">
        <v>597</v>
      </c>
      <c r="I513">
        <v>1100000</v>
      </c>
      <c r="J513">
        <v>4000000</v>
      </c>
      <c r="K513">
        <v>18700000</v>
      </c>
      <c r="L513">
        <v>5300000</v>
      </c>
      <c r="M513" t="s">
        <v>34</v>
      </c>
      <c r="N513">
        <f t="shared" si="43"/>
        <v>1</v>
      </c>
      <c r="O513" t="str">
        <f t="shared" si="42"/>
        <v>Low</v>
      </c>
      <c r="P513" t="str">
        <f t="shared" si="44"/>
        <v>High</v>
      </c>
      <c r="Q513" t="str">
        <f t="shared" si="45"/>
        <v>Low Loan</v>
      </c>
      <c r="R513">
        <f t="shared" si="46"/>
        <v>29100000</v>
      </c>
      <c r="S513" t="str">
        <f t="shared" si="47"/>
        <v>Strong</v>
      </c>
    </row>
    <row r="514" spans="1:19" x14ac:dyDescent="0.25">
      <c r="A514">
        <v>513</v>
      </c>
      <c r="B514">
        <v>0</v>
      </c>
      <c r="C514" t="s">
        <v>30</v>
      </c>
      <c r="D514" t="s">
        <v>33</v>
      </c>
      <c r="E514">
        <v>7800000</v>
      </c>
      <c r="F514">
        <v>29100000</v>
      </c>
      <c r="G514">
        <v>20</v>
      </c>
      <c r="H514">
        <v>435</v>
      </c>
      <c r="I514">
        <v>21100000</v>
      </c>
      <c r="J514">
        <v>13000000</v>
      </c>
      <c r="K514">
        <v>17300000</v>
      </c>
      <c r="L514">
        <v>9700000</v>
      </c>
      <c r="M514" t="s">
        <v>35</v>
      </c>
      <c r="N514">
        <f t="shared" si="43"/>
        <v>0</v>
      </c>
      <c r="O514" t="str">
        <f t="shared" ref="O514:O577" si="48">IF(H514&lt;650,"Low",
 IF(H514&lt;700,"Medium",
 IF(H514&lt;750,"Good","Excellent")))</f>
        <v>Low</v>
      </c>
      <c r="P514" t="str">
        <f t="shared" si="44"/>
        <v>High</v>
      </c>
      <c r="Q514" t="str">
        <f t="shared" si="45"/>
        <v>High Loan</v>
      </c>
      <c r="R514">
        <f t="shared" si="46"/>
        <v>61100000</v>
      </c>
      <c r="S514" t="str">
        <f t="shared" si="47"/>
        <v>Strong</v>
      </c>
    </row>
    <row r="515" spans="1:19" x14ac:dyDescent="0.25">
      <c r="A515">
        <v>514</v>
      </c>
      <c r="B515">
        <v>3</v>
      </c>
      <c r="C515" t="s">
        <v>30</v>
      </c>
      <c r="D515" t="s">
        <v>33</v>
      </c>
      <c r="E515">
        <v>3400000</v>
      </c>
      <c r="F515">
        <v>9700000</v>
      </c>
      <c r="G515">
        <v>20</v>
      </c>
      <c r="H515">
        <v>728</v>
      </c>
      <c r="I515">
        <v>1500000</v>
      </c>
      <c r="J515">
        <v>1500000</v>
      </c>
      <c r="K515">
        <v>7300000</v>
      </c>
      <c r="L515">
        <v>2400000</v>
      </c>
      <c r="M515" t="s">
        <v>34</v>
      </c>
      <c r="N515">
        <f t="shared" ref="N515:N578" si="49">IF(TRIM(CLEAN(M515))="Approved",1,0)</f>
        <v>1</v>
      </c>
      <c r="O515" t="str">
        <f t="shared" si="48"/>
        <v>Good</v>
      </c>
      <c r="P515" t="str">
        <f t="shared" ref="P515:P578" si="50">IF(E515&lt;300000,"Low",
 IF(E515&lt;700000,"Middle","High"))</f>
        <v>High</v>
      </c>
      <c r="Q515" t="str">
        <f t="shared" ref="Q515:Q578" si="51">IF(F515&lt;20000000,"Low Loan","High Loan")</f>
        <v>Low Loan</v>
      </c>
      <c r="R515">
        <f t="shared" ref="R515:R578" si="52">I515+J515+K515+L515</f>
        <v>12700000</v>
      </c>
      <c r="S515" t="str">
        <f t="shared" ref="S515:S578" si="53">IF(R515&lt;5000000,"Weak",
 IF(R515&lt;10000000,"Moderate","Strong"))</f>
        <v>Strong</v>
      </c>
    </row>
    <row r="516" spans="1:19" x14ac:dyDescent="0.25">
      <c r="A516">
        <v>515</v>
      </c>
      <c r="B516">
        <v>4</v>
      </c>
      <c r="C516" t="s">
        <v>30</v>
      </c>
      <c r="D516" t="s">
        <v>33</v>
      </c>
      <c r="E516">
        <v>7900000</v>
      </c>
      <c r="F516">
        <v>25900000</v>
      </c>
      <c r="G516">
        <v>14</v>
      </c>
      <c r="H516">
        <v>373</v>
      </c>
      <c r="I516">
        <v>10900000</v>
      </c>
      <c r="J516">
        <v>14300000</v>
      </c>
      <c r="K516">
        <v>27700000</v>
      </c>
      <c r="L516">
        <v>7600000</v>
      </c>
      <c r="M516" t="s">
        <v>35</v>
      </c>
      <c r="N516">
        <f t="shared" si="49"/>
        <v>0</v>
      </c>
      <c r="O516" t="str">
        <f t="shared" si="48"/>
        <v>Low</v>
      </c>
      <c r="P516" t="str">
        <f t="shared" si="50"/>
        <v>High</v>
      </c>
      <c r="Q516" t="str">
        <f t="shared" si="51"/>
        <v>High Loan</v>
      </c>
      <c r="R516">
        <f t="shared" si="52"/>
        <v>60500000</v>
      </c>
      <c r="S516" t="str">
        <f t="shared" si="53"/>
        <v>Strong</v>
      </c>
    </row>
    <row r="517" spans="1:19" x14ac:dyDescent="0.25">
      <c r="A517">
        <v>516</v>
      </c>
      <c r="B517">
        <v>3</v>
      </c>
      <c r="C517" t="s">
        <v>30</v>
      </c>
      <c r="D517" t="s">
        <v>33</v>
      </c>
      <c r="E517">
        <v>8900000</v>
      </c>
      <c r="F517">
        <v>18500000</v>
      </c>
      <c r="G517">
        <v>10</v>
      </c>
      <c r="H517">
        <v>367</v>
      </c>
      <c r="I517">
        <v>6100000</v>
      </c>
      <c r="J517">
        <v>0</v>
      </c>
      <c r="K517">
        <v>32000000</v>
      </c>
      <c r="L517">
        <v>10300000</v>
      </c>
      <c r="M517" t="s">
        <v>35</v>
      </c>
      <c r="N517">
        <f t="shared" si="49"/>
        <v>0</v>
      </c>
      <c r="O517" t="str">
        <f t="shared" si="48"/>
        <v>Low</v>
      </c>
      <c r="P517" t="str">
        <f t="shared" si="50"/>
        <v>High</v>
      </c>
      <c r="Q517" t="str">
        <f t="shared" si="51"/>
        <v>Low Loan</v>
      </c>
      <c r="R517">
        <f t="shared" si="52"/>
        <v>48400000</v>
      </c>
      <c r="S517" t="str">
        <f t="shared" si="53"/>
        <v>Strong</v>
      </c>
    </row>
    <row r="518" spans="1:19" x14ac:dyDescent="0.25">
      <c r="A518">
        <v>517</v>
      </c>
      <c r="B518">
        <v>2</v>
      </c>
      <c r="C518" t="s">
        <v>30</v>
      </c>
      <c r="D518" t="s">
        <v>32</v>
      </c>
      <c r="E518">
        <v>7300000</v>
      </c>
      <c r="F518">
        <v>19100000</v>
      </c>
      <c r="G518">
        <v>14</v>
      </c>
      <c r="H518">
        <v>552</v>
      </c>
      <c r="I518">
        <v>2000000</v>
      </c>
      <c r="J518">
        <v>13400000</v>
      </c>
      <c r="K518">
        <v>16800000</v>
      </c>
      <c r="L518">
        <v>4000000</v>
      </c>
      <c r="M518" t="s">
        <v>34</v>
      </c>
      <c r="N518">
        <f t="shared" si="49"/>
        <v>1</v>
      </c>
      <c r="O518" t="str">
        <f t="shared" si="48"/>
        <v>Low</v>
      </c>
      <c r="P518" t="str">
        <f t="shared" si="50"/>
        <v>High</v>
      </c>
      <c r="Q518" t="str">
        <f t="shared" si="51"/>
        <v>Low Loan</v>
      </c>
      <c r="R518">
        <f t="shared" si="52"/>
        <v>36200000</v>
      </c>
      <c r="S518" t="str">
        <f t="shared" si="53"/>
        <v>Strong</v>
      </c>
    </row>
    <row r="519" spans="1:19" x14ac:dyDescent="0.25">
      <c r="A519">
        <v>518</v>
      </c>
      <c r="B519">
        <v>4</v>
      </c>
      <c r="C519" t="s">
        <v>31</v>
      </c>
      <c r="D519" t="s">
        <v>33</v>
      </c>
      <c r="E519">
        <v>3300000</v>
      </c>
      <c r="F519">
        <v>10600000</v>
      </c>
      <c r="G519">
        <v>8</v>
      </c>
      <c r="H519">
        <v>465</v>
      </c>
      <c r="I519">
        <v>500000</v>
      </c>
      <c r="J519">
        <v>4400000</v>
      </c>
      <c r="K519">
        <v>7300000</v>
      </c>
      <c r="L519">
        <v>2800000</v>
      </c>
      <c r="M519" t="s">
        <v>35</v>
      </c>
      <c r="N519">
        <f t="shared" si="49"/>
        <v>0</v>
      </c>
      <c r="O519" t="str">
        <f t="shared" si="48"/>
        <v>Low</v>
      </c>
      <c r="P519" t="str">
        <f t="shared" si="50"/>
        <v>High</v>
      </c>
      <c r="Q519" t="str">
        <f t="shared" si="51"/>
        <v>Low Loan</v>
      </c>
      <c r="R519">
        <f t="shared" si="52"/>
        <v>15000000</v>
      </c>
      <c r="S519" t="str">
        <f t="shared" si="53"/>
        <v>Strong</v>
      </c>
    </row>
    <row r="520" spans="1:19" x14ac:dyDescent="0.25">
      <c r="A520">
        <v>519</v>
      </c>
      <c r="B520">
        <v>4</v>
      </c>
      <c r="C520" t="s">
        <v>30</v>
      </c>
      <c r="D520" t="s">
        <v>33</v>
      </c>
      <c r="E520">
        <v>2900000</v>
      </c>
      <c r="F520">
        <v>10500000</v>
      </c>
      <c r="G520">
        <v>8</v>
      </c>
      <c r="H520">
        <v>607</v>
      </c>
      <c r="I520">
        <v>4400000</v>
      </c>
      <c r="J520">
        <v>5500000</v>
      </c>
      <c r="K520">
        <v>7600000</v>
      </c>
      <c r="L520">
        <v>3800000</v>
      </c>
      <c r="M520" t="s">
        <v>34</v>
      </c>
      <c r="N520">
        <f t="shared" si="49"/>
        <v>1</v>
      </c>
      <c r="O520" t="str">
        <f t="shared" si="48"/>
        <v>Low</v>
      </c>
      <c r="P520" t="str">
        <f t="shared" si="50"/>
        <v>High</v>
      </c>
      <c r="Q520" t="str">
        <f t="shared" si="51"/>
        <v>Low Loan</v>
      </c>
      <c r="R520">
        <f t="shared" si="52"/>
        <v>21300000</v>
      </c>
      <c r="S520" t="str">
        <f t="shared" si="53"/>
        <v>Strong</v>
      </c>
    </row>
    <row r="521" spans="1:19" x14ac:dyDescent="0.25">
      <c r="A521">
        <v>520</v>
      </c>
      <c r="B521">
        <v>2</v>
      </c>
      <c r="C521" t="s">
        <v>30</v>
      </c>
      <c r="D521" t="s">
        <v>33</v>
      </c>
      <c r="E521">
        <v>500000</v>
      </c>
      <c r="F521">
        <v>1300000</v>
      </c>
      <c r="G521">
        <v>4</v>
      </c>
      <c r="H521">
        <v>427</v>
      </c>
      <c r="I521">
        <v>1400000</v>
      </c>
      <c r="J521">
        <v>500000</v>
      </c>
      <c r="K521">
        <v>1800000</v>
      </c>
      <c r="L521">
        <v>600000</v>
      </c>
      <c r="M521" t="s">
        <v>35</v>
      </c>
      <c r="N521">
        <f t="shared" si="49"/>
        <v>0</v>
      </c>
      <c r="O521" t="str">
        <f t="shared" si="48"/>
        <v>Low</v>
      </c>
      <c r="P521" t="str">
        <f t="shared" si="50"/>
        <v>Middle</v>
      </c>
      <c r="Q521" t="str">
        <f t="shared" si="51"/>
        <v>Low Loan</v>
      </c>
      <c r="R521">
        <f t="shared" si="52"/>
        <v>4300000</v>
      </c>
      <c r="S521" t="str">
        <f t="shared" si="53"/>
        <v>Weak</v>
      </c>
    </row>
    <row r="522" spans="1:19" x14ac:dyDescent="0.25">
      <c r="A522">
        <v>521</v>
      </c>
      <c r="B522">
        <v>3</v>
      </c>
      <c r="C522" t="s">
        <v>31</v>
      </c>
      <c r="D522" t="s">
        <v>32</v>
      </c>
      <c r="E522">
        <v>7200000</v>
      </c>
      <c r="F522">
        <v>21200000</v>
      </c>
      <c r="G522">
        <v>4</v>
      </c>
      <c r="H522">
        <v>711</v>
      </c>
      <c r="I522">
        <v>10800000</v>
      </c>
      <c r="J522">
        <v>4200000</v>
      </c>
      <c r="K522">
        <v>24900000</v>
      </c>
      <c r="L522">
        <v>5700000</v>
      </c>
      <c r="M522" t="s">
        <v>34</v>
      </c>
      <c r="N522">
        <f t="shared" si="49"/>
        <v>1</v>
      </c>
      <c r="O522" t="str">
        <f t="shared" si="48"/>
        <v>Good</v>
      </c>
      <c r="P522" t="str">
        <f t="shared" si="50"/>
        <v>High</v>
      </c>
      <c r="Q522" t="str">
        <f t="shared" si="51"/>
        <v>High Loan</v>
      </c>
      <c r="R522">
        <f t="shared" si="52"/>
        <v>45600000</v>
      </c>
      <c r="S522" t="str">
        <f t="shared" si="53"/>
        <v>Strong</v>
      </c>
    </row>
    <row r="523" spans="1:19" x14ac:dyDescent="0.25">
      <c r="A523">
        <v>522</v>
      </c>
      <c r="B523">
        <v>3</v>
      </c>
      <c r="C523" t="s">
        <v>31</v>
      </c>
      <c r="D523" t="s">
        <v>32</v>
      </c>
      <c r="E523">
        <v>8300000</v>
      </c>
      <c r="F523">
        <v>24100000</v>
      </c>
      <c r="G523">
        <v>14</v>
      </c>
      <c r="H523">
        <v>823</v>
      </c>
      <c r="I523">
        <v>5900000</v>
      </c>
      <c r="J523">
        <v>700000</v>
      </c>
      <c r="K523">
        <v>24000000</v>
      </c>
      <c r="L523">
        <v>7700000</v>
      </c>
      <c r="M523" t="s">
        <v>34</v>
      </c>
      <c r="N523">
        <f t="shared" si="49"/>
        <v>1</v>
      </c>
      <c r="O523" t="str">
        <f t="shared" si="48"/>
        <v>Excellent</v>
      </c>
      <c r="P523" t="str">
        <f t="shared" si="50"/>
        <v>High</v>
      </c>
      <c r="Q523" t="str">
        <f t="shared" si="51"/>
        <v>High Loan</v>
      </c>
      <c r="R523">
        <f t="shared" si="52"/>
        <v>38300000</v>
      </c>
      <c r="S523" t="str">
        <f t="shared" si="53"/>
        <v>Strong</v>
      </c>
    </row>
    <row r="524" spans="1:19" x14ac:dyDescent="0.25">
      <c r="A524">
        <v>523</v>
      </c>
      <c r="B524">
        <v>1</v>
      </c>
      <c r="C524" t="s">
        <v>31</v>
      </c>
      <c r="D524" t="s">
        <v>33</v>
      </c>
      <c r="E524">
        <v>8700000</v>
      </c>
      <c r="F524">
        <v>20500000</v>
      </c>
      <c r="G524">
        <v>6</v>
      </c>
      <c r="H524">
        <v>523</v>
      </c>
      <c r="I524">
        <v>19300000</v>
      </c>
      <c r="J524">
        <v>6500000</v>
      </c>
      <c r="K524">
        <v>23700000</v>
      </c>
      <c r="L524">
        <v>4800000</v>
      </c>
      <c r="M524" t="s">
        <v>35</v>
      </c>
      <c r="N524">
        <f t="shared" si="49"/>
        <v>0</v>
      </c>
      <c r="O524" t="str">
        <f t="shared" si="48"/>
        <v>Low</v>
      </c>
      <c r="P524" t="str">
        <f t="shared" si="50"/>
        <v>High</v>
      </c>
      <c r="Q524" t="str">
        <f t="shared" si="51"/>
        <v>High Loan</v>
      </c>
      <c r="R524">
        <f t="shared" si="52"/>
        <v>54300000</v>
      </c>
      <c r="S524" t="str">
        <f t="shared" si="53"/>
        <v>Strong</v>
      </c>
    </row>
    <row r="525" spans="1:19" x14ac:dyDescent="0.25">
      <c r="A525">
        <v>524</v>
      </c>
      <c r="B525">
        <v>4</v>
      </c>
      <c r="C525" t="s">
        <v>31</v>
      </c>
      <c r="D525" t="s">
        <v>33</v>
      </c>
      <c r="E525">
        <v>7100000</v>
      </c>
      <c r="F525">
        <v>27900000</v>
      </c>
      <c r="G525">
        <v>10</v>
      </c>
      <c r="H525">
        <v>328</v>
      </c>
      <c r="I525">
        <v>9000000</v>
      </c>
      <c r="J525">
        <v>13400000</v>
      </c>
      <c r="K525">
        <v>26500000</v>
      </c>
      <c r="L525">
        <v>7700000</v>
      </c>
      <c r="M525" t="s">
        <v>35</v>
      </c>
      <c r="N525">
        <f t="shared" si="49"/>
        <v>0</v>
      </c>
      <c r="O525" t="str">
        <f t="shared" si="48"/>
        <v>Low</v>
      </c>
      <c r="P525" t="str">
        <f t="shared" si="50"/>
        <v>High</v>
      </c>
      <c r="Q525" t="str">
        <f t="shared" si="51"/>
        <v>High Loan</v>
      </c>
      <c r="R525">
        <f t="shared" si="52"/>
        <v>56600000</v>
      </c>
      <c r="S525" t="str">
        <f t="shared" si="53"/>
        <v>Strong</v>
      </c>
    </row>
    <row r="526" spans="1:19" x14ac:dyDescent="0.25">
      <c r="A526">
        <v>525</v>
      </c>
      <c r="B526">
        <v>3</v>
      </c>
      <c r="C526" t="s">
        <v>30</v>
      </c>
      <c r="D526" t="s">
        <v>33</v>
      </c>
      <c r="E526">
        <v>9800000</v>
      </c>
      <c r="F526">
        <v>28200000</v>
      </c>
      <c r="G526">
        <v>12</v>
      </c>
      <c r="H526">
        <v>721</v>
      </c>
      <c r="I526">
        <v>15800000</v>
      </c>
      <c r="J526">
        <v>6500000</v>
      </c>
      <c r="K526">
        <v>21900000</v>
      </c>
      <c r="L526">
        <v>9600000</v>
      </c>
      <c r="M526" t="s">
        <v>34</v>
      </c>
      <c r="N526">
        <f t="shared" si="49"/>
        <v>1</v>
      </c>
      <c r="O526" t="str">
        <f t="shared" si="48"/>
        <v>Good</v>
      </c>
      <c r="P526" t="str">
        <f t="shared" si="50"/>
        <v>High</v>
      </c>
      <c r="Q526" t="str">
        <f t="shared" si="51"/>
        <v>High Loan</v>
      </c>
      <c r="R526">
        <f t="shared" si="52"/>
        <v>53800000</v>
      </c>
      <c r="S526" t="str">
        <f t="shared" si="53"/>
        <v>Strong</v>
      </c>
    </row>
    <row r="527" spans="1:19" x14ac:dyDescent="0.25">
      <c r="A527">
        <v>526</v>
      </c>
      <c r="B527">
        <v>0</v>
      </c>
      <c r="C527" t="s">
        <v>30</v>
      </c>
      <c r="D527" t="s">
        <v>33</v>
      </c>
      <c r="E527">
        <v>6900000</v>
      </c>
      <c r="F527">
        <v>17000000</v>
      </c>
      <c r="G527">
        <v>20</v>
      </c>
      <c r="H527">
        <v>599</v>
      </c>
      <c r="I527">
        <v>18100000</v>
      </c>
      <c r="J527">
        <v>9400000</v>
      </c>
      <c r="K527">
        <v>26600000</v>
      </c>
      <c r="L527">
        <v>4300000</v>
      </c>
      <c r="M527" t="s">
        <v>34</v>
      </c>
      <c r="N527">
        <f t="shared" si="49"/>
        <v>1</v>
      </c>
      <c r="O527" t="str">
        <f t="shared" si="48"/>
        <v>Low</v>
      </c>
      <c r="P527" t="str">
        <f t="shared" si="50"/>
        <v>High</v>
      </c>
      <c r="Q527" t="str">
        <f t="shared" si="51"/>
        <v>Low Loan</v>
      </c>
      <c r="R527">
        <f t="shared" si="52"/>
        <v>58400000</v>
      </c>
      <c r="S527" t="str">
        <f t="shared" si="53"/>
        <v>Strong</v>
      </c>
    </row>
    <row r="528" spans="1:19" x14ac:dyDescent="0.25">
      <c r="A528">
        <v>527</v>
      </c>
      <c r="B528">
        <v>0</v>
      </c>
      <c r="C528" t="s">
        <v>31</v>
      </c>
      <c r="D528" t="s">
        <v>32</v>
      </c>
      <c r="E528">
        <v>2400000</v>
      </c>
      <c r="F528">
        <v>5000000</v>
      </c>
      <c r="G528">
        <v>14</v>
      </c>
      <c r="H528">
        <v>580</v>
      </c>
      <c r="I528">
        <v>5900000</v>
      </c>
      <c r="J528">
        <v>4400000</v>
      </c>
      <c r="K528">
        <v>5500000</v>
      </c>
      <c r="L528">
        <v>3200000</v>
      </c>
      <c r="M528" t="s">
        <v>34</v>
      </c>
      <c r="N528">
        <f t="shared" si="49"/>
        <v>1</v>
      </c>
      <c r="O528" t="str">
        <f t="shared" si="48"/>
        <v>Low</v>
      </c>
      <c r="P528" t="str">
        <f t="shared" si="50"/>
        <v>High</v>
      </c>
      <c r="Q528" t="str">
        <f t="shared" si="51"/>
        <v>Low Loan</v>
      </c>
      <c r="R528">
        <f t="shared" si="52"/>
        <v>19000000</v>
      </c>
      <c r="S528" t="str">
        <f t="shared" si="53"/>
        <v>Strong</v>
      </c>
    </row>
    <row r="529" spans="1:19" x14ac:dyDescent="0.25">
      <c r="A529">
        <v>528</v>
      </c>
      <c r="B529">
        <v>1</v>
      </c>
      <c r="C529" t="s">
        <v>31</v>
      </c>
      <c r="D529" t="s">
        <v>33</v>
      </c>
      <c r="E529">
        <v>2100000</v>
      </c>
      <c r="F529">
        <v>4900000</v>
      </c>
      <c r="G529">
        <v>10</v>
      </c>
      <c r="H529">
        <v>744</v>
      </c>
      <c r="I529">
        <v>200000</v>
      </c>
      <c r="J529">
        <v>2000000</v>
      </c>
      <c r="K529">
        <v>5400000</v>
      </c>
      <c r="L529">
        <v>1000000</v>
      </c>
      <c r="M529" t="s">
        <v>34</v>
      </c>
      <c r="N529">
        <f t="shared" si="49"/>
        <v>1</v>
      </c>
      <c r="O529" t="str">
        <f t="shared" si="48"/>
        <v>Good</v>
      </c>
      <c r="P529" t="str">
        <f t="shared" si="50"/>
        <v>High</v>
      </c>
      <c r="Q529" t="str">
        <f t="shared" si="51"/>
        <v>Low Loan</v>
      </c>
      <c r="R529">
        <f t="shared" si="52"/>
        <v>8600000</v>
      </c>
      <c r="S529" t="str">
        <f t="shared" si="53"/>
        <v>Moderate</v>
      </c>
    </row>
    <row r="530" spans="1:19" x14ac:dyDescent="0.25">
      <c r="A530">
        <v>529</v>
      </c>
      <c r="B530">
        <v>2</v>
      </c>
      <c r="C530" t="s">
        <v>30</v>
      </c>
      <c r="D530" t="s">
        <v>33</v>
      </c>
      <c r="E530">
        <v>7200000</v>
      </c>
      <c r="F530">
        <v>23900000</v>
      </c>
      <c r="G530">
        <v>4</v>
      </c>
      <c r="H530">
        <v>559</v>
      </c>
      <c r="I530">
        <v>4200000</v>
      </c>
      <c r="J530">
        <v>12200000</v>
      </c>
      <c r="K530">
        <v>17800000</v>
      </c>
      <c r="L530">
        <v>10800000</v>
      </c>
      <c r="M530" t="s">
        <v>34</v>
      </c>
      <c r="N530">
        <f t="shared" si="49"/>
        <v>1</v>
      </c>
      <c r="O530" t="str">
        <f t="shared" si="48"/>
        <v>Low</v>
      </c>
      <c r="P530" t="str">
        <f t="shared" si="50"/>
        <v>High</v>
      </c>
      <c r="Q530" t="str">
        <f t="shared" si="51"/>
        <v>High Loan</v>
      </c>
      <c r="R530">
        <f t="shared" si="52"/>
        <v>45000000</v>
      </c>
      <c r="S530" t="str">
        <f t="shared" si="53"/>
        <v>Strong</v>
      </c>
    </row>
    <row r="531" spans="1:19" x14ac:dyDescent="0.25">
      <c r="A531">
        <v>530</v>
      </c>
      <c r="B531">
        <v>2</v>
      </c>
      <c r="C531" t="s">
        <v>30</v>
      </c>
      <c r="D531" t="s">
        <v>32</v>
      </c>
      <c r="E531">
        <v>4600000</v>
      </c>
      <c r="F531">
        <v>13500000</v>
      </c>
      <c r="G531">
        <v>16</v>
      </c>
      <c r="H531">
        <v>587</v>
      </c>
      <c r="I531">
        <v>7700000</v>
      </c>
      <c r="J531">
        <v>5900000</v>
      </c>
      <c r="K531">
        <v>10600000</v>
      </c>
      <c r="L531">
        <v>5000000</v>
      </c>
      <c r="M531" t="s">
        <v>34</v>
      </c>
      <c r="N531">
        <f t="shared" si="49"/>
        <v>1</v>
      </c>
      <c r="O531" t="str">
        <f t="shared" si="48"/>
        <v>Low</v>
      </c>
      <c r="P531" t="str">
        <f t="shared" si="50"/>
        <v>High</v>
      </c>
      <c r="Q531" t="str">
        <f t="shared" si="51"/>
        <v>Low Loan</v>
      </c>
      <c r="R531">
        <f t="shared" si="52"/>
        <v>29200000</v>
      </c>
      <c r="S531" t="str">
        <f t="shared" si="53"/>
        <v>Strong</v>
      </c>
    </row>
    <row r="532" spans="1:19" x14ac:dyDescent="0.25">
      <c r="A532">
        <v>531</v>
      </c>
      <c r="B532">
        <v>5</v>
      </c>
      <c r="C532" t="s">
        <v>30</v>
      </c>
      <c r="D532" t="s">
        <v>33</v>
      </c>
      <c r="E532">
        <v>9900000</v>
      </c>
      <c r="F532">
        <v>31800000</v>
      </c>
      <c r="G532">
        <v>18</v>
      </c>
      <c r="H532">
        <v>817</v>
      </c>
      <c r="I532">
        <v>23400000</v>
      </c>
      <c r="J532">
        <v>700000</v>
      </c>
      <c r="K532">
        <v>32600000</v>
      </c>
      <c r="L532">
        <v>11500000</v>
      </c>
      <c r="M532" t="s">
        <v>34</v>
      </c>
      <c r="N532">
        <f t="shared" si="49"/>
        <v>1</v>
      </c>
      <c r="O532" t="str">
        <f t="shared" si="48"/>
        <v>Excellent</v>
      </c>
      <c r="P532" t="str">
        <f t="shared" si="50"/>
        <v>High</v>
      </c>
      <c r="Q532" t="str">
        <f t="shared" si="51"/>
        <v>High Loan</v>
      </c>
      <c r="R532">
        <f t="shared" si="52"/>
        <v>68200000</v>
      </c>
      <c r="S532" t="str">
        <f t="shared" si="53"/>
        <v>Strong</v>
      </c>
    </row>
    <row r="533" spans="1:19" x14ac:dyDescent="0.25">
      <c r="A533">
        <v>532</v>
      </c>
      <c r="B533">
        <v>4</v>
      </c>
      <c r="C533" t="s">
        <v>31</v>
      </c>
      <c r="D533" t="s">
        <v>33</v>
      </c>
      <c r="E533">
        <v>300000</v>
      </c>
      <c r="F533">
        <v>1000000</v>
      </c>
      <c r="G533">
        <v>20</v>
      </c>
      <c r="H533">
        <v>655</v>
      </c>
      <c r="I533">
        <v>0</v>
      </c>
      <c r="J533">
        <v>100000</v>
      </c>
      <c r="K533">
        <v>1100000</v>
      </c>
      <c r="L533">
        <v>400000</v>
      </c>
      <c r="M533" t="s">
        <v>34</v>
      </c>
      <c r="N533">
        <f t="shared" si="49"/>
        <v>1</v>
      </c>
      <c r="O533" t="str">
        <f t="shared" si="48"/>
        <v>Medium</v>
      </c>
      <c r="P533" t="str">
        <f t="shared" si="50"/>
        <v>Middle</v>
      </c>
      <c r="Q533" t="str">
        <f t="shared" si="51"/>
        <v>Low Loan</v>
      </c>
      <c r="R533">
        <f t="shared" si="52"/>
        <v>1600000</v>
      </c>
      <c r="S533" t="str">
        <f t="shared" si="53"/>
        <v>Weak</v>
      </c>
    </row>
    <row r="534" spans="1:19" x14ac:dyDescent="0.25">
      <c r="A534">
        <v>533</v>
      </c>
      <c r="B534">
        <v>5</v>
      </c>
      <c r="C534" t="s">
        <v>30</v>
      </c>
      <c r="D534" t="s">
        <v>33</v>
      </c>
      <c r="E534">
        <v>6900000</v>
      </c>
      <c r="F534">
        <v>23900000</v>
      </c>
      <c r="G534">
        <v>6</v>
      </c>
      <c r="H534">
        <v>382</v>
      </c>
      <c r="I534">
        <v>17100000</v>
      </c>
      <c r="J534">
        <v>6900000</v>
      </c>
      <c r="K534">
        <v>21500000</v>
      </c>
      <c r="L534">
        <v>8900000</v>
      </c>
      <c r="M534" t="s">
        <v>35</v>
      </c>
      <c r="N534">
        <f t="shared" si="49"/>
        <v>0</v>
      </c>
      <c r="O534" t="str">
        <f t="shared" si="48"/>
        <v>Low</v>
      </c>
      <c r="P534" t="str">
        <f t="shared" si="50"/>
        <v>High</v>
      </c>
      <c r="Q534" t="str">
        <f t="shared" si="51"/>
        <v>High Loan</v>
      </c>
      <c r="R534">
        <f t="shared" si="52"/>
        <v>54400000</v>
      </c>
      <c r="S534" t="str">
        <f t="shared" si="53"/>
        <v>Strong</v>
      </c>
    </row>
    <row r="535" spans="1:19" x14ac:dyDescent="0.25">
      <c r="A535">
        <v>534</v>
      </c>
      <c r="B535">
        <v>2</v>
      </c>
      <c r="C535" t="s">
        <v>30</v>
      </c>
      <c r="D535" t="s">
        <v>33</v>
      </c>
      <c r="E535">
        <v>1700000</v>
      </c>
      <c r="F535">
        <v>4300000</v>
      </c>
      <c r="G535">
        <v>6</v>
      </c>
      <c r="H535">
        <v>765</v>
      </c>
      <c r="I535">
        <v>5000000</v>
      </c>
      <c r="J535">
        <v>1500000</v>
      </c>
      <c r="K535">
        <v>3400000</v>
      </c>
      <c r="L535">
        <v>900000</v>
      </c>
      <c r="M535" t="s">
        <v>34</v>
      </c>
      <c r="N535">
        <f t="shared" si="49"/>
        <v>1</v>
      </c>
      <c r="O535" t="str">
        <f t="shared" si="48"/>
        <v>Excellent</v>
      </c>
      <c r="P535" t="str">
        <f t="shared" si="50"/>
        <v>High</v>
      </c>
      <c r="Q535" t="str">
        <f t="shared" si="51"/>
        <v>Low Loan</v>
      </c>
      <c r="R535">
        <f t="shared" si="52"/>
        <v>10800000</v>
      </c>
      <c r="S535" t="str">
        <f t="shared" si="53"/>
        <v>Strong</v>
      </c>
    </row>
    <row r="536" spans="1:19" x14ac:dyDescent="0.25">
      <c r="A536">
        <v>535</v>
      </c>
      <c r="B536">
        <v>2</v>
      </c>
      <c r="C536" t="s">
        <v>30</v>
      </c>
      <c r="D536" t="s">
        <v>33</v>
      </c>
      <c r="E536">
        <v>4400000</v>
      </c>
      <c r="F536">
        <v>10000000</v>
      </c>
      <c r="G536">
        <v>20</v>
      </c>
      <c r="H536">
        <v>516</v>
      </c>
      <c r="I536">
        <v>7400000</v>
      </c>
      <c r="J536">
        <v>7600000</v>
      </c>
      <c r="K536">
        <v>12200000</v>
      </c>
      <c r="L536">
        <v>5100000</v>
      </c>
      <c r="M536" t="s">
        <v>35</v>
      </c>
      <c r="N536">
        <f t="shared" si="49"/>
        <v>0</v>
      </c>
      <c r="O536" t="str">
        <f t="shared" si="48"/>
        <v>Low</v>
      </c>
      <c r="P536" t="str">
        <f t="shared" si="50"/>
        <v>High</v>
      </c>
      <c r="Q536" t="str">
        <f t="shared" si="51"/>
        <v>Low Loan</v>
      </c>
      <c r="R536">
        <f t="shared" si="52"/>
        <v>32300000</v>
      </c>
      <c r="S536" t="str">
        <f t="shared" si="53"/>
        <v>Strong</v>
      </c>
    </row>
    <row r="537" spans="1:19" x14ac:dyDescent="0.25">
      <c r="A537">
        <v>536</v>
      </c>
      <c r="B537">
        <v>4</v>
      </c>
      <c r="C537" t="s">
        <v>31</v>
      </c>
      <c r="D537" t="s">
        <v>33</v>
      </c>
      <c r="E537">
        <v>4300000</v>
      </c>
      <c r="F537">
        <v>15000000</v>
      </c>
      <c r="G537">
        <v>8</v>
      </c>
      <c r="H537">
        <v>383</v>
      </c>
      <c r="I537">
        <v>4700000</v>
      </c>
      <c r="J537">
        <v>100000</v>
      </c>
      <c r="K537">
        <v>9000000</v>
      </c>
      <c r="L537">
        <v>4900000</v>
      </c>
      <c r="M537" t="s">
        <v>35</v>
      </c>
      <c r="N537">
        <f t="shared" si="49"/>
        <v>0</v>
      </c>
      <c r="O537" t="str">
        <f t="shared" si="48"/>
        <v>Low</v>
      </c>
      <c r="P537" t="str">
        <f t="shared" si="50"/>
        <v>High</v>
      </c>
      <c r="Q537" t="str">
        <f t="shared" si="51"/>
        <v>Low Loan</v>
      </c>
      <c r="R537">
        <f t="shared" si="52"/>
        <v>18700000</v>
      </c>
      <c r="S537" t="str">
        <f t="shared" si="53"/>
        <v>Strong</v>
      </c>
    </row>
    <row r="538" spans="1:19" x14ac:dyDescent="0.25">
      <c r="A538">
        <v>537</v>
      </c>
      <c r="B538">
        <v>2</v>
      </c>
      <c r="C538" t="s">
        <v>31</v>
      </c>
      <c r="D538" t="s">
        <v>32</v>
      </c>
      <c r="E538">
        <v>3700000</v>
      </c>
      <c r="F538">
        <v>14100000</v>
      </c>
      <c r="G538">
        <v>6</v>
      </c>
      <c r="H538">
        <v>633</v>
      </c>
      <c r="I538">
        <v>800000</v>
      </c>
      <c r="J538">
        <v>200000</v>
      </c>
      <c r="K538">
        <v>11300000</v>
      </c>
      <c r="L538">
        <v>3400000</v>
      </c>
      <c r="M538" t="s">
        <v>34</v>
      </c>
      <c r="N538">
        <f t="shared" si="49"/>
        <v>1</v>
      </c>
      <c r="O538" t="str">
        <f t="shared" si="48"/>
        <v>Low</v>
      </c>
      <c r="P538" t="str">
        <f t="shared" si="50"/>
        <v>High</v>
      </c>
      <c r="Q538" t="str">
        <f t="shared" si="51"/>
        <v>Low Loan</v>
      </c>
      <c r="R538">
        <f t="shared" si="52"/>
        <v>15700000</v>
      </c>
      <c r="S538" t="str">
        <f t="shared" si="53"/>
        <v>Strong</v>
      </c>
    </row>
    <row r="539" spans="1:19" x14ac:dyDescent="0.25">
      <c r="A539">
        <v>538</v>
      </c>
      <c r="B539">
        <v>1</v>
      </c>
      <c r="C539" t="s">
        <v>30</v>
      </c>
      <c r="D539" t="s">
        <v>32</v>
      </c>
      <c r="E539">
        <v>5900000</v>
      </c>
      <c r="F539">
        <v>15200000</v>
      </c>
      <c r="G539">
        <v>2</v>
      </c>
      <c r="H539">
        <v>547</v>
      </c>
      <c r="I539">
        <v>17100000</v>
      </c>
      <c r="J539">
        <v>2000000</v>
      </c>
      <c r="K539">
        <v>14700000</v>
      </c>
      <c r="L539">
        <v>3600000</v>
      </c>
      <c r="M539" t="s">
        <v>35</v>
      </c>
      <c r="N539">
        <f t="shared" si="49"/>
        <v>0</v>
      </c>
      <c r="O539" t="str">
        <f t="shared" si="48"/>
        <v>Low</v>
      </c>
      <c r="P539" t="str">
        <f t="shared" si="50"/>
        <v>High</v>
      </c>
      <c r="Q539" t="str">
        <f t="shared" si="51"/>
        <v>Low Loan</v>
      </c>
      <c r="R539">
        <f t="shared" si="52"/>
        <v>37400000</v>
      </c>
      <c r="S539" t="str">
        <f t="shared" si="53"/>
        <v>Strong</v>
      </c>
    </row>
    <row r="540" spans="1:19" x14ac:dyDescent="0.25">
      <c r="A540">
        <v>539</v>
      </c>
      <c r="B540">
        <v>5</v>
      </c>
      <c r="C540" t="s">
        <v>31</v>
      </c>
      <c r="D540" t="s">
        <v>33</v>
      </c>
      <c r="E540">
        <v>8600000</v>
      </c>
      <c r="F540">
        <v>26300000</v>
      </c>
      <c r="G540">
        <v>10</v>
      </c>
      <c r="H540">
        <v>843</v>
      </c>
      <c r="I540">
        <v>23300000</v>
      </c>
      <c r="J540">
        <v>9800000</v>
      </c>
      <c r="K540">
        <v>18100000</v>
      </c>
      <c r="L540">
        <v>11300000</v>
      </c>
      <c r="M540" t="s">
        <v>34</v>
      </c>
      <c r="N540">
        <f t="shared" si="49"/>
        <v>1</v>
      </c>
      <c r="O540" t="str">
        <f t="shared" si="48"/>
        <v>Excellent</v>
      </c>
      <c r="P540" t="str">
        <f t="shared" si="50"/>
        <v>High</v>
      </c>
      <c r="Q540" t="str">
        <f t="shared" si="51"/>
        <v>High Loan</v>
      </c>
      <c r="R540">
        <f t="shared" si="52"/>
        <v>62500000</v>
      </c>
      <c r="S540" t="str">
        <f t="shared" si="53"/>
        <v>Strong</v>
      </c>
    </row>
    <row r="541" spans="1:19" x14ac:dyDescent="0.25">
      <c r="A541">
        <v>540</v>
      </c>
      <c r="B541">
        <v>3</v>
      </c>
      <c r="C541" t="s">
        <v>31</v>
      </c>
      <c r="D541" t="s">
        <v>33</v>
      </c>
      <c r="E541">
        <v>3400000</v>
      </c>
      <c r="F541">
        <v>13200000</v>
      </c>
      <c r="G541">
        <v>8</v>
      </c>
      <c r="H541">
        <v>783</v>
      </c>
      <c r="I541">
        <v>6500000</v>
      </c>
      <c r="J541">
        <v>300000</v>
      </c>
      <c r="K541">
        <v>13000000</v>
      </c>
      <c r="L541">
        <v>4900000</v>
      </c>
      <c r="M541" t="s">
        <v>34</v>
      </c>
      <c r="N541">
        <f t="shared" si="49"/>
        <v>1</v>
      </c>
      <c r="O541" t="str">
        <f t="shared" si="48"/>
        <v>Excellent</v>
      </c>
      <c r="P541" t="str">
        <f t="shared" si="50"/>
        <v>High</v>
      </c>
      <c r="Q541" t="str">
        <f t="shared" si="51"/>
        <v>Low Loan</v>
      </c>
      <c r="R541">
        <f t="shared" si="52"/>
        <v>24700000</v>
      </c>
      <c r="S541" t="str">
        <f t="shared" si="53"/>
        <v>Strong</v>
      </c>
    </row>
    <row r="542" spans="1:19" x14ac:dyDescent="0.25">
      <c r="A542">
        <v>541</v>
      </c>
      <c r="B542">
        <v>3</v>
      </c>
      <c r="C542" t="s">
        <v>31</v>
      </c>
      <c r="D542" t="s">
        <v>33</v>
      </c>
      <c r="E542">
        <v>1000000</v>
      </c>
      <c r="F542">
        <v>3200000</v>
      </c>
      <c r="G542">
        <v>14</v>
      </c>
      <c r="H542">
        <v>790</v>
      </c>
      <c r="I542">
        <v>1900000</v>
      </c>
      <c r="J542">
        <v>100000</v>
      </c>
      <c r="K542">
        <v>3600000</v>
      </c>
      <c r="L542">
        <v>1100000</v>
      </c>
      <c r="M542" t="s">
        <v>34</v>
      </c>
      <c r="N542">
        <f t="shared" si="49"/>
        <v>1</v>
      </c>
      <c r="O542" t="str">
        <f t="shared" si="48"/>
        <v>Excellent</v>
      </c>
      <c r="P542" t="str">
        <f t="shared" si="50"/>
        <v>High</v>
      </c>
      <c r="Q542" t="str">
        <f t="shared" si="51"/>
        <v>Low Loan</v>
      </c>
      <c r="R542">
        <f t="shared" si="52"/>
        <v>6700000</v>
      </c>
      <c r="S542" t="str">
        <f t="shared" si="53"/>
        <v>Moderate</v>
      </c>
    </row>
    <row r="543" spans="1:19" x14ac:dyDescent="0.25">
      <c r="A543">
        <v>542</v>
      </c>
      <c r="B543">
        <v>1</v>
      </c>
      <c r="C543" t="s">
        <v>31</v>
      </c>
      <c r="D543" t="s">
        <v>33</v>
      </c>
      <c r="E543">
        <v>4400000</v>
      </c>
      <c r="F543">
        <v>14200000</v>
      </c>
      <c r="G543">
        <v>16</v>
      </c>
      <c r="H543">
        <v>409</v>
      </c>
      <c r="I543">
        <v>12700000</v>
      </c>
      <c r="J543">
        <v>1300000</v>
      </c>
      <c r="K543">
        <v>12600000</v>
      </c>
      <c r="L543">
        <v>4500000</v>
      </c>
      <c r="M543" t="s">
        <v>35</v>
      </c>
      <c r="N543">
        <f t="shared" si="49"/>
        <v>0</v>
      </c>
      <c r="O543" t="str">
        <f t="shared" si="48"/>
        <v>Low</v>
      </c>
      <c r="P543" t="str">
        <f t="shared" si="50"/>
        <v>High</v>
      </c>
      <c r="Q543" t="str">
        <f t="shared" si="51"/>
        <v>Low Loan</v>
      </c>
      <c r="R543">
        <f t="shared" si="52"/>
        <v>31100000</v>
      </c>
      <c r="S543" t="str">
        <f t="shared" si="53"/>
        <v>Strong</v>
      </c>
    </row>
    <row r="544" spans="1:19" x14ac:dyDescent="0.25">
      <c r="A544">
        <v>543</v>
      </c>
      <c r="B544">
        <v>0</v>
      </c>
      <c r="C544" t="s">
        <v>31</v>
      </c>
      <c r="D544" t="s">
        <v>32</v>
      </c>
      <c r="E544">
        <v>3600000</v>
      </c>
      <c r="F544">
        <v>7800000</v>
      </c>
      <c r="G544">
        <v>14</v>
      </c>
      <c r="H544">
        <v>376</v>
      </c>
      <c r="I544">
        <v>9800000</v>
      </c>
      <c r="J544">
        <v>6900000</v>
      </c>
      <c r="K544">
        <v>11900000</v>
      </c>
      <c r="L544">
        <v>3000000</v>
      </c>
      <c r="M544" t="s">
        <v>35</v>
      </c>
      <c r="N544">
        <f t="shared" si="49"/>
        <v>0</v>
      </c>
      <c r="O544" t="str">
        <f t="shared" si="48"/>
        <v>Low</v>
      </c>
      <c r="P544" t="str">
        <f t="shared" si="50"/>
        <v>High</v>
      </c>
      <c r="Q544" t="str">
        <f t="shared" si="51"/>
        <v>Low Loan</v>
      </c>
      <c r="R544">
        <f t="shared" si="52"/>
        <v>31600000</v>
      </c>
      <c r="S544" t="str">
        <f t="shared" si="53"/>
        <v>Strong</v>
      </c>
    </row>
    <row r="545" spans="1:19" x14ac:dyDescent="0.25">
      <c r="A545">
        <v>544</v>
      </c>
      <c r="B545">
        <v>3</v>
      </c>
      <c r="C545" t="s">
        <v>31</v>
      </c>
      <c r="D545" t="s">
        <v>32</v>
      </c>
      <c r="E545">
        <v>1400000</v>
      </c>
      <c r="F545">
        <v>2700000</v>
      </c>
      <c r="G545">
        <v>8</v>
      </c>
      <c r="H545">
        <v>625</v>
      </c>
      <c r="I545">
        <v>3100000</v>
      </c>
      <c r="J545">
        <v>1800000</v>
      </c>
      <c r="K545">
        <v>3400000</v>
      </c>
      <c r="L545">
        <v>1000000</v>
      </c>
      <c r="M545" t="s">
        <v>34</v>
      </c>
      <c r="N545">
        <f t="shared" si="49"/>
        <v>1</v>
      </c>
      <c r="O545" t="str">
        <f t="shared" si="48"/>
        <v>Low</v>
      </c>
      <c r="P545" t="str">
        <f t="shared" si="50"/>
        <v>High</v>
      </c>
      <c r="Q545" t="str">
        <f t="shared" si="51"/>
        <v>Low Loan</v>
      </c>
      <c r="R545">
        <f t="shared" si="52"/>
        <v>9300000</v>
      </c>
      <c r="S545" t="str">
        <f t="shared" si="53"/>
        <v>Moderate</v>
      </c>
    </row>
    <row r="546" spans="1:19" x14ac:dyDescent="0.25">
      <c r="A546">
        <v>545</v>
      </c>
      <c r="B546">
        <v>0</v>
      </c>
      <c r="C546" t="s">
        <v>31</v>
      </c>
      <c r="D546" t="s">
        <v>32</v>
      </c>
      <c r="E546">
        <v>5300000</v>
      </c>
      <c r="F546">
        <v>10900000</v>
      </c>
      <c r="G546">
        <v>18</v>
      </c>
      <c r="H546">
        <v>707</v>
      </c>
      <c r="I546">
        <v>12900000</v>
      </c>
      <c r="J546">
        <v>2600000</v>
      </c>
      <c r="K546">
        <v>12700000</v>
      </c>
      <c r="L546">
        <v>7600000</v>
      </c>
      <c r="M546" t="s">
        <v>34</v>
      </c>
      <c r="N546">
        <f t="shared" si="49"/>
        <v>1</v>
      </c>
      <c r="O546" t="str">
        <f t="shared" si="48"/>
        <v>Good</v>
      </c>
      <c r="P546" t="str">
        <f t="shared" si="50"/>
        <v>High</v>
      </c>
      <c r="Q546" t="str">
        <f t="shared" si="51"/>
        <v>Low Loan</v>
      </c>
      <c r="R546">
        <f t="shared" si="52"/>
        <v>35800000</v>
      </c>
      <c r="S546" t="str">
        <f t="shared" si="53"/>
        <v>Strong</v>
      </c>
    </row>
    <row r="547" spans="1:19" x14ac:dyDescent="0.25">
      <c r="A547">
        <v>546</v>
      </c>
      <c r="B547">
        <v>3</v>
      </c>
      <c r="C547" t="s">
        <v>30</v>
      </c>
      <c r="D547" t="s">
        <v>33</v>
      </c>
      <c r="E547">
        <v>9400000</v>
      </c>
      <c r="F547">
        <v>20500000</v>
      </c>
      <c r="G547">
        <v>6</v>
      </c>
      <c r="H547">
        <v>645</v>
      </c>
      <c r="I547">
        <v>17400000</v>
      </c>
      <c r="J547">
        <v>13000000</v>
      </c>
      <c r="K547">
        <v>24500000</v>
      </c>
      <c r="L547">
        <v>10200000</v>
      </c>
      <c r="M547" t="s">
        <v>34</v>
      </c>
      <c r="N547">
        <f t="shared" si="49"/>
        <v>1</v>
      </c>
      <c r="O547" t="str">
        <f t="shared" si="48"/>
        <v>Low</v>
      </c>
      <c r="P547" t="str">
        <f t="shared" si="50"/>
        <v>High</v>
      </c>
      <c r="Q547" t="str">
        <f t="shared" si="51"/>
        <v>High Loan</v>
      </c>
      <c r="R547">
        <f t="shared" si="52"/>
        <v>65100000</v>
      </c>
      <c r="S547" t="str">
        <f t="shared" si="53"/>
        <v>Strong</v>
      </c>
    </row>
    <row r="548" spans="1:19" x14ac:dyDescent="0.25">
      <c r="A548">
        <v>547</v>
      </c>
      <c r="B548">
        <v>4</v>
      </c>
      <c r="C548" t="s">
        <v>31</v>
      </c>
      <c r="D548" t="s">
        <v>33</v>
      </c>
      <c r="E548">
        <v>6600000</v>
      </c>
      <c r="F548">
        <v>22100000</v>
      </c>
      <c r="G548">
        <v>6</v>
      </c>
      <c r="H548">
        <v>887</v>
      </c>
      <c r="I548">
        <v>3600000</v>
      </c>
      <c r="J548">
        <v>3500000</v>
      </c>
      <c r="K548">
        <v>19800000</v>
      </c>
      <c r="L548">
        <v>4700000</v>
      </c>
      <c r="M548" t="s">
        <v>34</v>
      </c>
      <c r="N548">
        <f t="shared" si="49"/>
        <v>1</v>
      </c>
      <c r="O548" t="str">
        <f t="shared" si="48"/>
        <v>Excellent</v>
      </c>
      <c r="P548" t="str">
        <f t="shared" si="50"/>
        <v>High</v>
      </c>
      <c r="Q548" t="str">
        <f t="shared" si="51"/>
        <v>High Loan</v>
      </c>
      <c r="R548">
        <f t="shared" si="52"/>
        <v>31600000</v>
      </c>
      <c r="S548" t="str">
        <f t="shared" si="53"/>
        <v>Strong</v>
      </c>
    </row>
    <row r="549" spans="1:19" x14ac:dyDescent="0.25">
      <c r="A549">
        <v>548</v>
      </c>
      <c r="B549">
        <v>5</v>
      </c>
      <c r="C549" t="s">
        <v>30</v>
      </c>
      <c r="D549" t="s">
        <v>32</v>
      </c>
      <c r="E549">
        <v>9800000</v>
      </c>
      <c r="F549">
        <v>37600000</v>
      </c>
      <c r="G549">
        <v>18</v>
      </c>
      <c r="H549">
        <v>319</v>
      </c>
      <c r="I549">
        <v>19200000</v>
      </c>
      <c r="J549">
        <v>5100000</v>
      </c>
      <c r="K549">
        <v>19900000</v>
      </c>
      <c r="L549">
        <v>5100000</v>
      </c>
      <c r="M549" t="s">
        <v>35</v>
      </c>
      <c r="N549">
        <f t="shared" si="49"/>
        <v>0</v>
      </c>
      <c r="O549" t="str">
        <f t="shared" si="48"/>
        <v>Low</v>
      </c>
      <c r="P549" t="str">
        <f t="shared" si="50"/>
        <v>High</v>
      </c>
      <c r="Q549" t="str">
        <f t="shared" si="51"/>
        <v>High Loan</v>
      </c>
      <c r="R549">
        <f t="shared" si="52"/>
        <v>49300000</v>
      </c>
      <c r="S549" t="str">
        <f t="shared" si="53"/>
        <v>Strong</v>
      </c>
    </row>
    <row r="550" spans="1:19" x14ac:dyDescent="0.25">
      <c r="A550">
        <v>549</v>
      </c>
      <c r="B550">
        <v>1</v>
      </c>
      <c r="C550" t="s">
        <v>31</v>
      </c>
      <c r="D550" t="s">
        <v>32</v>
      </c>
      <c r="E550">
        <v>1900000</v>
      </c>
      <c r="F550">
        <v>4900000</v>
      </c>
      <c r="G550">
        <v>20</v>
      </c>
      <c r="H550">
        <v>647</v>
      </c>
      <c r="I550">
        <v>4100000</v>
      </c>
      <c r="J550">
        <v>2100000</v>
      </c>
      <c r="K550">
        <v>6800000</v>
      </c>
      <c r="L550">
        <v>1700000</v>
      </c>
      <c r="M550" t="s">
        <v>34</v>
      </c>
      <c r="N550">
        <f t="shared" si="49"/>
        <v>1</v>
      </c>
      <c r="O550" t="str">
        <f t="shared" si="48"/>
        <v>Low</v>
      </c>
      <c r="P550" t="str">
        <f t="shared" si="50"/>
        <v>High</v>
      </c>
      <c r="Q550" t="str">
        <f t="shared" si="51"/>
        <v>Low Loan</v>
      </c>
      <c r="R550">
        <f t="shared" si="52"/>
        <v>14700000</v>
      </c>
      <c r="S550" t="str">
        <f t="shared" si="53"/>
        <v>Strong</v>
      </c>
    </row>
    <row r="551" spans="1:19" x14ac:dyDescent="0.25">
      <c r="A551">
        <v>550</v>
      </c>
      <c r="B551">
        <v>2</v>
      </c>
      <c r="C551" t="s">
        <v>31</v>
      </c>
      <c r="D551" t="s">
        <v>33</v>
      </c>
      <c r="E551">
        <v>5800000</v>
      </c>
      <c r="F551">
        <v>22500000</v>
      </c>
      <c r="G551">
        <v>6</v>
      </c>
      <c r="H551">
        <v>888</v>
      </c>
      <c r="I551">
        <v>11900000</v>
      </c>
      <c r="J551">
        <v>2600000</v>
      </c>
      <c r="K551">
        <v>17100000</v>
      </c>
      <c r="L551">
        <v>4800000</v>
      </c>
      <c r="M551" t="s">
        <v>34</v>
      </c>
      <c r="N551">
        <f t="shared" si="49"/>
        <v>1</v>
      </c>
      <c r="O551" t="str">
        <f t="shared" si="48"/>
        <v>Excellent</v>
      </c>
      <c r="P551" t="str">
        <f t="shared" si="50"/>
        <v>High</v>
      </c>
      <c r="Q551" t="str">
        <f t="shared" si="51"/>
        <v>High Loan</v>
      </c>
      <c r="R551">
        <f t="shared" si="52"/>
        <v>36400000</v>
      </c>
      <c r="S551" t="str">
        <f t="shared" si="53"/>
        <v>Strong</v>
      </c>
    </row>
    <row r="552" spans="1:19" x14ac:dyDescent="0.25">
      <c r="A552">
        <v>551</v>
      </c>
      <c r="B552">
        <v>2</v>
      </c>
      <c r="C552" t="s">
        <v>31</v>
      </c>
      <c r="D552" t="s">
        <v>32</v>
      </c>
      <c r="E552">
        <v>3100000</v>
      </c>
      <c r="F552">
        <v>10400000</v>
      </c>
      <c r="G552">
        <v>10</v>
      </c>
      <c r="H552">
        <v>420</v>
      </c>
      <c r="I552">
        <v>6900000</v>
      </c>
      <c r="J552">
        <v>5900000</v>
      </c>
      <c r="K552">
        <v>10000000</v>
      </c>
      <c r="L552">
        <v>3500000</v>
      </c>
      <c r="M552" t="s">
        <v>35</v>
      </c>
      <c r="N552">
        <f t="shared" si="49"/>
        <v>0</v>
      </c>
      <c r="O552" t="str">
        <f t="shared" si="48"/>
        <v>Low</v>
      </c>
      <c r="P552" t="str">
        <f t="shared" si="50"/>
        <v>High</v>
      </c>
      <c r="Q552" t="str">
        <f t="shared" si="51"/>
        <v>Low Loan</v>
      </c>
      <c r="R552">
        <f t="shared" si="52"/>
        <v>26300000</v>
      </c>
      <c r="S552" t="str">
        <f t="shared" si="53"/>
        <v>Strong</v>
      </c>
    </row>
    <row r="553" spans="1:19" x14ac:dyDescent="0.25">
      <c r="A553">
        <v>552</v>
      </c>
      <c r="B553">
        <v>0</v>
      </c>
      <c r="C553" t="s">
        <v>30</v>
      </c>
      <c r="D553" t="s">
        <v>32</v>
      </c>
      <c r="E553">
        <v>6800000</v>
      </c>
      <c r="F553">
        <v>18400000</v>
      </c>
      <c r="G553">
        <v>2</v>
      </c>
      <c r="H553">
        <v>791</v>
      </c>
      <c r="I553">
        <v>4000000</v>
      </c>
      <c r="J553">
        <v>900000</v>
      </c>
      <c r="K553">
        <v>20200000</v>
      </c>
      <c r="L553">
        <v>9900000</v>
      </c>
      <c r="M553" t="s">
        <v>34</v>
      </c>
      <c r="N553">
        <f t="shared" si="49"/>
        <v>1</v>
      </c>
      <c r="O553" t="str">
        <f t="shared" si="48"/>
        <v>Excellent</v>
      </c>
      <c r="P553" t="str">
        <f t="shared" si="50"/>
        <v>High</v>
      </c>
      <c r="Q553" t="str">
        <f t="shared" si="51"/>
        <v>Low Loan</v>
      </c>
      <c r="R553">
        <f t="shared" si="52"/>
        <v>35000000</v>
      </c>
      <c r="S553" t="str">
        <f t="shared" si="53"/>
        <v>Strong</v>
      </c>
    </row>
    <row r="554" spans="1:19" x14ac:dyDescent="0.25">
      <c r="A554">
        <v>553</v>
      </c>
      <c r="B554">
        <v>5</v>
      </c>
      <c r="C554" t="s">
        <v>31</v>
      </c>
      <c r="D554" t="s">
        <v>32</v>
      </c>
      <c r="E554">
        <v>4600000</v>
      </c>
      <c r="F554">
        <v>16200000</v>
      </c>
      <c r="G554">
        <v>12</v>
      </c>
      <c r="H554">
        <v>891</v>
      </c>
      <c r="I554">
        <v>5900000</v>
      </c>
      <c r="J554">
        <v>1200000</v>
      </c>
      <c r="K554">
        <v>10800000</v>
      </c>
      <c r="L554">
        <v>3700000</v>
      </c>
      <c r="M554" t="s">
        <v>34</v>
      </c>
      <c r="N554">
        <f t="shared" si="49"/>
        <v>1</v>
      </c>
      <c r="O554" t="str">
        <f t="shared" si="48"/>
        <v>Excellent</v>
      </c>
      <c r="P554" t="str">
        <f t="shared" si="50"/>
        <v>High</v>
      </c>
      <c r="Q554" t="str">
        <f t="shared" si="51"/>
        <v>Low Loan</v>
      </c>
      <c r="R554">
        <f t="shared" si="52"/>
        <v>21600000</v>
      </c>
      <c r="S554" t="str">
        <f t="shared" si="53"/>
        <v>Strong</v>
      </c>
    </row>
    <row r="555" spans="1:19" x14ac:dyDescent="0.25">
      <c r="A555">
        <v>554</v>
      </c>
      <c r="B555">
        <v>2</v>
      </c>
      <c r="C555" t="s">
        <v>31</v>
      </c>
      <c r="D555" t="s">
        <v>33</v>
      </c>
      <c r="E555">
        <v>200000</v>
      </c>
      <c r="F555">
        <v>700000</v>
      </c>
      <c r="G555">
        <v>16</v>
      </c>
      <c r="H555">
        <v>641</v>
      </c>
      <c r="I555">
        <v>600000</v>
      </c>
      <c r="J555">
        <v>200000</v>
      </c>
      <c r="K555">
        <v>600000</v>
      </c>
      <c r="L555">
        <v>100000</v>
      </c>
      <c r="M555" t="s">
        <v>34</v>
      </c>
      <c r="N555">
        <f t="shared" si="49"/>
        <v>1</v>
      </c>
      <c r="O555" t="str">
        <f t="shared" si="48"/>
        <v>Low</v>
      </c>
      <c r="P555" t="str">
        <f t="shared" si="50"/>
        <v>Low</v>
      </c>
      <c r="Q555" t="str">
        <f t="shared" si="51"/>
        <v>Low Loan</v>
      </c>
      <c r="R555">
        <f t="shared" si="52"/>
        <v>1500000</v>
      </c>
      <c r="S555" t="str">
        <f t="shared" si="53"/>
        <v>Weak</v>
      </c>
    </row>
    <row r="556" spans="1:19" x14ac:dyDescent="0.25">
      <c r="A556">
        <v>555</v>
      </c>
      <c r="B556">
        <v>3</v>
      </c>
      <c r="C556" t="s">
        <v>31</v>
      </c>
      <c r="D556" t="s">
        <v>33</v>
      </c>
      <c r="E556">
        <v>9500000</v>
      </c>
      <c r="F556">
        <v>22800000</v>
      </c>
      <c r="G556">
        <v>6</v>
      </c>
      <c r="H556">
        <v>319</v>
      </c>
      <c r="I556">
        <v>200000</v>
      </c>
      <c r="J556">
        <v>18800000</v>
      </c>
      <c r="K556">
        <v>34100000</v>
      </c>
      <c r="L556">
        <v>9400000</v>
      </c>
      <c r="M556" t="s">
        <v>35</v>
      </c>
      <c r="N556">
        <f t="shared" si="49"/>
        <v>0</v>
      </c>
      <c r="O556" t="str">
        <f t="shared" si="48"/>
        <v>Low</v>
      </c>
      <c r="P556" t="str">
        <f t="shared" si="50"/>
        <v>High</v>
      </c>
      <c r="Q556" t="str">
        <f t="shared" si="51"/>
        <v>High Loan</v>
      </c>
      <c r="R556">
        <f t="shared" si="52"/>
        <v>62500000</v>
      </c>
      <c r="S556" t="str">
        <f t="shared" si="53"/>
        <v>Strong</v>
      </c>
    </row>
    <row r="557" spans="1:19" x14ac:dyDescent="0.25">
      <c r="A557">
        <v>556</v>
      </c>
      <c r="B557">
        <v>5</v>
      </c>
      <c r="C557" t="s">
        <v>31</v>
      </c>
      <c r="D557" t="s">
        <v>33</v>
      </c>
      <c r="E557">
        <v>6200000</v>
      </c>
      <c r="F557">
        <v>22200000</v>
      </c>
      <c r="G557">
        <v>20</v>
      </c>
      <c r="H557">
        <v>819</v>
      </c>
      <c r="I557">
        <v>13500000</v>
      </c>
      <c r="J557">
        <v>6600000</v>
      </c>
      <c r="K557">
        <v>21700000</v>
      </c>
      <c r="L557">
        <v>8700000</v>
      </c>
      <c r="M557" t="s">
        <v>34</v>
      </c>
      <c r="N557">
        <f t="shared" si="49"/>
        <v>1</v>
      </c>
      <c r="O557" t="str">
        <f t="shared" si="48"/>
        <v>Excellent</v>
      </c>
      <c r="P557" t="str">
        <f t="shared" si="50"/>
        <v>High</v>
      </c>
      <c r="Q557" t="str">
        <f t="shared" si="51"/>
        <v>High Loan</v>
      </c>
      <c r="R557">
        <f t="shared" si="52"/>
        <v>50500000</v>
      </c>
      <c r="S557" t="str">
        <f t="shared" si="53"/>
        <v>Strong</v>
      </c>
    </row>
    <row r="558" spans="1:19" x14ac:dyDescent="0.25">
      <c r="A558">
        <v>557</v>
      </c>
      <c r="B558">
        <v>4</v>
      </c>
      <c r="C558" t="s">
        <v>31</v>
      </c>
      <c r="D558" t="s">
        <v>33</v>
      </c>
      <c r="E558">
        <v>9700000</v>
      </c>
      <c r="F558">
        <v>32300000</v>
      </c>
      <c r="G558">
        <v>18</v>
      </c>
      <c r="H558">
        <v>387</v>
      </c>
      <c r="I558">
        <v>11600000</v>
      </c>
      <c r="J558">
        <v>14300000</v>
      </c>
      <c r="K558">
        <v>20000000</v>
      </c>
      <c r="L558">
        <v>5400000</v>
      </c>
      <c r="M558" t="s">
        <v>35</v>
      </c>
      <c r="N558">
        <f t="shared" si="49"/>
        <v>0</v>
      </c>
      <c r="O558" t="str">
        <f t="shared" si="48"/>
        <v>Low</v>
      </c>
      <c r="P558" t="str">
        <f t="shared" si="50"/>
        <v>High</v>
      </c>
      <c r="Q558" t="str">
        <f t="shared" si="51"/>
        <v>High Loan</v>
      </c>
      <c r="R558">
        <f t="shared" si="52"/>
        <v>51300000</v>
      </c>
      <c r="S558" t="str">
        <f t="shared" si="53"/>
        <v>Strong</v>
      </c>
    </row>
    <row r="559" spans="1:19" x14ac:dyDescent="0.25">
      <c r="A559">
        <v>558</v>
      </c>
      <c r="B559">
        <v>5</v>
      </c>
      <c r="C559" t="s">
        <v>30</v>
      </c>
      <c r="D559" t="s">
        <v>33</v>
      </c>
      <c r="E559">
        <v>4200000</v>
      </c>
      <c r="F559">
        <v>12300000</v>
      </c>
      <c r="G559">
        <v>2</v>
      </c>
      <c r="H559">
        <v>686</v>
      </c>
      <c r="I559">
        <v>10500000</v>
      </c>
      <c r="J559">
        <v>200000</v>
      </c>
      <c r="K559">
        <v>15600000</v>
      </c>
      <c r="L559">
        <v>4200000</v>
      </c>
      <c r="M559" t="s">
        <v>34</v>
      </c>
      <c r="N559">
        <f t="shared" si="49"/>
        <v>1</v>
      </c>
      <c r="O559" t="str">
        <f t="shared" si="48"/>
        <v>Medium</v>
      </c>
      <c r="P559" t="str">
        <f t="shared" si="50"/>
        <v>High</v>
      </c>
      <c r="Q559" t="str">
        <f t="shared" si="51"/>
        <v>Low Loan</v>
      </c>
      <c r="R559">
        <f t="shared" si="52"/>
        <v>30500000</v>
      </c>
      <c r="S559" t="str">
        <f t="shared" si="53"/>
        <v>Strong</v>
      </c>
    </row>
    <row r="560" spans="1:19" x14ac:dyDescent="0.25">
      <c r="A560">
        <v>559</v>
      </c>
      <c r="B560">
        <v>1</v>
      </c>
      <c r="C560" t="s">
        <v>30</v>
      </c>
      <c r="D560" t="s">
        <v>33</v>
      </c>
      <c r="E560">
        <v>5700000</v>
      </c>
      <c r="F560">
        <v>12000000</v>
      </c>
      <c r="G560">
        <v>4</v>
      </c>
      <c r="H560">
        <v>415</v>
      </c>
      <c r="I560">
        <v>15700000</v>
      </c>
      <c r="J560">
        <v>900000</v>
      </c>
      <c r="K560">
        <v>17300000</v>
      </c>
      <c r="L560">
        <v>7400000</v>
      </c>
      <c r="M560" t="s">
        <v>35</v>
      </c>
      <c r="N560">
        <f t="shared" si="49"/>
        <v>0</v>
      </c>
      <c r="O560" t="str">
        <f t="shared" si="48"/>
        <v>Low</v>
      </c>
      <c r="P560" t="str">
        <f t="shared" si="50"/>
        <v>High</v>
      </c>
      <c r="Q560" t="str">
        <f t="shared" si="51"/>
        <v>Low Loan</v>
      </c>
      <c r="R560">
        <f t="shared" si="52"/>
        <v>41300000</v>
      </c>
      <c r="S560" t="str">
        <f t="shared" si="53"/>
        <v>Strong</v>
      </c>
    </row>
    <row r="561" spans="1:19" x14ac:dyDescent="0.25">
      <c r="A561">
        <v>560</v>
      </c>
      <c r="B561">
        <v>2</v>
      </c>
      <c r="C561" t="s">
        <v>30</v>
      </c>
      <c r="D561" t="s">
        <v>33</v>
      </c>
      <c r="E561">
        <v>200000</v>
      </c>
      <c r="F561">
        <v>500000</v>
      </c>
      <c r="G561">
        <v>6</v>
      </c>
      <c r="H561">
        <v>885</v>
      </c>
      <c r="I561">
        <v>-100000</v>
      </c>
      <c r="J561">
        <v>0</v>
      </c>
      <c r="K561">
        <v>300000</v>
      </c>
      <c r="L561">
        <v>200000</v>
      </c>
      <c r="M561" t="s">
        <v>35</v>
      </c>
      <c r="N561">
        <f t="shared" si="49"/>
        <v>0</v>
      </c>
      <c r="O561" t="str">
        <f t="shared" si="48"/>
        <v>Excellent</v>
      </c>
      <c r="P561" t="str">
        <f t="shared" si="50"/>
        <v>Low</v>
      </c>
      <c r="Q561" t="str">
        <f t="shared" si="51"/>
        <v>Low Loan</v>
      </c>
      <c r="R561">
        <f t="shared" si="52"/>
        <v>400000</v>
      </c>
      <c r="S561" t="str">
        <f t="shared" si="53"/>
        <v>Weak</v>
      </c>
    </row>
    <row r="562" spans="1:19" x14ac:dyDescent="0.25">
      <c r="A562">
        <v>561</v>
      </c>
      <c r="B562">
        <v>4</v>
      </c>
      <c r="C562" t="s">
        <v>30</v>
      </c>
      <c r="D562" t="s">
        <v>32</v>
      </c>
      <c r="E562">
        <v>8000000</v>
      </c>
      <c r="F562">
        <v>25500000</v>
      </c>
      <c r="G562">
        <v>4</v>
      </c>
      <c r="H562">
        <v>722</v>
      </c>
      <c r="I562">
        <v>17200000</v>
      </c>
      <c r="J562">
        <v>13900000</v>
      </c>
      <c r="K562">
        <v>26200000</v>
      </c>
      <c r="L562">
        <v>4900000</v>
      </c>
      <c r="M562" t="s">
        <v>34</v>
      </c>
      <c r="N562">
        <f t="shared" si="49"/>
        <v>1</v>
      </c>
      <c r="O562" t="str">
        <f t="shared" si="48"/>
        <v>Good</v>
      </c>
      <c r="P562" t="str">
        <f t="shared" si="50"/>
        <v>High</v>
      </c>
      <c r="Q562" t="str">
        <f t="shared" si="51"/>
        <v>High Loan</v>
      </c>
      <c r="R562">
        <f t="shared" si="52"/>
        <v>62200000</v>
      </c>
      <c r="S562" t="str">
        <f t="shared" si="53"/>
        <v>Strong</v>
      </c>
    </row>
    <row r="563" spans="1:19" x14ac:dyDescent="0.25">
      <c r="A563">
        <v>562</v>
      </c>
      <c r="B563">
        <v>4</v>
      </c>
      <c r="C563" t="s">
        <v>30</v>
      </c>
      <c r="D563" t="s">
        <v>32</v>
      </c>
      <c r="E563">
        <v>5200000</v>
      </c>
      <c r="F563">
        <v>20400000</v>
      </c>
      <c r="G563">
        <v>20</v>
      </c>
      <c r="H563">
        <v>761</v>
      </c>
      <c r="I563">
        <v>4700000</v>
      </c>
      <c r="J563">
        <v>1600000</v>
      </c>
      <c r="K563">
        <v>14300000</v>
      </c>
      <c r="L563">
        <v>6200000</v>
      </c>
      <c r="M563" t="s">
        <v>34</v>
      </c>
      <c r="N563">
        <f t="shared" si="49"/>
        <v>1</v>
      </c>
      <c r="O563" t="str">
        <f t="shared" si="48"/>
        <v>Excellent</v>
      </c>
      <c r="P563" t="str">
        <f t="shared" si="50"/>
        <v>High</v>
      </c>
      <c r="Q563" t="str">
        <f t="shared" si="51"/>
        <v>High Loan</v>
      </c>
      <c r="R563">
        <f t="shared" si="52"/>
        <v>26800000</v>
      </c>
      <c r="S563" t="str">
        <f t="shared" si="53"/>
        <v>Strong</v>
      </c>
    </row>
    <row r="564" spans="1:19" x14ac:dyDescent="0.25">
      <c r="A564">
        <v>563</v>
      </c>
      <c r="B564">
        <v>1</v>
      </c>
      <c r="C564" t="s">
        <v>30</v>
      </c>
      <c r="D564" t="s">
        <v>33</v>
      </c>
      <c r="E564">
        <v>7100000</v>
      </c>
      <c r="F564">
        <v>15200000</v>
      </c>
      <c r="G564">
        <v>8</v>
      </c>
      <c r="H564">
        <v>389</v>
      </c>
      <c r="I564">
        <v>5900000</v>
      </c>
      <c r="J564">
        <v>900000</v>
      </c>
      <c r="K564">
        <v>24300000</v>
      </c>
      <c r="L564">
        <v>5900000</v>
      </c>
      <c r="M564" t="s">
        <v>35</v>
      </c>
      <c r="N564">
        <f t="shared" si="49"/>
        <v>0</v>
      </c>
      <c r="O564" t="str">
        <f t="shared" si="48"/>
        <v>Low</v>
      </c>
      <c r="P564" t="str">
        <f t="shared" si="50"/>
        <v>High</v>
      </c>
      <c r="Q564" t="str">
        <f t="shared" si="51"/>
        <v>Low Loan</v>
      </c>
      <c r="R564">
        <f t="shared" si="52"/>
        <v>37000000</v>
      </c>
      <c r="S564" t="str">
        <f t="shared" si="53"/>
        <v>Strong</v>
      </c>
    </row>
    <row r="565" spans="1:19" x14ac:dyDescent="0.25">
      <c r="A565">
        <v>564</v>
      </c>
      <c r="B565">
        <v>1</v>
      </c>
      <c r="C565" t="s">
        <v>30</v>
      </c>
      <c r="D565" t="s">
        <v>33</v>
      </c>
      <c r="E565">
        <v>9300000</v>
      </c>
      <c r="F565">
        <v>27900000</v>
      </c>
      <c r="G565">
        <v>12</v>
      </c>
      <c r="H565">
        <v>600</v>
      </c>
      <c r="I565">
        <v>2100000</v>
      </c>
      <c r="J565">
        <v>4200000</v>
      </c>
      <c r="K565">
        <v>29000000</v>
      </c>
      <c r="L565">
        <v>6600000</v>
      </c>
      <c r="M565" t="s">
        <v>34</v>
      </c>
      <c r="N565">
        <f t="shared" si="49"/>
        <v>1</v>
      </c>
      <c r="O565" t="str">
        <f t="shared" si="48"/>
        <v>Low</v>
      </c>
      <c r="P565" t="str">
        <f t="shared" si="50"/>
        <v>High</v>
      </c>
      <c r="Q565" t="str">
        <f t="shared" si="51"/>
        <v>High Loan</v>
      </c>
      <c r="R565">
        <f t="shared" si="52"/>
        <v>41900000</v>
      </c>
      <c r="S565" t="str">
        <f t="shared" si="53"/>
        <v>Strong</v>
      </c>
    </row>
    <row r="566" spans="1:19" x14ac:dyDescent="0.25">
      <c r="A566">
        <v>565</v>
      </c>
      <c r="B566">
        <v>5</v>
      </c>
      <c r="C566" t="s">
        <v>30</v>
      </c>
      <c r="D566" t="s">
        <v>32</v>
      </c>
      <c r="E566">
        <v>2000000</v>
      </c>
      <c r="F566">
        <v>6100000</v>
      </c>
      <c r="G566">
        <v>2</v>
      </c>
      <c r="H566">
        <v>407</v>
      </c>
      <c r="I566">
        <v>1900000</v>
      </c>
      <c r="J566">
        <v>1900000</v>
      </c>
      <c r="K566">
        <v>4600000</v>
      </c>
      <c r="L566">
        <v>2000000</v>
      </c>
      <c r="M566" t="s">
        <v>34</v>
      </c>
      <c r="N566">
        <f t="shared" si="49"/>
        <v>1</v>
      </c>
      <c r="O566" t="str">
        <f t="shared" si="48"/>
        <v>Low</v>
      </c>
      <c r="P566" t="str">
        <f t="shared" si="50"/>
        <v>High</v>
      </c>
      <c r="Q566" t="str">
        <f t="shared" si="51"/>
        <v>Low Loan</v>
      </c>
      <c r="R566">
        <f t="shared" si="52"/>
        <v>10400000</v>
      </c>
      <c r="S566" t="str">
        <f t="shared" si="53"/>
        <v>Strong</v>
      </c>
    </row>
    <row r="567" spans="1:19" x14ac:dyDescent="0.25">
      <c r="A567">
        <v>566</v>
      </c>
      <c r="B567">
        <v>3</v>
      </c>
      <c r="C567" t="s">
        <v>30</v>
      </c>
      <c r="D567" t="s">
        <v>33</v>
      </c>
      <c r="E567">
        <v>3900000</v>
      </c>
      <c r="F567">
        <v>14000000</v>
      </c>
      <c r="G567">
        <v>18</v>
      </c>
      <c r="H567">
        <v>829</v>
      </c>
      <c r="I567">
        <v>5200000</v>
      </c>
      <c r="J567">
        <v>4000000</v>
      </c>
      <c r="K567">
        <v>11600000</v>
      </c>
      <c r="L567">
        <v>2700000</v>
      </c>
      <c r="M567" t="s">
        <v>34</v>
      </c>
      <c r="N567">
        <f t="shared" si="49"/>
        <v>1</v>
      </c>
      <c r="O567" t="str">
        <f t="shared" si="48"/>
        <v>Excellent</v>
      </c>
      <c r="P567" t="str">
        <f t="shared" si="50"/>
        <v>High</v>
      </c>
      <c r="Q567" t="str">
        <f t="shared" si="51"/>
        <v>Low Loan</v>
      </c>
      <c r="R567">
        <f t="shared" si="52"/>
        <v>23500000</v>
      </c>
      <c r="S567" t="str">
        <f t="shared" si="53"/>
        <v>Strong</v>
      </c>
    </row>
    <row r="568" spans="1:19" x14ac:dyDescent="0.25">
      <c r="A568">
        <v>567</v>
      </c>
      <c r="B568">
        <v>2</v>
      </c>
      <c r="C568" t="s">
        <v>31</v>
      </c>
      <c r="D568" t="s">
        <v>32</v>
      </c>
      <c r="E568">
        <v>2800000</v>
      </c>
      <c r="F568">
        <v>5900000</v>
      </c>
      <c r="G568">
        <v>6</v>
      </c>
      <c r="H568">
        <v>895</v>
      </c>
      <c r="I568">
        <v>1000000</v>
      </c>
      <c r="J568">
        <v>3900000</v>
      </c>
      <c r="K568">
        <v>10900000</v>
      </c>
      <c r="L568">
        <v>1500000</v>
      </c>
      <c r="M568" t="s">
        <v>34</v>
      </c>
      <c r="N568">
        <f t="shared" si="49"/>
        <v>1</v>
      </c>
      <c r="O568" t="str">
        <f t="shared" si="48"/>
        <v>Excellent</v>
      </c>
      <c r="P568" t="str">
        <f t="shared" si="50"/>
        <v>High</v>
      </c>
      <c r="Q568" t="str">
        <f t="shared" si="51"/>
        <v>Low Loan</v>
      </c>
      <c r="R568">
        <f t="shared" si="52"/>
        <v>17300000</v>
      </c>
      <c r="S568" t="str">
        <f t="shared" si="53"/>
        <v>Strong</v>
      </c>
    </row>
    <row r="569" spans="1:19" x14ac:dyDescent="0.25">
      <c r="A569">
        <v>568</v>
      </c>
      <c r="B569">
        <v>5</v>
      </c>
      <c r="C569" t="s">
        <v>30</v>
      </c>
      <c r="D569" t="s">
        <v>33</v>
      </c>
      <c r="E569">
        <v>3000000</v>
      </c>
      <c r="F569">
        <v>11100000</v>
      </c>
      <c r="G569">
        <v>12</v>
      </c>
      <c r="H569">
        <v>441</v>
      </c>
      <c r="I569">
        <v>8500000</v>
      </c>
      <c r="J569">
        <v>2500000</v>
      </c>
      <c r="K569">
        <v>7300000</v>
      </c>
      <c r="L569">
        <v>2000000</v>
      </c>
      <c r="M569" t="s">
        <v>35</v>
      </c>
      <c r="N569">
        <f t="shared" si="49"/>
        <v>0</v>
      </c>
      <c r="O569" t="str">
        <f t="shared" si="48"/>
        <v>Low</v>
      </c>
      <c r="P569" t="str">
        <f t="shared" si="50"/>
        <v>High</v>
      </c>
      <c r="Q569" t="str">
        <f t="shared" si="51"/>
        <v>Low Loan</v>
      </c>
      <c r="R569">
        <f t="shared" si="52"/>
        <v>20300000</v>
      </c>
      <c r="S569" t="str">
        <f t="shared" si="53"/>
        <v>Strong</v>
      </c>
    </row>
    <row r="570" spans="1:19" x14ac:dyDescent="0.25">
      <c r="A570">
        <v>569</v>
      </c>
      <c r="B570">
        <v>4</v>
      </c>
      <c r="C570" t="s">
        <v>31</v>
      </c>
      <c r="D570" t="s">
        <v>32</v>
      </c>
      <c r="E570">
        <v>4500000</v>
      </c>
      <c r="F570">
        <v>9800000</v>
      </c>
      <c r="G570">
        <v>16</v>
      </c>
      <c r="H570">
        <v>895</v>
      </c>
      <c r="I570">
        <v>9800000</v>
      </c>
      <c r="J570">
        <v>8200000</v>
      </c>
      <c r="K570">
        <v>13900000</v>
      </c>
      <c r="L570">
        <v>5500000</v>
      </c>
      <c r="M570" t="s">
        <v>34</v>
      </c>
      <c r="N570">
        <f t="shared" si="49"/>
        <v>1</v>
      </c>
      <c r="O570" t="str">
        <f t="shared" si="48"/>
        <v>Excellent</v>
      </c>
      <c r="P570" t="str">
        <f t="shared" si="50"/>
        <v>High</v>
      </c>
      <c r="Q570" t="str">
        <f t="shared" si="51"/>
        <v>Low Loan</v>
      </c>
      <c r="R570">
        <f t="shared" si="52"/>
        <v>37400000</v>
      </c>
      <c r="S570" t="str">
        <f t="shared" si="53"/>
        <v>Strong</v>
      </c>
    </row>
    <row r="571" spans="1:19" x14ac:dyDescent="0.25">
      <c r="A571">
        <v>570</v>
      </c>
      <c r="B571">
        <v>4</v>
      </c>
      <c r="C571" t="s">
        <v>30</v>
      </c>
      <c r="D571" t="s">
        <v>32</v>
      </c>
      <c r="E571">
        <v>1900000</v>
      </c>
      <c r="F571">
        <v>4300000</v>
      </c>
      <c r="G571">
        <v>4</v>
      </c>
      <c r="H571">
        <v>826</v>
      </c>
      <c r="I571">
        <v>2400000</v>
      </c>
      <c r="J571">
        <v>0</v>
      </c>
      <c r="K571">
        <v>7000000</v>
      </c>
      <c r="L571">
        <v>900000</v>
      </c>
      <c r="M571" t="s">
        <v>34</v>
      </c>
      <c r="N571">
        <f t="shared" si="49"/>
        <v>1</v>
      </c>
      <c r="O571" t="str">
        <f t="shared" si="48"/>
        <v>Excellent</v>
      </c>
      <c r="P571" t="str">
        <f t="shared" si="50"/>
        <v>High</v>
      </c>
      <c r="Q571" t="str">
        <f t="shared" si="51"/>
        <v>Low Loan</v>
      </c>
      <c r="R571">
        <f t="shared" si="52"/>
        <v>10300000</v>
      </c>
      <c r="S571" t="str">
        <f t="shared" si="53"/>
        <v>Strong</v>
      </c>
    </row>
    <row r="572" spans="1:19" x14ac:dyDescent="0.25">
      <c r="A572">
        <v>571</v>
      </c>
      <c r="B572">
        <v>1</v>
      </c>
      <c r="C572" t="s">
        <v>30</v>
      </c>
      <c r="D572" t="s">
        <v>32</v>
      </c>
      <c r="E572">
        <v>2300000</v>
      </c>
      <c r="F572">
        <v>7200000</v>
      </c>
      <c r="G572">
        <v>8</v>
      </c>
      <c r="H572">
        <v>453</v>
      </c>
      <c r="I572">
        <v>3000000</v>
      </c>
      <c r="J572">
        <v>2100000</v>
      </c>
      <c r="K572">
        <v>8100000</v>
      </c>
      <c r="L572">
        <v>3400000</v>
      </c>
      <c r="M572" t="s">
        <v>35</v>
      </c>
      <c r="N572">
        <f t="shared" si="49"/>
        <v>0</v>
      </c>
      <c r="O572" t="str">
        <f t="shared" si="48"/>
        <v>Low</v>
      </c>
      <c r="P572" t="str">
        <f t="shared" si="50"/>
        <v>High</v>
      </c>
      <c r="Q572" t="str">
        <f t="shared" si="51"/>
        <v>Low Loan</v>
      </c>
      <c r="R572">
        <f t="shared" si="52"/>
        <v>16600000</v>
      </c>
      <c r="S572" t="str">
        <f t="shared" si="53"/>
        <v>Strong</v>
      </c>
    </row>
    <row r="573" spans="1:19" x14ac:dyDescent="0.25">
      <c r="A573">
        <v>572</v>
      </c>
      <c r="B573">
        <v>0</v>
      </c>
      <c r="C573" t="s">
        <v>30</v>
      </c>
      <c r="D573" t="s">
        <v>32</v>
      </c>
      <c r="E573">
        <v>4700000</v>
      </c>
      <c r="F573">
        <v>17500000</v>
      </c>
      <c r="G573">
        <v>2</v>
      </c>
      <c r="H573">
        <v>701</v>
      </c>
      <c r="I573">
        <v>5400000</v>
      </c>
      <c r="J573">
        <v>2300000</v>
      </c>
      <c r="K573">
        <v>11700000</v>
      </c>
      <c r="L573">
        <v>7000000</v>
      </c>
      <c r="M573" t="s">
        <v>34</v>
      </c>
      <c r="N573">
        <f t="shared" si="49"/>
        <v>1</v>
      </c>
      <c r="O573" t="str">
        <f t="shared" si="48"/>
        <v>Good</v>
      </c>
      <c r="P573" t="str">
        <f t="shared" si="50"/>
        <v>High</v>
      </c>
      <c r="Q573" t="str">
        <f t="shared" si="51"/>
        <v>Low Loan</v>
      </c>
      <c r="R573">
        <f t="shared" si="52"/>
        <v>26400000</v>
      </c>
      <c r="S573" t="str">
        <f t="shared" si="53"/>
        <v>Strong</v>
      </c>
    </row>
    <row r="574" spans="1:19" x14ac:dyDescent="0.25">
      <c r="A574">
        <v>573</v>
      </c>
      <c r="B574">
        <v>2</v>
      </c>
      <c r="C574" t="s">
        <v>31</v>
      </c>
      <c r="D574" t="s">
        <v>33</v>
      </c>
      <c r="E574">
        <v>1300000</v>
      </c>
      <c r="F574">
        <v>2700000</v>
      </c>
      <c r="G574">
        <v>8</v>
      </c>
      <c r="H574">
        <v>627</v>
      </c>
      <c r="I574">
        <v>100000</v>
      </c>
      <c r="J574">
        <v>300000</v>
      </c>
      <c r="K574">
        <v>2600000</v>
      </c>
      <c r="L574">
        <v>1300000</v>
      </c>
      <c r="M574" t="s">
        <v>34</v>
      </c>
      <c r="N574">
        <f t="shared" si="49"/>
        <v>1</v>
      </c>
      <c r="O574" t="str">
        <f t="shared" si="48"/>
        <v>Low</v>
      </c>
      <c r="P574" t="str">
        <f t="shared" si="50"/>
        <v>High</v>
      </c>
      <c r="Q574" t="str">
        <f t="shared" si="51"/>
        <v>Low Loan</v>
      </c>
      <c r="R574">
        <f t="shared" si="52"/>
        <v>4300000</v>
      </c>
      <c r="S574" t="str">
        <f t="shared" si="53"/>
        <v>Weak</v>
      </c>
    </row>
    <row r="575" spans="1:19" x14ac:dyDescent="0.25">
      <c r="A575">
        <v>574</v>
      </c>
      <c r="B575">
        <v>3</v>
      </c>
      <c r="C575" t="s">
        <v>30</v>
      </c>
      <c r="D575" t="s">
        <v>32</v>
      </c>
      <c r="E575">
        <v>3100000</v>
      </c>
      <c r="F575">
        <v>11000000</v>
      </c>
      <c r="G575">
        <v>2</v>
      </c>
      <c r="H575">
        <v>543</v>
      </c>
      <c r="I575">
        <v>5900000</v>
      </c>
      <c r="J575">
        <v>2200000</v>
      </c>
      <c r="K575">
        <v>9000000</v>
      </c>
      <c r="L575">
        <v>2400000</v>
      </c>
      <c r="M575" t="s">
        <v>34</v>
      </c>
      <c r="N575">
        <f t="shared" si="49"/>
        <v>1</v>
      </c>
      <c r="O575" t="str">
        <f t="shared" si="48"/>
        <v>Low</v>
      </c>
      <c r="P575" t="str">
        <f t="shared" si="50"/>
        <v>High</v>
      </c>
      <c r="Q575" t="str">
        <f t="shared" si="51"/>
        <v>Low Loan</v>
      </c>
      <c r="R575">
        <f t="shared" si="52"/>
        <v>19500000</v>
      </c>
      <c r="S575" t="str">
        <f t="shared" si="53"/>
        <v>Strong</v>
      </c>
    </row>
    <row r="576" spans="1:19" x14ac:dyDescent="0.25">
      <c r="A576">
        <v>575</v>
      </c>
      <c r="B576">
        <v>0</v>
      </c>
      <c r="C576" t="s">
        <v>30</v>
      </c>
      <c r="D576" t="s">
        <v>32</v>
      </c>
      <c r="E576">
        <v>8400000</v>
      </c>
      <c r="F576">
        <v>17500000</v>
      </c>
      <c r="G576">
        <v>18</v>
      </c>
      <c r="H576">
        <v>411</v>
      </c>
      <c r="I576">
        <v>13200000</v>
      </c>
      <c r="J576">
        <v>5300000</v>
      </c>
      <c r="K576">
        <v>31300000</v>
      </c>
      <c r="L576">
        <v>10400000</v>
      </c>
      <c r="M576" t="s">
        <v>35</v>
      </c>
      <c r="N576">
        <f t="shared" si="49"/>
        <v>0</v>
      </c>
      <c r="O576" t="str">
        <f t="shared" si="48"/>
        <v>Low</v>
      </c>
      <c r="P576" t="str">
        <f t="shared" si="50"/>
        <v>High</v>
      </c>
      <c r="Q576" t="str">
        <f t="shared" si="51"/>
        <v>Low Loan</v>
      </c>
      <c r="R576">
        <f t="shared" si="52"/>
        <v>60200000</v>
      </c>
      <c r="S576" t="str">
        <f t="shared" si="53"/>
        <v>Strong</v>
      </c>
    </row>
    <row r="577" spans="1:19" x14ac:dyDescent="0.25">
      <c r="A577">
        <v>576</v>
      </c>
      <c r="B577">
        <v>5</v>
      </c>
      <c r="C577" t="s">
        <v>30</v>
      </c>
      <c r="D577" t="s">
        <v>33</v>
      </c>
      <c r="E577">
        <v>1700000</v>
      </c>
      <c r="F577">
        <v>5800000</v>
      </c>
      <c r="G577">
        <v>4</v>
      </c>
      <c r="H577">
        <v>583</v>
      </c>
      <c r="I577">
        <v>2000000</v>
      </c>
      <c r="J577">
        <v>1800000</v>
      </c>
      <c r="K577">
        <v>6000000</v>
      </c>
      <c r="L577">
        <v>2300000</v>
      </c>
      <c r="M577" t="s">
        <v>34</v>
      </c>
      <c r="N577">
        <f t="shared" si="49"/>
        <v>1</v>
      </c>
      <c r="O577" t="str">
        <f t="shared" si="48"/>
        <v>Low</v>
      </c>
      <c r="P577" t="str">
        <f t="shared" si="50"/>
        <v>High</v>
      </c>
      <c r="Q577" t="str">
        <f t="shared" si="51"/>
        <v>Low Loan</v>
      </c>
      <c r="R577">
        <f t="shared" si="52"/>
        <v>12100000</v>
      </c>
      <c r="S577" t="str">
        <f t="shared" si="53"/>
        <v>Strong</v>
      </c>
    </row>
    <row r="578" spans="1:19" x14ac:dyDescent="0.25">
      <c r="A578">
        <v>577</v>
      </c>
      <c r="B578">
        <v>2</v>
      </c>
      <c r="C578" t="s">
        <v>31</v>
      </c>
      <c r="D578" t="s">
        <v>32</v>
      </c>
      <c r="E578">
        <v>1900000</v>
      </c>
      <c r="F578">
        <v>7500000</v>
      </c>
      <c r="G578">
        <v>2</v>
      </c>
      <c r="H578">
        <v>889</v>
      </c>
      <c r="I578">
        <v>600000</v>
      </c>
      <c r="J578">
        <v>1100000</v>
      </c>
      <c r="K578">
        <v>7100000</v>
      </c>
      <c r="L578">
        <v>2600000</v>
      </c>
      <c r="M578" t="s">
        <v>34</v>
      </c>
      <c r="N578">
        <f t="shared" si="49"/>
        <v>1</v>
      </c>
      <c r="O578" t="str">
        <f t="shared" ref="O578:O641" si="54">IF(H578&lt;650,"Low",
 IF(H578&lt;700,"Medium",
 IF(H578&lt;750,"Good","Excellent")))</f>
        <v>Excellent</v>
      </c>
      <c r="P578" t="str">
        <f t="shared" si="50"/>
        <v>High</v>
      </c>
      <c r="Q578" t="str">
        <f t="shared" si="51"/>
        <v>Low Loan</v>
      </c>
      <c r="R578">
        <f t="shared" si="52"/>
        <v>11400000</v>
      </c>
      <c r="S578" t="str">
        <f t="shared" si="53"/>
        <v>Strong</v>
      </c>
    </row>
    <row r="579" spans="1:19" x14ac:dyDescent="0.25">
      <c r="A579">
        <v>578</v>
      </c>
      <c r="B579">
        <v>3</v>
      </c>
      <c r="C579" t="s">
        <v>31</v>
      </c>
      <c r="D579" t="s">
        <v>32</v>
      </c>
      <c r="E579">
        <v>2400000</v>
      </c>
      <c r="F579">
        <v>8600000</v>
      </c>
      <c r="G579">
        <v>8</v>
      </c>
      <c r="H579">
        <v>684</v>
      </c>
      <c r="I579">
        <v>3400000</v>
      </c>
      <c r="J579">
        <v>2400000</v>
      </c>
      <c r="K579">
        <v>6200000</v>
      </c>
      <c r="L579">
        <v>1600000</v>
      </c>
      <c r="M579" t="s">
        <v>34</v>
      </c>
      <c r="N579">
        <f t="shared" ref="N579:N642" si="55">IF(TRIM(CLEAN(M579))="Approved",1,0)</f>
        <v>1</v>
      </c>
      <c r="O579" t="str">
        <f t="shared" si="54"/>
        <v>Medium</v>
      </c>
      <c r="P579" t="str">
        <f t="shared" ref="P579:P642" si="56">IF(E579&lt;300000,"Low",
 IF(E579&lt;700000,"Middle","High"))</f>
        <v>High</v>
      </c>
      <c r="Q579" t="str">
        <f t="shared" ref="Q579:Q642" si="57">IF(F579&lt;20000000,"Low Loan","High Loan")</f>
        <v>Low Loan</v>
      </c>
      <c r="R579">
        <f t="shared" ref="R579:R642" si="58">I579+J579+K579+L579</f>
        <v>13600000</v>
      </c>
      <c r="S579" t="str">
        <f t="shared" ref="S579:S642" si="59">IF(R579&lt;5000000,"Weak",
 IF(R579&lt;10000000,"Moderate","Strong"))</f>
        <v>Strong</v>
      </c>
    </row>
    <row r="580" spans="1:19" x14ac:dyDescent="0.25">
      <c r="A580">
        <v>579</v>
      </c>
      <c r="B580">
        <v>5</v>
      </c>
      <c r="C580" t="s">
        <v>30</v>
      </c>
      <c r="D580" t="s">
        <v>32</v>
      </c>
      <c r="E580">
        <v>6800000</v>
      </c>
      <c r="F580">
        <v>20500000</v>
      </c>
      <c r="G580">
        <v>10</v>
      </c>
      <c r="H580">
        <v>578</v>
      </c>
      <c r="I580">
        <v>500000</v>
      </c>
      <c r="J580">
        <v>11800000</v>
      </c>
      <c r="K580">
        <v>27200000</v>
      </c>
      <c r="L580">
        <v>3400000</v>
      </c>
      <c r="M580" t="s">
        <v>34</v>
      </c>
      <c r="N580">
        <f t="shared" si="55"/>
        <v>1</v>
      </c>
      <c r="O580" t="str">
        <f t="shared" si="54"/>
        <v>Low</v>
      </c>
      <c r="P580" t="str">
        <f t="shared" si="56"/>
        <v>High</v>
      </c>
      <c r="Q580" t="str">
        <f t="shared" si="57"/>
        <v>High Loan</v>
      </c>
      <c r="R580">
        <f t="shared" si="58"/>
        <v>42900000</v>
      </c>
      <c r="S580" t="str">
        <f t="shared" si="59"/>
        <v>Strong</v>
      </c>
    </row>
    <row r="581" spans="1:19" x14ac:dyDescent="0.25">
      <c r="A581">
        <v>580</v>
      </c>
      <c r="B581">
        <v>1</v>
      </c>
      <c r="C581" t="s">
        <v>30</v>
      </c>
      <c r="D581" t="s">
        <v>32</v>
      </c>
      <c r="E581">
        <v>2900000</v>
      </c>
      <c r="F581">
        <v>10900000</v>
      </c>
      <c r="G581">
        <v>20</v>
      </c>
      <c r="H581">
        <v>445</v>
      </c>
      <c r="I581">
        <v>6600000</v>
      </c>
      <c r="J581">
        <v>2800000</v>
      </c>
      <c r="K581">
        <v>9300000</v>
      </c>
      <c r="L581">
        <v>2600000</v>
      </c>
      <c r="M581" t="s">
        <v>35</v>
      </c>
      <c r="N581">
        <f t="shared" si="55"/>
        <v>0</v>
      </c>
      <c r="O581" t="str">
        <f t="shared" si="54"/>
        <v>Low</v>
      </c>
      <c r="P581" t="str">
        <f t="shared" si="56"/>
        <v>High</v>
      </c>
      <c r="Q581" t="str">
        <f t="shared" si="57"/>
        <v>Low Loan</v>
      </c>
      <c r="R581">
        <f t="shared" si="58"/>
        <v>21300000</v>
      </c>
      <c r="S581" t="str">
        <f t="shared" si="59"/>
        <v>Strong</v>
      </c>
    </row>
    <row r="582" spans="1:19" x14ac:dyDescent="0.25">
      <c r="A582">
        <v>581</v>
      </c>
      <c r="B582">
        <v>4</v>
      </c>
      <c r="C582" t="s">
        <v>30</v>
      </c>
      <c r="D582" t="s">
        <v>33</v>
      </c>
      <c r="E582">
        <v>8900000</v>
      </c>
      <c r="F582">
        <v>26300000</v>
      </c>
      <c r="G582">
        <v>10</v>
      </c>
      <c r="H582">
        <v>369</v>
      </c>
      <c r="I582">
        <v>23900000</v>
      </c>
      <c r="J582">
        <v>7000000</v>
      </c>
      <c r="K582">
        <v>27400000</v>
      </c>
      <c r="L582">
        <v>12100000</v>
      </c>
      <c r="M582" t="s">
        <v>35</v>
      </c>
      <c r="N582">
        <f t="shared" si="55"/>
        <v>0</v>
      </c>
      <c r="O582" t="str">
        <f t="shared" si="54"/>
        <v>Low</v>
      </c>
      <c r="P582" t="str">
        <f t="shared" si="56"/>
        <v>High</v>
      </c>
      <c r="Q582" t="str">
        <f t="shared" si="57"/>
        <v>High Loan</v>
      </c>
      <c r="R582">
        <f t="shared" si="58"/>
        <v>70400000</v>
      </c>
      <c r="S582" t="str">
        <f t="shared" si="59"/>
        <v>Strong</v>
      </c>
    </row>
    <row r="583" spans="1:19" x14ac:dyDescent="0.25">
      <c r="A583">
        <v>582</v>
      </c>
      <c r="B583">
        <v>1</v>
      </c>
      <c r="C583" t="s">
        <v>31</v>
      </c>
      <c r="D583" t="s">
        <v>32</v>
      </c>
      <c r="E583">
        <v>8800000</v>
      </c>
      <c r="F583">
        <v>22200000</v>
      </c>
      <c r="G583">
        <v>18</v>
      </c>
      <c r="H583">
        <v>794</v>
      </c>
      <c r="I583">
        <v>8400000</v>
      </c>
      <c r="J583">
        <v>11900000</v>
      </c>
      <c r="K583">
        <v>21000000</v>
      </c>
      <c r="L583">
        <v>10500000</v>
      </c>
      <c r="M583" t="s">
        <v>34</v>
      </c>
      <c r="N583">
        <f t="shared" si="55"/>
        <v>1</v>
      </c>
      <c r="O583" t="str">
        <f t="shared" si="54"/>
        <v>Excellent</v>
      </c>
      <c r="P583" t="str">
        <f t="shared" si="56"/>
        <v>High</v>
      </c>
      <c r="Q583" t="str">
        <f t="shared" si="57"/>
        <v>High Loan</v>
      </c>
      <c r="R583">
        <f t="shared" si="58"/>
        <v>51800000</v>
      </c>
      <c r="S583" t="str">
        <f t="shared" si="59"/>
        <v>Strong</v>
      </c>
    </row>
    <row r="584" spans="1:19" x14ac:dyDescent="0.25">
      <c r="A584">
        <v>583</v>
      </c>
      <c r="B584">
        <v>0</v>
      </c>
      <c r="C584" t="s">
        <v>30</v>
      </c>
      <c r="D584" t="s">
        <v>33</v>
      </c>
      <c r="E584">
        <v>8200000</v>
      </c>
      <c r="F584">
        <v>19200000</v>
      </c>
      <c r="G584">
        <v>16</v>
      </c>
      <c r="H584">
        <v>492</v>
      </c>
      <c r="I584">
        <v>16500000</v>
      </c>
      <c r="J584">
        <v>9200000</v>
      </c>
      <c r="K584">
        <v>20000000</v>
      </c>
      <c r="L584">
        <v>7200000</v>
      </c>
      <c r="M584" t="s">
        <v>35</v>
      </c>
      <c r="N584">
        <f t="shared" si="55"/>
        <v>0</v>
      </c>
      <c r="O584" t="str">
        <f t="shared" si="54"/>
        <v>Low</v>
      </c>
      <c r="P584" t="str">
        <f t="shared" si="56"/>
        <v>High</v>
      </c>
      <c r="Q584" t="str">
        <f t="shared" si="57"/>
        <v>Low Loan</v>
      </c>
      <c r="R584">
        <f t="shared" si="58"/>
        <v>52900000</v>
      </c>
      <c r="S584" t="str">
        <f t="shared" si="59"/>
        <v>Strong</v>
      </c>
    </row>
    <row r="585" spans="1:19" x14ac:dyDescent="0.25">
      <c r="A585">
        <v>584</v>
      </c>
      <c r="B585">
        <v>3</v>
      </c>
      <c r="C585" t="s">
        <v>31</v>
      </c>
      <c r="D585" t="s">
        <v>33</v>
      </c>
      <c r="E585">
        <v>3600000</v>
      </c>
      <c r="F585">
        <v>13200000</v>
      </c>
      <c r="G585">
        <v>16</v>
      </c>
      <c r="H585">
        <v>557</v>
      </c>
      <c r="I585">
        <v>9800000</v>
      </c>
      <c r="J585">
        <v>4000000</v>
      </c>
      <c r="K585">
        <v>9900000</v>
      </c>
      <c r="L585">
        <v>2100000</v>
      </c>
      <c r="M585" t="s">
        <v>34</v>
      </c>
      <c r="N585">
        <f t="shared" si="55"/>
        <v>1</v>
      </c>
      <c r="O585" t="str">
        <f t="shared" si="54"/>
        <v>Low</v>
      </c>
      <c r="P585" t="str">
        <f t="shared" si="56"/>
        <v>High</v>
      </c>
      <c r="Q585" t="str">
        <f t="shared" si="57"/>
        <v>Low Loan</v>
      </c>
      <c r="R585">
        <f t="shared" si="58"/>
        <v>25800000</v>
      </c>
      <c r="S585" t="str">
        <f t="shared" si="59"/>
        <v>Strong</v>
      </c>
    </row>
    <row r="586" spans="1:19" x14ac:dyDescent="0.25">
      <c r="A586">
        <v>585</v>
      </c>
      <c r="B586">
        <v>4</v>
      </c>
      <c r="C586" t="s">
        <v>30</v>
      </c>
      <c r="D586" t="s">
        <v>33</v>
      </c>
      <c r="E586">
        <v>9500000</v>
      </c>
      <c r="F586">
        <v>31800000</v>
      </c>
      <c r="G586">
        <v>6</v>
      </c>
      <c r="H586">
        <v>519</v>
      </c>
      <c r="I586">
        <v>5900000</v>
      </c>
      <c r="J586">
        <v>1300000</v>
      </c>
      <c r="K586">
        <v>28400000</v>
      </c>
      <c r="L586">
        <v>12200000</v>
      </c>
      <c r="M586" t="s">
        <v>35</v>
      </c>
      <c r="N586">
        <f t="shared" si="55"/>
        <v>0</v>
      </c>
      <c r="O586" t="str">
        <f t="shared" si="54"/>
        <v>Low</v>
      </c>
      <c r="P586" t="str">
        <f t="shared" si="56"/>
        <v>High</v>
      </c>
      <c r="Q586" t="str">
        <f t="shared" si="57"/>
        <v>High Loan</v>
      </c>
      <c r="R586">
        <f t="shared" si="58"/>
        <v>47800000</v>
      </c>
      <c r="S586" t="str">
        <f t="shared" si="59"/>
        <v>Strong</v>
      </c>
    </row>
    <row r="587" spans="1:19" x14ac:dyDescent="0.25">
      <c r="A587">
        <v>586</v>
      </c>
      <c r="B587">
        <v>0</v>
      </c>
      <c r="C587" t="s">
        <v>31</v>
      </c>
      <c r="D587" t="s">
        <v>33</v>
      </c>
      <c r="E587">
        <v>1900000</v>
      </c>
      <c r="F587">
        <v>5700000</v>
      </c>
      <c r="G587">
        <v>18</v>
      </c>
      <c r="H587">
        <v>699</v>
      </c>
      <c r="I587">
        <v>5500000</v>
      </c>
      <c r="J587">
        <v>200000</v>
      </c>
      <c r="K587">
        <v>6500000</v>
      </c>
      <c r="L587">
        <v>2000000</v>
      </c>
      <c r="M587" t="s">
        <v>34</v>
      </c>
      <c r="N587">
        <f t="shared" si="55"/>
        <v>1</v>
      </c>
      <c r="O587" t="str">
        <f t="shared" si="54"/>
        <v>Medium</v>
      </c>
      <c r="P587" t="str">
        <f t="shared" si="56"/>
        <v>High</v>
      </c>
      <c r="Q587" t="str">
        <f t="shared" si="57"/>
        <v>Low Loan</v>
      </c>
      <c r="R587">
        <f t="shared" si="58"/>
        <v>14200000</v>
      </c>
      <c r="S587" t="str">
        <f t="shared" si="59"/>
        <v>Strong</v>
      </c>
    </row>
    <row r="588" spans="1:19" x14ac:dyDescent="0.25">
      <c r="A588">
        <v>587</v>
      </c>
      <c r="B588">
        <v>3</v>
      </c>
      <c r="C588" t="s">
        <v>31</v>
      </c>
      <c r="D588" t="s">
        <v>33</v>
      </c>
      <c r="E588">
        <v>9100000</v>
      </c>
      <c r="F588">
        <v>24600000</v>
      </c>
      <c r="G588">
        <v>2</v>
      </c>
      <c r="H588">
        <v>741</v>
      </c>
      <c r="I588">
        <v>8000000</v>
      </c>
      <c r="J588">
        <v>4000000</v>
      </c>
      <c r="K588">
        <v>35500000</v>
      </c>
      <c r="L588">
        <v>13600000</v>
      </c>
      <c r="M588" t="s">
        <v>34</v>
      </c>
      <c r="N588">
        <f t="shared" si="55"/>
        <v>1</v>
      </c>
      <c r="O588" t="str">
        <f t="shared" si="54"/>
        <v>Good</v>
      </c>
      <c r="P588" t="str">
        <f t="shared" si="56"/>
        <v>High</v>
      </c>
      <c r="Q588" t="str">
        <f t="shared" si="57"/>
        <v>High Loan</v>
      </c>
      <c r="R588">
        <f t="shared" si="58"/>
        <v>61100000</v>
      </c>
      <c r="S588" t="str">
        <f t="shared" si="59"/>
        <v>Strong</v>
      </c>
    </row>
    <row r="589" spans="1:19" x14ac:dyDescent="0.25">
      <c r="A589">
        <v>588</v>
      </c>
      <c r="B589">
        <v>5</v>
      </c>
      <c r="C589" t="s">
        <v>30</v>
      </c>
      <c r="D589" t="s">
        <v>32</v>
      </c>
      <c r="E589">
        <v>1100000</v>
      </c>
      <c r="F589">
        <v>3800000</v>
      </c>
      <c r="G589">
        <v>18</v>
      </c>
      <c r="H589">
        <v>508</v>
      </c>
      <c r="I589">
        <v>200000</v>
      </c>
      <c r="J589">
        <v>1800000</v>
      </c>
      <c r="K589">
        <v>2300000</v>
      </c>
      <c r="L589">
        <v>900000</v>
      </c>
      <c r="M589" t="s">
        <v>35</v>
      </c>
      <c r="N589">
        <f t="shared" si="55"/>
        <v>0</v>
      </c>
      <c r="O589" t="str">
        <f t="shared" si="54"/>
        <v>Low</v>
      </c>
      <c r="P589" t="str">
        <f t="shared" si="56"/>
        <v>High</v>
      </c>
      <c r="Q589" t="str">
        <f t="shared" si="57"/>
        <v>Low Loan</v>
      </c>
      <c r="R589">
        <f t="shared" si="58"/>
        <v>5200000</v>
      </c>
      <c r="S589" t="str">
        <f t="shared" si="59"/>
        <v>Moderate</v>
      </c>
    </row>
    <row r="590" spans="1:19" x14ac:dyDescent="0.25">
      <c r="A590">
        <v>589</v>
      </c>
      <c r="B590">
        <v>5</v>
      </c>
      <c r="C590" t="s">
        <v>31</v>
      </c>
      <c r="D590" t="s">
        <v>33</v>
      </c>
      <c r="E590">
        <v>1100000</v>
      </c>
      <c r="F590">
        <v>2800000</v>
      </c>
      <c r="G590">
        <v>10</v>
      </c>
      <c r="H590">
        <v>647</v>
      </c>
      <c r="I590">
        <v>2700000</v>
      </c>
      <c r="J590">
        <v>2000000</v>
      </c>
      <c r="K590">
        <v>4300000</v>
      </c>
      <c r="L590">
        <v>1400000</v>
      </c>
      <c r="M590" t="s">
        <v>34</v>
      </c>
      <c r="N590">
        <f t="shared" si="55"/>
        <v>1</v>
      </c>
      <c r="O590" t="str">
        <f t="shared" si="54"/>
        <v>Low</v>
      </c>
      <c r="P590" t="str">
        <f t="shared" si="56"/>
        <v>High</v>
      </c>
      <c r="Q590" t="str">
        <f t="shared" si="57"/>
        <v>Low Loan</v>
      </c>
      <c r="R590">
        <f t="shared" si="58"/>
        <v>10400000</v>
      </c>
      <c r="S590" t="str">
        <f t="shared" si="59"/>
        <v>Strong</v>
      </c>
    </row>
    <row r="591" spans="1:19" x14ac:dyDescent="0.25">
      <c r="A591">
        <v>590</v>
      </c>
      <c r="B591">
        <v>1</v>
      </c>
      <c r="C591" t="s">
        <v>30</v>
      </c>
      <c r="D591" t="s">
        <v>32</v>
      </c>
      <c r="E591">
        <v>9300000</v>
      </c>
      <c r="F591">
        <v>28600000</v>
      </c>
      <c r="G591">
        <v>14</v>
      </c>
      <c r="H591">
        <v>656</v>
      </c>
      <c r="I591">
        <v>17300000</v>
      </c>
      <c r="J591">
        <v>9100000</v>
      </c>
      <c r="K591">
        <v>27400000</v>
      </c>
      <c r="L591">
        <v>12500000</v>
      </c>
      <c r="M591" t="s">
        <v>34</v>
      </c>
      <c r="N591">
        <f t="shared" si="55"/>
        <v>1</v>
      </c>
      <c r="O591" t="str">
        <f t="shared" si="54"/>
        <v>Medium</v>
      </c>
      <c r="P591" t="str">
        <f t="shared" si="56"/>
        <v>High</v>
      </c>
      <c r="Q591" t="str">
        <f t="shared" si="57"/>
        <v>High Loan</v>
      </c>
      <c r="R591">
        <f t="shared" si="58"/>
        <v>66300000</v>
      </c>
      <c r="S591" t="str">
        <f t="shared" si="59"/>
        <v>Strong</v>
      </c>
    </row>
    <row r="592" spans="1:19" x14ac:dyDescent="0.25">
      <c r="A592">
        <v>591</v>
      </c>
      <c r="B592">
        <v>4</v>
      </c>
      <c r="C592" t="s">
        <v>30</v>
      </c>
      <c r="D592" t="s">
        <v>33</v>
      </c>
      <c r="E592">
        <v>3900000</v>
      </c>
      <c r="F592">
        <v>10600000</v>
      </c>
      <c r="G592">
        <v>2</v>
      </c>
      <c r="H592">
        <v>439</v>
      </c>
      <c r="I592">
        <v>300000</v>
      </c>
      <c r="J592">
        <v>7600000</v>
      </c>
      <c r="K592">
        <v>14800000</v>
      </c>
      <c r="L592">
        <v>2500000</v>
      </c>
      <c r="M592" t="s">
        <v>35</v>
      </c>
      <c r="N592">
        <f t="shared" si="55"/>
        <v>0</v>
      </c>
      <c r="O592" t="str">
        <f t="shared" si="54"/>
        <v>Low</v>
      </c>
      <c r="P592" t="str">
        <f t="shared" si="56"/>
        <v>High</v>
      </c>
      <c r="Q592" t="str">
        <f t="shared" si="57"/>
        <v>Low Loan</v>
      </c>
      <c r="R592">
        <f t="shared" si="58"/>
        <v>25200000</v>
      </c>
      <c r="S592" t="str">
        <f t="shared" si="59"/>
        <v>Strong</v>
      </c>
    </row>
    <row r="593" spans="1:19" x14ac:dyDescent="0.25">
      <c r="A593">
        <v>592</v>
      </c>
      <c r="B593">
        <v>5</v>
      </c>
      <c r="C593" t="s">
        <v>31</v>
      </c>
      <c r="D593" t="s">
        <v>33</v>
      </c>
      <c r="E593">
        <v>1500000</v>
      </c>
      <c r="F593">
        <v>4000000</v>
      </c>
      <c r="G593">
        <v>12</v>
      </c>
      <c r="H593">
        <v>350</v>
      </c>
      <c r="I593">
        <v>2900000</v>
      </c>
      <c r="J593">
        <v>1900000</v>
      </c>
      <c r="K593">
        <v>4400000</v>
      </c>
      <c r="L593">
        <v>1200000</v>
      </c>
      <c r="M593" t="s">
        <v>35</v>
      </c>
      <c r="N593">
        <f t="shared" si="55"/>
        <v>0</v>
      </c>
      <c r="O593" t="str">
        <f t="shared" si="54"/>
        <v>Low</v>
      </c>
      <c r="P593" t="str">
        <f t="shared" si="56"/>
        <v>High</v>
      </c>
      <c r="Q593" t="str">
        <f t="shared" si="57"/>
        <v>Low Loan</v>
      </c>
      <c r="R593">
        <f t="shared" si="58"/>
        <v>10400000</v>
      </c>
      <c r="S593" t="str">
        <f t="shared" si="59"/>
        <v>Strong</v>
      </c>
    </row>
    <row r="594" spans="1:19" x14ac:dyDescent="0.25">
      <c r="A594">
        <v>593</v>
      </c>
      <c r="B594">
        <v>5</v>
      </c>
      <c r="C594" t="s">
        <v>30</v>
      </c>
      <c r="D594" t="s">
        <v>32</v>
      </c>
      <c r="E594">
        <v>800000</v>
      </c>
      <c r="F594">
        <v>2200000</v>
      </c>
      <c r="G594">
        <v>6</v>
      </c>
      <c r="H594">
        <v>493</v>
      </c>
      <c r="I594">
        <v>900000</v>
      </c>
      <c r="J594">
        <v>500000</v>
      </c>
      <c r="K594">
        <v>2800000</v>
      </c>
      <c r="L594">
        <v>1000000</v>
      </c>
      <c r="M594" t="s">
        <v>35</v>
      </c>
      <c r="N594">
        <f t="shared" si="55"/>
        <v>0</v>
      </c>
      <c r="O594" t="str">
        <f t="shared" si="54"/>
        <v>Low</v>
      </c>
      <c r="P594" t="str">
        <f t="shared" si="56"/>
        <v>High</v>
      </c>
      <c r="Q594" t="str">
        <f t="shared" si="57"/>
        <v>Low Loan</v>
      </c>
      <c r="R594">
        <f t="shared" si="58"/>
        <v>5200000</v>
      </c>
      <c r="S594" t="str">
        <f t="shared" si="59"/>
        <v>Moderate</v>
      </c>
    </row>
    <row r="595" spans="1:19" x14ac:dyDescent="0.25">
      <c r="A595">
        <v>594</v>
      </c>
      <c r="B595">
        <v>4</v>
      </c>
      <c r="C595" t="s">
        <v>30</v>
      </c>
      <c r="D595" t="s">
        <v>32</v>
      </c>
      <c r="E595">
        <v>600000</v>
      </c>
      <c r="F595">
        <v>1800000</v>
      </c>
      <c r="G595">
        <v>6</v>
      </c>
      <c r="H595">
        <v>851</v>
      </c>
      <c r="I595">
        <v>100000</v>
      </c>
      <c r="J595">
        <v>1100000</v>
      </c>
      <c r="K595">
        <v>2100000</v>
      </c>
      <c r="L595">
        <v>800000</v>
      </c>
      <c r="M595" t="s">
        <v>34</v>
      </c>
      <c r="N595">
        <f t="shared" si="55"/>
        <v>1</v>
      </c>
      <c r="O595" t="str">
        <f t="shared" si="54"/>
        <v>Excellent</v>
      </c>
      <c r="P595" t="str">
        <f t="shared" si="56"/>
        <v>Middle</v>
      </c>
      <c r="Q595" t="str">
        <f t="shared" si="57"/>
        <v>Low Loan</v>
      </c>
      <c r="R595">
        <f t="shared" si="58"/>
        <v>4100000</v>
      </c>
      <c r="S595" t="str">
        <f t="shared" si="59"/>
        <v>Weak</v>
      </c>
    </row>
    <row r="596" spans="1:19" x14ac:dyDescent="0.25">
      <c r="A596">
        <v>595</v>
      </c>
      <c r="B596">
        <v>2</v>
      </c>
      <c r="C596" t="s">
        <v>30</v>
      </c>
      <c r="D596" t="s">
        <v>32</v>
      </c>
      <c r="E596">
        <v>4400000</v>
      </c>
      <c r="F596">
        <v>12500000</v>
      </c>
      <c r="G596">
        <v>18</v>
      </c>
      <c r="H596">
        <v>492</v>
      </c>
      <c r="I596">
        <v>7900000</v>
      </c>
      <c r="J596">
        <v>1200000</v>
      </c>
      <c r="K596">
        <v>10100000</v>
      </c>
      <c r="L596">
        <v>2700000</v>
      </c>
      <c r="M596" t="s">
        <v>35</v>
      </c>
      <c r="N596">
        <f t="shared" si="55"/>
        <v>0</v>
      </c>
      <c r="O596" t="str">
        <f t="shared" si="54"/>
        <v>Low</v>
      </c>
      <c r="P596" t="str">
        <f t="shared" si="56"/>
        <v>High</v>
      </c>
      <c r="Q596" t="str">
        <f t="shared" si="57"/>
        <v>Low Loan</v>
      </c>
      <c r="R596">
        <f t="shared" si="58"/>
        <v>21900000</v>
      </c>
      <c r="S596" t="str">
        <f t="shared" si="59"/>
        <v>Strong</v>
      </c>
    </row>
    <row r="597" spans="1:19" x14ac:dyDescent="0.25">
      <c r="A597">
        <v>596</v>
      </c>
      <c r="B597">
        <v>4</v>
      </c>
      <c r="C597" t="s">
        <v>30</v>
      </c>
      <c r="D597" t="s">
        <v>33</v>
      </c>
      <c r="E597">
        <v>2700000</v>
      </c>
      <c r="F597">
        <v>5400000</v>
      </c>
      <c r="G597">
        <v>6</v>
      </c>
      <c r="H597">
        <v>861</v>
      </c>
      <c r="I597">
        <v>6300000</v>
      </c>
      <c r="J597">
        <v>2400000</v>
      </c>
      <c r="K597">
        <v>6700000</v>
      </c>
      <c r="L597">
        <v>2700000</v>
      </c>
      <c r="M597" t="s">
        <v>34</v>
      </c>
      <c r="N597">
        <f t="shared" si="55"/>
        <v>1</v>
      </c>
      <c r="O597" t="str">
        <f t="shared" si="54"/>
        <v>Excellent</v>
      </c>
      <c r="P597" t="str">
        <f t="shared" si="56"/>
        <v>High</v>
      </c>
      <c r="Q597" t="str">
        <f t="shared" si="57"/>
        <v>Low Loan</v>
      </c>
      <c r="R597">
        <f t="shared" si="58"/>
        <v>18100000</v>
      </c>
      <c r="S597" t="str">
        <f t="shared" si="59"/>
        <v>Strong</v>
      </c>
    </row>
    <row r="598" spans="1:19" x14ac:dyDescent="0.25">
      <c r="A598">
        <v>597</v>
      </c>
      <c r="B598">
        <v>3</v>
      </c>
      <c r="C598" t="s">
        <v>31</v>
      </c>
      <c r="D598" t="s">
        <v>33</v>
      </c>
      <c r="E598">
        <v>6200000</v>
      </c>
      <c r="F598">
        <v>14600000</v>
      </c>
      <c r="G598">
        <v>2</v>
      </c>
      <c r="H598">
        <v>664</v>
      </c>
      <c r="I598">
        <v>18300000</v>
      </c>
      <c r="J598">
        <v>8400000</v>
      </c>
      <c r="K598">
        <v>16800000</v>
      </c>
      <c r="L598">
        <v>6600000</v>
      </c>
      <c r="M598" t="s">
        <v>34</v>
      </c>
      <c r="N598">
        <f t="shared" si="55"/>
        <v>1</v>
      </c>
      <c r="O598" t="str">
        <f t="shared" si="54"/>
        <v>Medium</v>
      </c>
      <c r="P598" t="str">
        <f t="shared" si="56"/>
        <v>High</v>
      </c>
      <c r="Q598" t="str">
        <f t="shared" si="57"/>
        <v>Low Loan</v>
      </c>
      <c r="R598">
        <f t="shared" si="58"/>
        <v>50100000</v>
      </c>
      <c r="S598" t="str">
        <f t="shared" si="59"/>
        <v>Strong</v>
      </c>
    </row>
    <row r="599" spans="1:19" x14ac:dyDescent="0.25">
      <c r="A599">
        <v>598</v>
      </c>
      <c r="B599">
        <v>5</v>
      </c>
      <c r="C599" t="s">
        <v>30</v>
      </c>
      <c r="D599" t="s">
        <v>33</v>
      </c>
      <c r="E599">
        <v>700000</v>
      </c>
      <c r="F599">
        <v>1300000</v>
      </c>
      <c r="G599">
        <v>16</v>
      </c>
      <c r="H599">
        <v>362</v>
      </c>
      <c r="I599">
        <v>2100000</v>
      </c>
      <c r="J599">
        <v>1300000</v>
      </c>
      <c r="K599">
        <v>2000000</v>
      </c>
      <c r="L599">
        <v>1000000</v>
      </c>
      <c r="M599" t="s">
        <v>35</v>
      </c>
      <c r="N599">
        <f t="shared" si="55"/>
        <v>0</v>
      </c>
      <c r="O599" t="str">
        <f t="shared" si="54"/>
        <v>Low</v>
      </c>
      <c r="P599" t="str">
        <f t="shared" si="56"/>
        <v>High</v>
      </c>
      <c r="Q599" t="str">
        <f t="shared" si="57"/>
        <v>Low Loan</v>
      </c>
      <c r="R599">
        <f t="shared" si="58"/>
        <v>6400000</v>
      </c>
      <c r="S599" t="str">
        <f t="shared" si="59"/>
        <v>Moderate</v>
      </c>
    </row>
    <row r="600" spans="1:19" x14ac:dyDescent="0.25">
      <c r="A600">
        <v>599</v>
      </c>
      <c r="B600">
        <v>0</v>
      </c>
      <c r="C600" t="s">
        <v>30</v>
      </c>
      <c r="D600" t="s">
        <v>32</v>
      </c>
      <c r="E600">
        <v>3400000</v>
      </c>
      <c r="F600">
        <v>9400000</v>
      </c>
      <c r="G600">
        <v>6</v>
      </c>
      <c r="H600">
        <v>703</v>
      </c>
      <c r="I600">
        <v>600000</v>
      </c>
      <c r="J600">
        <v>6000000</v>
      </c>
      <c r="K600">
        <v>8600000</v>
      </c>
      <c r="L600">
        <v>2600000</v>
      </c>
      <c r="M600" t="s">
        <v>34</v>
      </c>
      <c r="N600">
        <f t="shared" si="55"/>
        <v>1</v>
      </c>
      <c r="O600" t="str">
        <f t="shared" si="54"/>
        <v>Good</v>
      </c>
      <c r="P600" t="str">
        <f t="shared" si="56"/>
        <v>High</v>
      </c>
      <c r="Q600" t="str">
        <f t="shared" si="57"/>
        <v>Low Loan</v>
      </c>
      <c r="R600">
        <f t="shared" si="58"/>
        <v>17800000</v>
      </c>
      <c r="S600" t="str">
        <f t="shared" si="59"/>
        <v>Strong</v>
      </c>
    </row>
    <row r="601" spans="1:19" x14ac:dyDescent="0.25">
      <c r="A601">
        <v>600</v>
      </c>
      <c r="B601">
        <v>1</v>
      </c>
      <c r="C601" t="s">
        <v>31</v>
      </c>
      <c r="D601" t="s">
        <v>33</v>
      </c>
      <c r="E601">
        <v>4900000</v>
      </c>
      <c r="F601">
        <v>16800000</v>
      </c>
      <c r="G601">
        <v>12</v>
      </c>
      <c r="H601">
        <v>758</v>
      </c>
      <c r="I601">
        <v>1700000</v>
      </c>
      <c r="J601">
        <v>2700000</v>
      </c>
      <c r="K601">
        <v>11100000</v>
      </c>
      <c r="L601">
        <v>5900000</v>
      </c>
      <c r="M601" t="s">
        <v>34</v>
      </c>
      <c r="N601">
        <f t="shared" si="55"/>
        <v>1</v>
      </c>
      <c r="O601" t="str">
        <f t="shared" si="54"/>
        <v>Excellent</v>
      </c>
      <c r="P601" t="str">
        <f t="shared" si="56"/>
        <v>High</v>
      </c>
      <c r="Q601" t="str">
        <f t="shared" si="57"/>
        <v>Low Loan</v>
      </c>
      <c r="R601">
        <f t="shared" si="58"/>
        <v>21400000</v>
      </c>
      <c r="S601" t="str">
        <f t="shared" si="59"/>
        <v>Strong</v>
      </c>
    </row>
    <row r="602" spans="1:19" x14ac:dyDescent="0.25">
      <c r="A602">
        <v>601</v>
      </c>
      <c r="B602">
        <v>3</v>
      </c>
      <c r="C602" t="s">
        <v>31</v>
      </c>
      <c r="D602" t="s">
        <v>33</v>
      </c>
      <c r="E602">
        <v>4200000</v>
      </c>
      <c r="F602">
        <v>9700000</v>
      </c>
      <c r="G602">
        <v>2</v>
      </c>
      <c r="H602">
        <v>396</v>
      </c>
      <c r="I602">
        <v>700000</v>
      </c>
      <c r="J602">
        <v>8200000</v>
      </c>
      <c r="K602">
        <v>8600000</v>
      </c>
      <c r="L602">
        <v>4300000</v>
      </c>
      <c r="M602" t="s">
        <v>35</v>
      </c>
      <c r="N602">
        <f t="shared" si="55"/>
        <v>0</v>
      </c>
      <c r="O602" t="str">
        <f t="shared" si="54"/>
        <v>Low</v>
      </c>
      <c r="P602" t="str">
        <f t="shared" si="56"/>
        <v>High</v>
      </c>
      <c r="Q602" t="str">
        <f t="shared" si="57"/>
        <v>Low Loan</v>
      </c>
      <c r="R602">
        <f t="shared" si="58"/>
        <v>21800000</v>
      </c>
      <c r="S602" t="str">
        <f t="shared" si="59"/>
        <v>Strong</v>
      </c>
    </row>
    <row r="603" spans="1:19" x14ac:dyDescent="0.25">
      <c r="A603">
        <v>602</v>
      </c>
      <c r="B603">
        <v>0</v>
      </c>
      <c r="C603" t="s">
        <v>30</v>
      </c>
      <c r="D603" t="s">
        <v>33</v>
      </c>
      <c r="E603">
        <v>5300000</v>
      </c>
      <c r="F603">
        <v>10600000</v>
      </c>
      <c r="G603">
        <v>2</v>
      </c>
      <c r="H603">
        <v>828</v>
      </c>
      <c r="I603">
        <v>8100000</v>
      </c>
      <c r="J603">
        <v>6700000</v>
      </c>
      <c r="K603">
        <v>17400000</v>
      </c>
      <c r="L603">
        <v>5800000</v>
      </c>
      <c r="M603" t="s">
        <v>34</v>
      </c>
      <c r="N603">
        <f t="shared" si="55"/>
        <v>1</v>
      </c>
      <c r="O603" t="str">
        <f t="shared" si="54"/>
        <v>Excellent</v>
      </c>
      <c r="P603" t="str">
        <f t="shared" si="56"/>
        <v>High</v>
      </c>
      <c r="Q603" t="str">
        <f t="shared" si="57"/>
        <v>Low Loan</v>
      </c>
      <c r="R603">
        <f t="shared" si="58"/>
        <v>38000000</v>
      </c>
      <c r="S603" t="str">
        <f t="shared" si="59"/>
        <v>Strong</v>
      </c>
    </row>
    <row r="604" spans="1:19" x14ac:dyDescent="0.25">
      <c r="A604">
        <v>603</v>
      </c>
      <c r="B604">
        <v>5</v>
      </c>
      <c r="C604" t="s">
        <v>30</v>
      </c>
      <c r="D604" t="s">
        <v>33</v>
      </c>
      <c r="E604">
        <v>3700000</v>
      </c>
      <c r="F604">
        <v>10000000</v>
      </c>
      <c r="G604">
        <v>20</v>
      </c>
      <c r="H604">
        <v>709</v>
      </c>
      <c r="I604">
        <v>8000000</v>
      </c>
      <c r="J604">
        <v>800000</v>
      </c>
      <c r="K604">
        <v>12000000</v>
      </c>
      <c r="L604">
        <v>2200000</v>
      </c>
      <c r="M604" t="s">
        <v>34</v>
      </c>
      <c r="N604">
        <f t="shared" si="55"/>
        <v>1</v>
      </c>
      <c r="O604" t="str">
        <f t="shared" si="54"/>
        <v>Good</v>
      </c>
      <c r="P604" t="str">
        <f t="shared" si="56"/>
        <v>High</v>
      </c>
      <c r="Q604" t="str">
        <f t="shared" si="57"/>
        <v>Low Loan</v>
      </c>
      <c r="R604">
        <f t="shared" si="58"/>
        <v>23000000</v>
      </c>
      <c r="S604" t="str">
        <f t="shared" si="59"/>
        <v>Strong</v>
      </c>
    </row>
    <row r="605" spans="1:19" x14ac:dyDescent="0.25">
      <c r="A605">
        <v>604</v>
      </c>
      <c r="B605">
        <v>4</v>
      </c>
      <c r="C605" t="s">
        <v>31</v>
      </c>
      <c r="D605" t="s">
        <v>33</v>
      </c>
      <c r="E605">
        <v>5600000</v>
      </c>
      <c r="F605">
        <v>17500000</v>
      </c>
      <c r="G605">
        <v>10</v>
      </c>
      <c r="H605">
        <v>528</v>
      </c>
      <c r="I605">
        <v>14200000</v>
      </c>
      <c r="J605">
        <v>2300000</v>
      </c>
      <c r="K605">
        <v>12100000</v>
      </c>
      <c r="L605">
        <v>7200000</v>
      </c>
      <c r="M605" t="s">
        <v>35</v>
      </c>
      <c r="N605">
        <f t="shared" si="55"/>
        <v>0</v>
      </c>
      <c r="O605" t="str">
        <f t="shared" si="54"/>
        <v>Low</v>
      </c>
      <c r="P605" t="str">
        <f t="shared" si="56"/>
        <v>High</v>
      </c>
      <c r="Q605" t="str">
        <f t="shared" si="57"/>
        <v>Low Loan</v>
      </c>
      <c r="R605">
        <f t="shared" si="58"/>
        <v>35800000</v>
      </c>
      <c r="S605" t="str">
        <f t="shared" si="59"/>
        <v>Strong</v>
      </c>
    </row>
    <row r="606" spans="1:19" x14ac:dyDescent="0.25">
      <c r="A606">
        <v>605</v>
      </c>
      <c r="B606">
        <v>2</v>
      </c>
      <c r="C606" t="s">
        <v>30</v>
      </c>
      <c r="D606" t="s">
        <v>33</v>
      </c>
      <c r="E606">
        <v>4300000</v>
      </c>
      <c r="F606">
        <v>16000000</v>
      </c>
      <c r="G606">
        <v>14</v>
      </c>
      <c r="H606">
        <v>623</v>
      </c>
      <c r="I606">
        <v>9800000</v>
      </c>
      <c r="J606">
        <v>6700000</v>
      </c>
      <c r="K606">
        <v>17000000</v>
      </c>
      <c r="L606">
        <v>4500000</v>
      </c>
      <c r="M606" t="s">
        <v>34</v>
      </c>
      <c r="N606">
        <f t="shared" si="55"/>
        <v>1</v>
      </c>
      <c r="O606" t="str">
        <f t="shared" si="54"/>
        <v>Low</v>
      </c>
      <c r="P606" t="str">
        <f t="shared" si="56"/>
        <v>High</v>
      </c>
      <c r="Q606" t="str">
        <f t="shared" si="57"/>
        <v>Low Loan</v>
      </c>
      <c r="R606">
        <f t="shared" si="58"/>
        <v>38000000</v>
      </c>
      <c r="S606" t="str">
        <f t="shared" si="59"/>
        <v>Strong</v>
      </c>
    </row>
    <row r="607" spans="1:19" x14ac:dyDescent="0.25">
      <c r="A607">
        <v>606</v>
      </c>
      <c r="B607">
        <v>4</v>
      </c>
      <c r="C607" t="s">
        <v>31</v>
      </c>
      <c r="D607" t="s">
        <v>33</v>
      </c>
      <c r="E607">
        <v>7100000</v>
      </c>
      <c r="F607">
        <v>24500000</v>
      </c>
      <c r="G607">
        <v>14</v>
      </c>
      <c r="H607">
        <v>599</v>
      </c>
      <c r="I607">
        <v>9100000</v>
      </c>
      <c r="J607">
        <v>7000000</v>
      </c>
      <c r="K607">
        <v>20400000</v>
      </c>
      <c r="L607">
        <v>6800000</v>
      </c>
      <c r="M607" t="s">
        <v>34</v>
      </c>
      <c r="N607">
        <f t="shared" si="55"/>
        <v>1</v>
      </c>
      <c r="O607" t="str">
        <f t="shared" si="54"/>
        <v>Low</v>
      </c>
      <c r="P607" t="str">
        <f t="shared" si="56"/>
        <v>High</v>
      </c>
      <c r="Q607" t="str">
        <f t="shared" si="57"/>
        <v>High Loan</v>
      </c>
      <c r="R607">
        <f t="shared" si="58"/>
        <v>43300000</v>
      </c>
      <c r="S607" t="str">
        <f t="shared" si="59"/>
        <v>Strong</v>
      </c>
    </row>
    <row r="608" spans="1:19" x14ac:dyDescent="0.25">
      <c r="A608">
        <v>607</v>
      </c>
      <c r="B608">
        <v>4</v>
      </c>
      <c r="C608" t="s">
        <v>30</v>
      </c>
      <c r="D608" t="s">
        <v>33</v>
      </c>
      <c r="E608">
        <v>5400000</v>
      </c>
      <c r="F608">
        <v>12700000</v>
      </c>
      <c r="G608">
        <v>4</v>
      </c>
      <c r="H608">
        <v>622</v>
      </c>
      <c r="I608">
        <v>11000000</v>
      </c>
      <c r="J608">
        <v>3300000</v>
      </c>
      <c r="K608">
        <v>15100000</v>
      </c>
      <c r="L608">
        <v>6500000</v>
      </c>
      <c r="M608" t="s">
        <v>34</v>
      </c>
      <c r="N608">
        <f t="shared" si="55"/>
        <v>1</v>
      </c>
      <c r="O608" t="str">
        <f t="shared" si="54"/>
        <v>Low</v>
      </c>
      <c r="P608" t="str">
        <f t="shared" si="56"/>
        <v>High</v>
      </c>
      <c r="Q608" t="str">
        <f t="shared" si="57"/>
        <v>Low Loan</v>
      </c>
      <c r="R608">
        <f t="shared" si="58"/>
        <v>35900000</v>
      </c>
      <c r="S608" t="str">
        <f t="shared" si="59"/>
        <v>Strong</v>
      </c>
    </row>
    <row r="609" spans="1:19" x14ac:dyDescent="0.25">
      <c r="A609">
        <v>608</v>
      </c>
      <c r="B609">
        <v>0</v>
      </c>
      <c r="C609" t="s">
        <v>31</v>
      </c>
      <c r="D609" t="s">
        <v>32</v>
      </c>
      <c r="E609">
        <v>6000000</v>
      </c>
      <c r="F609">
        <v>13100000</v>
      </c>
      <c r="G609">
        <v>6</v>
      </c>
      <c r="H609">
        <v>385</v>
      </c>
      <c r="I609">
        <v>16600000</v>
      </c>
      <c r="J609">
        <v>7600000</v>
      </c>
      <c r="K609">
        <v>22000000</v>
      </c>
      <c r="L609">
        <v>7400000</v>
      </c>
      <c r="M609" t="s">
        <v>35</v>
      </c>
      <c r="N609">
        <f t="shared" si="55"/>
        <v>0</v>
      </c>
      <c r="O609" t="str">
        <f t="shared" si="54"/>
        <v>Low</v>
      </c>
      <c r="P609" t="str">
        <f t="shared" si="56"/>
        <v>High</v>
      </c>
      <c r="Q609" t="str">
        <f t="shared" si="57"/>
        <v>Low Loan</v>
      </c>
      <c r="R609">
        <f t="shared" si="58"/>
        <v>53600000</v>
      </c>
      <c r="S609" t="str">
        <f t="shared" si="59"/>
        <v>Strong</v>
      </c>
    </row>
    <row r="610" spans="1:19" x14ac:dyDescent="0.25">
      <c r="A610">
        <v>609</v>
      </c>
      <c r="B610">
        <v>4</v>
      </c>
      <c r="C610" t="s">
        <v>30</v>
      </c>
      <c r="D610" t="s">
        <v>33</v>
      </c>
      <c r="E610">
        <v>4100000</v>
      </c>
      <c r="F610">
        <v>12500000</v>
      </c>
      <c r="G610">
        <v>2</v>
      </c>
      <c r="H610">
        <v>579</v>
      </c>
      <c r="I610">
        <v>10900000</v>
      </c>
      <c r="J610">
        <v>7200000</v>
      </c>
      <c r="K610">
        <v>12200000</v>
      </c>
      <c r="L610">
        <v>2000000</v>
      </c>
      <c r="M610" t="s">
        <v>34</v>
      </c>
      <c r="N610">
        <f t="shared" si="55"/>
        <v>1</v>
      </c>
      <c r="O610" t="str">
        <f t="shared" si="54"/>
        <v>Low</v>
      </c>
      <c r="P610" t="str">
        <f t="shared" si="56"/>
        <v>High</v>
      </c>
      <c r="Q610" t="str">
        <f t="shared" si="57"/>
        <v>Low Loan</v>
      </c>
      <c r="R610">
        <f t="shared" si="58"/>
        <v>32300000</v>
      </c>
      <c r="S610" t="str">
        <f t="shared" si="59"/>
        <v>Strong</v>
      </c>
    </row>
    <row r="611" spans="1:19" x14ac:dyDescent="0.25">
      <c r="A611">
        <v>610</v>
      </c>
      <c r="B611">
        <v>4</v>
      </c>
      <c r="C611" t="s">
        <v>31</v>
      </c>
      <c r="D611" t="s">
        <v>32</v>
      </c>
      <c r="E611">
        <v>8300000</v>
      </c>
      <c r="F611">
        <v>17900000</v>
      </c>
      <c r="G611">
        <v>20</v>
      </c>
      <c r="H611">
        <v>846</v>
      </c>
      <c r="I611">
        <v>12700000</v>
      </c>
      <c r="J611">
        <v>1300000</v>
      </c>
      <c r="K611">
        <v>26800000</v>
      </c>
      <c r="L611">
        <v>12200000</v>
      </c>
      <c r="M611" t="s">
        <v>34</v>
      </c>
      <c r="N611">
        <f t="shared" si="55"/>
        <v>1</v>
      </c>
      <c r="O611" t="str">
        <f t="shared" si="54"/>
        <v>Excellent</v>
      </c>
      <c r="P611" t="str">
        <f t="shared" si="56"/>
        <v>High</v>
      </c>
      <c r="Q611" t="str">
        <f t="shared" si="57"/>
        <v>Low Loan</v>
      </c>
      <c r="R611">
        <f t="shared" si="58"/>
        <v>53000000</v>
      </c>
      <c r="S611" t="str">
        <f t="shared" si="59"/>
        <v>Strong</v>
      </c>
    </row>
    <row r="612" spans="1:19" x14ac:dyDescent="0.25">
      <c r="A612">
        <v>611</v>
      </c>
      <c r="B612">
        <v>3</v>
      </c>
      <c r="C612" t="s">
        <v>30</v>
      </c>
      <c r="D612" t="s">
        <v>32</v>
      </c>
      <c r="E612">
        <v>8100000</v>
      </c>
      <c r="F612">
        <v>23900000</v>
      </c>
      <c r="G612">
        <v>10</v>
      </c>
      <c r="H612">
        <v>449</v>
      </c>
      <c r="I612">
        <v>7100000</v>
      </c>
      <c r="J612">
        <v>6100000</v>
      </c>
      <c r="K612">
        <v>28300000</v>
      </c>
      <c r="L612">
        <v>8900000</v>
      </c>
      <c r="M612" t="s">
        <v>35</v>
      </c>
      <c r="N612">
        <f t="shared" si="55"/>
        <v>0</v>
      </c>
      <c r="O612" t="str">
        <f t="shared" si="54"/>
        <v>Low</v>
      </c>
      <c r="P612" t="str">
        <f t="shared" si="56"/>
        <v>High</v>
      </c>
      <c r="Q612" t="str">
        <f t="shared" si="57"/>
        <v>High Loan</v>
      </c>
      <c r="R612">
        <f t="shared" si="58"/>
        <v>50400000</v>
      </c>
      <c r="S612" t="str">
        <f t="shared" si="59"/>
        <v>Strong</v>
      </c>
    </row>
    <row r="613" spans="1:19" x14ac:dyDescent="0.25">
      <c r="A613">
        <v>612</v>
      </c>
      <c r="B613">
        <v>1</v>
      </c>
      <c r="C613" t="s">
        <v>31</v>
      </c>
      <c r="D613" t="s">
        <v>32</v>
      </c>
      <c r="E613">
        <v>7200000</v>
      </c>
      <c r="F613">
        <v>24900000</v>
      </c>
      <c r="G613">
        <v>14</v>
      </c>
      <c r="H613">
        <v>666</v>
      </c>
      <c r="I613">
        <v>3600000</v>
      </c>
      <c r="J613">
        <v>11600000</v>
      </c>
      <c r="K613">
        <v>16600000</v>
      </c>
      <c r="L613">
        <v>5800000</v>
      </c>
      <c r="M613" t="s">
        <v>34</v>
      </c>
      <c r="N613">
        <f t="shared" si="55"/>
        <v>1</v>
      </c>
      <c r="O613" t="str">
        <f t="shared" si="54"/>
        <v>Medium</v>
      </c>
      <c r="P613" t="str">
        <f t="shared" si="56"/>
        <v>High</v>
      </c>
      <c r="Q613" t="str">
        <f t="shared" si="57"/>
        <v>High Loan</v>
      </c>
      <c r="R613">
        <f t="shared" si="58"/>
        <v>37600000</v>
      </c>
      <c r="S613" t="str">
        <f t="shared" si="59"/>
        <v>Strong</v>
      </c>
    </row>
    <row r="614" spans="1:19" x14ac:dyDescent="0.25">
      <c r="A614">
        <v>613</v>
      </c>
      <c r="B614">
        <v>5</v>
      </c>
      <c r="C614" t="s">
        <v>30</v>
      </c>
      <c r="D614" t="s">
        <v>32</v>
      </c>
      <c r="E614">
        <v>7200000</v>
      </c>
      <c r="F614">
        <v>17500000</v>
      </c>
      <c r="G614">
        <v>4</v>
      </c>
      <c r="H614">
        <v>380</v>
      </c>
      <c r="I614">
        <v>2300000</v>
      </c>
      <c r="J614">
        <v>400000</v>
      </c>
      <c r="K614">
        <v>17500000</v>
      </c>
      <c r="L614">
        <v>6200000</v>
      </c>
      <c r="M614" t="s">
        <v>35</v>
      </c>
      <c r="N614">
        <f t="shared" si="55"/>
        <v>0</v>
      </c>
      <c r="O614" t="str">
        <f t="shared" si="54"/>
        <v>Low</v>
      </c>
      <c r="P614" t="str">
        <f t="shared" si="56"/>
        <v>High</v>
      </c>
      <c r="Q614" t="str">
        <f t="shared" si="57"/>
        <v>Low Loan</v>
      </c>
      <c r="R614">
        <f t="shared" si="58"/>
        <v>26400000</v>
      </c>
      <c r="S614" t="str">
        <f t="shared" si="59"/>
        <v>Strong</v>
      </c>
    </row>
    <row r="615" spans="1:19" x14ac:dyDescent="0.25">
      <c r="A615">
        <v>614</v>
      </c>
      <c r="B615">
        <v>2</v>
      </c>
      <c r="C615" t="s">
        <v>30</v>
      </c>
      <c r="D615" t="s">
        <v>33</v>
      </c>
      <c r="E615">
        <v>3500000</v>
      </c>
      <c r="F615">
        <v>8100000</v>
      </c>
      <c r="G615">
        <v>4</v>
      </c>
      <c r="H615">
        <v>589</v>
      </c>
      <c r="I615">
        <v>3800000</v>
      </c>
      <c r="J615">
        <v>6700000</v>
      </c>
      <c r="K615">
        <v>12500000</v>
      </c>
      <c r="L615">
        <v>2700000</v>
      </c>
      <c r="M615" t="s">
        <v>34</v>
      </c>
      <c r="N615">
        <f t="shared" si="55"/>
        <v>1</v>
      </c>
      <c r="O615" t="str">
        <f t="shared" si="54"/>
        <v>Low</v>
      </c>
      <c r="P615" t="str">
        <f t="shared" si="56"/>
        <v>High</v>
      </c>
      <c r="Q615" t="str">
        <f t="shared" si="57"/>
        <v>Low Loan</v>
      </c>
      <c r="R615">
        <f t="shared" si="58"/>
        <v>25700000</v>
      </c>
      <c r="S615" t="str">
        <f t="shared" si="59"/>
        <v>Strong</v>
      </c>
    </row>
    <row r="616" spans="1:19" x14ac:dyDescent="0.25">
      <c r="A616">
        <v>615</v>
      </c>
      <c r="B616">
        <v>1</v>
      </c>
      <c r="C616" t="s">
        <v>30</v>
      </c>
      <c r="D616" t="s">
        <v>32</v>
      </c>
      <c r="E616">
        <v>6200000</v>
      </c>
      <c r="F616">
        <v>19500000</v>
      </c>
      <c r="G616">
        <v>12</v>
      </c>
      <c r="H616">
        <v>845</v>
      </c>
      <c r="I616">
        <v>9100000</v>
      </c>
      <c r="J616">
        <v>2900000</v>
      </c>
      <c r="K616">
        <v>15300000</v>
      </c>
      <c r="L616">
        <v>4000000</v>
      </c>
      <c r="M616" t="s">
        <v>34</v>
      </c>
      <c r="N616">
        <f t="shared" si="55"/>
        <v>1</v>
      </c>
      <c r="O616" t="str">
        <f t="shared" si="54"/>
        <v>Excellent</v>
      </c>
      <c r="P616" t="str">
        <f t="shared" si="56"/>
        <v>High</v>
      </c>
      <c r="Q616" t="str">
        <f t="shared" si="57"/>
        <v>Low Loan</v>
      </c>
      <c r="R616">
        <f t="shared" si="58"/>
        <v>31300000</v>
      </c>
      <c r="S616" t="str">
        <f t="shared" si="59"/>
        <v>Strong</v>
      </c>
    </row>
    <row r="617" spans="1:19" x14ac:dyDescent="0.25">
      <c r="A617">
        <v>616</v>
      </c>
      <c r="B617">
        <v>3</v>
      </c>
      <c r="C617" t="s">
        <v>31</v>
      </c>
      <c r="D617" t="s">
        <v>32</v>
      </c>
      <c r="E617">
        <v>5200000</v>
      </c>
      <c r="F617">
        <v>17300000</v>
      </c>
      <c r="G617">
        <v>10</v>
      </c>
      <c r="H617">
        <v>401</v>
      </c>
      <c r="I617">
        <v>2600000</v>
      </c>
      <c r="J617">
        <v>1400000</v>
      </c>
      <c r="K617">
        <v>12700000</v>
      </c>
      <c r="L617">
        <v>6400000</v>
      </c>
      <c r="M617" t="s">
        <v>35</v>
      </c>
      <c r="N617">
        <f t="shared" si="55"/>
        <v>0</v>
      </c>
      <c r="O617" t="str">
        <f t="shared" si="54"/>
        <v>Low</v>
      </c>
      <c r="P617" t="str">
        <f t="shared" si="56"/>
        <v>High</v>
      </c>
      <c r="Q617" t="str">
        <f t="shared" si="57"/>
        <v>Low Loan</v>
      </c>
      <c r="R617">
        <f t="shared" si="58"/>
        <v>23100000</v>
      </c>
      <c r="S617" t="str">
        <f t="shared" si="59"/>
        <v>Strong</v>
      </c>
    </row>
    <row r="618" spans="1:19" x14ac:dyDescent="0.25">
      <c r="A618">
        <v>617</v>
      </c>
      <c r="B618">
        <v>0</v>
      </c>
      <c r="C618" t="s">
        <v>31</v>
      </c>
      <c r="D618" t="s">
        <v>32</v>
      </c>
      <c r="E618">
        <v>4500000</v>
      </c>
      <c r="F618">
        <v>14500000</v>
      </c>
      <c r="G618">
        <v>2</v>
      </c>
      <c r="H618">
        <v>766</v>
      </c>
      <c r="I618">
        <v>6100000</v>
      </c>
      <c r="J618">
        <v>8400000</v>
      </c>
      <c r="K618">
        <v>17200000</v>
      </c>
      <c r="L618">
        <v>6600000</v>
      </c>
      <c r="M618" t="s">
        <v>34</v>
      </c>
      <c r="N618">
        <f t="shared" si="55"/>
        <v>1</v>
      </c>
      <c r="O618" t="str">
        <f t="shared" si="54"/>
        <v>Excellent</v>
      </c>
      <c r="P618" t="str">
        <f t="shared" si="56"/>
        <v>High</v>
      </c>
      <c r="Q618" t="str">
        <f t="shared" si="57"/>
        <v>Low Loan</v>
      </c>
      <c r="R618">
        <f t="shared" si="58"/>
        <v>38300000</v>
      </c>
      <c r="S618" t="str">
        <f t="shared" si="59"/>
        <v>Strong</v>
      </c>
    </row>
    <row r="619" spans="1:19" x14ac:dyDescent="0.25">
      <c r="A619">
        <v>618</v>
      </c>
      <c r="B619">
        <v>5</v>
      </c>
      <c r="C619" t="s">
        <v>31</v>
      </c>
      <c r="D619" t="s">
        <v>32</v>
      </c>
      <c r="E619">
        <v>5400000</v>
      </c>
      <c r="F619">
        <v>15100000</v>
      </c>
      <c r="G619">
        <v>12</v>
      </c>
      <c r="H619">
        <v>522</v>
      </c>
      <c r="I619">
        <v>5200000</v>
      </c>
      <c r="J619">
        <v>4700000</v>
      </c>
      <c r="K619">
        <v>13900000</v>
      </c>
      <c r="L619">
        <v>5700000</v>
      </c>
      <c r="M619" t="s">
        <v>35</v>
      </c>
      <c r="N619">
        <f t="shared" si="55"/>
        <v>0</v>
      </c>
      <c r="O619" t="str">
        <f t="shared" si="54"/>
        <v>Low</v>
      </c>
      <c r="P619" t="str">
        <f t="shared" si="56"/>
        <v>High</v>
      </c>
      <c r="Q619" t="str">
        <f t="shared" si="57"/>
        <v>Low Loan</v>
      </c>
      <c r="R619">
        <f t="shared" si="58"/>
        <v>29500000</v>
      </c>
      <c r="S619" t="str">
        <f t="shared" si="59"/>
        <v>Strong</v>
      </c>
    </row>
    <row r="620" spans="1:19" x14ac:dyDescent="0.25">
      <c r="A620">
        <v>619</v>
      </c>
      <c r="B620">
        <v>3</v>
      </c>
      <c r="C620" t="s">
        <v>31</v>
      </c>
      <c r="D620" t="s">
        <v>33</v>
      </c>
      <c r="E620">
        <v>2000000</v>
      </c>
      <c r="F620">
        <v>6900000</v>
      </c>
      <c r="G620">
        <v>6</v>
      </c>
      <c r="H620">
        <v>834</v>
      </c>
      <c r="I620">
        <v>2200000</v>
      </c>
      <c r="J620">
        <v>2800000</v>
      </c>
      <c r="K620">
        <v>6400000</v>
      </c>
      <c r="L620">
        <v>3000000</v>
      </c>
      <c r="M620" t="s">
        <v>34</v>
      </c>
      <c r="N620">
        <f t="shared" si="55"/>
        <v>1</v>
      </c>
      <c r="O620" t="str">
        <f t="shared" si="54"/>
        <v>Excellent</v>
      </c>
      <c r="P620" t="str">
        <f t="shared" si="56"/>
        <v>High</v>
      </c>
      <c r="Q620" t="str">
        <f t="shared" si="57"/>
        <v>Low Loan</v>
      </c>
      <c r="R620">
        <f t="shared" si="58"/>
        <v>14400000</v>
      </c>
      <c r="S620" t="str">
        <f t="shared" si="59"/>
        <v>Strong</v>
      </c>
    </row>
    <row r="621" spans="1:19" x14ac:dyDescent="0.25">
      <c r="A621">
        <v>620</v>
      </c>
      <c r="B621">
        <v>3</v>
      </c>
      <c r="C621" t="s">
        <v>30</v>
      </c>
      <c r="D621" t="s">
        <v>32</v>
      </c>
      <c r="E621">
        <v>8900000</v>
      </c>
      <c r="F621">
        <v>25400000</v>
      </c>
      <c r="G621">
        <v>8</v>
      </c>
      <c r="H621">
        <v>588</v>
      </c>
      <c r="I621">
        <v>19400000</v>
      </c>
      <c r="J621">
        <v>12100000</v>
      </c>
      <c r="K621">
        <v>18800000</v>
      </c>
      <c r="L621">
        <v>4500000</v>
      </c>
      <c r="M621" t="s">
        <v>34</v>
      </c>
      <c r="N621">
        <f t="shared" si="55"/>
        <v>1</v>
      </c>
      <c r="O621" t="str">
        <f t="shared" si="54"/>
        <v>Low</v>
      </c>
      <c r="P621" t="str">
        <f t="shared" si="56"/>
        <v>High</v>
      </c>
      <c r="Q621" t="str">
        <f t="shared" si="57"/>
        <v>High Loan</v>
      </c>
      <c r="R621">
        <f t="shared" si="58"/>
        <v>54800000</v>
      </c>
      <c r="S621" t="str">
        <f t="shared" si="59"/>
        <v>Strong</v>
      </c>
    </row>
    <row r="622" spans="1:19" x14ac:dyDescent="0.25">
      <c r="A622">
        <v>621</v>
      </c>
      <c r="B622">
        <v>2</v>
      </c>
      <c r="C622" t="s">
        <v>30</v>
      </c>
      <c r="D622" t="s">
        <v>32</v>
      </c>
      <c r="E622">
        <v>5000000</v>
      </c>
      <c r="F622">
        <v>10600000</v>
      </c>
      <c r="G622">
        <v>4</v>
      </c>
      <c r="H622">
        <v>570</v>
      </c>
      <c r="I622">
        <v>11900000</v>
      </c>
      <c r="J622">
        <v>900000</v>
      </c>
      <c r="K622">
        <v>14800000</v>
      </c>
      <c r="L622">
        <v>7100000</v>
      </c>
      <c r="M622" t="s">
        <v>34</v>
      </c>
      <c r="N622">
        <f t="shared" si="55"/>
        <v>1</v>
      </c>
      <c r="O622" t="str">
        <f t="shared" si="54"/>
        <v>Low</v>
      </c>
      <c r="P622" t="str">
        <f t="shared" si="56"/>
        <v>High</v>
      </c>
      <c r="Q622" t="str">
        <f t="shared" si="57"/>
        <v>Low Loan</v>
      </c>
      <c r="R622">
        <f t="shared" si="58"/>
        <v>34700000</v>
      </c>
      <c r="S622" t="str">
        <f t="shared" si="59"/>
        <v>Strong</v>
      </c>
    </row>
    <row r="623" spans="1:19" x14ac:dyDescent="0.25">
      <c r="A623">
        <v>622</v>
      </c>
      <c r="B623">
        <v>2</v>
      </c>
      <c r="C623" t="s">
        <v>30</v>
      </c>
      <c r="D623" t="s">
        <v>32</v>
      </c>
      <c r="E623">
        <v>4900000</v>
      </c>
      <c r="F623">
        <v>17600000</v>
      </c>
      <c r="G623">
        <v>6</v>
      </c>
      <c r="H623">
        <v>860</v>
      </c>
      <c r="I623">
        <v>13600000</v>
      </c>
      <c r="J623">
        <v>7500000</v>
      </c>
      <c r="K623">
        <v>12700000</v>
      </c>
      <c r="L623">
        <v>5600000</v>
      </c>
      <c r="M623" t="s">
        <v>34</v>
      </c>
      <c r="N623">
        <f t="shared" si="55"/>
        <v>1</v>
      </c>
      <c r="O623" t="str">
        <f t="shared" si="54"/>
        <v>Excellent</v>
      </c>
      <c r="P623" t="str">
        <f t="shared" si="56"/>
        <v>High</v>
      </c>
      <c r="Q623" t="str">
        <f t="shared" si="57"/>
        <v>Low Loan</v>
      </c>
      <c r="R623">
        <f t="shared" si="58"/>
        <v>39400000</v>
      </c>
      <c r="S623" t="str">
        <f t="shared" si="59"/>
        <v>Strong</v>
      </c>
    </row>
    <row r="624" spans="1:19" x14ac:dyDescent="0.25">
      <c r="A624">
        <v>623</v>
      </c>
      <c r="B624">
        <v>4</v>
      </c>
      <c r="C624" t="s">
        <v>30</v>
      </c>
      <c r="D624" t="s">
        <v>33</v>
      </c>
      <c r="E624">
        <v>5300000</v>
      </c>
      <c r="F624">
        <v>19200000</v>
      </c>
      <c r="G624">
        <v>4</v>
      </c>
      <c r="H624">
        <v>655</v>
      </c>
      <c r="I624">
        <v>14200000</v>
      </c>
      <c r="J624">
        <v>6900000</v>
      </c>
      <c r="K624">
        <v>17800000</v>
      </c>
      <c r="L624">
        <v>3900000</v>
      </c>
      <c r="M624" t="s">
        <v>34</v>
      </c>
      <c r="N624">
        <f t="shared" si="55"/>
        <v>1</v>
      </c>
      <c r="O624" t="str">
        <f t="shared" si="54"/>
        <v>Medium</v>
      </c>
      <c r="P624" t="str">
        <f t="shared" si="56"/>
        <v>High</v>
      </c>
      <c r="Q624" t="str">
        <f t="shared" si="57"/>
        <v>Low Loan</v>
      </c>
      <c r="R624">
        <f t="shared" si="58"/>
        <v>42800000</v>
      </c>
      <c r="S624" t="str">
        <f t="shared" si="59"/>
        <v>Strong</v>
      </c>
    </row>
    <row r="625" spans="1:19" x14ac:dyDescent="0.25">
      <c r="A625">
        <v>624</v>
      </c>
      <c r="B625">
        <v>3</v>
      </c>
      <c r="C625" t="s">
        <v>31</v>
      </c>
      <c r="D625" t="s">
        <v>33</v>
      </c>
      <c r="E625">
        <v>8500000</v>
      </c>
      <c r="F625">
        <v>27700000</v>
      </c>
      <c r="G625">
        <v>4</v>
      </c>
      <c r="H625">
        <v>457</v>
      </c>
      <c r="I625">
        <v>3600000</v>
      </c>
      <c r="J625">
        <v>400000</v>
      </c>
      <c r="K625">
        <v>18900000</v>
      </c>
      <c r="L625">
        <v>5200000</v>
      </c>
      <c r="M625" t="s">
        <v>34</v>
      </c>
      <c r="N625">
        <f t="shared" si="55"/>
        <v>1</v>
      </c>
      <c r="O625" t="str">
        <f t="shared" si="54"/>
        <v>Low</v>
      </c>
      <c r="P625" t="str">
        <f t="shared" si="56"/>
        <v>High</v>
      </c>
      <c r="Q625" t="str">
        <f t="shared" si="57"/>
        <v>High Loan</v>
      </c>
      <c r="R625">
        <f t="shared" si="58"/>
        <v>28100000</v>
      </c>
      <c r="S625" t="str">
        <f t="shared" si="59"/>
        <v>Strong</v>
      </c>
    </row>
    <row r="626" spans="1:19" x14ac:dyDescent="0.25">
      <c r="A626">
        <v>625</v>
      </c>
      <c r="B626">
        <v>5</v>
      </c>
      <c r="C626" t="s">
        <v>30</v>
      </c>
      <c r="D626" t="s">
        <v>33</v>
      </c>
      <c r="E626">
        <v>700000</v>
      </c>
      <c r="F626">
        <v>2100000</v>
      </c>
      <c r="G626">
        <v>14</v>
      </c>
      <c r="H626">
        <v>863</v>
      </c>
      <c r="I626">
        <v>100000</v>
      </c>
      <c r="J626">
        <v>1200000</v>
      </c>
      <c r="K626">
        <v>2700000</v>
      </c>
      <c r="L626">
        <v>600000</v>
      </c>
      <c r="M626" t="s">
        <v>34</v>
      </c>
      <c r="N626">
        <f t="shared" si="55"/>
        <v>1</v>
      </c>
      <c r="O626" t="str">
        <f t="shared" si="54"/>
        <v>Excellent</v>
      </c>
      <c r="P626" t="str">
        <f t="shared" si="56"/>
        <v>High</v>
      </c>
      <c r="Q626" t="str">
        <f t="shared" si="57"/>
        <v>Low Loan</v>
      </c>
      <c r="R626">
        <f t="shared" si="58"/>
        <v>4600000</v>
      </c>
      <c r="S626" t="str">
        <f t="shared" si="59"/>
        <v>Weak</v>
      </c>
    </row>
    <row r="627" spans="1:19" x14ac:dyDescent="0.25">
      <c r="A627">
        <v>626</v>
      </c>
      <c r="B627">
        <v>3</v>
      </c>
      <c r="C627" t="s">
        <v>31</v>
      </c>
      <c r="D627" t="s">
        <v>33</v>
      </c>
      <c r="E627">
        <v>5900000</v>
      </c>
      <c r="F627">
        <v>18900000</v>
      </c>
      <c r="G627">
        <v>4</v>
      </c>
      <c r="H627">
        <v>742</v>
      </c>
      <c r="I627">
        <v>10800000</v>
      </c>
      <c r="J627">
        <v>4500000</v>
      </c>
      <c r="K627">
        <v>23200000</v>
      </c>
      <c r="L627">
        <v>8000000</v>
      </c>
      <c r="M627" t="s">
        <v>34</v>
      </c>
      <c r="N627">
        <f t="shared" si="55"/>
        <v>1</v>
      </c>
      <c r="O627" t="str">
        <f t="shared" si="54"/>
        <v>Good</v>
      </c>
      <c r="P627" t="str">
        <f t="shared" si="56"/>
        <v>High</v>
      </c>
      <c r="Q627" t="str">
        <f t="shared" si="57"/>
        <v>Low Loan</v>
      </c>
      <c r="R627">
        <f t="shared" si="58"/>
        <v>46500000</v>
      </c>
      <c r="S627" t="str">
        <f t="shared" si="59"/>
        <v>Strong</v>
      </c>
    </row>
    <row r="628" spans="1:19" x14ac:dyDescent="0.25">
      <c r="A628">
        <v>627</v>
      </c>
      <c r="B628">
        <v>3</v>
      </c>
      <c r="C628" t="s">
        <v>30</v>
      </c>
      <c r="D628" t="s">
        <v>32</v>
      </c>
      <c r="E628">
        <v>3500000</v>
      </c>
      <c r="F628">
        <v>13300000</v>
      </c>
      <c r="G628">
        <v>4</v>
      </c>
      <c r="H628">
        <v>798</v>
      </c>
      <c r="I628">
        <v>7400000</v>
      </c>
      <c r="J628">
        <v>5300000</v>
      </c>
      <c r="K628">
        <v>12100000</v>
      </c>
      <c r="L628">
        <v>3600000</v>
      </c>
      <c r="M628" t="s">
        <v>34</v>
      </c>
      <c r="N628">
        <f t="shared" si="55"/>
        <v>1</v>
      </c>
      <c r="O628" t="str">
        <f t="shared" si="54"/>
        <v>Excellent</v>
      </c>
      <c r="P628" t="str">
        <f t="shared" si="56"/>
        <v>High</v>
      </c>
      <c r="Q628" t="str">
        <f t="shared" si="57"/>
        <v>Low Loan</v>
      </c>
      <c r="R628">
        <f t="shared" si="58"/>
        <v>28400000</v>
      </c>
      <c r="S628" t="str">
        <f t="shared" si="59"/>
        <v>Strong</v>
      </c>
    </row>
    <row r="629" spans="1:19" x14ac:dyDescent="0.25">
      <c r="A629">
        <v>628</v>
      </c>
      <c r="B629">
        <v>5</v>
      </c>
      <c r="C629" t="s">
        <v>31</v>
      </c>
      <c r="D629" t="s">
        <v>33</v>
      </c>
      <c r="E629">
        <v>7700000</v>
      </c>
      <c r="F629">
        <v>18900000</v>
      </c>
      <c r="G629">
        <v>16</v>
      </c>
      <c r="H629">
        <v>552</v>
      </c>
      <c r="I629">
        <v>15600000</v>
      </c>
      <c r="J629">
        <v>6100000</v>
      </c>
      <c r="K629">
        <v>23900000</v>
      </c>
      <c r="L629">
        <v>6600000</v>
      </c>
      <c r="M629" t="s">
        <v>34</v>
      </c>
      <c r="N629">
        <f t="shared" si="55"/>
        <v>1</v>
      </c>
      <c r="O629" t="str">
        <f t="shared" si="54"/>
        <v>Low</v>
      </c>
      <c r="P629" t="str">
        <f t="shared" si="56"/>
        <v>High</v>
      </c>
      <c r="Q629" t="str">
        <f t="shared" si="57"/>
        <v>Low Loan</v>
      </c>
      <c r="R629">
        <f t="shared" si="58"/>
        <v>52200000</v>
      </c>
      <c r="S629" t="str">
        <f t="shared" si="59"/>
        <v>Strong</v>
      </c>
    </row>
    <row r="630" spans="1:19" x14ac:dyDescent="0.25">
      <c r="A630">
        <v>629</v>
      </c>
      <c r="B630">
        <v>2</v>
      </c>
      <c r="C630" t="s">
        <v>31</v>
      </c>
      <c r="D630" t="s">
        <v>33</v>
      </c>
      <c r="E630">
        <v>4500000</v>
      </c>
      <c r="F630">
        <v>12500000</v>
      </c>
      <c r="G630">
        <v>12</v>
      </c>
      <c r="H630">
        <v>418</v>
      </c>
      <c r="I630">
        <v>400000</v>
      </c>
      <c r="J630">
        <v>4300000</v>
      </c>
      <c r="K630">
        <v>12400000</v>
      </c>
      <c r="L630">
        <v>4300000</v>
      </c>
      <c r="M630" t="s">
        <v>35</v>
      </c>
      <c r="N630">
        <f t="shared" si="55"/>
        <v>0</v>
      </c>
      <c r="O630" t="str">
        <f t="shared" si="54"/>
        <v>Low</v>
      </c>
      <c r="P630" t="str">
        <f t="shared" si="56"/>
        <v>High</v>
      </c>
      <c r="Q630" t="str">
        <f t="shared" si="57"/>
        <v>Low Loan</v>
      </c>
      <c r="R630">
        <f t="shared" si="58"/>
        <v>21400000</v>
      </c>
      <c r="S630" t="str">
        <f t="shared" si="59"/>
        <v>Strong</v>
      </c>
    </row>
    <row r="631" spans="1:19" x14ac:dyDescent="0.25">
      <c r="A631">
        <v>630</v>
      </c>
      <c r="B631">
        <v>0</v>
      </c>
      <c r="C631" t="s">
        <v>30</v>
      </c>
      <c r="D631" t="s">
        <v>32</v>
      </c>
      <c r="E631">
        <v>9100000</v>
      </c>
      <c r="F631">
        <v>22200000</v>
      </c>
      <c r="G631">
        <v>6</v>
      </c>
      <c r="H631">
        <v>419</v>
      </c>
      <c r="I631">
        <v>7400000</v>
      </c>
      <c r="J631">
        <v>600000</v>
      </c>
      <c r="K631">
        <v>18200000</v>
      </c>
      <c r="L631">
        <v>9800000</v>
      </c>
      <c r="M631" t="s">
        <v>35</v>
      </c>
      <c r="N631">
        <f t="shared" si="55"/>
        <v>0</v>
      </c>
      <c r="O631" t="str">
        <f t="shared" si="54"/>
        <v>Low</v>
      </c>
      <c r="P631" t="str">
        <f t="shared" si="56"/>
        <v>High</v>
      </c>
      <c r="Q631" t="str">
        <f t="shared" si="57"/>
        <v>High Loan</v>
      </c>
      <c r="R631">
        <f t="shared" si="58"/>
        <v>36000000</v>
      </c>
      <c r="S631" t="str">
        <f t="shared" si="59"/>
        <v>Strong</v>
      </c>
    </row>
    <row r="632" spans="1:19" x14ac:dyDescent="0.25">
      <c r="A632">
        <v>631</v>
      </c>
      <c r="B632">
        <v>1</v>
      </c>
      <c r="C632" t="s">
        <v>31</v>
      </c>
      <c r="D632" t="s">
        <v>33</v>
      </c>
      <c r="E632">
        <v>9000000</v>
      </c>
      <c r="F632">
        <v>29900000</v>
      </c>
      <c r="G632">
        <v>2</v>
      </c>
      <c r="H632">
        <v>668</v>
      </c>
      <c r="I632">
        <v>22100000</v>
      </c>
      <c r="J632">
        <v>7200000</v>
      </c>
      <c r="K632">
        <v>24400000</v>
      </c>
      <c r="L632">
        <v>4700000</v>
      </c>
      <c r="M632" t="s">
        <v>34</v>
      </c>
      <c r="N632">
        <f t="shared" si="55"/>
        <v>1</v>
      </c>
      <c r="O632" t="str">
        <f t="shared" si="54"/>
        <v>Medium</v>
      </c>
      <c r="P632" t="str">
        <f t="shared" si="56"/>
        <v>High</v>
      </c>
      <c r="Q632" t="str">
        <f t="shared" si="57"/>
        <v>High Loan</v>
      </c>
      <c r="R632">
        <f t="shared" si="58"/>
        <v>58400000</v>
      </c>
      <c r="S632" t="str">
        <f t="shared" si="59"/>
        <v>Strong</v>
      </c>
    </row>
    <row r="633" spans="1:19" x14ac:dyDescent="0.25">
      <c r="A633">
        <v>632</v>
      </c>
      <c r="B633">
        <v>2</v>
      </c>
      <c r="C633" t="s">
        <v>31</v>
      </c>
      <c r="D633" t="s">
        <v>32</v>
      </c>
      <c r="E633">
        <v>8900000</v>
      </c>
      <c r="F633">
        <v>29200000</v>
      </c>
      <c r="G633">
        <v>8</v>
      </c>
      <c r="H633">
        <v>608</v>
      </c>
      <c r="I633">
        <v>10800000</v>
      </c>
      <c r="J633">
        <v>5200000</v>
      </c>
      <c r="K633">
        <v>33500000</v>
      </c>
      <c r="L633">
        <v>11700000</v>
      </c>
      <c r="M633" t="s">
        <v>34</v>
      </c>
      <c r="N633">
        <f t="shared" si="55"/>
        <v>1</v>
      </c>
      <c r="O633" t="str">
        <f t="shared" si="54"/>
        <v>Low</v>
      </c>
      <c r="P633" t="str">
        <f t="shared" si="56"/>
        <v>High</v>
      </c>
      <c r="Q633" t="str">
        <f t="shared" si="57"/>
        <v>High Loan</v>
      </c>
      <c r="R633">
        <f t="shared" si="58"/>
        <v>61200000</v>
      </c>
      <c r="S633" t="str">
        <f t="shared" si="59"/>
        <v>Strong</v>
      </c>
    </row>
    <row r="634" spans="1:19" x14ac:dyDescent="0.25">
      <c r="A634">
        <v>633</v>
      </c>
      <c r="B634">
        <v>5</v>
      </c>
      <c r="C634" t="s">
        <v>31</v>
      </c>
      <c r="D634" t="s">
        <v>32</v>
      </c>
      <c r="E634">
        <v>6500000</v>
      </c>
      <c r="F634">
        <v>13800000</v>
      </c>
      <c r="G634">
        <v>10</v>
      </c>
      <c r="H634">
        <v>342</v>
      </c>
      <c r="I634">
        <v>15300000</v>
      </c>
      <c r="J634">
        <v>2300000</v>
      </c>
      <c r="K634">
        <v>14400000</v>
      </c>
      <c r="L634">
        <v>7300000</v>
      </c>
      <c r="M634" t="s">
        <v>35</v>
      </c>
      <c r="N634">
        <f t="shared" si="55"/>
        <v>0</v>
      </c>
      <c r="O634" t="str">
        <f t="shared" si="54"/>
        <v>Low</v>
      </c>
      <c r="P634" t="str">
        <f t="shared" si="56"/>
        <v>High</v>
      </c>
      <c r="Q634" t="str">
        <f t="shared" si="57"/>
        <v>Low Loan</v>
      </c>
      <c r="R634">
        <f t="shared" si="58"/>
        <v>39300000</v>
      </c>
      <c r="S634" t="str">
        <f t="shared" si="59"/>
        <v>Strong</v>
      </c>
    </row>
    <row r="635" spans="1:19" x14ac:dyDescent="0.25">
      <c r="A635">
        <v>634</v>
      </c>
      <c r="B635">
        <v>4</v>
      </c>
      <c r="C635" t="s">
        <v>31</v>
      </c>
      <c r="D635" t="s">
        <v>33</v>
      </c>
      <c r="E635">
        <v>8100000</v>
      </c>
      <c r="F635">
        <v>18000000</v>
      </c>
      <c r="G635">
        <v>8</v>
      </c>
      <c r="H635">
        <v>817</v>
      </c>
      <c r="I635">
        <v>1400000</v>
      </c>
      <c r="J635">
        <v>7800000</v>
      </c>
      <c r="K635">
        <v>16900000</v>
      </c>
      <c r="L635">
        <v>10800000</v>
      </c>
      <c r="M635" t="s">
        <v>34</v>
      </c>
      <c r="N635">
        <f t="shared" si="55"/>
        <v>1</v>
      </c>
      <c r="O635" t="str">
        <f t="shared" si="54"/>
        <v>Excellent</v>
      </c>
      <c r="P635" t="str">
        <f t="shared" si="56"/>
        <v>High</v>
      </c>
      <c r="Q635" t="str">
        <f t="shared" si="57"/>
        <v>Low Loan</v>
      </c>
      <c r="R635">
        <f t="shared" si="58"/>
        <v>36900000</v>
      </c>
      <c r="S635" t="str">
        <f t="shared" si="59"/>
        <v>Strong</v>
      </c>
    </row>
    <row r="636" spans="1:19" x14ac:dyDescent="0.25">
      <c r="A636">
        <v>635</v>
      </c>
      <c r="B636">
        <v>1</v>
      </c>
      <c r="C636" t="s">
        <v>31</v>
      </c>
      <c r="D636" t="s">
        <v>32</v>
      </c>
      <c r="E636">
        <v>8400000</v>
      </c>
      <c r="F636">
        <v>29900000</v>
      </c>
      <c r="G636">
        <v>16</v>
      </c>
      <c r="H636">
        <v>476</v>
      </c>
      <c r="I636">
        <v>16100000</v>
      </c>
      <c r="J636">
        <v>2400000</v>
      </c>
      <c r="K636">
        <v>32700000</v>
      </c>
      <c r="L636">
        <v>7500000</v>
      </c>
      <c r="M636" t="s">
        <v>35</v>
      </c>
      <c r="N636">
        <f t="shared" si="55"/>
        <v>0</v>
      </c>
      <c r="O636" t="str">
        <f t="shared" si="54"/>
        <v>Low</v>
      </c>
      <c r="P636" t="str">
        <f t="shared" si="56"/>
        <v>High</v>
      </c>
      <c r="Q636" t="str">
        <f t="shared" si="57"/>
        <v>High Loan</v>
      </c>
      <c r="R636">
        <f t="shared" si="58"/>
        <v>58700000</v>
      </c>
      <c r="S636" t="str">
        <f t="shared" si="59"/>
        <v>Strong</v>
      </c>
    </row>
    <row r="637" spans="1:19" x14ac:dyDescent="0.25">
      <c r="A637">
        <v>636</v>
      </c>
      <c r="B637">
        <v>0</v>
      </c>
      <c r="C637" t="s">
        <v>31</v>
      </c>
      <c r="D637" t="s">
        <v>32</v>
      </c>
      <c r="E637">
        <v>5300000</v>
      </c>
      <c r="F637">
        <v>20000000</v>
      </c>
      <c r="G637">
        <v>6</v>
      </c>
      <c r="H637">
        <v>881</v>
      </c>
      <c r="I637">
        <v>15900000</v>
      </c>
      <c r="J637">
        <v>3700000</v>
      </c>
      <c r="K637">
        <v>19500000</v>
      </c>
      <c r="L637">
        <v>4000000</v>
      </c>
      <c r="M637" t="s">
        <v>34</v>
      </c>
      <c r="N637">
        <f t="shared" si="55"/>
        <v>1</v>
      </c>
      <c r="O637" t="str">
        <f t="shared" si="54"/>
        <v>Excellent</v>
      </c>
      <c r="P637" t="str">
        <f t="shared" si="56"/>
        <v>High</v>
      </c>
      <c r="Q637" t="str">
        <f t="shared" si="57"/>
        <v>High Loan</v>
      </c>
      <c r="R637">
        <f t="shared" si="58"/>
        <v>43100000</v>
      </c>
      <c r="S637" t="str">
        <f t="shared" si="59"/>
        <v>Strong</v>
      </c>
    </row>
    <row r="638" spans="1:19" x14ac:dyDescent="0.25">
      <c r="A638">
        <v>637</v>
      </c>
      <c r="B638">
        <v>2</v>
      </c>
      <c r="C638" t="s">
        <v>30</v>
      </c>
      <c r="D638" t="s">
        <v>32</v>
      </c>
      <c r="E638">
        <v>4100000</v>
      </c>
      <c r="F638">
        <v>15600000</v>
      </c>
      <c r="G638">
        <v>12</v>
      </c>
      <c r="H638">
        <v>838</v>
      </c>
      <c r="I638">
        <v>5500000</v>
      </c>
      <c r="J638">
        <v>4800000</v>
      </c>
      <c r="K638">
        <v>15100000</v>
      </c>
      <c r="L638">
        <v>2700000</v>
      </c>
      <c r="M638" t="s">
        <v>34</v>
      </c>
      <c r="N638">
        <f t="shared" si="55"/>
        <v>1</v>
      </c>
      <c r="O638" t="str">
        <f t="shared" si="54"/>
        <v>Excellent</v>
      </c>
      <c r="P638" t="str">
        <f t="shared" si="56"/>
        <v>High</v>
      </c>
      <c r="Q638" t="str">
        <f t="shared" si="57"/>
        <v>Low Loan</v>
      </c>
      <c r="R638">
        <f t="shared" si="58"/>
        <v>28100000</v>
      </c>
      <c r="S638" t="str">
        <f t="shared" si="59"/>
        <v>Strong</v>
      </c>
    </row>
    <row r="639" spans="1:19" x14ac:dyDescent="0.25">
      <c r="A639">
        <v>638</v>
      </c>
      <c r="B639">
        <v>3</v>
      </c>
      <c r="C639" t="s">
        <v>31</v>
      </c>
      <c r="D639" t="s">
        <v>32</v>
      </c>
      <c r="E639">
        <v>6900000</v>
      </c>
      <c r="F639">
        <v>27400000</v>
      </c>
      <c r="G639">
        <v>4</v>
      </c>
      <c r="H639">
        <v>406</v>
      </c>
      <c r="I639">
        <v>10200000</v>
      </c>
      <c r="J639">
        <v>6500000</v>
      </c>
      <c r="K639">
        <v>23900000</v>
      </c>
      <c r="L639">
        <v>5300000</v>
      </c>
      <c r="M639" t="s">
        <v>34</v>
      </c>
      <c r="N639">
        <f t="shared" si="55"/>
        <v>1</v>
      </c>
      <c r="O639" t="str">
        <f t="shared" si="54"/>
        <v>Low</v>
      </c>
      <c r="P639" t="str">
        <f t="shared" si="56"/>
        <v>High</v>
      </c>
      <c r="Q639" t="str">
        <f t="shared" si="57"/>
        <v>High Loan</v>
      </c>
      <c r="R639">
        <f t="shared" si="58"/>
        <v>45900000</v>
      </c>
      <c r="S639" t="str">
        <f t="shared" si="59"/>
        <v>Strong</v>
      </c>
    </row>
    <row r="640" spans="1:19" x14ac:dyDescent="0.25">
      <c r="A640">
        <v>639</v>
      </c>
      <c r="B640">
        <v>1</v>
      </c>
      <c r="C640" t="s">
        <v>30</v>
      </c>
      <c r="D640" t="s">
        <v>33</v>
      </c>
      <c r="E640">
        <v>5200000</v>
      </c>
      <c r="F640">
        <v>19500000</v>
      </c>
      <c r="G640">
        <v>12</v>
      </c>
      <c r="H640">
        <v>778</v>
      </c>
      <c r="I640">
        <v>5200000</v>
      </c>
      <c r="J640">
        <v>4300000</v>
      </c>
      <c r="K640">
        <v>19900000</v>
      </c>
      <c r="L640">
        <v>5800000</v>
      </c>
      <c r="M640" t="s">
        <v>34</v>
      </c>
      <c r="N640">
        <f t="shared" si="55"/>
        <v>1</v>
      </c>
      <c r="O640" t="str">
        <f t="shared" si="54"/>
        <v>Excellent</v>
      </c>
      <c r="P640" t="str">
        <f t="shared" si="56"/>
        <v>High</v>
      </c>
      <c r="Q640" t="str">
        <f t="shared" si="57"/>
        <v>Low Loan</v>
      </c>
      <c r="R640">
        <f t="shared" si="58"/>
        <v>35200000</v>
      </c>
      <c r="S640" t="str">
        <f t="shared" si="59"/>
        <v>Strong</v>
      </c>
    </row>
    <row r="641" spans="1:19" x14ac:dyDescent="0.25">
      <c r="A641">
        <v>640</v>
      </c>
      <c r="B641">
        <v>5</v>
      </c>
      <c r="C641" t="s">
        <v>31</v>
      </c>
      <c r="D641" t="s">
        <v>33</v>
      </c>
      <c r="E641">
        <v>2000000</v>
      </c>
      <c r="F641">
        <v>7400000</v>
      </c>
      <c r="G641">
        <v>14</v>
      </c>
      <c r="H641">
        <v>799</v>
      </c>
      <c r="I641">
        <v>3600000</v>
      </c>
      <c r="J641">
        <v>3700000</v>
      </c>
      <c r="K641">
        <v>4300000</v>
      </c>
      <c r="L641">
        <v>1100000</v>
      </c>
      <c r="M641" t="s">
        <v>34</v>
      </c>
      <c r="N641">
        <f t="shared" si="55"/>
        <v>1</v>
      </c>
      <c r="O641" t="str">
        <f t="shared" si="54"/>
        <v>Excellent</v>
      </c>
      <c r="P641" t="str">
        <f t="shared" si="56"/>
        <v>High</v>
      </c>
      <c r="Q641" t="str">
        <f t="shared" si="57"/>
        <v>Low Loan</v>
      </c>
      <c r="R641">
        <f t="shared" si="58"/>
        <v>12700000</v>
      </c>
      <c r="S641" t="str">
        <f t="shared" si="59"/>
        <v>Strong</v>
      </c>
    </row>
    <row r="642" spans="1:19" x14ac:dyDescent="0.25">
      <c r="A642">
        <v>641</v>
      </c>
      <c r="B642">
        <v>3</v>
      </c>
      <c r="C642" t="s">
        <v>30</v>
      </c>
      <c r="D642" t="s">
        <v>32</v>
      </c>
      <c r="E642">
        <v>4600000</v>
      </c>
      <c r="F642">
        <v>17800000</v>
      </c>
      <c r="G642">
        <v>20</v>
      </c>
      <c r="H642">
        <v>716</v>
      </c>
      <c r="I642">
        <v>12600000</v>
      </c>
      <c r="J642">
        <v>2600000</v>
      </c>
      <c r="K642">
        <v>10800000</v>
      </c>
      <c r="L642">
        <v>4500000</v>
      </c>
      <c r="M642" t="s">
        <v>34</v>
      </c>
      <c r="N642">
        <f t="shared" si="55"/>
        <v>1</v>
      </c>
      <c r="O642" t="str">
        <f t="shared" ref="O642:O705" si="60">IF(H642&lt;650,"Low",
 IF(H642&lt;700,"Medium",
 IF(H642&lt;750,"Good","Excellent")))</f>
        <v>Good</v>
      </c>
      <c r="P642" t="str">
        <f t="shared" si="56"/>
        <v>High</v>
      </c>
      <c r="Q642" t="str">
        <f t="shared" si="57"/>
        <v>Low Loan</v>
      </c>
      <c r="R642">
        <f t="shared" si="58"/>
        <v>30500000</v>
      </c>
      <c r="S642" t="str">
        <f t="shared" si="59"/>
        <v>Strong</v>
      </c>
    </row>
    <row r="643" spans="1:19" x14ac:dyDescent="0.25">
      <c r="A643">
        <v>642</v>
      </c>
      <c r="B643">
        <v>0</v>
      </c>
      <c r="C643" t="s">
        <v>30</v>
      </c>
      <c r="D643" t="s">
        <v>33</v>
      </c>
      <c r="E643">
        <v>7100000</v>
      </c>
      <c r="F643">
        <v>20100000</v>
      </c>
      <c r="G643">
        <v>16</v>
      </c>
      <c r="H643">
        <v>756</v>
      </c>
      <c r="I643">
        <v>8000000</v>
      </c>
      <c r="J643">
        <v>5000000</v>
      </c>
      <c r="K643">
        <v>17600000</v>
      </c>
      <c r="L643">
        <v>5400000</v>
      </c>
      <c r="M643" t="s">
        <v>34</v>
      </c>
      <c r="N643">
        <f t="shared" ref="N643:N706" si="61">IF(TRIM(CLEAN(M643))="Approved",1,0)</f>
        <v>1</v>
      </c>
      <c r="O643" t="str">
        <f t="shared" si="60"/>
        <v>Excellent</v>
      </c>
      <c r="P643" t="str">
        <f t="shared" ref="P643:P706" si="62">IF(E643&lt;300000,"Low",
 IF(E643&lt;700000,"Middle","High"))</f>
        <v>High</v>
      </c>
      <c r="Q643" t="str">
        <f t="shared" ref="Q643:Q706" si="63">IF(F643&lt;20000000,"Low Loan","High Loan")</f>
        <v>High Loan</v>
      </c>
      <c r="R643">
        <f t="shared" ref="R643:R706" si="64">I643+J643+K643+L643</f>
        <v>36000000</v>
      </c>
      <c r="S643" t="str">
        <f t="shared" ref="S643:S706" si="65">IF(R643&lt;5000000,"Weak",
 IF(R643&lt;10000000,"Moderate","Strong"))</f>
        <v>Strong</v>
      </c>
    </row>
    <row r="644" spans="1:19" x14ac:dyDescent="0.25">
      <c r="A644">
        <v>643</v>
      </c>
      <c r="B644">
        <v>0</v>
      </c>
      <c r="C644" t="s">
        <v>31</v>
      </c>
      <c r="D644" t="s">
        <v>32</v>
      </c>
      <c r="E644">
        <v>9300000</v>
      </c>
      <c r="F644">
        <v>20100000</v>
      </c>
      <c r="G644">
        <v>10</v>
      </c>
      <c r="H644">
        <v>743</v>
      </c>
      <c r="I644">
        <v>4800000</v>
      </c>
      <c r="J644">
        <v>1800000</v>
      </c>
      <c r="K644">
        <v>21900000</v>
      </c>
      <c r="L644">
        <v>13600000</v>
      </c>
      <c r="M644" t="s">
        <v>34</v>
      </c>
      <c r="N644">
        <f t="shared" si="61"/>
        <v>1</v>
      </c>
      <c r="O644" t="str">
        <f t="shared" si="60"/>
        <v>Good</v>
      </c>
      <c r="P644" t="str">
        <f t="shared" si="62"/>
        <v>High</v>
      </c>
      <c r="Q644" t="str">
        <f t="shared" si="63"/>
        <v>High Loan</v>
      </c>
      <c r="R644">
        <f t="shared" si="64"/>
        <v>42100000</v>
      </c>
      <c r="S644" t="str">
        <f t="shared" si="65"/>
        <v>Strong</v>
      </c>
    </row>
    <row r="645" spans="1:19" x14ac:dyDescent="0.25">
      <c r="A645">
        <v>644</v>
      </c>
      <c r="B645">
        <v>3</v>
      </c>
      <c r="C645" t="s">
        <v>31</v>
      </c>
      <c r="D645" t="s">
        <v>32</v>
      </c>
      <c r="E645">
        <v>5400000</v>
      </c>
      <c r="F645">
        <v>19400000</v>
      </c>
      <c r="G645">
        <v>20</v>
      </c>
      <c r="H645">
        <v>731</v>
      </c>
      <c r="I645">
        <v>13800000</v>
      </c>
      <c r="J645">
        <v>3200000</v>
      </c>
      <c r="K645">
        <v>20000000</v>
      </c>
      <c r="L645">
        <v>4300000</v>
      </c>
      <c r="M645" t="s">
        <v>34</v>
      </c>
      <c r="N645">
        <f t="shared" si="61"/>
        <v>1</v>
      </c>
      <c r="O645" t="str">
        <f t="shared" si="60"/>
        <v>Good</v>
      </c>
      <c r="P645" t="str">
        <f t="shared" si="62"/>
        <v>High</v>
      </c>
      <c r="Q645" t="str">
        <f t="shared" si="63"/>
        <v>Low Loan</v>
      </c>
      <c r="R645">
        <f t="shared" si="64"/>
        <v>41300000</v>
      </c>
      <c r="S645" t="str">
        <f t="shared" si="65"/>
        <v>Strong</v>
      </c>
    </row>
    <row r="646" spans="1:19" x14ac:dyDescent="0.25">
      <c r="A646">
        <v>645</v>
      </c>
      <c r="B646">
        <v>3</v>
      </c>
      <c r="C646" t="s">
        <v>31</v>
      </c>
      <c r="D646" t="s">
        <v>32</v>
      </c>
      <c r="E646">
        <v>4100000</v>
      </c>
      <c r="F646">
        <v>8500000</v>
      </c>
      <c r="G646">
        <v>2</v>
      </c>
      <c r="H646">
        <v>833</v>
      </c>
      <c r="I646">
        <v>12000000</v>
      </c>
      <c r="J646">
        <v>0</v>
      </c>
      <c r="K646">
        <v>16200000</v>
      </c>
      <c r="L646">
        <v>3400000</v>
      </c>
      <c r="M646" t="s">
        <v>34</v>
      </c>
      <c r="N646">
        <f t="shared" si="61"/>
        <v>1</v>
      </c>
      <c r="O646" t="str">
        <f t="shared" si="60"/>
        <v>Excellent</v>
      </c>
      <c r="P646" t="str">
        <f t="shared" si="62"/>
        <v>High</v>
      </c>
      <c r="Q646" t="str">
        <f t="shared" si="63"/>
        <v>Low Loan</v>
      </c>
      <c r="R646">
        <f t="shared" si="64"/>
        <v>31600000</v>
      </c>
      <c r="S646" t="str">
        <f t="shared" si="65"/>
        <v>Strong</v>
      </c>
    </row>
    <row r="647" spans="1:19" x14ac:dyDescent="0.25">
      <c r="A647">
        <v>646</v>
      </c>
      <c r="B647">
        <v>4</v>
      </c>
      <c r="C647" t="s">
        <v>31</v>
      </c>
      <c r="D647" t="s">
        <v>32</v>
      </c>
      <c r="E647">
        <v>4900000</v>
      </c>
      <c r="F647">
        <v>11400000</v>
      </c>
      <c r="G647">
        <v>8</v>
      </c>
      <c r="H647">
        <v>470</v>
      </c>
      <c r="I647">
        <v>12000000</v>
      </c>
      <c r="J647">
        <v>7500000</v>
      </c>
      <c r="K647">
        <v>14700000</v>
      </c>
      <c r="L647">
        <v>4800000</v>
      </c>
      <c r="M647" t="s">
        <v>35</v>
      </c>
      <c r="N647">
        <f t="shared" si="61"/>
        <v>0</v>
      </c>
      <c r="O647" t="str">
        <f t="shared" si="60"/>
        <v>Low</v>
      </c>
      <c r="P647" t="str">
        <f t="shared" si="62"/>
        <v>High</v>
      </c>
      <c r="Q647" t="str">
        <f t="shared" si="63"/>
        <v>Low Loan</v>
      </c>
      <c r="R647">
        <f t="shared" si="64"/>
        <v>39000000</v>
      </c>
      <c r="S647" t="str">
        <f t="shared" si="65"/>
        <v>Strong</v>
      </c>
    </row>
    <row r="648" spans="1:19" x14ac:dyDescent="0.25">
      <c r="A648">
        <v>647</v>
      </c>
      <c r="B648">
        <v>5</v>
      </c>
      <c r="C648" t="s">
        <v>30</v>
      </c>
      <c r="D648" t="s">
        <v>33</v>
      </c>
      <c r="E648">
        <v>5400000</v>
      </c>
      <c r="F648">
        <v>21200000</v>
      </c>
      <c r="G648">
        <v>20</v>
      </c>
      <c r="H648">
        <v>734</v>
      </c>
      <c r="I648">
        <v>7300000</v>
      </c>
      <c r="J648">
        <v>1800000</v>
      </c>
      <c r="K648">
        <v>11500000</v>
      </c>
      <c r="L648">
        <v>7500000</v>
      </c>
      <c r="M648" t="s">
        <v>34</v>
      </c>
      <c r="N648">
        <f t="shared" si="61"/>
        <v>1</v>
      </c>
      <c r="O648" t="str">
        <f t="shared" si="60"/>
        <v>Good</v>
      </c>
      <c r="P648" t="str">
        <f t="shared" si="62"/>
        <v>High</v>
      </c>
      <c r="Q648" t="str">
        <f t="shared" si="63"/>
        <v>High Loan</v>
      </c>
      <c r="R648">
        <f t="shared" si="64"/>
        <v>28100000</v>
      </c>
      <c r="S648" t="str">
        <f t="shared" si="65"/>
        <v>Strong</v>
      </c>
    </row>
    <row r="649" spans="1:19" x14ac:dyDescent="0.25">
      <c r="A649">
        <v>648</v>
      </c>
      <c r="B649">
        <v>0</v>
      </c>
      <c r="C649" t="s">
        <v>30</v>
      </c>
      <c r="D649" t="s">
        <v>32</v>
      </c>
      <c r="E649">
        <v>3000000</v>
      </c>
      <c r="F649">
        <v>9600000</v>
      </c>
      <c r="G649">
        <v>12</v>
      </c>
      <c r="H649">
        <v>620</v>
      </c>
      <c r="I649">
        <v>7900000</v>
      </c>
      <c r="J649">
        <v>0</v>
      </c>
      <c r="K649">
        <v>8600000</v>
      </c>
      <c r="L649">
        <v>3600000</v>
      </c>
      <c r="M649" t="s">
        <v>34</v>
      </c>
      <c r="N649">
        <f t="shared" si="61"/>
        <v>1</v>
      </c>
      <c r="O649" t="str">
        <f t="shared" si="60"/>
        <v>Low</v>
      </c>
      <c r="P649" t="str">
        <f t="shared" si="62"/>
        <v>High</v>
      </c>
      <c r="Q649" t="str">
        <f t="shared" si="63"/>
        <v>Low Loan</v>
      </c>
      <c r="R649">
        <f t="shared" si="64"/>
        <v>20100000</v>
      </c>
      <c r="S649" t="str">
        <f t="shared" si="65"/>
        <v>Strong</v>
      </c>
    </row>
    <row r="650" spans="1:19" x14ac:dyDescent="0.25">
      <c r="A650">
        <v>649</v>
      </c>
      <c r="B650">
        <v>0</v>
      </c>
      <c r="C650" t="s">
        <v>31</v>
      </c>
      <c r="D650" t="s">
        <v>33</v>
      </c>
      <c r="E650">
        <v>6800000</v>
      </c>
      <c r="F650">
        <v>14400000</v>
      </c>
      <c r="G650">
        <v>8</v>
      </c>
      <c r="H650">
        <v>812</v>
      </c>
      <c r="I650">
        <v>15200000</v>
      </c>
      <c r="J650">
        <v>4500000</v>
      </c>
      <c r="K650">
        <v>21100000</v>
      </c>
      <c r="L650">
        <v>6400000</v>
      </c>
      <c r="M650" t="s">
        <v>34</v>
      </c>
      <c r="N650">
        <f t="shared" si="61"/>
        <v>1</v>
      </c>
      <c r="O650" t="str">
        <f t="shared" si="60"/>
        <v>Excellent</v>
      </c>
      <c r="P650" t="str">
        <f t="shared" si="62"/>
        <v>High</v>
      </c>
      <c r="Q650" t="str">
        <f t="shared" si="63"/>
        <v>Low Loan</v>
      </c>
      <c r="R650">
        <f t="shared" si="64"/>
        <v>47200000</v>
      </c>
      <c r="S650" t="str">
        <f t="shared" si="65"/>
        <v>Strong</v>
      </c>
    </row>
    <row r="651" spans="1:19" x14ac:dyDescent="0.25">
      <c r="A651">
        <v>650</v>
      </c>
      <c r="B651">
        <v>4</v>
      </c>
      <c r="C651" t="s">
        <v>30</v>
      </c>
      <c r="D651" t="s">
        <v>33</v>
      </c>
      <c r="E651">
        <v>5100000</v>
      </c>
      <c r="F651">
        <v>14000000</v>
      </c>
      <c r="G651">
        <v>12</v>
      </c>
      <c r="H651">
        <v>459</v>
      </c>
      <c r="I651">
        <v>9800000</v>
      </c>
      <c r="J651">
        <v>0</v>
      </c>
      <c r="K651">
        <v>10400000</v>
      </c>
      <c r="L651">
        <v>6800000</v>
      </c>
      <c r="M651" t="s">
        <v>35</v>
      </c>
      <c r="N651">
        <f t="shared" si="61"/>
        <v>0</v>
      </c>
      <c r="O651" t="str">
        <f t="shared" si="60"/>
        <v>Low</v>
      </c>
      <c r="P651" t="str">
        <f t="shared" si="62"/>
        <v>High</v>
      </c>
      <c r="Q651" t="str">
        <f t="shared" si="63"/>
        <v>Low Loan</v>
      </c>
      <c r="R651">
        <f t="shared" si="64"/>
        <v>27000000</v>
      </c>
      <c r="S651" t="str">
        <f t="shared" si="65"/>
        <v>Strong</v>
      </c>
    </row>
    <row r="652" spans="1:19" x14ac:dyDescent="0.25">
      <c r="A652">
        <v>651</v>
      </c>
      <c r="B652">
        <v>0</v>
      </c>
      <c r="C652" t="s">
        <v>30</v>
      </c>
      <c r="D652" t="s">
        <v>33</v>
      </c>
      <c r="E652">
        <v>9800000</v>
      </c>
      <c r="F652">
        <v>32600000</v>
      </c>
      <c r="G652">
        <v>10</v>
      </c>
      <c r="H652">
        <v>704</v>
      </c>
      <c r="I652">
        <v>7000000</v>
      </c>
      <c r="J652">
        <v>12100000</v>
      </c>
      <c r="K652">
        <v>30000000</v>
      </c>
      <c r="L652">
        <v>4900000</v>
      </c>
      <c r="M652" t="s">
        <v>34</v>
      </c>
      <c r="N652">
        <f t="shared" si="61"/>
        <v>1</v>
      </c>
      <c r="O652" t="str">
        <f t="shared" si="60"/>
        <v>Good</v>
      </c>
      <c r="P652" t="str">
        <f t="shared" si="62"/>
        <v>High</v>
      </c>
      <c r="Q652" t="str">
        <f t="shared" si="63"/>
        <v>High Loan</v>
      </c>
      <c r="R652">
        <f t="shared" si="64"/>
        <v>54000000</v>
      </c>
      <c r="S652" t="str">
        <f t="shared" si="65"/>
        <v>Strong</v>
      </c>
    </row>
    <row r="653" spans="1:19" x14ac:dyDescent="0.25">
      <c r="A653">
        <v>652</v>
      </c>
      <c r="B653">
        <v>1</v>
      </c>
      <c r="C653" t="s">
        <v>30</v>
      </c>
      <c r="D653" t="s">
        <v>33</v>
      </c>
      <c r="E653">
        <v>1600000</v>
      </c>
      <c r="F653">
        <v>4100000</v>
      </c>
      <c r="G653">
        <v>6</v>
      </c>
      <c r="H653">
        <v>391</v>
      </c>
      <c r="I653">
        <v>4300000</v>
      </c>
      <c r="J653">
        <v>1400000</v>
      </c>
      <c r="K653">
        <v>5700000</v>
      </c>
      <c r="L653">
        <v>700000</v>
      </c>
      <c r="M653" t="s">
        <v>35</v>
      </c>
      <c r="N653">
        <f t="shared" si="61"/>
        <v>0</v>
      </c>
      <c r="O653" t="str">
        <f t="shared" si="60"/>
        <v>Low</v>
      </c>
      <c r="P653" t="str">
        <f t="shared" si="62"/>
        <v>High</v>
      </c>
      <c r="Q653" t="str">
        <f t="shared" si="63"/>
        <v>Low Loan</v>
      </c>
      <c r="R653">
        <f t="shared" si="64"/>
        <v>12100000</v>
      </c>
      <c r="S653" t="str">
        <f t="shared" si="65"/>
        <v>Strong</v>
      </c>
    </row>
    <row r="654" spans="1:19" x14ac:dyDescent="0.25">
      <c r="A654">
        <v>653</v>
      </c>
      <c r="B654">
        <v>4</v>
      </c>
      <c r="C654" t="s">
        <v>30</v>
      </c>
      <c r="D654" t="s">
        <v>32</v>
      </c>
      <c r="E654">
        <v>8000000</v>
      </c>
      <c r="F654">
        <v>29100000</v>
      </c>
      <c r="G654">
        <v>4</v>
      </c>
      <c r="H654">
        <v>421</v>
      </c>
      <c r="I654">
        <v>3100000</v>
      </c>
      <c r="J654">
        <v>12000000</v>
      </c>
      <c r="K654">
        <v>27000000</v>
      </c>
      <c r="L654">
        <v>8800000</v>
      </c>
      <c r="M654" t="s">
        <v>34</v>
      </c>
      <c r="N654">
        <f t="shared" si="61"/>
        <v>1</v>
      </c>
      <c r="O654" t="str">
        <f t="shared" si="60"/>
        <v>Low</v>
      </c>
      <c r="P654" t="str">
        <f t="shared" si="62"/>
        <v>High</v>
      </c>
      <c r="Q654" t="str">
        <f t="shared" si="63"/>
        <v>High Loan</v>
      </c>
      <c r="R654">
        <f t="shared" si="64"/>
        <v>50900000</v>
      </c>
      <c r="S654" t="str">
        <f t="shared" si="65"/>
        <v>Strong</v>
      </c>
    </row>
    <row r="655" spans="1:19" x14ac:dyDescent="0.25">
      <c r="A655">
        <v>654</v>
      </c>
      <c r="B655">
        <v>5</v>
      </c>
      <c r="C655" t="s">
        <v>30</v>
      </c>
      <c r="D655" t="s">
        <v>32</v>
      </c>
      <c r="E655">
        <v>2900000</v>
      </c>
      <c r="F655">
        <v>6700000</v>
      </c>
      <c r="G655">
        <v>14</v>
      </c>
      <c r="H655">
        <v>796</v>
      </c>
      <c r="I655">
        <v>3800000</v>
      </c>
      <c r="J655">
        <v>3700000</v>
      </c>
      <c r="K655">
        <v>9700000</v>
      </c>
      <c r="L655">
        <v>4200000</v>
      </c>
      <c r="M655" t="s">
        <v>34</v>
      </c>
      <c r="N655">
        <f t="shared" si="61"/>
        <v>1</v>
      </c>
      <c r="O655" t="str">
        <f t="shared" si="60"/>
        <v>Excellent</v>
      </c>
      <c r="P655" t="str">
        <f t="shared" si="62"/>
        <v>High</v>
      </c>
      <c r="Q655" t="str">
        <f t="shared" si="63"/>
        <v>Low Loan</v>
      </c>
      <c r="R655">
        <f t="shared" si="64"/>
        <v>21400000</v>
      </c>
      <c r="S655" t="str">
        <f t="shared" si="65"/>
        <v>Strong</v>
      </c>
    </row>
    <row r="656" spans="1:19" x14ac:dyDescent="0.25">
      <c r="A656">
        <v>655</v>
      </c>
      <c r="B656">
        <v>4</v>
      </c>
      <c r="C656" t="s">
        <v>30</v>
      </c>
      <c r="D656" t="s">
        <v>32</v>
      </c>
      <c r="E656">
        <v>9200000</v>
      </c>
      <c r="F656">
        <v>30300000</v>
      </c>
      <c r="G656">
        <v>10</v>
      </c>
      <c r="H656">
        <v>607</v>
      </c>
      <c r="I656">
        <v>24000000</v>
      </c>
      <c r="J656">
        <v>16600000</v>
      </c>
      <c r="K656">
        <v>29600000</v>
      </c>
      <c r="L656">
        <v>8900000</v>
      </c>
      <c r="M656" t="s">
        <v>34</v>
      </c>
      <c r="N656">
        <f t="shared" si="61"/>
        <v>1</v>
      </c>
      <c r="O656" t="str">
        <f t="shared" si="60"/>
        <v>Low</v>
      </c>
      <c r="P656" t="str">
        <f t="shared" si="62"/>
        <v>High</v>
      </c>
      <c r="Q656" t="str">
        <f t="shared" si="63"/>
        <v>High Loan</v>
      </c>
      <c r="R656">
        <f t="shared" si="64"/>
        <v>79100000</v>
      </c>
      <c r="S656" t="str">
        <f t="shared" si="65"/>
        <v>Strong</v>
      </c>
    </row>
    <row r="657" spans="1:19" x14ac:dyDescent="0.25">
      <c r="A657">
        <v>656</v>
      </c>
      <c r="B657">
        <v>3</v>
      </c>
      <c r="C657" t="s">
        <v>31</v>
      </c>
      <c r="D657" t="s">
        <v>32</v>
      </c>
      <c r="E657">
        <v>9500000</v>
      </c>
      <c r="F657">
        <v>20400000</v>
      </c>
      <c r="G657">
        <v>14</v>
      </c>
      <c r="H657">
        <v>376</v>
      </c>
      <c r="I657">
        <v>2300000</v>
      </c>
      <c r="J657">
        <v>6600000</v>
      </c>
      <c r="K657">
        <v>25900000</v>
      </c>
      <c r="L657">
        <v>8400000</v>
      </c>
      <c r="M657" t="s">
        <v>35</v>
      </c>
      <c r="N657">
        <f t="shared" si="61"/>
        <v>0</v>
      </c>
      <c r="O657" t="str">
        <f t="shared" si="60"/>
        <v>Low</v>
      </c>
      <c r="P657" t="str">
        <f t="shared" si="62"/>
        <v>High</v>
      </c>
      <c r="Q657" t="str">
        <f t="shared" si="63"/>
        <v>High Loan</v>
      </c>
      <c r="R657">
        <f t="shared" si="64"/>
        <v>43200000</v>
      </c>
      <c r="S657" t="str">
        <f t="shared" si="65"/>
        <v>Strong</v>
      </c>
    </row>
    <row r="658" spans="1:19" x14ac:dyDescent="0.25">
      <c r="A658">
        <v>657</v>
      </c>
      <c r="B658">
        <v>0</v>
      </c>
      <c r="C658" t="s">
        <v>30</v>
      </c>
      <c r="D658" t="s">
        <v>33</v>
      </c>
      <c r="E658">
        <v>3700000</v>
      </c>
      <c r="F658">
        <v>8500000</v>
      </c>
      <c r="G658">
        <v>8</v>
      </c>
      <c r="H658">
        <v>424</v>
      </c>
      <c r="I658">
        <v>1900000</v>
      </c>
      <c r="J658">
        <v>5600000</v>
      </c>
      <c r="K658">
        <v>14800000</v>
      </c>
      <c r="L658">
        <v>4100000</v>
      </c>
      <c r="M658" t="s">
        <v>35</v>
      </c>
      <c r="N658">
        <f t="shared" si="61"/>
        <v>0</v>
      </c>
      <c r="O658" t="str">
        <f t="shared" si="60"/>
        <v>Low</v>
      </c>
      <c r="P658" t="str">
        <f t="shared" si="62"/>
        <v>High</v>
      </c>
      <c r="Q658" t="str">
        <f t="shared" si="63"/>
        <v>Low Loan</v>
      </c>
      <c r="R658">
        <f t="shared" si="64"/>
        <v>26400000</v>
      </c>
      <c r="S658" t="str">
        <f t="shared" si="65"/>
        <v>Strong</v>
      </c>
    </row>
    <row r="659" spans="1:19" x14ac:dyDescent="0.25">
      <c r="A659">
        <v>658</v>
      </c>
      <c r="B659">
        <v>5</v>
      </c>
      <c r="C659" t="s">
        <v>30</v>
      </c>
      <c r="D659" t="s">
        <v>33</v>
      </c>
      <c r="E659">
        <v>7100000</v>
      </c>
      <c r="F659">
        <v>20800000</v>
      </c>
      <c r="G659">
        <v>6</v>
      </c>
      <c r="H659">
        <v>442</v>
      </c>
      <c r="I659">
        <v>2900000</v>
      </c>
      <c r="J659">
        <v>7100000</v>
      </c>
      <c r="K659">
        <v>28200000</v>
      </c>
      <c r="L659">
        <v>7100000</v>
      </c>
      <c r="M659" t="s">
        <v>35</v>
      </c>
      <c r="N659">
        <f t="shared" si="61"/>
        <v>0</v>
      </c>
      <c r="O659" t="str">
        <f t="shared" si="60"/>
        <v>Low</v>
      </c>
      <c r="P659" t="str">
        <f t="shared" si="62"/>
        <v>High</v>
      </c>
      <c r="Q659" t="str">
        <f t="shared" si="63"/>
        <v>High Loan</v>
      </c>
      <c r="R659">
        <f t="shared" si="64"/>
        <v>45300000</v>
      </c>
      <c r="S659" t="str">
        <f t="shared" si="65"/>
        <v>Strong</v>
      </c>
    </row>
    <row r="660" spans="1:19" x14ac:dyDescent="0.25">
      <c r="A660">
        <v>659</v>
      </c>
      <c r="B660">
        <v>5</v>
      </c>
      <c r="C660" t="s">
        <v>31</v>
      </c>
      <c r="D660" t="s">
        <v>32</v>
      </c>
      <c r="E660">
        <v>5600000</v>
      </c>
      <c r="F660">
        <v>17600000</v>
      </c>
      <c r="G660">
        <v>14</v>
      </c>
      <c r="H660">
        <v>448</v>
      </c>
      <c r="I660">
        <v>6700000</v>
      </c>
      <c r="J660">
        <v>3500000</v>
      </c>
      <c r="K660">
        <v>18900000</v>
      </c>
      <c r="L660">
        <v>6800000</v>
      </c>
      <c r="M660" t="s">
        <v>35</v>
      </c>
      <c r="N660">
        <f t="shared" si="61"/>
        <v>0</v>
      </c>
      <c r="O660" t="str">
        <f t="shared" si="60"/>
        <v>Low</v>
      </c>
      <c r="P660" t="str">
        <f t="shared" si="62"/>
        <v>High</v>
      </c>
      <c r="Q660" t="str">
        <f t="shared" si="63"/>
        <v>Low Loan</v>
      </c>
      <c r="R660">
        <f t="shared" si="64"/>
        <v>35900000</v>
      </c>
      <c r="S660" t="str">
        <f t="shared" si="65"/>
        <v>Strong</v>
      </c>
    </row>
    <row r="661" spans="1:19" x14ac:dyDescent="0.25">
      <c r="A661">
        <v>660</v>
      </c>
      <c r="B661">
        <v>0</v>
      </c>
      <c r="C661" t="s">
        <v>30</v>
      </c>
      <c r="D661" t="s">
        <v>33</v>
      </c>
      <c r="E661">
        <v>1200000</v>
      </c>
      <c r="F661">
        <v>2700000</v>
      </c>
      <c r="G661">
        <v>2</v>
      </c>
      <c r="H661">
        <v>638</v>
      </c>
      <c r="I661">
        <v>1500000</v>
      </c>
      <c r="J661">
        <v>500000</v>
      </c>
      <c r="K661">
        <v>2700000</v>
      </c>
      <c r="L661">
        <v>1500000</v>
      </c>
      <c r="M661" t="s">
        <v>34</v>
      </c>
      <c r="N661">
        <f t="shared" si="61"/>
        <v>1</v>
      </c>
      <c r="O661" t="str">
        <f t="shared" si="60"/>
        <v>Low</v>
      </c>
      <c r="P661" t="str">
        <f t="shared" si="62"/>
        <v>High</v>
      </c>
      <c r="Q661" t="str">
        <f t="shared" si="63"/>
        <v>Low Loan</v>
      </c>
      <c r="R661">
        <f t="shared" si="64"/>
        <v>6200000</v>
      </c>
      <c r="S661" t="str">
        <f t="shared" si="65"/>
        <v>Moderate</v>
      </c>
    </row>
    <row r="662" spans="1:19" x14ac:dyDescent="0.25">
      <c r="A662">
        <v>661</v>
      </c>
      <c r="B662">
        <v>3</v>
      </c>
      <c r="C662" t="s">
        <v>31</v>
      </c>
      <c r="D662" t="s">
        <v>32</v>
      </c>
      <c r="E662">
        <v>1600000</v>
      </c>
      <c r="F662">
        <v>5600000</v>
      </c>
      <c r="G662">
        <v>6</v>
      </c>
      <c r="H662">
        <v>710</v>
      </c>
      <c r="I662">
        <v>3100000</v>
      </c>
      <c r="J662">
        <v>800000</v>
      </c>
      <c r="K662">
        <v>6000000</v>
      </c>
      <c r="L662">
        <v>1600000</v>
      </c>
      <c r="M662" t="s">
        <v>34</v>
      </c>
      <c r="N662">
        <f t="shared" si="61"/>
        <v>1</v>
      </c>
      <c r="O662" t="str">
        <f t="shared" si="60"/>
        <v>Good</v>
      </c>
      <c r="P662" t="str">
        <f t="shared" si="62"/>
        <v>High</v>
      </c>
      <c r="Q662" t="str">
        <f t="shared" si="63"/>
        <v>Low Loan</v>
      </c>
      <c r="R662">
        <f t="shared" si="64"/>
        <v>11500000</v>
      </c>
      <c r="S662" t="str">
        <f t="shared" si="65"/>
        <v>Strong</v>
      </c>
    </row>
    <row r="663" spans="1:19" x14ac:dyDescent="0.25">
      <c r="A663">
        <v>662</v>
      </c>
      <c r="B663">
        <v>4</v>
      </c>
      <c r="C663" t="s">
        <v>31</v>
      </c>
      <c r="D663" t="s">
        <v>33</v>
      </c>
      <c r="E663">
        <v>1600000</v>
      </c>
      <c r="F663">
        <v>4800000</v>
      </c>
      <c r="G663">
        <v>20</v>
      </c>
      <c r="H663">
        <v>641</v>
      </c>
      <c r="I663">
        <v>4200000</v>
      </c>
      <c r="J663">
        <v>1000000</v>
      </c>
      <c r="K663">
        <v>4100000</v>
      </c>
      <c r="L663">
        <v>1400000</v>
      </c>
      <c r="M663" t="s">
        <v>34</v>
      </c>
      <c r="N663">
        <f t="shared" si="61"/>
        <v>1</v>
      </c>
      <c r="O663" t="str">
        <f t="shared" si="60"/>
        <v>Low</v>
      </c>
      <c r="P663" t="str">
        <f t="shared" si="62"/>
        <v>High</v>
      </c>
      <c r="Q663" t="str">
        <f t="shared" si="63"/>
        <v>Low Loan</v>
      </c>
      <c r="R663">
        <f t="shared" si="64"/>
        <v>10700000</v>
      </c>
      <c r="S663" t="str">
        <f t="shared" si="65"/>
        <v>Strong</v>
      </c>
    </row>
    <row r="664" spans="1:19" x14ac:dyDescent="0.25">
      <c r="A664">
        <v>663</v>
      </c>
      <c r="B664">
        <v>2</v>
      </c>
      <c r="C664" t="s">
        <v>31</v>
      </c>
      <c r="D664" t="s">
        <v>32</v>
      </c>
      <c r="E664">
        <v>5300000</v>
      </c>
      <c r="F664">
        <v>20200000</v>
      </c>
      <c r="G664">
        <v>10</v>
      </c>
      <c r="H664">
        <v>348</v>
      </c>
      <c r="I664">
        <v>9200000</v>
      </c>
      <c r="J664">
        <v>9500000</v>
      </c>
      <c r="K664">
        <v>17300000</v>
      </c>
      <c r="L664">
        <v>6100000</v>
      </c>
      <c r="M664" t="s">
        <v>35</v>
      </c>
      <c r="N664">
        <f t="shared" si="61"/>
        <v>0</v>
      </c>
      <c r="O664" t="str">
        <f t="shared" si="60"/>
        <v>Low</v>
      </c>
      <c r="P664" t="str">
        <f t="shared" si="62"/>
        <v>High</v>
      </c>
      <c r="Q664" t="str">
        <f t="shared" si="63"/>
        <v>High Loan</v>
      </c>
      <c r="R664">
        <f t="shared" si="64"/>
        <v>42100000</v>
      </c>
      <c r="S664" t="str">
        <f t="shared" si="65"/>
        <v>Strong</v>
      </c>
    </row>
    <row r="665" spans="1:19" x14ac:dyDescent="0.25">
      <c r="A665">
        <v>664</v>
      </c>
      <c r="B665">
        <v>5</v>
      </c>
      <c r="C665" t="s">
        <v>31</v>
      </c>
      <c r="D665" t="s">
        <v>32</v>
      </c>
      <c r="E665">
        <v>9100000</v>
      </c>
      <c r="F665">
        <v>19900000</v>
      </c>
      <c r="G665">
        <v>20</v>
      </c>
      <c r="H665">
        <v>519</v>
      </c>
      <c r="I665">
        <v>9300000</v>
      </c>
      <c r="J665">
        <v>16400000</v>
      </c>
      <c r="K665">
        <v>28900000</v>
      </c>
      <c r="L665">
        <v>10500000</v>
      </c>
      <c r="M665" t="s">
        <v>35</v>
      </c>
      <c r="N665">
        <f t="shared" si="61"/>
        <v>0</v>
      </c>
      <c r="O665" t="str">
        <f t="shared" si="60"/>
        <v>Low</v>
      </c>
      <c r="P665" t="str">
        <f t="shared" si="62"/>
        <v>High</v>
      </c>
      <c r="Q665" t="str">
        <f t="shared" si="63"/>
        <v>Low Loan</v>
      </c>
      <c r="R665">
        <f t="shared" si="64"/>
        <v>65100000</v>
      </c>
      <c r="S665" t="str">
        <f t="shared" si="65"/>
        <v>Strong</v>
      </c>
    </row>
    <row r="666" spans="1:19" x14ac:dyDescent="0.25">
      <c r="A666">
        <v>665</v>
      </c>
      <c r="B666">
        <v>4</v>
      </c>
      <c r="C666" t="s">
        <v>31</v>
      </c>
      <c r="D666" t="s">
        <v>33</v>
      </c>
      <c r="E666">
        <v>9400000</v>
      </c>
      <c r="F666">
        <v>35000000</v>
      </c>
      <c r="G666">
        <v>10</v>
      </c>
      <c r="H666">
        <v>517</v>
      </c>
      <c r="I666">
        <v>10700000</v>
      </c>
      <c r="J666">
        <v>15100000</v>
      </c>
      <c r="K666">
        <v>27500000</v>
      </c>
      <c r="L666">
        <v>6700000</v>
      </c>
      <c r="M666" t="s">
        <v>35</v>
      </c>
      <c r="N666">
        <f t="shared" si="61"/>
        <v>0</v>
      </c>
      <c r="O666" t="str">
        <f t="shared" si="60"/>
        <v>Low</v>
      </c>
      <c r="P666" t="str">
        <f t="shared" si="62"/>
        <v>High</v>
      </c>
      <c r="Q666" t="str">
        <f t="shared" si="63"/>
        <v>High Loan</v>
      </c>
      <c r="R666">
        <f t="shared" si="64"/>
        <v>60000000</v>
      </c>
      <c r="S666" t="str">
        <f t="shared" si="65"/>
        <v>Strong</v>
      </c>
    </row>
    <row r="667" spans="1:19" x14ac:dyDescent="0.25">
      <c r="A667">
        <v>666</v>
      </c>
      <c r="B667">
        <v>3</v>
      </c>
      <c r="C667" t="s">
        <v>31</v>
      </c>
      <c r="D667" t="s">
        <v>32</v>
      </c>
      <c r="E667">
        <v>5900000</v>
      </c>
      <c r="F667">
        <v>22400000</v>
      </c>
      <c r="G667">
        <v>6</v>
      </c>
      <c r="H667">
        <v>375</v>
      </c>
      <c r="I667">
        <v>6500000</v>
      </c>
      <c r="J667">
        <v>10500000</v>
      </c>
      <c r="K667">
        <v>18100000</v>
      </c>
      <c r="L667">
        <v>4800000</v>
      </c>
      <c r="M667" t="s">
        <v>35</v>
      </c>
      <c r="N667">
        <f t="shared" si="61"/>
        <v>0</v>
      </c>
      <c r="O667" t="str">
        <f t="shared" si="60"/>
        <v>Low</v>
      </c>
      <c r="P667" t="str">
        <f t="shared" si="62"/>
        <v>High</v>
      </c>
      <c r="Q667" t="str">
        <f t="shared" si="63"/>
        <v>High Loan</v>
      </c>
      <c r="R667">
        <f t="shared" si="64"/>
        <v>39900000</v>
      </c>
      <c r="S667" t="str">
        <f t="shared" si="65"/>
        <v>Strong</v>
      </c>
    </row>
    <row r="668" spans="1:19" x14ac:dyDescent="0.25">
      <c r="A668">
        <v>667</v>
      </c>
      <c r="B668">
        <v>2</v>
      </c>
      <c r="C668" t="s">
        <v>30</v>
      </c>
      <c r="D668" t="s">
        <v>33</v>
      </c>
      <c r="E668">
        <v>1100000</v>
      </c>
      <c r="F668">
        <v>3400000</v>
      </c>
      <c r="G668">
        <v>10</v>
      </c>
      <c r="H668">
        <v>426</v>
      </c>
      <c r="I668">
        <v>300000</v>
      </c>
      <c r="J668">
        <v>800000</v>
      </c>
      <c r="K668">
        <v>3900000</v>
      </c>
      <c r="L668">
        <v>1400000</v>
      </c>
      <c r="M668" t="s">
        <v>35</v>
      </c>
      <c r="N668">
        <f t="shared" si="61"/>
        <v>0</v>
      </c>
      <c r="O668" t="str">
        <f t="shared" si="60"/>
        <v>Low</v>
      </c>
      <c r="P668" t="str">
        <f t="shared" si="62"/>
        <v>High</v>
      </c>
      <c r="Q668" t="str">
        <f t="shared" si="63"/>
        <v>Low Loan</v>
      </c>
      <c r="R668">
        <f t="shared" si="64"/>
        <v>6400000</v>
      </c>
      <c r="S668" t="str">
        <f t="shared" si="65"/>
        <v>Moderate</v>
      </c>
    </row>
    <row r="669" spans="1:19" x14ac:dyDescent="0.25">
      <c r="A669">
        <v>668</v>
      </c>
      <c r="B669">
        <v>4</v>
      </c>
      <c r="C669" t="s">
        <v>30</v>
      </c>
      <c r="D669" t="s">
        <v>33</v>
      </c>
      <c r="E669">
        <v>3100000</v>
      </c>
      <c r="F669">
        <v>11500000</v>
      </c>
      <c r="G669">
        <v>14</v>
      </c>
      <c r="H669">
        <v>785</v>
      </c>
      <c r="I669">
        <v>3200000</v>
      </c>
      <c r="J669">
        <v>3100000</v>
      </c>
      <c r="K669">
        <v>9100000</v>
      </c>
      <c r="L669">
        <v>4200000</v>
      </c>
      <c r="M669" t="s">
        <v>34</v>
      </c>
      <c r="N669">
        <f t="shared" si="61"/>
        <v>1</v>
      </c>
      <c r="O669" t="str">
        <f t="shared" si="60"/>
        <v>Excellent</v>
      </c>
      <c r="P669" t="str">
        <f t="shared" si="62"/>
        <v>High</v>
      </c>
      <c r="Q669" t="str">
        <f t="shared" si="63"/>
        <v>Low Loan</v>
      </c>
      <c r="R669">
        <f t="shared" si="64"/>
        <v>19600000</v>
      </c>
      <c r="S669" t="str">
        <f t="shared" si="65"/>
        <v>Strong</v>
      </c>
    </row>
    <row r="670" spans="1:19" x14ac:dyDescent="0.25">
      <c r="A670">
        <v>669</v>
      </c>
      <c r="B670">
        <v>4</v>
      </c>
      <c r="C670" t="s">
        <v>31</v>
      </c>
      <c r="D670" t="s">
        <v>32</v>
      </c>
      <c r="E670">
        <v>2200000</v>
      </c>
      <c r="F670">
        <v>8600000</v>
      </c>
      <c r="G670">
        <v>20</v>
      </c>
      <c r="H670">
        <v>373</v>
      </c>
      <c r="I670">
        <v>4100000</v>
      </c>
      <c r="J670">
        <v>1300000</v>
      </c>
      <c r="K670">
        <v>5900000</v>
      </c>
      <c r="L670">
        <v>1400000</v>
      </c>
      <c r="M670" t="s">
        <v>35</v>
      </c>
      <c r="N670">
        <f t="shared" si="61"/>
        <v>0</v>
      </c>
      <c r="O670" t="str">
        <f t="shared" si="60"/>
        <v>Low</v>
      </c>
      <c r="P670" t="str">
        <f t="shared" si="62"/>
        <v>High</v>
      </c>
      <c r="Q670" t="str">
        <f t="shared" si="63"/>
        <v>Low Loan</v>
      </c>
      <c r="R670">
        <f t="shared" si="64"/>
        <v>12700000</v>
      </c>
      <c r="S670" t="str">
        <f t="shared" si="65"/>
        <v>Strong</v>
      </c>
    </row>
    <row r="671" spans="1:19" x14ac:dyDescent="0.25">
      <c r="A671">
        <v>670</v>
      </c>
      <c r="B671">
        <v>1</v>
      </c>
      <c r="C671" t="s">
        <v>30</v>
      </c>
      <c r="D671" t="s">
        <v>32</v>
      </c>
      <c r="E671">
        <v>6000000</v>
      </c>
      <c r="F671">
        <v>20100000</v>
      </c>
      <c r="G671">
        <v>6</v>
      </c>
      <c r="H671">
        <v>476</v>
      </c>
      <c r="I671">
        <v>13900000</v>
      </c>
      <c r="J671">
        <v>10000000</v>
      </c>
      <c r="K671">
        <v>15200000</v>
      </c>
      <c r="L671">
        <v>5500000</v>
      </c>
      <c r="M671" t="s">
        <v>35</v>
      </c>
      <c r="N671">
        <f t="shared" si="61"/>
        <v>0</v>
      </c>
      <c r="O671" t="str">
        <f t="shared" si="60"/>
        <v>Low</v>
      </c>
      <c r="P671" t="str">
        <f t="shared" si="62"/>
        <v>High</v>
      </c>
      <c r="Q671" t="str">
        <f t="shared" si="63"/>
        <v>High Loan</v>
      </c>
      <c r="R671">
        <f t="shared" si="64"/>
        <v>44600000</v>
      </c>
      <c r="S671" t="str">
        <f t="shared" si="65"/>
        <v>Strong</v>
      </c>
    </row>
    <row r="672" spans="1:19" x14ac:dyDescent="0.25">
      <c r="A672">
        <v>671</v>
      </c>
      <c r="B672">
        <v>1</v>
      </c>
      <c r="C672" t="s">
        <v>30</v>
      </c>
      <c r="D672" t="s">
        <v>33</v>
      </c>
      <c r="E672">
        <v>2000000</v>
      </c>
      <c r="F672">
        <v>5600000</v>
      </c>
      <c r="G672">
        <v>18</v>
      </c>
      <c r="H672">
        <v>320</v>
      </c>
      <c r="I672">
        <v>2400000</v>
      </c>
      <c r="J672">
        <v>2300000</v>
      </c>
      <c r="K672">
        <v>4600000</v>
      </c>
      <c r="L672">
        <v>2100000</v>
      </c>
      <c r="M672" t="s">
        <v>35</v>
      </c>
      <c r="N672">
        <f t="shared" si="61"/>
        <v>0</v>
      </c>
      <c r="O672" t="str">
        <f t="shared" si="60"/>
        <v>Low</v>
      </c>
      <c r="P672" t="str">
        <f t="shared" si="62"/>
        <v>High</v>
      </c>
      <c r="Q672" t="str">
        <f t="shared" si="63"/>
        <v>Low Loan</v>
      </c>
      <c r="R672">
        <f t="shared" si="64"/>
        <v>11400000</v>
      </c>
      <c r="S672" t="str">
        <f t="shared" si="65"/>
        <v>Strong</v>
      </c>
    </row>
    <row r="673" spans="1:19" x14ac:dyDescent="0.25">
      <c r="A673">
        <v>672</v>
      </c>
      <c r="B673">
        <v>4</v>
      </c>
      <c r="C673" t="s">
        <v>30</v>
      </c>
      <c r="D673" t="s">
        <v>32</v>
      </c>
      <c r="E673">
        <v>7200000</v>
      </c>
      <c r="F673">
        <v>22900000</v>
      </c>
      <c r="G673">
        <v>18</v>
      </c>
      <c r="H673">
        <v>657</v>
      </c>
      <c r="I673">
        <v>14600000</v>
      </c>
      <c r="J673">
        <v>400000</v>
      </c>
      <c r="K673">
        <v>17400000</v>
      </c>
      <c r="L673">
        <v>8800000</v>
      </c>
      <c r="M673" t="s">
        <v>34</v>
      </c>
      <c r="N673">
        <f t="shared" si="61"/>
        <v>1</v>
      </c>
      <c r="O673" t="str">
        <f t="shared" si="60"/>
        <v>Medium</v>
      </c>
      <c r="P673" t="str">
        <f t="shared" si="62"/>
        <v>High</v>
      </c>
      <c r="Q673" t="str">
        <f t="shared" si="63"/>
        <v>High Loan</v>
      </c>
      <c r="R673">
        <f t="shared" si="64"/>
        <v>41200000</v>
      </c>
      <c r="S673" t="str">
        <f t="shared" si="65"/>
        <v>Strong</v>
      </c>
    </row>
    <row r="674" spans="1:19" x14ac:dyDescent="0.25">
      <c r="A674">
        <v>673</v>
      </c>
      <c r="B674">
        <v>1</v>
      </c>
      <c r="C674" t="s">
        <v>31</v>
      </c>
      <c r="D674" t="s">
        <v>33</v>
      </c>
      <c r="E674">
        <v>500000</v>
      </c>
      <c r="F674">
        <v>1900000</v>
      </c>
      <c r="G674">
        <v>12</v>
      </c>
      <c r="H674">
        <v>868</v>
      </c>
      <c r="I674">
        <v>200000</v>
      </c>
      <c r="J674">
        <v>500000</v>
      </c>
      <c r="K674">
        <v>1800000</v>
      </c>
      <c r="L674">
        <v>300000</v>
      </c>
      <c r="M674" t="s">
        <v>34</v>
      </c>
      <c r="N674">
        <f t="shared" si="61"/>
        <v>1</v>
      </c>
      <c r="O674" t="str">
        <f t="shared" si="60"/>
        <v>Excellent</v>
      </c>
      <c r="P674" t="str">
        <f t="shared" si="62"/>
        <v>Middle</v>
      </c>
      <c r="Q674" t="str">
        <f t="shared" si="63"/>
        <v>Low Loan</v>
      </c>
      <c r="R674">
        <f t="shared" si="64"/>
        <v>2800000</v>
      </c>
      <c r="S674" t="str">
        <f t="shared" si="65"/>
        <v>Weak</v>
      </c>
    </row>
    <row r="675" spans="1:19" x14ac:dyDescent="0.25">
      <c r="A675">
        <v>674</v>
      </c>
      <c r="B675">
        <v>1</v>
      </c>
      <c r="C675" t="s">
        <v>31</v>
      </c>
      <c r="D675" t="s">
        <v>33</v>
      </c>
      <c r="E675">
        <v>5800000</v>
      </c>
      <c r="F675">
        <v>13900000</v>
      </c>
      <c r="G675">
        <v>6</v>
      </c>
      <c r="H675">
        <v>345</v>
      </c>
      <c r="I675">
        <v>4000000</v>
      </c>
      <c r="J675">
        <v>9300000</v>
      </c>
      <c r="K675">
        <v>20900000</v>
      </c>
      <c r="L675">
        <v>5500000</v>
      </c>
      <c r="M675" t="s">
        <v>35</v>
      </c>
      <c r="N675">
        <f t="shared" si="61"/>
        <v>0</v>
      </c>
      <c r="O675" t="str">
        <f t="shared" si="60"/>
        <v>Low</v>
      </c>
      <c r="P675" t="str">
        <f t="shared" si="62"/>
        <v>High</v>
      </c>
      <c r="Q675" t="str">
        <f t="shared" si="63"/>
        <v>Low Loan</v>
      </c>
      <c r="R675">
        <f t="shared" si="64"/>
        <v>39700000</v>
      </c>
      <c r="S675" t="str">
        <f t="shared" si="65"/>
        <v>Strong</v>
      </c>
    </row>
    <row r="676" spans="1:19" x14ac:dyDescent="0.25">
      <c r="A676">
        <v>675</v>
      </c>
      <c r="B676">
        <v>0</v>
      </c>
      <c r="C676" t="s">
        <v>31</v>
      </c>
      <c r="D676" t="s">
        <v>32</v>
      </c>
      <c r="E676">
        <v>200000</v>
      </c>
      <c r="F676">
        <v>300000</v>
      </c>
      <c r="G676">
        <v>6</v>
      </c>
      <c r="H676">
        <v>472</v>
      </c>
      <c r="I676">
        <v>400000</v>
      </c>
      <c r="J676">
        <v>100000</v>
      </c>
      <c r="K676">
        <v>700000</v>
      </c>
      <c r="L676">
        <v>0</v>
      </c>
      <c r="M676" t="s">
        <v>35</v>
      </c>
      <c r="N676">
        <f t="shared" si="61"/>
        <v>0</v>
      </c>
      <c r="O676" t="str">
        <f t="shared" si="60"/>
        <v>Low</v>
      </c>
      <c r="P676" t="str">
        <f t="shared" si="62"/>
        <v>Low</v>
      </c>
      <c r="Q676" t="str">
        <f t="shared" si="63"/>
        <v>Low Loan</v>
      </c>
      <c r="R676">
        <f t="shared" si="64"/>
        <v>1200000</v>
      </c>
      <c r="S676" t="str">
        <f t="shared" si="65"/>
        <v>Weak</v>
      </c>
    </row>
    <row r="677" spans="1:19" x14ac:dyDescent="0.25">
      <c r="A677">
        <v>676</v>
      </c>
      <c r="B677">
        <v>4</v>
      </c>
      <c r="C677" t="s">
        <v>31</v>
      </c>
      <c r="D677" t="s">
        <v>33</v>
      </c>
      <c r="E677">
        <v>4600000</v>
      </c>
      <c r="F677">
        <v>9500000</v>
      </c>
      <c r="G677">
        <v>20</v>
      </c>
      <c r="H677">
        <v>613</v>
      </c>
      <c r="I677">
        <v>5200000</v>
      </c>
      <c r="J677">
        <v>5900000</v>
      </c>
      <c r="K677">
        <v>13700000</v>
      </c>
      <c r="L677">
        <v>3000000</v>
      </c>
      <c r="M677" t="s">
        <v>34</v>
      </c>
      <c r="N677">
        <f t="shared" si="61"/>
        <v>1</v>
      </c>
      <c r="O677" t="str">
        <f t="shared" si="60"/>
        <v>Low</v>
      </c>
      <c r="P677" t="str">
        <f t="shared" si="62"/>
        <v>High</v>
      </c>
      <c r="Q677" t="str">
        <f t="shared" si="63"/>
        <v>Low Loan</v>
      </c>
      <c r="R677">
        <f t="shared" si="64"/>
        <v>27800000</v>
      </c>
      <c r="S677" t="str">
        <f t="shared" si="65"/>
        <v>Strong</v>
      </c>
    </row>
    <row r="678" spans="1:19" x14ac:dyDescent="0.25">
      <c r="A678">
        <v>677</v>
      </c>
      <c r="B678">
        <v>5</v>
      </c>
      <c r="C678" t="s">
        <v>31</v>
      </c>
      <c r="D678" t="s">
        <v>33</v>
      </c>
      <c r="E678">
        <v>4600000</v>
      </c>
      <c r="F678">
        <v>12800000</v>
      </c>
      <c r="G678">
        <v>14</v>
      </c>
      <c r="H678">
        <v>769</v>
      </c>
      <c r="I678">
        <v>13100000</v>
      </c>
      <c r="J678">
        <v>8600000</v>
      </c>
      <c r="K678">
        <v>12100000</v>
      </c>
      <c r="L678">
        <v>3500000</v>
      </c>
      <c r="M678" t="s">
        <v>34</v>
      </c>
      <c r="N678">
        <f t="shared" si="61"/>
        <v>1</v>
      </c>
      <c r="O678" t="str">
        <f t="shared" si="60"/>
        <v>Excellent</v>
      </c>
      <c r="P678" t="str">
        <f t="shared" si="62"/>
        <v>High</v>
      </c>
      <c r="Q678" t="str">
        <f t="shared" si="63"/>
        <v>Low Loan</v>
      </c>
      <c r="R678">
        <f t="shared" si="64"/>
        <v>37300000</v>
      </c>
      <c r="S678" t="str">
        <f t="shared" si="65"/>
        <v>Strong</v>
      </c>
    </row>
    <row r="679" spans="1:19" x14ac:dyDescent="0.25">
      <c r="A679">
        <v>678</v>
      </c>
      <c r="B679">
        <v>1</v>
      </c>
      <c r="C679" t="s">
        <v>30</v>
      </c>
      <c r="D679" t="s">
        <v>32</v>
      </c>
      <c r="E679">
        <v>6500000</v>
      </c>
      <c r="F679">
        <v>23100000</v>
      </c>
      <c r="G679">
        <v>20</v>
      </c>
      <c r="H679">
        <v>741</v>
      </c>
      <c r="I679">
        <v>11400000</v>
      </c>
      <c r="J679">
        <v>8500000</v>
      </c>
      <c r="K679">
        <v>25700000</v>
      </c>
      <c r="L679">
        <v>7900000</v>
      </c>
      <c r="M679" t="s">
        <v>34</v>
      </c>
      <c r="N679">
        <f t="shared" si="61"/>
        <v>1</v>
      </c>
      <c r="O679" t="str">
        <f t="shared" si="60"/>
        <v>Good</v>
      </c>
      <c r="P679" t="str">
        <f t="shared" si="62"/>
        <v>High</v>
      </c>
      <c r="Q679" t="str">
        <f t="shared" si="63"/>
        <v>High Loan</v>
      </c>
      <c r="R679">
        <f t="shared" si="64"/>
        <v>53500000</v>
      </c>
      <c r="S679" t="str">
        <f t="shared" si="65"/>
        <v>Strong</v>
      </c>
    </row>
    <row r="680" spans="1:19" x14ac:dyDescent="0.25">
      <c r="A680">
        <v>679</v>
      </c>
      <c r="B680">
        <v>4</v>
      </c>
      <c r="C680" t="s">
        <v>31</v>
      </c>
      <c r="D680" t="s">
        <v>33</v>
      </c>
      <c r="E680">
        <v>4400000</v>
      </c>
      <c r="F680">
        <v>16600000</v>
      </c>
      <c r="G680">
        <v>14</v>
      </c>
      <c r="H680">
        <v>889</v>
      </c>
      <c r="I680">
        <v>800000</v>
      </c>
      <c r="J680">
        <v>1400000</v>
      </c>
      <c r="K680">
        <v>14900000</v>
      </c>
      <c r="L680">
        <v>5900000</v>
      </c>
      <c r="M680" t="s">
        <v>34</v>
      </c>
      <c r="N680">
        <f t="shared" si="61"/>
        <v>1</v>
      </c>
      <c r="O680" t="str">
        <f t="shared" si="60"/>
        <v>Excellent</v>
      </c>
      <c r="P680" t="str">
        <f t="shared" si="62"/>
        <v>High</v>
      </c>
      <c r="Q680" t="str">
        <f t="shared" si="63"/>
        <v>Low Loan</v>
      </c>
      <c r="R680">
        <f t="shared" si="64"/>
        <v>23000000</v>
      </c>
      <c r="S680" t="str">
        <f t="shared" si="65"/>
        <v>Strong</v>
      </c>
    </row>
    <row r="681" spans="1:19" x14ac:dyDescent="0.25">
      <c r="A681">
        <v>680</v>
      </c>
      <c r="B681">
        <v>0</v>
      </c>
      <c r="C681" t="s">
        <v>31</v>
      </c>
      <c r="D681" t="s">
        <v>33</v>
      </c>
      <c r="E681">
        <v>900000</v>
      </c>
      <c r="F681">
        <v>3600000</v>
      </c>
      <c r="G681">
        <v>10</v>
      </c>
      <c r="H681">
        <v>683</v>
      </c>
      <c r="I681">
        <v>1400000</v>
      </c>
      <c r="J681">
        <v>700000</v>
      </c>
      <c r="K681">
        <v>3500000</v>
      </c>
      <c r="L681">
        <v>400000</v>
      </c>
      <c r="M681" t="s">
        <v>34</v>
      </c>
      <c r="N681">
        <f t="shared" si="61"/>
        <v>1</v>
      </c>
      <c r="O681" t="str">
        <f t="shared" si="60"/>
        <v>Medium</v>
      </c>
      <c r="P681" t="str">
        <f t="shared" si="62"/>
        <v>High</v>
      </c>
      <c r="Q681" t="str">
        <f t="shared" si="63"/>
        <v>Low Loan</v>
      </c>
      <c r="R681">
        <f t="shared" si="64"/>
        <v>6000000</v>
      </c>
      <c r="S681" t="str">
        <f t="shared" si="65"/>
        <v>Moderate</v>
      </c>
    </row>
    <row r="682" spans="1:19" x14ac:dyDescent="0.25">
      <c r="A682">
        <v>681</v>
      </c>
      <c r="B682">
        <v>0</v>
      </c>
      <c r="C682" t="s">
        <v>31</v>
      </c>
      <c r="D682" t="s">
        <v>33</v>
      </c>
      <c r="E682">
        <v>3200000</v>
      </c>
      <c r="F682">
        <v>7400000</v>
      </c>
      <c r="G682">
        <v>18</v>
      </c>
      <c r="H682">
        <v>780</v>
      </c>
      <c r="I682">
        <v>4200000</v>
      </c>
      <c r="J682">
        <v>2600000</v>
      </c>
      <c r="K682">
        <v>9000000</v>
      </c>
      <c r="L682">
        <v>2800000</v>
      </c>
      <c r="M682" t="s">
        <v>34</v>
      </c>
      <c r="N682">
        <f t="shared" si="61"/>
        <v>1</v>
      </c>
      <c r="O682" t="str">
        <f t="shared" si="60"/>
        <v>Excellent</v>
      </c>
      <c r="P682" t="str">
        <f t="shared" si="62"/>
        <v>High</v>
      </c>
      <c r="Q682" t="str">
        <f t="shared" si="63"/>
        <v>Low Loan</v>
      </c>
      <c r="R682">
        <f t="shared" si="64"/>
        <v>18600000</v>
      </c>
      <c r="S682" t="str">
        <f t="shared" si="65"/>
        <v>Strong</v>
      </c>
    </row>
    <row r="683" spans="1:19" x14ac:dyDescent="0.25">
      <c r="A683">
        <v>682</v>
      </c>
      <c r="B683">
        <v>3</v>
      </c>
      <c r="C683" t="s">
        <v>30</v>
      </c>
      <c r="D683" t="s">
        <v>32</v>
      </c>
      <c r="E683">
        <v>600000</v>
      </c>
      <c r="F683">
        <v>1100000</v>
      </c>
      <c r="G683">
        <v>8</v>
      </c>
      <c r="H683">
        <v>538</v>
      </c>
      <c r="I683">
        <v>500000</v>
      </c>
      <c r="J683">
        <v>800000</v>
      </c>
      <c r="K683">
        <v>1400000</v>
      </c>
      <c r="L683">
        <v>300000</v>
      </c>
      <c r="M683" t="s">
        <v>35</v>
      </c>
      <c r="N683">
        <f t="shared" si="61"/>
        <v>0</v>
      </c>
      <c r="O683" t="str">
        <f t="shared" si="60"/>
        <v>Low</v>
      </c>
      <c r="P683" t="str">
        <f t="shared" si="62"/>
        <v>Middle</v>
      </c>
      <c r="Q683" t="str">
        <f t="shared" si="63"/>
        <v>Low Loan</v>
      </c>
      <c r="R683">
        <f t="shared" si="64"/>
        <v>3000000</v>
      </c>
      <c r="S683" t="str">
        <f t="shared" si="65"/>
        <v>Weak</v>
      </c>
    </row>
    <row r="684" spans="1:19" x14ac:dyDescent="0.25">
      <c r="A684">
        <v>683</v>
      </c>
      <c r="B684">
        <v>1</v>
      </c>
      <c r="C684" t="s">
        <v>31</v>
      </c>
      <c r="D684" t="s">
        <v>32</v>
      </c>
      <c r="E684">
        <v>5200000</v>
      </c>
      <c r="F684">
        <v>12600000</v>
      </c>
      <c r="G684">
        <v>10</v>
      </c>
      <c r="H684">
        <v>721</v>
      </c>
      <c r="I684">
        <v>1100000</v>
      </c>
      <c r="J684">
        <v>8700000</v>
      </c>
      <c r="K684">
        <v>13900000</v>
      </c>
      <c r="L684">
        <v>3600000</v>
      </c>
      <c r="M684" t="s">
        <v>34</v>
      </c>
      <c r="N684">
        <f t="shared" si="61"/>
        <v>1</v>
      </c>
      <c r="O684" t="str">
        <f t="shared" si="60"/>
        <v>Good</v>
      </c>
      <c r="P684" t="str">
        <f t="shared" si="62"/>
        <v>High</v>
      </c>
      <c r="Q684" t="str">
        <f t="shared" si="63"/>
        <v>Low Loan</v>
      </c>
      <c r="R684">
        <f t="shared" si="64"/>
        <v>27300000</v>
      </c>
      <c r="S684" t="str">
        <f t="shared" si="65"/>
        <v>Strong</v>
      </c>
    </row>
    <row r="685" spans="1:19" x14ac:dyDescent="0.25">
      <c r="A685">
        <v>684</v>
      </c>
      <c r="B685">
        <v>3</v>
      </c>
      <c r="C685" t="s">
        <v>31</v>
      </c>
      <c r="D685" t="s">
        <v>33</v>
      </c>
      <c r="E685">
        <v>6400000</v>
      </c>
      <c r="F685">
        <v>15200000</v>
      </c>
      <c r="G685">
        <v>14</v>
      </c>
      <c r="H685">
        <v>467</v>
      </c>
      <c r="I685">
        <v>15500000</v>
      </c>
      <c r="J685">
        <v>9100000</v>
      </c>
      <c r="K685">
        <v>18400000</v>
      </c>
      <c r="L685">
        <v>3200000</v>
      </c>
      <c r="M685" t="s">
        <v>35</v>
      </c>
      <c r="N685">
        <f t="shared" si="61"/>
        <v>0</v>
      </c>
      <c r="O685" t="str">
        <f t="shared" si="60"/>
        <v>Low</v>
      </c>
      <c r="P685" t="str">
        <f t="shared" si="62"/>
        <v>High</v>
      </c>
      <c r="Q685" t="str">
        <f t="shared" si="63"/>
        <v>Low Loan</v>
      </c>
      <c r="R685">
        <f t="shared" si="64"/>
        <v>46200000</v>
      </c>
      <c r="S685" t="str">
        <f t="shared" si="65"/>
        <v>Strong</v>
      </c>
    </row>
    <row r="686" spans="1:19" x14ac:dyDescent="0.25">
      <c r="A686">
        <v>685</v>
      </c>
      <c r="B686">
        <v>2</v>
      </c>
      <c r="C686" t="s">
        <v>31</v>
      </c>
      <c r="D686" t="s">
        <v>32</v>
      </c>
      <c r="E686">
        <v>1000000</v>
      </c>
      <c r="F686">
        <v>2500000</v>
      </c>
      <c r="G686">
        <v>6</v>
      </c>
      <c r="H686">
        <v>551</v>
      </c>
      <c r="I686">
        <v>1700000</v>
      </c>
      <c r="J686">
        <v>200000</v>
      </c>
      <c r="K686">
        <v>3700000</v>
      </c>
      <c r="L686">
        <v>900000</v>
      </c>
      <c r="M686" t="s">
        <v>34</v>
      </c>
      <c r="N686">
        <f t="shared" si="61"/>
        <v>1</v>
      </c>
      <c r="O686" t="str">
        <f t="shared" si="60"/>
        <v>Low</v>
      </c>
      <c r="P686" t="str">
        <f t="shared" si="62"/>
        <v>High</v>
      </c>
      <c r="Q686" t="str">
        <f t="shared" si="63"/>
        <v>Low Loan</v>
      </c>
      <c r="R686">
        <f t="shared" si="64"/>
        <v>6500000</v>
      </c>
      <c r="S686" t="str">
        <f t="shared" si="65"/>
        <v>Moderate</v>
      </c>
    </row>
    <row r="687" spans="1:19" x14ac:dyDescent="0.25">
      <c r="A687">
        <v>686</v>
      </c>
      <c r="B687">
        <v>2</v>
      </c>
      <c r="C687" t="s">
        <v>31</v>
      </c>
      <c r="D687" t="s">
        <v>32</v>
      </c>
      <c r="E687">
        <v>6800000</v>
      </c>
      <c r="F687">
        <v>14800000</v>
      </c>
      <c r="G687">
        <v>14</v>
      </c>
      <c r="H687">
        <v>803</v>
      </c>
      <c r="I687">
        <v>11300000</v>
      </c>
      <c r="J687">
        <v>3300000</v>
      </c>
      <c r="K687">
        <v>19600000</v>
      </c>
      <c r="L687">
        <v>6600000</v>
      </c>
      <c r="M687" t="s">
        <v>34</v>
      </c>
      <c r="N687">
        <f t="shared" si="61"/>
        <v>1</v>
      </c>
      <c r="O687" t="str">
        <f t="shared" si="60"/>
        <v>Excellent</v>
      </c>
      <c r="P687" t="str">
        <f t="shared" si="62"/>
        <v>High</v>
      </c>
      <c r="Q687" t="str">
        <f t="shared" si="63"/>
        <v>Low Loan</v>
      </c>
      <c r="R687">
        <f t="shared" si="64"/>
        <v>40800000</v>
      </c>
      <c r="S687" t="str">
        <f t="shared" si="65"/>
        <v>Strong</v>
      </c>
    </row>
    <row r="688" spans="1:19" x14ac:dyDescent="0.25">
      <c r="A688">
        <v>687</v>
      </c>
      <c r="B688">
        <v>0</v>
      </c>
      <c r="C688" t="s">
        <v>30</v>
      </c>
      <c r="D688" t="s">
        <v>32</v>
      </c>
      <c r="E688">
        <v>3000000</v>
      </c>
      <c r="F688">
        <v>8400000</v>
      </c>
      <c r="G688">
        <v>10</v>
      </c>
      <c r="H688">
        <v>361</v>
      </c>
      <c r="I688">
        <v>7700000</v>
      </c>
      <c r="J688">
        <v>200000</v>
      </c>
      <c r="K688">
        <v>7300000</v>
      </c>
      <c r="L688">
        <v>1800000</v>
      </c>
      <c r="M688" t="s">
        <v>35</v>
      </c>
      <c r="N688">
        <f t="shared" si="61"/>
        <v>0</v>
      </c>
      <c r="O688" t="str">
        <f t="shared" si="60"/>
        <v>Low</v>
      </c>
      <c r="P688" t="str">
        <f t="shared" si="62"/>
        <v>High</v>
      </c>
      <c r="Q688" t="str">
        <f t="shared" si="63"/>
        <v>Low Loan</v>
      </c>
      <c r="R688">
        <f t="shared" si="64"/>
        <v>17000000</v>
      </c>
      <c r="S688" t="str">
        <f t="shared" si="65"/>
        <v>Strong</v>
      </c>
    </row>
    <row r="689" spans="1:19" x14ac:dyDescent="0.25">
      <c r="A689">
        <v>688</v>
      </c>
      <c r="B689">
        <v>1</v>
      </c>
      <c r="C689" t="s">
        <v>31</v>
      </c>
      <c r="D689" t="s">
        <v>33</v>
      </c>
      <c r="E689">
        <v>8700000</v>
      </c>
      <c r="F689">
        <v>30700000</v>
      </c>
      <c r="G689">
        <v>6</v>
      </c>
      <c r="H689">
        <v>708</v>
      </c>
      <c r="I689">
        <v>20600000</v>
      </c>
      <c r="J689">
        <v>4500000</v>
      </c>
      <c r="K689">
        <v>27600000</v>
      </c>
      <c r="L689">
        <v>9300000</v>
      </c>
      <c r="M689" t="s">
        <v>34</v>
      </c>
      <c r="N689">
        <f t="shared" si="61"/>
        <v>1</v>
      </c>
      <c r="O689" t="str">
        <f t="shared" si="60"/>
        <v>Good</v>
      </c>
      <c r="P689" t="str">
        <f t="shared" si="62"/>
        <v>High</v>
      </c>
      <c r="Q689" t="str">
        <f t="shared" si="63"/>
        <v>High Loan</v>
      </c>
      <c r="R689">
        <f t="shared" si="64"/>
        <v>62000000</v>
      </c>
      <c r="S689" t="str">
        <f t="shared" si="65"/>
        <v>Strong</v>
      </c>
    </row>
    <row r="690" spans="1:19" x14ac:dyDescent="0.25">
      <c r="A690">
        <v>689</v>
      </c>
      <c r="B690">
        <v>4</v>
      </c>
      <c r="C690" t="s">
        <v>30</v>
      </c>
      <c r="D690" t="s">
        <v>33</v>
      </c>
      <c r="E690">
        <v>8800000</v>
      </c>
      <c r="F690">
        <v>20900000</v>
      </c>
      <c r="G690">
        <v>18</v>
      </c>
      <c r="H690">
        <v>766</v>
      </c>
      <c r="I690">
        <v>13500000</v>
      </c>
      <c r="J690">
        <v>15400000</v>
      </c>
      <c r="K690">
        <v>34500000</v>
      </c>
      <c r="L690">
        <v>13100000</v>
      </c>
      <c r="M690" t="s">
        <v>34</v>
      </c>
      <c r="N690">
        <f t="shared" si="61"/>
        <v>1</v>
      </c>
      <c r="O690" t="str">
        <f t="shared" si="60"/>
        <v>Excellent</v>
      </c>
      <c r="P690" t="str">
        <f t="shared" si="62"/>
        <v>High</v>
      </c>
      <c r="Q690" t="str">
        <f t="shared" si="63"/>
        <v>High Loan</v>
      </c>
      <c r="R690">
        <f t="shared" si="64"/>
        <v>76500000</v>
      </c>
      <c r="S690" t="str">
        <f t="shared" si="65"/>
        <v>Strong</v>
      </c>
    </row>
    <row r="691" spans="1:19" x14ac:dyDescent="0.25">
      <c r="A691">
        <v>690</v>
      </c>
      <c r="B691">
        <v>1</v>
      </c>
      <c r="C691" t="s">
        <v>31</v>
      </c>
      <c r="D691" t="s">
        <v>33</v>
      </c>
      <c r="E691">
        <v>3900000</v>
      </c>
      <c r="F691">
        <v>11500000</v>
      </c>
      <c r="G691">
        <v>2</v>
      </c>
      <c r="H691">
        <v>464</v>
      </c>
      <c r="I691">
        <v>9300000</v>
      </c>
      <c r="J691">
        <v>5700000</v>
      </c>
      <c r="K691">
        <v>12400000</v>
      </c>
      <c r="L691">
        <v>5100000</v>
      </c>
      <c r="M691" t="s">
        <v>35</v>
      </c>
      <c r="N691">
        <f t="shared" si="61"/>
        <v>0</v>
      </c>
      <c r="O691" t="str">
        <f t="shared" si="60"/>
        <v>Low</v>
      </c>
      <c r="P691" t="str">
        <f t="shared" si="62"/>
        <v>High</v>
      </c>
      <c r="Q691" t="str">
        <f t="shared" si="63"/>
        <v>Low Loan</v>
      </c>
      <c r="R691">
        <f t="shared" si="64"/>
        <v>32500000</v>
      </c>
      <c r="S691" t="str">
        <f t="shared" si="65"/>
        <v>Strong</v>
      </c>
    </row>
    <row r="692" spans="1:19" x14ac:dyDescent="0.25">
      <c r="A692">
        <v>691</v>
      </c>
      <c r="B692">
        <v>5</v>
      </c>
      <c r="C692" t="s">
        <v>30</v>
      </c>
      <c r="D692" t="s">
        <v>32</v>
      </c>
      <c r="E692">
        <v>1700000</v>
      </c>
      <c r="F692">
        <v>4300000</v>
      </c>
      <c r="G692">
        <v>2</v>
      </c>
      <c r="H692">
        <v>517</v>
      </c>
      <c r="I692">
        <v>100000</v>
      </c>
      <c r="J692">
        <v>200000</v>
      </c>
      <c r="K692">
        <v>6200000</v>
      </c>
      <c r="L692">
        <v>1600000</v>
      </c>
      <c r="M692" t="s">
        <v>35</v>
      </c>
      <c r="N692">
        <f t="shared" si="61"/>
        <v>0</v>
      </c>
      <c r="O692" t="str">
        <f t="shared" si="60"/>
        <v>Low</v>
      </c>
      <c r="P692" t="str">
        <f t="shared" si="62"/>
        <v>High</v>
      </c>
      <c r="Q692" t="str">
        <f t="shared" si="63"/>
        <v>Low Loan</v>
      </c>
      <c r="R692">
        <f t="shared" si="64"/>
        <v>8100000</v>
      </c>
      <c r="S692" t="str">
        <f t="shared" si="65"/>
        <v>Moderate</v>
      </c>
    </row>
    <row r="693" spans="1:19" x14ac:dyDescent="0.25">
      <c r="A693">
        <v>692</v>
      </c>
      <c r="B693">
        <v>3</v>
      </c>
      <c r="C693" t="s">
        <v>31</v>
      </c>
      <c r="D693" t="s">
        <v>33</v>
      </c>
      <c r="E693">
        <v>900000</v>
      </c>
      <c r="F693">
        <v>2300000</v>
      </c>
      <c r="G693">
        <v>6</v>
      </c>
      <c r="H693">
        <v>747</v>
      </c>
      <c r="I693">
        <v>1200000</v>
      </c>
      <c r="J693">
        <v>200000</v>
      </c>
      <c r="K693">
        <v>2900000</v>
      </c>
      <c r="L693">
        <v>600000</v>
      </c>
      <c r="M693" t="s">
        <v>34</v>
      </c>
      <c r="N693">
        <f t="shared" si="61"/>
        <v>1</v>
      </c>
      <c r="O693" t="str">
        <f t="shared" si="60"/>
        <v>Good</v>
      </c>
      <c r="P693" t="str">
        <f t="shared" si="62"/>
        <v>High</v>
      </c>
      <c r="Q693" t="str">
        <f t="shared" si="63"/>
        <v>Low Loan</v>
      </c>
      <c r="R693">
        <f t="shared" si="64"/>
        <v>4900000</v>
      </c>
      <c r="S693" t="str">
        <f t="shared" si="65"/>
        <v>Weak</v>
      </c>
    </row>
    <row r="694" spans="1:19" x14ac:dyDescent="0.25">
      <c r="A694">
        <v>693</v>
      </c>
      <c r="B694">
        <v>1</v>
      </c>
      <c r="C694" t="s">
        <v>31</v>
      </c>
      <c r="D694" t="s">
        <v>32</v>
      </c>
      <c r="E694">
        <v>7200000</v>
      </c>
      <c r="F694">
        <v>24700000</v>
      </c>
      <c r="G694">
        <v>6</v>
      </c>
      <c r="H694">
        <v>596</v>
      </c>
      <c r="I694">
        <v>8800000</v>
      </c>
      <c r="J694">
        <v>1400000</v>
      </c>
      <c r="K694">
        <v>21700000</v>
      </c>
      <c r="L694">
        <v>5800000</v>
      </c>
      <c r="M694" t="s">
        <v>34</v>
      </c>
      <c r="N694">
        <f t="shared" si="61"/>
        <v>1</v>
      </c>
      <c r="O694" t="str">
        <f t="shared" si="60"/>
        <v>Low</v>
      </c>
      <c r="P694" t="str">
        <f t="shared" si="62"/>
        <v>High</v>
      </c>
      <c r="Q694" t="str">
        <f t="shared" si="63"/>
        <v>High Loan</v>
      </c>
      <c r="R694">
        <f t="shared" si="64"/>
        <v>37700000</v>
      </c>
      <c r="S694" t="str">
        <f t="shared" si="65"/>
        <v>Strong</v>
      </c>
    </row>
    <row r="695" spans="1:19" x14ac:dyDescent="0.25">
      <c r="A695">
        <v>694</v>
      </c>
      <c r="B695">
        <v>0</v>
      </c>
      <c r="C695" t="s">
        <v>30</v>
      </c>
      <c r="D695" t="s">
        <v>32</v>
      </c>
      <c r="E695">
        <v>9200000</v>
      </c>
      <c r="F695">
        <v>25400000</v>
      </c>
      <c r="G695">
        <v>2</v>
      </c>
      <c r="H695">
        <v>783</v>
      </c>
      <c r="I695">
        <v>25400000</v>
      </c>
      <c r="J695">
        <v>2000000</v>
      </c>
      <c r="K695">
        <v>19600000</v>
      </c>
      <c r="L695">
        <v>12400000</v>
      </c>
      <c r="M695" t="s">
        <v>34</v>
      </c>
      <c r="N695">
        <f t="shared" si="61"/>
        <v>1</v>
      </c>
      <c r="O695" t="str">
        <f t="shared" si="60"/>
        <v>Excellent</v>
      </c>
      <c r="P695" t="str">
        <f t="shared" si="62"/>
        <v>High</v>
      </c>
      <c r="Q695" t="str">
        <f t="shared" si="63"/>
        <v>High Loan</v>
      </c>
      <c r="R695">
        <f t="shared" si="64"/>
        <v>59400000</v>
      </c>
      <c r="S695" t="str">
        <f t="shared" si="65"/>
        <v>Strong</v>
      </c>
    </row>
    <row r="696" spans="1:19" x14ac:dyDescent="0.25">
      <c r="A696">
        <v>695</v>
      </c>
      <c r="B696">
        <v>3</v>
      </c>
      <c r="C696" t="s">
        <v>31</v>
      </c>
      <c r="D696" t="s">
        <v>32</v>
      </c>
      <c r="E696">
        <v>5700000</v>
      </c>
      <c r="F696">
        <v>19400000</v>
      </c>
      <c r="G696">
        <v>2</v>
      </c>
      <c r="H696">
        <v>335</v>
      </c>
      <c r="I696">
        <v>7400000</v>
      </c>
      <c r="J696">
        <v>10600000</v>
      </c>
      <c r="K696">
        <v>20600000</v>
      </c>
      <c r="L696">
        <v>7100000</v>
      </c>
      <c r="M696" t="s">
        <v>34</v>
      </c>
      <c r="N696">
        <f t="shared" si="61"/>
        <v>1</v>
      </c>
      <c r="O696" t="str">
        <f t="shared" si="60"/>
        <v>Low</v>
      </c>
      <c r="P696" t="str">
        <f t="shared" si="62"/>
        <v>High</v>
      </c>
      <c r="Q696" t="str">
        <f t="shared" si="63"/>
        <v>Low Loan</v>
      </c>
      <c r="R696">
        <f t="shared" si="64"/>
        <v>45700000</v>
      </c>
      <c r="S696" t="str">
        <f t="shared" si="65"/>
        <v>Strong</v>
      </c>
    </row>
    <row r="697" spans="1:19" x14ac:dyDescent="0.25">
      <c r="A697">
        <v>696</v>
      </c>
      <c r="B697">
        <v>5</v>
      </c>
      <c r="C697" t="s">
        <v>31</v>
      </c>
      <c r="D697" t="s">
        <v>33</v>
      </c>
      <c r="E697">
        <v>1100000</v>
      </c>
      <c r="F697">
        <v>2700000</v>
      </c>
      <c r="G697">
        <v>4</v>
      </c>
      <c r="H697">
        <v>889</v>
      </c>
      <c r="I697">
        <v>1900000</v>
      </c>
      <c r="J697">
        <v>1000000</v>
      </c>
      <c r="K697">
        <v>2200000</v>
      </c>
      <c r="L697">
        <v>500000</v>
      </c>
      <c r="M697" t="s">
        <v>34</v>
      </c>
      <c r="N697">
        <f t="shared" si="61"/>
        <v>1</v>
      </c>
      <c r="O697" t="str">
        <f t="shared" si="60"/>
        <v>Excellent</v>
      </c>
      <c r="P697" t="str">
        <f t="shared" si="62"/>
        <v>High</v>
      </c>
      <c r="Q697" t="str">
        <f t="shared" si="63"/>
        <v>Low Loan</v>
      </c>
      <c r="R697">
        <f t="shared" si="64"/>
        <v>5600000</v>
      </c>
      <c r="S697" t="str">
        <f t="shared" si="65"/>
        <v>Moderate</v>
      </c>
    </row>
    <row r="698" spans="1:19" x14ac:dyDescent="0.25">
      <c r="A698">
        <v>697</v>
      </c>
      <c r="B698">
        <v>2</v>
      </c>
      <c r="C698" t="s">
        <v>31</v>
      </c>
      <c r="D698" t="s">
        <v>33</v>
      </c>
      <c r="E698">
        <v>1100000</v>
      </c>
      <c r="F698">
        <v>2200000</v>
      </c>
      <c r="G698">
        <v>4</v>
      </c>
      <c r="H698">
        <v>874</v>
      </c>
      <c r="I698">
        <v>1900000</v>
      </c>
      <c r="J698">
        <v>1300000</v>
      </c>
      <c r="K698">
        <v>2100000</v>
      </c>
      <c r="L698">
        <v>900000</v>
      </c>
      <c r="M698" t="s">
        <v>34</v>
      </c>
      <c r="N698">
        <f t="shared" si="61"/>
        <v>1</v>
      </c>
      <c r="O698" t="str">
        <f t="shared" si="60"/>
        <v>Excellent</v>
      </c>
      <c r="P698" t="str">
        <f t="shared" si="62"/>
        <v>High</v>
      </c>
      <c r="Q698" t="str">
        <f t="shared" si="63"/>
        <v>Low Loan</v>
      </c>
      <c r="R698">
        <f t="shared" si="64"/>
        <v>6200000</v>
      </c>
      <c r="S698" t="str">
        <f t="shared" si="65"/>
        <v>Moderate</v>
      </c>
    </row>
    <row r="699" spans="1:19" x14ac:dyDescent="0.25">
      <c r="A699">
        <v>698</v>
      </c>
      <c r="B699">
        <v>0</v>
      </c>
      <c r="C699" t="s">
        <v>30</v>
      </c>
      <c r="D699" t="s">
        <v>33</v>
      </c>
      <c r="E699">
        <v>6000000</v>
      </c>
      <c r="F699">
        <v>23900000</v>
      </c>
      <c r="G699">
        <v>4</v>
      </c>
      <c r="H699">
        <v>394</v>
      </c>
      <c r="I699">
        <v>6700000</v>
      </c>
      <c r="J699">
        <v>5800000</v>
      </c>
      <c r="K699">
        <v>21900000</v>
      </c>
      <c r="L699">
        <v>4500000</v>
      </c>
      <c r="M699" t="s">
        <v>34</v>
      </c>
      <c r="N699">
        <f t="shared" si="61"/>
        <v>1</v>
      </c>
      <c r="O699" t="str">
        <f t="shared" si="60"/>
        <v>Low</v>
      </c>
      <c r="P699" t="str">
        <f t="shared" si="62"/>
        <v>High</v>
      </c>
      <c r="Q699" t="str">
        <f t="shared" si="63"/>
        <v>High Loan</v>
      </c>
      <c r="R699">
        <f t="shared" si="64"/>
        <v>38900000</v>
      </c>
      <c r="S699" t="str">
        <f t="shared" si="65"/>
        <v>Strong</v>
      </c>
    </row>
    <row r="700" spans="1:19" x14ac:dyDescent="0.25">
      <c r="A700">
        <v>699</v>
      </c>
      <c r="B700">
        <v>2</v>
      </c>
      <c r="C700" t="s">
        <v>30</v>
      </c>
      <c r="D700" t="s">
        <v>33</v>
      </c>
      <c r="E700">
        <v>8100000</v>
      </c>
      <c r="F700">
        <v>28500000</v>
      </c>
      <c r="G700">
        <v>20</v>
      </c>
      <c r="H700">
        <v>420</v>
      </c>
      <c r="I700">
        <v>1500000</v>
      </c>
      <c r="J700">
        <v>1400000</v>
      </c>
      <c r="K700">
        <v>31800000</v>
      </c>
      <c r="L700">
        <v>10000000</v>
      </c>
      <c r="M700" t="s">
        <v>35</v>
      </c>
      <c r="N700">
        <f t="shared" si="61"/>
        <v>0</v>
      </c>
      <c r="O700" t="str">
        <f t="shared" si="60"/>
        <v>Low</v>
      </c>
      <c r="P700" t="str">
        <f t="shared" si="62"/>
        <v>High</v>
      </c>
      <c r="Q700" t="str">
        <f t="shared" si="63"/>
        <v>High Loan</v>
      </c>
      <c r="R700">
        <f t="shared" si="64"/>
        <v>44700000</v>
      </c>
      <c r="S700" t="str">
        <f t="shared" si="65"/>
        <v>Strong</v>
      </c>
    </row>
    <row r="701" spans="1:19" x14ac:dyDescent="0.25">
      <c r="A701">
        <v>700</v>
      </c>
      <c r="B701">
        <v>2</v>
      </c>
      <c r="C701" t="s">
        <v>31</v>
      </c>
      <c r="D701" t="s">
        <v>33</v>
      </c>
      <c r="E701">
        <v>6500000</v>
      </c>
      <c r="F701">
        <v>25100000</v>
      </c>
      <c r="G701">
        <v>20</v>
      </c>
      <c r="H701">
        <v>848</v>
      </c>
      <c r="I701">
        <v>11500000</v>
      </c>
      <c r="J701">
        <v>8600000</v>
      </c>
      <c r="K701">
        <v>17400000</v>
      </c>
      <c r="L701">
        <v>4400000</v>
      </c>
      <c r="M701" t="s">
        <v>34</v>
      </c>
      <c r="N701">
        <f t="shared" si="61"/>
        <v>1</v>
      </c>
      <c r="O701" t="str">
        <f t="shared" si="60"/>
        <v>Excellent</v>
      </c>
      <c r="P701" t="str">
        <f t="shared" si="62"/>
        <v>High</v>
      </c>
      <c r="Q701" t="str">
        <f t="shared" si="63"/>
        <v>High Loan</v>
      </c>
      <c r="R701">
        <f t="shared" si="64"/>
        <v>41900000</v>
      </c>
      <c r="S701" t="str">
        <f t="shared" si="65"/>
        <v>Strong</v>
      </c>
    </row>
    <row r="702" spans="1:19" x14ac:dyDescent="0.25">
      <c r="A702">
        <v>701</v>
      </c>
      <c r="B702">
        <v>0</v>
      </c>
      <c r="C702" t="s">
        <v>30</v>
      </c>
      <c r="D702" t="s">
        <v>33</v>
      </c>
      <c r="E702">
        <v>7600000</v>
      </c>
      <c r="F702">
        <v>17900000</v>
      </c>
      <c r="G702">
        <v>16</v>
      </c>
      <c r="H702">
        <v>788</v>
      </c>
      <c r="I702">
        <v>1700000</v>
      </c>
      <c r="J702">
        <v>7800000</v>
      </c>
      <c r="K702">
        <v>27100000</v>
      </c>
      <c r="L702">
        <v>5900000</v>
      </c>
      <c r="M702" t="s">
        <v>34</v>
      </c>
      <c r="N702">
        <f t="shared" si="61"/>
        <v>1</v>
      </c>
      <c r="O702" t="str">
        <f t="shared" si="60"/>
        <v>Excellent</v>
      </c>
      <c r="P702" t="str">
        <f t="shared" si="62"/>
        <v>High</v>
      </c>
      <c r="Q702" t="str">
        <f t="shared" si="63"/>
        <v>Low Loan</v>
      </c>
      <c r="R702">
        <f t="shared" si="64"/>
        <v>42500000</v>
      </c>
      <c r="S702" t="str">
        <f t="shared" si="65"/>
        <v>Strong</v>
      </c>
    </row>
    <row r="703" spans="1:19" x14ac:dyDescent="0.25">
      <c r="A703">
        <v>702</v>
      </c>
      <c r="B703">
        <v>1</v>
      </c>
      <c r="C703" t="s">
        <v>30</v>
      </c>
      <c r="D703" t="s">
        <v>32</v>
      </c>
      <c r="E703">
        <v>2200000</v>
      </c>
      <c r="F703">
        <v>4900000</v>
      </c>
      <c r="G703">
        <v>8</v>
      </c>
      <c r="H703">
        <v>509</v>
      </c>
      <c r="I703">
        <v>3800000</v>
      </c>
      <c r="J703">
        <v>0</v>
      </c>
      <c r="K703">
        <v>5400000</v>
      </c>
      <c r="L703">
        <v>2900000</v>
      </c>
      <c r="M703" t="s">
        <v>35</v>
      </c>
      <c r="N703">
        <f t="shared" si="61"/>
        <v>0</v>
      </c>
      <c r="O703" t="str">
        <f t="shared" si="60"/>
        <v>Low</v>
      </c>
      <c r="P703" t="str">
        <f t="shared" si="62"/>
        <v>High</v>
      </c>
      <c r="Q703" t="str">
        <f t="shared" si="63"/>
        <v>Low Loan</v>
      </c>
      <c r="R703">
        <f t="shared" si="64"/>
        <v>12100000</v>
      </c>
      <c r="S703" t="str">
        <f t="shared" si="65"/>
        <v>Strong</v>
      </c>
    </row>
    <row r="704" spans="1:19" x14ac:dyDescent="0.25">
      <c r="A704">
        <v>703</v>
      </c>
      <c r="B704">
        <v>4</v>
      </c>
      <c r="C704" t="s">
        <v>30</v>
      </c>
      <c r="D704" t="s">
        <v>33</v>
      </c>
      <c r="E704">
        <v>6300000</v>
      </c>
      <c r="F704">
        <v>23900000</v>
      </c>
      <c r="G704">
        <v>6</v>
      </c>
      <c r="H704">
        <v>899</v>
      </c>
      <c r="I704">
        <v>-100000</v>
      </c>
      <c r="J704">
        <v>11400000</v>
      </c>
      <c r="K704">
        <v>20600000</v>
      </c>
      <c r="L704">
        <v>6700000</v>
      </c>
      <c r="M704" t="s">
        <v>34</v>
      </c>
      <c r="N704">
        <f t="shared" si="61"/>
        <v>1</v>
      </c>
      <c r="O704" t="str">
        <f t="shared" si="60"/>
        <v>Excellent</v>
      </c>
      <c r="P704" t="str">
        <f t="shared" si="62"/>
        <v>High</v>
      </c>
      <c r="Q704" t="str">
        <f t="shared" si="63"/>
        <v>High Loan</v>
      </c>
      <c r="R704">
        <f t="shared" si="64"/>
        <v>38600000</v>
      </c>
      <c r="S704" t="str">
        <f t="shared" si="65"/>
        <v>Strong</v>
      </c>
    </row>
    <row r="705" spans="1:19" x14ac:dyDescent="0.25">
      <c r="A705">
        <v>704</v>
      </c>
      <c r="B705">
        <v>4</v>
      </c>
      <c r="C705" t="s">
        <v>31</v>
      </c>
      <c r="D705" t="s">
        <v>33</v>
      </c>
      <c r="E705">
        <v>6700000</v>
      </c>
      <c r="F705">
        <v>15800000</v>
      </c>
      <c r="G705">
        <v>12</v>
      </c>
      <c r="H705">
        <v>466</v>
      </c>
      <c r="I705">
        <v>7500000</v>
      </c>
      <c r="J705">
        <v>4600000</v>
      </c>
      <c r="K705">
        <v>19900000</v>
      </c>
      <c r="L705">
        <v>6600000</v>
      </c>
      <c r="M705" t="s">
        <v>35</v>
      </c>
      <c r="N705">
        <f t="shared" si="61"/>
        <v>0</v>
      </c>
      <c r="O705" t="str">
        <f t="shared" si="60"/>
        <v>Low</v>
      </c>
      <c r="P705" t="str">
        <f t="shared" si="62"/>
        <v>High</v>
      </c>
      <c r="Q705" t="str">
        <f t="shared" si="63"/>
        <v>Low Loan</v>
      </c>
      <c r="R705">
        <f t="shared" si="64"/>
        <v>38600000</v>
      </c>
      <c r="S705" t="str">
        <f t="shared" si="65"/>
        <v>Strong</v>
      </c>
    </row>
    <row r="706" spans="1:19" x14ac:dyDescent="0.25">
      <c r="A706">
        <v>705</v>
      </c>
      <c r="B706">
        <v>5</v>
      </c>
      <c r="C706" t="s">
        <v>30</v>
      </c>
      <c r="D706" t="s">
        <v>33</v>
      </c>
      <c r="E706">
        <v>1300000</v>
      </c>
      <c r="F706">
        <v>4300000</v>
      </c>
      <c r="G706">
        <v>2</v>
      </c>
      <c r="H706">
        <v>595</v>
      </c>
      <c r="I706">
        <v>1300000</v>
      </c>
      <c r="J706">
        <v>500000</v>
      </c>
      <c r="K706">
        <v>2900000</v>
      </c>
      <c r="L706">
        <v>1500000</v>
      </c>
      <c r="M706" t="s">
        <v>34</v>
      </c>
      <c r="N706">
        <f t="shared" si="61"/>
        <v>1</v>
      </c>
      <c r="O706" t="str">
        <f t="shared" ref="O706:O769" si="66">IF(H706&lt;650,"Low",
 IF(H706&lt;700,"Medium",
 IF(H706&lt;750,"Good","Excellent")))</f>
        <v>Low</v>
      </c>
      <c r="P706" t="str">
        <f t="shared" si="62"/>
        <v>High</v>
      </c>
      <c r="Q706" t="str">
        <f t="shared" si="63"/>
        <v>Low Loan</v>
      </c>
      <c r="R706">
        <f t="shared" si="64"/>
        <v>6200000</v>
      </c>
      <c r="S706" t="str">
        <f t="shared" si="65"/>
        <v>Moderate</v>
      </c>
    </row>
    <row r="707" spans="1:19" x14ac:dyDescent="0.25">
      <c r="A707">
        <v>706</v>
      </c>
      <c r="B707">
        <v>1</v>
      </c>
      <c r="C707" t="s">
        <v>31</v>
      </c>
      <c r="D707" t="s">
        <v>32</v>
      </c>
      <c r="E707">
        <v>2800000</v>
      </c>
      <c r="F707">
        <v>6700000</v>
      </c>
      <c r="G707">
        <v>12</v>
      </c>
      <c r="H707">
        <v>322</v>
      </c>
      <c r="I707">
        <v>1900000</v>
      </c>
      <c r="J707">
        <v>2000000</v>
      </c>
      <c r="K707">
        <v>8600000</v>
      </c>
      <c r="L707">
        <v>2100000</v>
      </c>
      <c r="M707" t="s">
        <v>35</v>
      </c>
      <c r="N707">
        <f t="shared" ref="N707:N770" si="67">IF(TRIM(CLEAN(M707))="Approved",1,0)</f>
        <v>0</v>
      </c>
      <c r="O707" t="str">
        <f t="shared" si="66"/>
        <v>Low</v>
      </c>
      <c r="P707" t="str">
        <f t="shared" ref="P707:P770" si="68">IF(E707&lt;300000,"Low",
 IF(E707&lt;700000,"Middle","High"))</f>
        <v>High</v>
      </c>
      <c r="Q707" t="str">
        <f t="shared" ref="Q707:Q770" si="69">IF(F707&lt;20000000,"Low Loan","High Loan")</f>
        <v>Low Loan</v>
      </c>
      <c r="R707">
        <f t="shared" ref="R707:R770" si="70">I707+J707+K707+L707</f>
        <v>14600000</v>
      </c>
      <c r="S707" t="str">
        <f t="shared" ref="S707:S770" si="71">IF(R707&lt;5000000,"Weak",
 IF(R707&lt;10000000,"Moderate","Strong"))</f>
        <v>Strong</v>
      </c>
    </row>
    <row r="708" spans="1:19" x14ac:dyDescent="0.25">
      <c r="A708">
        <v>707</v>
      </c>
      <c r="B708">
        <v>3</v>
      </c>
      <c r="C708" t="s">
        <v>30</v>
      </c>
      <c r="D708" t="s">
        <v>32</v>
      </c>
      <c r="E708">
        <v>7000000</v>
      </c>
      <c r="F708">
        <v>18900000</v>
      </c>
      <c r="G708">
        <v>2</v>
      </c>
      <c r="H708">
        <v>691</v>
      </c>
      <c r="I708">
        <v>6300000</v>
      </c>
      <c r="J708">
        <v>7400000</v>
      </c>
      <c r="K708">
        <v>15200000</v>
      </c>
      <c r="L708">
        <v>3900000</v>
      </c>
      <c r="M708" t="s">
        <v>34</v>
      </c>
      <c r="N708">
        <f t="shared" si="67"/>
        <v>1</v>
      </c>
      <c r="O708" t="str">
        <f t="shared" si="66"/>
        <v>Medium</v>
      </c>
      <c r="P708" t="str">
        <f t="shared" si="68"/>
        <v>High</v>
      </c>
      <c r="Q708" t="str">
        <f t="shared" si="69"/>
        <v>Low Loan</v>
      </c>
      <c r="R708">
        <f t="shared" si="70"/>
        <v>32800000</v>
      </c>
      <c r="S708" t="str">
        <f t="shared" si="71"/>
        <v>Strong</v>
      </c>
    </row>
    <row r="709" spans="1:19" x14ac:dyDescent="0.25">
      <c r="A709">
        <v>708</v>
      </c>
      <c r="B709">
        <v>3</v>
      </c>
      <c r="C709" t="s">
        <v>31</v>
      </c>
      <c r="D709" t="s">
        <v>33</v>
      </c>
      <c r="E709">
        <v>8800000</v>
      </c>
      <c r="F709">
        <v>26700000</v>
      </c>
      <c r="G709">
        <v>10</v>
      </c>
      <c r="H709">
        <v>379</v>
      </c>
      <c r="I709">
        <v>10100000</v>
      </c>
      <c r="J709">
        <v>15500000</v>
      </c>
      <c r="K709">
        <v>27000000</v>
      </c>
      <c r="L709">
        <v>9700000</v>
      </c>
      <c r="M709" t="s">
        <v>35</v>
      </c>
      <c r="N709">
        <f t="shared" si="67"/>
        <v>0</v>
      </c>
      <c r="O709" t="str">
        <f t="shared" si="66"/>
        <v>Low</v>
      </c>
      <c r="P709" t="str">
        <f t="shared" si="68"/>
        <v>High</v>
      </c>
      <c r="Q709" t="str">
        <f t="shared" si="69"/>
        <v>High Loan</v>
      </c>
      <c r="R709">
        <f t="shared" si="70"/>
        <v>62300000</v>
      </c>
      <c r="S709" t="str">
        <f t="shared" si="71"/>
        <v>Strong</v>
      </c>
    </row>
    <row r="710" spans="1:19" x14ac:dyDescent="0.25">
      <c r="A710">
        <v>709</v>
      </c>
      <c r="B710">
        <v>0</v>
      </c>
      <c r="C710" t="s">
        <v>30</v>
      </c>
      <c r="D710" t="s">
        <v>32</v>
      </c>
      <c r="E710">
        <v>8900000</v>
      </c>
      <c r="F710">
        <v>25800000</v>
      </c>
      <c r="G710">
        <v>18</v>
      </c>
      <c r="H710">
        <v>531</v>
      </c>
      <c r="I710">
        <v>12400000</v>
      </c>
      <c r="J710">
        <v>3400000</v>
      </c>
      <c r="K710">
        <v>22900000</v>
      </c>
      <c r="L710">
        <v>5400000</v>
      </c>
      <c r="M710" t="s">
        <v>35</v>
      </c>
      <c r="N710">
        <f t="shared" si="67"/>
        <v>0</v>
      </c>
      <c r="O710" t="str">
        <f t="shared" si="66"/>
        <v>Low</v>
      </c>
      <c r="P710" t="str">
        <f t="shared" si="68"/>
        <v>High</v>
      </c>
      <c r="Q710" t="str">
        <f t="shared" si="69"/>
        <v>High Loan</v>
      </c>
      <c r="R710">
        <f t="shared" si="70"/>
        <v>44100000</v>
      </c>
      <c r="S710" t="str">
        <f t="shared" si="71"/>
        <v>Strong</v>
      </c>
    </row>
    <row r="711" spans="1:19" x14ac:dyDescent="0.25">
      <c r="A711">
        <v>710</v>
      </c>
      <c r="B711">
        <v>5</v>
      </c>
      <c r="C711" t="s">
        <v>31</v>
      </c>
      <c r="D711" t="s">
        <v>32</v>
      </c>
      <c r="E711">
        <v>7000000</v>
      </c>
      <c r="F711">
        <v>21800000</v>
      </c>
      <c r="G711">
        <v>4</v>
      </c>
      <c r="H711">
        <v>631</v>
      </c>
      <c r="I711">
        <v>8100000</v>
      </c>
      <c r="J711">
        <v>7100000</v>
      </c>
      <c r="K711">
        <v>14600000</v>
      </c>
      <c r="L711">
        <v>10000000</v>
      </c>
      <c r="M711" t="s">
        <v>34</v>
      </c>
      <c r="N711">
        <f t="shared" si="67"/>
        <v>1</v>
      </c>
      <c r="O711" t="str">
        <f t="shared" si="66"/>
        <v>Low</v>
      </c>
      <c r="P711" t="str">
        <f t="shared" si="68"/>
        <v>High</v>
      </c>
      <c r="Q711" t="str">
        <f t="shared" si="69"/>
        <v>High Loan</v>
      </c>
      <c r="R711">
        <f t="shared" si="70"/>
        <v>39800000</v>
      </c>
      <c r="S711" t="str">
        <f t="shared" si="71"/>
        <v>Strong</v>
      </c>
    </row>
    <row r="712" spans="1:19" x14ac:dyDescent="0.25">
      <c r="A712">
        <v>711</v>
      </c>
      <c r="B712">
        <v>0</v>
      </c>
      <c r="C712" t="s">
        <v>30</v>
      </c>
      <c r="D712" t="s">
        <v>33</v>
      </c>
      <c r="E712">
        <v>6900000</v>
      </c>
      <c r="F712">
        <v>18600000</v>
      </c>
      <c r="G712">
        <v>10</v>
      </c>
      <c r="H712">
        <v>330</v>
      </c>
      <c r="I712">
        <v>19600000</v>
      </c>
      <c r="J712">
        <v>9400000</v>
      </c>
      <c r="K712">
        <v>16400000</v>
      </c>
      <c r="L712">
        <v>4500000</v>
      </c>
      <c r="M712" t="s">
        <v>35</v>
      </c>
      <c r="N712">
        <f t="shared" si="67"/>
        <v>0</v>
      </c>
      <c r="O712" t="str">
        <f t="shared" si="66"/>
        <v>Low</v>
      </c>
      <c r="P712" t="str">
        <f t="shared" si="68"/>
        <v>High</v>
      </c>
      <c r="Q712" t="str">
        <f t="shared" si="69"/>
        <v>Low Loan</v>
      </c>
      <c r="R712">
        <f t="shared" si="70"/>
        <v>49900000</v>
      </c>
      <c r="S712" t="str">
        <f t="shared" si="71"/>
        <v>Strong</v>
      </c>
    </row>
    <row r="713" spans="1:19" x14ac:dyDescent="0.25">
      <c r="A713">
        <v>712</v>
      </c>
      <c r="B713">
        <v>5</v>
      </c>
      <c r="C713" t="s">
        <v>30</v>
      </c>
      <c r="D713" t="s">
        <v>32</v>
      </c>
      <c r="E713">
        <v>9200000</v>
      </c>
      <c r="F713">
        <v>29200000</v>
      </c>
      <c r="G713">
        <v>16</v>
      </c>
      <c r="H713">
        <v>383</v>
      </c>
      <c r="I713">
        <v>17700000</v>
      </c>
      <c r="J713">
        <v>13300000</v>
      </c>
      <c r="K713">
        <v>30400000</v>
      </c>
      <c r="L713">
        <v>5700000</v>
      </c>
      <c r="M713" t="s">
        <v>35</v>
      </c>
      <c r="N713">
        <f t="shared" si="67"/>
        <v>0</v>
      </c>
      <c r="O713" t="str">
        <f t="shared" si="66"/>
        <v>Low</v>
      </c>
      <c r="P713" t="str">
        <f t="shared" si="68"/>
        <v>High</v>
      </c>
      <c r="Q713" t="str">
        <f t="shared" si="69"/>
        <v>High Loan</v>
      </c>
      <c r="R713">
        <f t="shared" si="70"/>
        <v>67100000</v>
      </c>
      <c r="S713" t="str">
        <f t="shared" si="71"/>
        <v>Strong</v>
      </c>
    </row>
    <row r="714" spans="1:19" x14ac:dyDescent="0.25">
      <c r="A714">
        <v>713</v>
      </c>
      <c r="B714">
        <v>0</v>
      </c>
      <c r="C714" t="s">
        <v>30</v>
      </c>
      <c r="D714" t="s">
        <v>33</v>
      </c>
      <c r="E714">
        <v>6100000</v>
      </c>
      <c r="F714">
        <v>19700000</v>
      </c>
      <c r="G714">
        <v>16</v>
      </c>
      <c r="H714">
        <v>678</v>
      </c>
      <c r="I714">
        <v>13700000</v>
      </c>
      <c r="J714">
        <v>2300000</v>
      </c>
      <c r="K714">
        <v>19300000</v>
      </c>
      <c r="L714">
        <v>5500000</v>
      </c>
      <c r="M714" t="s">
        <v>34</v>
      </c>
      <c r="N714">
        <f t="shared" si="67"/>
        <v>1</v>
      </c>
      <c r="O714" t="str">
        <f t="shared" si="66"/>
        <v>Medium</v>
      </c>
      <c r="P714" t="str">
        <f t="shared" si="68"/>
        <v>High</v>
      </c>
      <c r="Q714" t="str">
        <f t="shared" si="69"/>
        <v>Low Loan</v>
      </c>
      <c r="R714">
        <f t="shared" si="70"/>
        <v>40800000</v>
      </c>
      <c r="S714" t="str">
        <f t="shared" si="71"/>
        <v>Strong</v>
      </c>
    </row>
    <row r="715" spans="1:19" x14ac:dyDescent="0.25">
      <c r="A715">
        <v>714</v>
      </c>
      <c r="B715">
        <v>1</v>
      </c>
      <c r="C715" t="s">
        <v>30</v>
      </c>
      <c r="D715" t="s">
        <v>33</v>
      </c>
      <c r="E715">
        <v>4400000</v>
      </c>
      <c r="F715">
        <v>14700000</v>
      </c>
      <c r="G715">
        <v>8</v>
      </c>
      <c r="H715">
        <v>894</v>
      </c>
      <c r="I715">
        <v>11400000</v>
      </c>
      <c r="J715">
        <v>6300000</v>
      </c>
      <c r="K715">
        <v>9400000</v>
      </c>
      <c r="L715">
        <v>2400000</v>
      </c>
      <c r="M715" t="s">
        <v>34</v>
      </c>
      <c r="N715">
        <f t="shared" si="67"/>
        <v>1</v>
      </c>
      <c r="O715" t="str">
        <f t="shared" si="66"/>
        <v>Excellent</v>
      </c>
      <c r="P715" t="str">
        <f t="shared" si="68"/>
        <v>High</v>
      </c>
      <c r="Q715" t="str">
        <f t="shared" si="69"/>
        <v>Low Loan</v>
      </c>
      <c r="R715">
        <f t="shared" si="70"/>
        <v>29500000</v>
      </c>
      <c r="S715" t="str">
        <f t="shared" si="71"/>
        <v>Strong</v>
      </c>
    </row>
    <row r="716" spans="1:19" x14ac:dyDescent="0.25">
      <c r="A716">
        <v>715</v>
      </c>
      <c r="B716">
        <v>4</v>
      </c>
      <c r="C716" t="s">
        <v>31</v>
      </c>
      <c r="D716" t="s">
        <v>32</v>
      </c>
      <c r="E716">
        <v>9900000</v>
      </c>
      <c r="F716">
        <v>22700000</v>
      </c>
      <c r="G716">
        <v>12</v>
      </c>
      <c r="H716">
        <v>567</v>
      </c>
      <c r="I716">
        <v>28300000</v>
      </c>
      <c r="J716">
        <v>9900000</v>
      </c>
      <c r="K716">
        <v>29700000</v>
      </c>
      <c r="L716">
        <v>5400000</v>
      </c>
      <c r="M716" t="s">
        <v>34</v>
      </c>
      <c r="N716">
        <f t="shared" si="67"/>
        <v>1</v>
      </c>
      <c r="O716" t="str">
        <f t="shared" si="66"/>
        <v>Low</v>
      </c>
      <c r="P716" t="str">
        <f t="shared" si="68"/>
        <v>High</v>
      </c>
      <c r="Q716" t="str">
        <f t="shared" si="69"/>
        <v>High Loan</v>
      </c>
      <c r="R716">
        <f t="shared" si="70"/>
        <v>73300000</v>
      </c>
      <c r="S716" t="str">
        <f t="shared" si="71"/>
        <v>Strong</v>
      </c>
    </row>
    <row r="717" spans="1:19" x14ac:dyDescent="0.25">
      <c r="A717">
        <v>716</v>
      </c>
      <c r="B717">
        <v>5</v>
      </c>
      <c r="C717" t="s">
        <v>31</v>
      </c>
      <c r="D717" t="s">
        <v>32</v>
      </c>
      <c r="E717">
        <v>3900000</v>
      </c>
      <c r="F717">
        <v>14000000</v>
      </c>
      <c r="G717">
        <v>4</v>
      </c>
      <c r="H717">
        <v>708</v>
      </c>
      <c r="I717">
        <v>700000</v>
      </c>
      <c r="J717">
        <v>1800000</v>
      </c>
      <c r="K717">
        <v>15600000</v>
      </c>
      <c r="L717">
        <v>5200000</v>
      </c>
      <c r="M717" t="s">
        <v>34</v>
      </c>
      <c r="N717">
        <f t="shared" si="67"/>
        <v>1</v>
      </c>
      <c r="O717" t="str">
        <f t="shared" si="66"/>
        <v>Good</v>
      </c>
      <c r="P717" t="str">
        <f t="shared" si="68"/>
        <v>High</v>
      </c>
      <c r="Q717" t="str">
        <f t="shared" si="69"/>
        <v>Low Loan</v>
      </c>
      <c r="R717">
        <f t="shared" si="70"/>
        <v>23300000</v>
      </c>
      <c r="S717" t="str">
        <f t="shared" si="71"/>
        <v>Strong</v>
      </c>
    </row>
    <row r="718" spans="1:19" x14ac:dyDescent="0.25">
      <c r="A718">
        <v>717</v>
      </c>
      <c r="B718">
        <v>3</v>
      </c>
      <c r="C718" t="s">
        <v>30</v>
      </c>
      <c r="D718" t="s">
        <v>32</v>
      </c>
      <c r="E718">
        <v>6800000</v>
      </c>
      <c r="F718">
        <v>21200000</v>
      </c>
      <c r="G718">
        <v>2</v>
      </c>
      <c r="H718">
        <v>433</v>
      </c>
      <c r="I718">
        <v>10700000</v>
      </c>
      <c r="J718">
        <v>1900000</v>
      </c>
      <c r="K718">
        <v>23200000</v>
      </c>
      <c r="L718">
        <v>6300000</v>
      </c>
      <c r="M718" t="s">
        <v>34</v>
      </c>
      <c r="N718">
        <f t="shared" si="67"/>
        <v>1</v>
      </c>
      <c r="O718" t="str">
        <f t="shared" si="66"/>
        <v>Low</v>
      </c>
      <c r="P718" t="str">
        <f t="shared" si="68"/>
        <v>High</v>
      </c>
      <c r="Q718" t="str">
        <f t="shared" si="69"/>
        <v>High Loan</v>
      </c>
      <c r="R718">
        <f t="shared" si="70"/>
        <v>42100000</v>
      </c>
      <c r="S718" t="str">
        <f t="shared" si="71"/>
        <v>Strong</v>
      </c>
    </row>
    <row r="719" spans="1:19" x14ac:dyDescent="0.25">
      <c r="A719">
        <v>718</v>
      </c>
      <c r="B719">
        <v>4</v>
      </c>
      <c r="C719" t="s">
        <v>31</v>
      </c>
      <c r="D719" t="s">
        <v>32</v>
      </c>
      <c r="E719">
        <v>3600000</v>
      </c>
      <c r="F719">
        <v>8700000</v>
      </c>
      <c r="G719">
        <v>14</v>
      </c>
      <c r="H719">
        <v>302</v>
      </c>
      <c r="I719">
        <v>6400000</v>
      </c>
      <c r="J719">
        <v>3700000</v>
      </c>
      <c r="K719">
        <v>7800000</v>
      </c>
      <c r="L719">
        <v>4100000</v>
      </c>
      <c r="M719" t="s">
        <v>35</v>
      </c>
      <c r="N719">
        <f t="shared" si="67"/>
        <v>0</v>
      </c>
      <c r="O719" t="str">
        <f t="shared" si="66"/>
        <v>Low</v>
      </c>
      <c r="P719" t="str">
        <f t="shared" si="68"/>
        <v>High</v>
      </c>
      <c r="Q719" t="str">
        <f t="shared" si="69"/>
        <v>Low Loan</v>
      </c>
      <c r="R719">
        <f t="shared" si="70"/>
        <v>22000000</v>
      </c>
      <c r="S719" t="str">
        <f t="shared" si="71"/>
        <v>Strong</v>
      </c>
    </row>
    <row r="720" spans="1:19" x14ac:dyDescent="0.25">
      <c r="A720">
        <v>719</v>
      </c>
      <c r="B720">
        <v>4</v>
      </c>
      <c r="C720" t="s">
        <v>30</v>
      </c>
      <c r="D720" t="s">
        <v>32</v>
      </c>
      <c r="E720">
        <v>700000</v>
      </c>
      <c r="F720">
        <v>2600000</v>
      </c>
      <c r="G720">
        <v>14</v>
      </c>
      <c r="H720">
        <v>736</v>
      </c>
      <c r="I720">
        <v>2100000</v>
      </c>
      <c r="J720">
        <v>600000</v>
      </c>
      <c r="K720">
        <v>1900000</v>
      </c>
      <c r="L720">
        <v>400000</v>
      </c>
      <c r="M720" t="s">
        <v>34</v>
      </c>
      <c r="N720">
        <f t="shared" si="67"/>
        <v>1</v>
      </c>
      <c r="O720" t="str">
        <f t="shared" si="66"/>
        <v>Good</v>
      </c>
      <c r="P720" t="str">
        <f t="shared" si="68"/>
        <v>High</v>
      </c>
      <c r="Q720" t="str">
        <f t="shared" si="69"/>
        <v>Low Loan</v>
      </c>
      <c r="R720">
        <f t="shared" si="70"/>
        <v>5000000</v>
      </c>
      <c r="S720" t="str">
        <f t="shared" si="71"/>
        <v>Moderate</v>
      </c>
    </row>
    <row r="721" spans="1:19" x14ac:dyDescent="0.25">
      <c r="A721">
        <v>720</v>
      </c>
      <c r="B721">
        <v>2</v>
      </c>
      <c r="C721" t="s">
        <v>31</v>
      </c>
      <c r="D721" t="s">
        <v>33</v>
      </c>
      <c r="E721">
        <v>4000000</v>
      </c>
      <c r="F721">
        <v>8500000</v>
      </c>
      <c r="G721">
        <v>6</v>
      </c>
      <c r="H721">
        <v>323</v>
      </c>
      <c r="I721">
        <v>11200000</v>
      </c>
      <c r="J721">
        <v>1000000</v>
      </c>
      <c r="K721">
        <v>14300000</v>
      </c>
      <c r="L721">
        <v>4100000</v>
      </c>
      <c r="M721" t="s">
        <v>35</v>
      </c>
      <c r="N721">
        <f t="shared" si="67"/>
        <v>0</v>
      </c>
      <c r="O721" t="str">
        <f t="shared" si="66"/>
        <v>Low</v>
      </c>
      <c r="P721" t="str">
        <f t="shared" si="68"/>
        <v>High</v>
      </c>
      <c r="Q721" t="str">
        <f t="shared" si="69"/>
        <v>Low Loan</v>
      </c>
      <c r="R721">
        <f t="shared" si="70"/>
        <v>30600000</v>
      </c>
      <c r="S721" t="str">
        <f t="shared" si="71"/>
        <v>Strong</v>
      </c>
    </row>
    <row r="722" spans="1:19" x14ac:dyDescent="0.25">
      <c r="A722">
        <v>721</v>
      </c>
      <c r="B722">
        <v>4</v>
      </c>
      <c r="C722" t="s">
        <v>30</v>
      </c>
      <c r="D722" t="s">
        <v>32</v>
      </c>
      <c r="E722">
        <v>1800000</v>
      </c>
      <c r="F722">
        <v>4100000</v>
      </c>
      <c r="G722">
        <v>12</v>
      </c>
      <c r="H722">
        <v>670</v>
      </c>
      <c r="I722">
        <v>1900000</v>
      </c>
      <c r="J722">
        <v>2900000</v>
      </c>
      <c r="K722">
        <v>4700000</v>
      </c>
      <c r="L722">
        <v>2200000</v>
      </c>
      <c r="M722" t="s">
        <v>34</v>
      </c>
      <c r="N722">
        <f t="shared" si="67"/>
        <v>1</v>
      </c>
      <c r="O722" t="str">
        <f t="shared" si="66"/>
        <v>Medium</v>
      </c>
      <c r="P722" t="str">
        <f t="shared" si="68"/>
        <v>High</v>
      </c>
      <c r="Q722" t="str">
        <f t="shared" si="69"/>
        <v>Low Loan</v>
      </c>
      <c r="R722">
        <f t="shared" si="70"/>
        <v>11700000</v>
      </c>
      <c r="S722" t="str">
        <f t="shared" si="71"/>
        <v>Strong</v>
      </c>
    </row>
    <row r="723" spans="1:19" x14ac:dyDescent="0.25">
      <c r="A723">
        <v>722</v>
      </c>
      <c r="B723">
        <v>3</v>
      </c>
      <c r="C723" t="s">
        <v>31</v>
      </c>
      <c r="D723" t="s">
        <v>32</v>
      </c>
      <c r="E723">
        <v>5600000</v>
      </c>
      <c r="F723">
        <v>21000000</v>
      </c>
      <c r="G723">
        <v>12</v>
      </c>
      <c r="H723">
        <v>609</v>
      </c>
      <c r="I723">
        <v>8800000</v>
      </c>
      <c r="J723">
        <v>11000000</v>
      </c>
      <c r="K723">
        <v>15800000</v>
      </c>
      <c r="L723">
        <v>4900000</v>
      </c>
      <c r="M723" t="s">
        <v>34</v>
      </c>
      <c r="N723">
        <f t="shared" si="67"/>
        <v>1</v>
      </c>
      <c r="O723" t="str">
        <f t="shared" si="66"/>
        <v>Low</v>
      </c>
      <c r="P723" t="str">
        <f t="shared" si="68"/>
        <v>High</v>
      </c>
      <c r="Q723" t="str">
        <f t="shared" si="69"/>
        <v>High Loan</v>
      </c>
      <c r="R723">
        <f t="shared" si="70"/>
        <v>40500000</v>
      </c>
      <c r="S723" t="str">
        <f t="shared" si="71"/>
        <v>Strong</v>
      </c>
    </row>
    <row r="724" spans="1:19" x14ac:dyDescent="0.25">
      <c r="A724">
        <v>723</v>
      </c>
      <c r="B724">
        <v>4</v>
      </c>
      <c r="C724" t="s">
        <v>31</v>
      </c>
      <c r="D724" t="s">
        <v>32</v>
      </c>
      <c r="E724">
        <v>6800000</v>
      </c>
      <c r="F724">
        <v>24200000</v>
      </c>
      <c r="G724">
        <v>18</v>
      </c>
      <c r="H724">
        <v>349</v>
      </c>
      <c r="I724">
        <v>18800000</v>
      </c>
      <c r="J724">
        <v>0</v>
      </c>
      <c r="K724">
        <v>15800000</v>
      </c>
      <c r="L724">
        <v>9400000</v>
      </c>
      <c r="M724" t="s">
        <v>35</v>
      </c>
      <c r="N724">
        <f t="shared" si="67"/>
        <v>0</v>
      </c>
      <c r="O724" t="str">
        <f t="shared" si="66"/>
        <v>Low</v>
      </c>
      <c r="P724" t="str">
        <f t="shared" si="68"/>
        <v>High</v>
      </c>
      <c r="Q724" t="str">
        <f t="shared" si="69"/>
        <v>High Loan</v>
      </c>
      <c r="R724">
        <f t="shared" si="70"/>
        <v>44000000</v>
      </c>
      <c r="S724" t="str">
        <f t="shared" si="71"/>
        <v>Strong</v>
      </c>
    </row>
    <row r="725" spans="1:19" x14ac:dyDescent="0.25">
      <c r="A725">
        <v>724</v>
      </c>
      <c r="B725">
        <v>5</v>
      </c>
      <c r="C725" t="s">
        <v>31</v>
      </c>
      <c r="D725" t="s">
        <v>33</v>
      </c>
      <c r="E725">
        <v>600000</v>
      </c>
      <c r="F725">
        <v>1500000</v>
      </c>
      <c r="G725">
        <v>2</v>
      </c>
      <c r="H725">
        <v>319</v>
      </c>
      <c r="I725">
        <v>100000</v>
      </c>
      <c r="J725">
        <v>1100000</v>
      </c>
      <c r="K725">
        <v>2100000</v>
      </c>
      <c r="L725">
        <v>600000</v>
      </c>
      <c r="M725" t="s">
        <v>35</v>
      </c>
      <c r="N725">
        <f t="shared" si="67"/>
        <v>0</v>
      </c>
      <c r="O725" t="str">
        <f t="shared" si="66"/>
        <v>Low</v>
      </c>
      <c r="P725" t="str">
        <f t="shared" si="68"/>
        <v>Middle</v>
      </c>
      <c r="Q725" t="str">
        <f t="shared" si="69"/>
        <v>Low Loan</v>
      </c>
      <c r="R725">
        <f t="shared" si="70"/>
        <v>3900000</v>
      </c>
      <c r="S725" t="str">
        <f t="shared" si="71"/>
        <v>Weak</v>
      </c>
    </row>
    <row r="726" spans="1:19" x14ac:dyDescent="0.25">
      <c r="A726">
        <v>725</v>
      </c>
      <c r="B726">
        <v>1</v>
      </c>
      <c r="C726" t="s">
        <v>31</v>
      </c>
      <c r="D726" t="s">
        <v>32</v>
      </c>
      <c r="E726">
        <v>4200000</v>
      </c>
      <c r="F726">
        <v>16200000</v>
      </c>
      <c r="G726">
        <v>14</v>
      </c>
      <c r="H726">
        <v>391</v>
      </c>
      <c r="I726">
        <v>5800000</v>
      </c>
      <c r="J726">
        <v>2100000</v>
      </c>
      <c r="K726">
        <v>14100000</v>
      </c>
      <c r="L726">
        <v>2600000</v>
      </c>
      <c r="M726" t="s">
        <v>35</v>
      </c>
      <c r="N726">
        <f t="shared" si="67"/>
        <v>0</v>
      </c>
      <c r="O726" t="str">
        <f t="shared" si="66"/>
        <v>Low</v>
      </c>
      <c r="P726" t="str">
        <f t="shared" si="68"/>
        <v>High</v>
      </c>
      <c r="Q726" t="str">
        <f t="shared" si="69"/>
        <v>Low Loan</v>
      </c>
      <c r="R726">
        <f t="shared" si="70"/>
        <v>24600000</v>
      </c>
      <c r="S726" t="str">
        <f t="shared" si="71"/>
        <v>Strong</v>
      </c>
    </row>
    <row r="727" spans="1:19" x14ac:dyDescent="0.25">
      <c r="A727">
        <v>726</v>
      </c>
      <c r="B727">
        <v>4</v>
      </c>
      <c r="C727" t="s">
        <v>31</v>
      </c>
      <c r="D727" t="s">
        <v>32</v>
      </c>
      <c r="E727">
        <v>5000000</v>
      </c>
      <c r="F727">
        <v>18700000</v>
      </c>
      <c r="G727">
        <v>10</v>
      </c>
      <c r="H727">
        <v>755</v>
      </c>
      <c r="I727">
        <v>3600000</v>
      </c>
      <c r="J727">
        <v>600000</v>
      </c>
      <c r="K727">
        <v>13000000</v>
      </c>
      <c r="L727">
        <v>2600000</v>
      </c>
      <c r="M727" t="s">
        <v>34</v>
      </c>
      <c r="N727">
        <f t="shared" si="67"/>
        <v>1</v>
      </c>
      <c r="O727" t="str">
        <f t="shared" si="66"/>
        <v>Excellent</v>
      </c>
      <c r="P727" t="str">
        <f t="shared" si="68"/>
        <v>High</v>
      </c>
      <c r="Q727" t="str">
        <f t="shared" si="69"/>
        <v>Low Loan</v>
      </c>
      <c r="R727">
        <f t="shared" si="70"/>
        <v>19800000</v>
      </c>
      <c r="S727" t="str">
        <f t="shared" si="71"/>
        <v>Strong</v>
      </c>
    </row>
    <row r="728" spans="1:19" x14ac:dyDescent="0.25">
      <c r="A728">
        <v>727</v>
      </c>
      <c r="B728">
        <v>1</v>
      </c>
      <c r="C728" t="s">
        <v>31</v>
      </c>
      <c r="D728" t="s">
        <v>32</v>
      </c>
      <c r="E728">
        <v>4100000</v>
      </c>
      <c r="F728">
        <v>12200000</v>
      </c>
      <c r="G728">
        <v>6</v>
      </c>
      <c r="H728">
        <v>354</v>
      </c>
      <c r="I728">
        <v>7300000</v>
      </c>
      <c r="J728">
        <v>5600000</v>
      </c>
      <c r="K728">
        <v>16300000</v>
      </c>
      <c r="L728">
        <v>3500000</v>
      </c>
      <c r="M728" t="s">
        <v>35</v>
      </c>
      <c r="N728">
        <f t="shared" si="67"/>
        <v>0</v>
      </c>
      <c r="O728" t="str">
        <f t="shared" si="66"/>
        <v>Low</v>
      </c>
      <c r="P728" t="str">
        <f t="shared" si="68"/>
        <v>High</v>
      </c>
      <c r="Q728" t="str">
        <f t="shared" si="69"/>
        <v>Low Loan</v>
      </c>
      <c r="R728">
        <f t="shared" si="70"/>
        <v>32700000</v>
      </c>
      <c r="S728" t="str">
        <f t="shared" si="71"/>
        <v>Strong</v>
      </c>
    </row>
    <row r="729" spans="1:19" x14ac:dyDescent="0.25">
      <c r="A729">
        <v>728</v>
      </c>
      <c r="B729">
        <v>3</v>
      </c>
      <c r="C729" t="s">
        <v>31</v>
      </c>
      <c r="D729" t="s">
        <v>33</v>
      </c>
      <c r="E729">
        <v>2200000</v>
      </c>
      <c r="F729">
        <v>8800000</v>
      </c>
      <c r="G729">
        <v>2</v>
      </c>
      <c r="H729">
        <v>877</v>
      </c>
      <c r="I729">
        <v>5000000</v>
      </c>
      <c r="J729">
        <v>1300000</v>
      </c>
      <c r="K729">
        <v>6400000</v>
      </c>
      <c r="L729">
        <v>3100000</v>
      </c>
      <c r="M729" t="s">
        <v>34</v>
      </c>
      <c r="N729">
        <f t="shared" si="67"/>
        <v>1</v>
      </c>
      <c r="O729" t="str">
        <f t="shared" si="66"/>
        <v>Excellent</v>
      </c>
      <c r="P729" t="str">
        <f t="shared" si="68"/>
        <v>High</v>
      </c>
      <c r="Q729" t="str">
        <f t="shared" si="69"/>
        <v>Low Loan</v>
      </c>
      <c r="R729">
        <f t="shared" si="70"/>
        <v>15800000</v>
      </c>
      <c r="S729" t="str">
        <f t="shared" si="71"/>
        <v>Strong</v>
      </c>
    </row>
    <row r="730" spans="1:19" x14ac:dyDescent="0.25">
      <c r="A730">
        <v>729</v>
      </c>
      <c r="B730">
        <v>1</v>
      </c>
      <c r="C730" t="s">
        <v>31</v>
      </c>
      <c r="D730" t="s">
        <v>32</v>
      </c>
      <c r="E730">
        <v>3400000</v>
      </c>
      <c r="F730">
        <v>8600000</v>
      </c>
      <c r="G730">
        <v>16</v>
      </c>
      <c r="H730">
        <v>312</v>
      </c>
      <c r="I730">
        <v>6400000</v>
      </c>
      <c r="J730">
        <v>6100000</v>
      </c>
      <c r="K730">
        <v>8400000</v>
      </c>
      <c r="L730">
        <v>3000000</v>
      </c>
      <c r="M730" t="s">
        <v>35</v>
      </c>
      <c r="N730">
        <f t="shared" si="67"/>
        <v>0</v>
      </c>
      <c r="O730" t="str">
        <f t="shared" si="66"/>
        <v>Low</v>
      </c>
      <c r="P730" t="str">
        <f t="shared" si="68"/>
        <v>High</v>
      </c>
      <c r="Q730" t="str">
        <f t="shared" si="69"/>
        <v>Low Loan</v>
      </c>
      <c r="R730">
        <f t="shared" si="70"/>
        <v>23900000</v>
      </c>
      <c r="S730" t="str">
        <f t="shared" si="71"/>
        <v>Strong</v>
      </c>
    </row>
    <row r="731" spans="1:19" x14ac:dyDescent="0.25">
      <c r="A731">
        <v>730</v>
      </c>
      <c r="B731">
        <v>0</v>
      </c>
      <c r="C731" t="s">
        <v>30</v>
      </c>
      <c r="D731" t="s">
        <v>32</v>
      </c>
      <c r="E731">
        <v>7100000</v>
      </c>
      <c r="F731">
        <v>15900000</v>
      </c>
      <c r="G731">
        <v>14</v>
      </c>
      <c r="H731">
        <v>746</v>
      </c>
      <c r="I731">
        <v>9500000</v>
      </c>
      <c r="J731">
        <v>3900000</v>
      </c>
      <c r="K731">
        <v>23500000</v>
      </c>
      <c r="L731">
        <v>8000000</v>
      </c>
      <c r="M731" t="s">
        <v>34</v>
      </c>
      <c r="N731">
        <f t="shared" si="67"/>
        <v>1</v>
      </c>
      <c r="O731" t="str">
        <f t="shared" si="66"/>
        <v>Good</v>
      </c>
      <c r="P731" t="str">
        <f t="shared" si="68"/>
        <v>High</v>
      </c>
      <c r="Q731" t="str">
        <f t="shared" si="69"/>
        <v>Low Loan</v>
      </c>
      <c r="R731">
        <f t="shared" si="70"/>
        <v>44900000</v>
      </c>
      <c r="S731" t="str">
        <f t="shared" si="71"/>
        <v>Strong</v>
      </c>
    </row>
    <row r="732" spans="1:19" x14ac:dyDescent="0.25">
      <c r="A732">
        <v>731</v>
      </c>
      <c r="B732">
        <v>3</v>
      </c>
      <c r="C732" t="s">
        <v>30</v>
      </c>
      <c r="D732" t="s">
        <v>32</v>
      </c>
      <c r="E732">
        <v>5800000</v>
      </c>
      <c r="F732">
        <v>19600000</v>
      </c>
      <c r="G732">
        <v>16</v>
      </c>
      <c r="H732">
        <v>313</v>
      </c>
      <c r="I732">
        <v>11100000</v>
      </c>
      <c r="J732">
        <v>8100000</v>
      </c>
      <c r="K732">
        <v>22700000</v>
      </c>
      <c r="L732">
        <v>6300000</v>
      </c>
      <c r="M732" t="s">
        <v>35</v>
      </c>
      <c r="N732">
        <f t="shared" si="67"/>
        <v>0</v>
      </c>
      <c r="O732" t="str">
        <f t="shared" si="66"/>
        <v>Low</v>
      </c>
      <c r="P732" t="str">
        <f t="shared" si="68"/>
        <v>High</v>
      </c>
      <c r="Q732" t="str">
        <f t="shared" si="69"/>
        <v>Low Loan</v>
      </c>
      <c r="R732">
        <f t="shared" si="70"/>
        <v>48200000</v>
      </c>
      <c r="S732" t="str">
        <f t="shared" si="71"/>
        <v>Strong</v>
      </c>
    </row>
    <row r="733" spans="1:19" x14ac:dyDescent="0.25">
      <c r="A733">
        <v>732</v>
      </c>
      <c r="B733">
        <v>2</v>
      </c>
      <c r="C733" t="s">
        <v>30</v>
      </c>
      <c r="D733" t="s">
        <v>32</v>
      </c>
      <c r="E733">
        <v>3400000</v>
      </c>
      <c r="F733">
        <v>12900000</v>
      </c>
      <c r="G733">
        <v>14</v>
      </c>
      <c r="H733">
        <v>857</v>
      </c>
      <c r="I733">
        <v>3400000</v>
      </c>
      <c r="J733">
        <v>2500000</v>
      </c>
      <c r="K733">
        <v>8700000</v>
      </c>
      <c r="L733">
        <v>1900000</v>
      </c>
      <c r="M733" t="s">
        <v>34</v>
      </c>
      <c r="N733">
        <f t="shared" si="67"/>
        <v>1</v>
      </c>
      <c r="O733" t="str">
        <f t="shared" si="66"/>
        <v>Excellent</v>
      </c>
      <c r="P733" t="str">
        <f t="shared" si="68"/>
        <v>High</v>
      </c>
      <c r="Q733" t="str">
        <f t="shared" si="69"/>
        <v>Low Loan</v>
      </c>
      <c r="R733">
        <f t="shared" si="70"/>
        <v>16500000</v>
      </c>
      <c r="S733" t="str">
        <f t="shared" si="71"/>
        <v>Strong</v>
      </c>
    </row>
    <row r="734" spans="1:19" x14ac:dyDescent="0.25">
      <c r="A734">
        <v>733</v>
      </c>
      <c r="B734">
        <v>2</v>
      </c>
      <c r="C734" t="s">
        <v>31</v>
      </c>
      <c r="D734" t="s">
        <v>32</v>
      </c>
      <c r="E734">
        <v>7700000</v>
      </c>
      <c r="F734">
        <v>18300000</v>
      </c>
      <c r="G734">
        <v>20</v>
      </c>
      <c r="H734">
        <v>504</v>
      </c>
      <c r="I734">
        <v>14600000</v>
      </c>
      <c r="J734">
        <v>500000</v>
      </c>
      <c r="K734">
        <v>18300000</v>
      </c>
      <c r="L734">
        <v>4600000</v>
      </c>
      <c r="M734" t="s">
        <v>35</v>
      </c>
      <c r="N734">
        <f t="shared" si="67"/>
        <v>0</v>
      </c>
      <c r="O734" t="str">
        <f t="shared" si="66"/>
        <v>Low</v>
      </c>
      <c r="P734" t="str">
        <f t="shared" si="68"/>
        <v>High</v>
      </c>
      <c r="Q734" t="str">
        <f t="shared" si="69"/>
        <v>Low Loan</v>
      </c>
      <c r="R734">
        <f t="shared" si="70"/>
        <v>38000000</v>
      </c>
      <c r="S734" t="str">
        <f t="shared" si="71"/>
        <v>Strong</v>
      </c>
    </row>
    <row r="735" spans="1:19" x14ac:dyDescent="0.25">
      <c r="A735">
        <v>734</v>
      </c>
      <c r="B735">
        <v>0</v>
      </c>
      <c r="C735" t="s">
        <v>30</v>
      </c>
      <c r="D735" t="s">
        <v>32</v>
      </c>
      <c r="E735">
        <v>500000</v>
      </c>
      <c r="F735">
        <v>1200000</v>
      </c>
      <c r="G735">
        <v>14</v>
      </c>
      <c r="H735">
        <v>556</v>
      </c>
      <c r="I735">
        <v>900000</v>
      </c>
      <c r="J735">
        <v>0</v>
      </c>
      <c r="K735">
        <v>1800000</v>
      </c>
      <c r="L735">
        <v>500000</v>
      </c>
      <c r="M735" t="s">
        <v>34</v>
      </c>
      <c r="N735">
        <f t="shared" si="67"/>
        <v>1</v>
      </c>
      <c r="O735" t="str">
        <f t="shared" si="66"/>
        <v>Low</v>
      </c>
      <c r="P735" t="str">
        <f t="shared" si="68"/>
        <v>Middle</v>
      </c>
      <c r="Q735" t="str">
        <f t="shared" si="69"/>
        <v>Low Loan</v>
      </c>
      <c r="R735">
        <f t="shared" si="70"/>
        <v>3200000</v>
      </c>
      <c r="S735" t="str">
        <f t="shared" si="71"/>
        <v>Weak</v>
      </c>
    </row>
    <row r="736" spans="1:19" x14ac:dyDescent="0.25">
      <c r="A736">
        <v>735</v>
      </c>
      <c r="B736">
        <v>2</v>
      </c>
      <c r="C736" t="s">
        <v>30</v>
      </c>
      <c r="D736" t="s">
        <v>33</v>
      </c>
      <c r="E736">
        <v>5300000</v>
      </c>
      <c r="F736">
        <v>11000000</v>
      </c>
      <c r="G736">
        <v>14</v>
      </c>
      <c r="H736">
        <v>393</v>
      </c>
      <c r="I736">
        <v>6800000</v>
      </c>
      <c r="J736">
        <v>2400000</v>
      </c>
      <c r="K736">
        <v>20500000</v>
      </c>
      <c r="L736">
        <v>5200000</v>
      </c>
      <c r="M736" t="s">
        <v>35</v>
      </c>
      <c r="N736">
        <f t="shared" si="67"/>
        <v>0</v>
      </c>
      <c r="O736" t="str">
        <f t="shared" si="66"/>
        <v>Low</v>
      </c>
      <c r="P736" t="str">
        <f t="shared" si="68"/>
        <v>High</v>
      </c>
      <c r="Q736" t="str">
        <f t="shared" si="69"/>
        <v>Low Loan</v>
      </c>
      <c r="R736">
        <f t="shared" si="70"/>
        <v>34900000</v>
      </c>
      <c r="S736" t="str">
        <f t="shared" si="71"/>
        <v>Strong</v>
      </c>
    </row>
    <row r="737" spans="1:19" x14ac:dyDescent="0.25">
      <c r="A737">
        <v>736</v>
      </c>
      <c r="B737">
        <v>0</v>
      </c>
      <c r="C737" t="s">
        <v>30</v>
      </c>
      <c r="D737" t="s">
        <v>32</v>
      </c>
      <c r="E737">
        <v>4700000</v>
      </c>
      <c r="F737">
        <v>14400000</v>
      </c>
      <c r="G737">
        <v>14</v>
      </c>
      <c r="H737">
        <v>881</v>
      </c>
      <c r="I737">
        <v>11000000</v>
      </c>
      <c r="J737">
        <v>6100000</v>
      </c>
      <c r="K737">
        <v>17600000</v>
      </c>
      <c r="L737">
        <v>2400000</v>
      </c>
      <c r="M737" t="s">
        <v>34</v>
      </c>
      <c r="N737">
        <f t="shared" si="67"/>
        <v>1</v>
      </c>
      <c r="O737" t="str">
        <f t="shared" si="66"/>
        <v>Excellent</v>
      </c>
      <c r="P737" t="str">
        <f t="shared" si="68"/>
        <v>High</v>
      </c>
      <c r="Q737" t="str">
        <f t="shared" si="69"/>
        <v>Low Loan</v>
      </c>
      <c r="R737">
        <f t="shared" si="70"/>
        <v>37100000</v>
      </c>
      <c r="S737" t="str">
        <f t="shared" si="71"/>
        <v>Strong</v>
      </c>
    </row>
    <row r="738" spans="1:19" x14ac:dyDescent="0.25">
      <c r="A738">
        <v>737</v>
      </c>
      <c r="B738">
        <v>2</v>
      </c>
      <c r="C738" t="s">
        <v>30</v>
      </c>
      <c r="D738" t="s">
        <v>33</v>
      </c>
      <c r="E738">
        <v>4300000</v>
      </c>
      <c r="F738">
        <v>12200000</v>
      </c>
      <c r="G738">
        <v>14</v>
      </c>
      <c r="H738">
        <v>719</v>
      </c>
      <c r="I738">
        <v>5100000</v>
      </c>
      <c r="J738">
        <v>2600000</v>
      </c>
      <c r="K738">
        <v>14000000</v>
      </c>
      <c r="L738">
        <v>5700000</v>
      </c>
      <c r="M738" t="s">
        <v>34</v>
      </c>
      <c r="N738">
        <f t="shared" si="67"/>
        <v>1</v>
      </c>
      <c r="O738" t="str">
        <f t="shared" si="66"/>
        <v>Good</v>
      </c>
      <c r="P738" t="str">
        <f t="shared" si="68"/>
        <v>High</v>
      </c>
      <c r="Q738" t="str">
        <f t="shared" si="69"/>
        <v>Low Loan</v>
      </c>
      <c r="R738">
        <f t="shared" si="70"/>
        <v>27400000</v>
      </c>
      <c r="S738" t="str">
        <f t="shared" si="71"/>
        <v>Strong</v>
      </c>
    </row>
    <row r="739" spans="1:19" x14ac:dyDescent="0.25">
      <c r="A739">
        <v>738</v>
      </c>
      <c r="B739">
        <v>2</v>
      </c>
      <c r="C739" t="s">
        <v>30</v>
      </c>
      <c r="D739" t="s">
        <v>33</v>
      </c>
      <c r="E739">
        <v>900000</v>
      </c>
      <c r="F739">
        <v>2500000</v>
      </c>
      <c r="G739">
        <v>16</v>
      </c>
      <c r="H739">
        <v>458</v>
      </c>
      <c r="I739">
        <v>-100000</v>
      </c>
      <c r="J739">
        <v>100000</v>
      </c>
      <c r="K739">
        <v>3200000</v>
      </c>
      <c r="L739">
        <v>1100000</v>
      </c>
      <c r="M739" t="s">
        <v>35</v>
      </c>
      <c r="N739">
        <f t="shared" si="67"/>
        <v>0</v>
      </c>
      <c r="O739" t="str">
        <f t="shared" si="66"/>
        <v>Low</v>
      </c>
      <c r="P739" t="str">
        <f t="shared" si="68"/>
        <v>High</v>
      </c>
      <c r="Q739" t="str">
        <f t="shared" si="69"/>
        <v>Low Loan</v>
      </c>
      <c r="R739">
        <f t="shared" si="70"/>
        <v>4300000</v>
      </c>
      <c r="S739" t="str">
        <f t="shared" si="71"/>
        <v>Weak</v>
      </c>
    </row>
    <row r="740" spans="1:19" x14ac:dyDescent="0.25">
      <c r="A740">
        <v>739</v>
      </c>
      <c r="B740">
        <v>4</v>
      </c>
      <c r="C740" t="s">
        <v>30</v>
      </c>
      <c r="D740" t="s">
        <v>32</v>
      </c>
      <c r="E740">
        <v>2000000</v>
      </c>
      <c r="F740">
        <v>7500000</v>
      </c>
      <c r="G740">
        <v>14</v>
      </c>
      <c r="H740">
        <v>857</v>
      </c>
      <c r="I740">
        <v>4300000</v>
      </c>
      <c r="J740">
        <v>1500000</v>
      </c>
      <c r="K740">
        <v>4200000</v>
      </c>
      <c r="L740">
        <v>2100000</v>
      </c>
      <c r="M740" t="s">
        <v>34</v>
      </c>
      <c r="N740">
        <f t="shared" si="67"/>
        <v>1</v>
      </c>
      <c r="O740" t="str">
        <f t="shared" si="66"/>
        <v>Excellent</v>
      </c>
      <c r="P740" t="str">
        <f t="shared" si="68"/>
        <v>High</v>
      </c>
      <c r="Q740" t="str">
        <f t="shared" si="69"/>
        <v>Low Loan</v>
      </c>
      <c r="R740">
        <f t="shared" si="70"/>
        <v>12100000</v>
      </c>
      <c r="S740" t="str">
        <f t="shared" si="71"/>
        <v>Strong</v>
      </c>
    </row>
    <row r="741" spans="1:19" x14ac:dyDescent="0.25">
      <c r="A741">
        <v>740</v>
      </c>
      <c r="B741">
        <v>2</v>
      </c>
      <c r="C741" t="s">
        <v>30</v>
      </c>
      <c r="D741" t="s">
        <v>33</v>
      </c>
      <c r="E741">
        <v>2000000</v>
      </c>
      <c r="F741">
        <v>7600000</v>
      </c>
      <c r="G741">
        <v>16</v>
      </c>
      <c r="H741">
        <v>429</v>
      </c>
      <c r="I741">
        <v>5300000</v>
      </c>
      <c r="J741">
        <v>3100000</v>
      </c>
      <c r="K741">
        <v>5800000</v>
      </c>
      <c r="L741">
        <v>2200000</v>
      </c>
      <c r="M741" t="s">
        <v>35</v>
      </c>
      <c r="N741">
        <f t="shared" si="67"/>
        <v>0</v>
      </c>
      <c r="O741" t="str">
        <f t="shared" si="66"/>
        <v>Low</v>
      </c>
      <c r="P741" t="str">
        <f t="shared" si="68"/>
        <v>High</v>
      </c>
      <c r="Q741" t="str">
        <f t="shared" si="69"/>
        <v>Low Loan</v>
      </c>
      <c r="R741">
        <f t="shared" si="70"/>
        <v>16400000</v>
      </c>
      <c r="S741" t="str">
        <f t="shared" si="71"/>
        <v>Strong</v>
      </c>
    </row>
    <row r="742" spans="1:19" x14ac:dyDescent="0.25">
      <c r="A742">
        <v>741</v>
      </c>
      <c r="B742">
        <v>3</v>
      </c>
      <c r="C742" t="s">
        <v>31</v>
      </c>
      <c r="D742" t="s">
        <v>32</v>
      </c>
      <c r="E742">
        <v>4100000</v>
      </c>
      <c r="F742">
        <v>15900000</v>
      </c>
      <c r="G742">
        <v>12</v>
      </c>
      <c r="H742">
        <v>538</v>
      </c>
      <c r="I742">
        <v>3900000</v>
      </c>
      <c r="J742">
        <v>800000</v>
      </c>
      <c r="K742">
        <v>8800000</v>
      </c>
      <c r="L742">
        <v>5700000</v>
      </c>
      <c r="M742" t="s">
        <v>35</v>
      </c>
      <c r="N742">
        <f t="shared" si="67"/>
        <v>0</v>
      </c>
      <c r="O742" t="str">
        <f t="shared" si="66"/>
        <v>Low</v>
      </c>
      <c r="P742" t="str">
        <f t="shared" si="68"/>
        <v>High</v>
      </c>
      <c r="Q742" t="str">
        <f t="shared" si="69"/>
        <v>Low Loan</v>
      </c>
      <c r="R742">
        <f t="shared" si="70"/>
        <v>19200000</v>
      </c>
      <c r="S742" t="str">
        <f t="shared" si="71"/>
        <v>Strong</v>
      </c>
    </row>
    <row r="743" spans="1:19" x14ac:dyDescent="0.25">
      <c r="A743">
        <v>742</v>
      </c>
      <c r="B743">
        <v>1</v>
      </c>
      <c r="C743" t="s">
        <v>31</v>
      </c>
      <c r="D743" t="s">
        <v>32</v>
      </c>
      <c r="E743">
        <v>6900000</v>
      </c>
      <c r="F743">
        <v>14400000</v>
      </c>
      <c r="G743">
        <v>10</v>
      </c>
      <c r="H743">
        <v>828</v>
      </c>
      <c r="I743">
        <v>4600000</v>
      </c>
      <c r="J743">
        <v>13000000</v>
      </c>
      <c r="K743">
        <v>26700000</v>
      </c>
      <c r="L743">
        <v>9000000</v>
      </c>
      <c r="M743" t="s">
        <v>34</v>
      </c>
      <c r="N743">
        <f t="shared" si="67"/>
        <v>1</v>
      </c>
      <c r="O743" t="str">
        <f t="shared" si="66"/>
        <v>Excellent</v>
      </c>
      <c r="P743" t="str">
        <f t="shared" si="68"/>
        <v>High</v>
      </c>
      <c r="Q743" t="str">
        <f t="shared" si="69"/>
        <v>Low Loan</v>
      </c>
      <c r="R743">
        <f t="shared" si="70"/>
        <v>53300000</v>
      </c>
      <c r="S743" t="str">
        <f t="shared" si="71"/>
        <v>Strong</v>
      </c>
    </row>
    <row r="744" spans="1:19" x14ac:dyDescent="0.25">
      <c r="A744">
        <v>743</v>
      </c>
      <c r="B744">
        <v>5</v>
      </c>
      <c r="C744" t="s">
        <v>30</v>
      </c>
      <c r="D744" t="s">
        <v>33</v>
      </c>
      <c r="E744">
        <v>2300000</v>
      </c>
      <c r="F744">
        <v>6100000</v>
      </c>
      <c r="G744">
        <v>6</v>
      </c>
      <c r="H744">
        <v>339</v>
      </c>
      <c r="I744">
        <v>5100000</v>
      </c>
      <c r="J744">
        <v>2500000</v>
      </c>
      <c r="K744">
        <v>8300000</v>
      </c>
      <c r="L744">
        <v>2400000</v>
      </c>
      <c r="M744" t="s">
        <v>35</v>
      </c>
      <c r="N744">
        <f t="shared" si="67"/>
        <v>0</v>
      </c>
      <c r="O744" t="str">
        <f t="shared" si="66"/>
        <v>Low</v>
      </c>
      <c r="P744" t="str">
        <f t="shared" si="68"/>
        <v>High</v>
      </c>
      <c r="Q744" t="str">
        <f t="shared" si="69"/>
        <v>Low Loan</v>
      </c>
      <c r="R744">
        <f t="shared" si="70"/>
        <v>18300000</v>
      </c>
      <c r="S744" t="str">
        <f t="shared" si="71"/>
        <v>Strong</v>
      </c>
    </row>
    <row r="745" spans="1:19" x14ac:dyDescent="0.25">
      <c r="A745">
        <v>744</v>
      </c>
      <c r="B745">
        <v>5</v>
      </c>
      <c r="C745" t="s">
        <v>30</v>
      </c>
      <c r="D745" t="s">
        <v>33</v>
      </c>
      <c r="E745">
        <v>5800000</v>
      </c>
      <c r="F745">
        <v>16600000</v>
      </c>
      <c r="G745">
        <v>18</v>
      </c>
      <c r="H745">
        <v>376</v>
      </c>
      <c r="I745">
        <v>2500000</v>
      </c>
      <c r="J745">
        <v>7500000</v>
      </c>
      <c r="K745">
        <v>21100000</v>
      </c>
      <c r="L745">
        <v>2800000</v>
      </c>
      <c r="M745" t="s">
        <v>35</v>
      </c>
      <c r="N745">
        <f t="shared" si="67"/>
        <v>0</v>
      </c>
      <c r="O745" t="str">
        <f t="shared" si="66"/>
        <v>Low</v>
      </c>
      <c r="P745" t="str">
        <f t="shared" si="68"/>
        <v>High</v>
      </c>
      <c r="Q745" t="str">
        <f t="shared" si="69"/>
        <v>Low Loan</v>
      </c>
      <c r="R745">
        <f t="shared" si="70"/>
        <v>33900000</v>
      </c>
      <c r="S745" t="str">
        <f t="shared" si="71"/>
        <v>Strong</v>
      </c>
    </row>
    <row r="746" spans="1:19" x14ac:dyDescent="0.25">
      <c r="A746">
        <v>745</v>
      </c>
      <c r="B746">
        <v>5</v>
      </c>
      <c r="C746" t="s">
        <v>31</v>
      </c>
      <c r="D746" t="s">
        <v>32</v>
      </c>
      <c r="E746">
        <v>8000000</v>
      </c>
      <c r="F746">
        <v>30000000</v>
      </c>
      <c r="G746">
        <v>14</v>
      </c>
      <c r="H746">
        <v>549</v>
      </c>
      <c r="I746">
        <v>14800000</v>
      </c>
      <c r="J746">
        <v>200000</v>
      </c>
      <c r="K746">
        <v>17300000</v>
      </c>
      <c r="L746">
        <v>7000000</v>
      </c>
      <c r="M746" t="s">
        <v>35</v>
      </c>
      <c r="N746">
        <f t="shared" si="67"/>
        <v>0</v>
      </c>
      <c r="O746" t="str">
        <f t="shared" si="66"/>
        <v>Low</v>
      </c>
      <c r="P746" t="str">
        <f t="shared" si="68"/>
        <v>High</v>
      </c>
      <c r="Q746" t="str">
        <f t="shared" si="69"/>
        <v>High Loan</v>
      </c>
      <c r="R746">
        <f t="shared" si="70"/>
        <v>39300000</v>
      </c>
      <c r="S746" t="str">
        <f t="shared" si="71"/>
        <v>Strong</v>
      </c>
    </row>
    <row r="747" spans="1:19" x14ac:dyDescent="0.25">
      <c r="A747">
        <v>746</v>
      </c>
      <c r="B747">
        <v>3</v>
      </c>
      <c r="C747" t="s">
        <v>31</v>
      </c>
      <c r="D747" t="s">
        <v>33</v>
      </c>
      <c r="E747">
        <v>3700000</v>
      </c>
      <c r="F747">
        <v>12700000</v>
      </c>
      <c r="G747">
        <v>18</v>
      </c>
      <c r="H747">
        <v>587</v>
      </c>
      <c r="I747">
        <v>11000000</v>
      </c>
      <c r="J747">
        <v>3100000</v>
      </c>
      <c r="K747">
        <v>8800000</v>
      </c>
      <c r="L747">
        <v>4100000</v>
      </c>
      <c r="M747" t="s">
        <v>34</v>
      </c>
      <c r="N747">
        <f t="shared" si="67"/>
        <v>1</v>
      </c>
      <c r="O747" t="str">
        <f t="shared" si="66"/>
        <v>Low</v>
      </c>
      <c r="P747" t="str">
        <f t="shared" si="68"/>
        <v>High</v>
      </c>
      <c r="Q747" t="str">
        <f t="shared" si="69"/>
        <v>Low Loan</v>
      </c>
      <c r="R747">
        <f t="shared" si="70"/>
        <v>27000000</v>
      </c>
      <c r="S747" t="str">
        <f t="shared" si="71"/>
        <v>Strong</v>
      </c>
    </row>
    <row r="748" spans="1:19" x14ac:dyDescent="0.25">
      <c r="A748">
        <v>747</v>
      </c>
      <c r="B748">
        <v>0</v>
      </c>
      <c r="C748" t="s">
        <v>31</v>
      </c>
      <c r="D748" t="s">
        <v>32</v>
      </c>
      <c r="E748">
        <v>2600000</v>
      </c>
      <c r="F748">
        <v>8400000</v>
      </c>
      <c r="G748">
        <v>18</v>
      </c>
      <c r="H748">
        <v>861</v>
      </c>
      <c r="I748">
        <v>0</v>
      </c>
      <c r="J748">
        <v>3500000</v>
      </c>
      <c r="K748">
        <v>6200000</v>
      </c>
      <c r="L748">
        <v>3800000</v>
      </c>
      <c r="M748" t="s">
        <v>34</v>
      </c>
      <c r="N748">
        <f t="shared" si="67"/>
        <v>1</v>
      </c>
      <c r="O748" t="str">
        <f t="shared" si="66"/>
        <v>Excellent</v>
      </c>
      <c r="P748" t="str">
        <f t="shared" si="68"/>
        <v>High</v>
      </c>
      <c r="Q748" t="str">
        <f t="shared" si="69"/>
        <v>Low Loan</v>
      </c>
      <c r="R748">
        <f t="shared" si="70"/>
        <v>13500000</v>
      </c>
      <c r="S748" t="str">
        <f t="shared" si="71"/>
        <v>Strong</v>
      </c>
    </row>
    <row r="749" spans="1:19" x14ac:dyDescent="0.25">
      <c r="A749">
        <v>748</v>
      </c>
      <c r="B749">
        <v>0</v>
      </c>
      <c r="C749" t="s">
        <v>31</v>
      </c>
      <c r="D749" t="s">
        <v>32</v>
      </c>
      <c r="E749">
        <v>3000000</v>
      </c>
      <c r="F749">
        <v>7000000</v>
      </c>
      <c r="G749">
        <v>12</v>
      </c>
      <c r="H749">
        <v>409</v>
      </c>
      <c r="I749">
        <v>6400000</v>
      </c>
      <c r="J749">
        <v>4900000</v>
      </c>
      <c r="K749">
        <v>8000000</v>
      </c>
      <c r="L749">
        <v>3500000</v>
      </c>
      <c r="M749" t="s">
        <v>35</v>
      </c>
      <c r="N749">
        <f t="shared" si="67"/>
        <v>0</v>
      </c>
      <c r="O749" t="str">
        <f t="shared" si="66"/>
        <v>Low</v>
      </c>
      <c r="P749" t="str">
        <f t="shared" si="68"/>
        <v>High</v>
      </c>
      <c r="Q749" t="str">
        <f t="shared" si="69"/>
        <v>Low Loan</v>
      </c>
      <c r="R749">
        <f t="shared" si="70"/>
        <v>22800000</v>
      </c>
      <c r="S749" t="str">
        <f t="shared" si="71"/>
        <v>Strong</v>
      </c>
    </row>
    <row r="750" spans="1:19" x14ac:dyDescent="0.25">
      <c r="A750">
        <v>749</v>
      </c>
      <c r="B750">
        <v>4</v>
      </c>
      <c r="C750" t="s">
        <v>30</v>
      </c>
      <c r="D750" t="s">
        <v>32</v>
      </c>
      <c r="E750">
        <v>2700000</v>
      </c>
      <c r="F750">
        <v>10200000</v>
      </c>
      <c r="G750">
        <v>4</v>
      </c>
      <c r="H750">
        <v>528</v>
      </c>
      <c r="I750">
        <v>7800000</v>
      </c>
      <c r="J750">
        <v>2200000</v>
      </c>
      <c r="K750">
        <v>10000000</v>
      </c>
      <c r="L750">
        <v>1600000</v>
      </c>
      <c r="M750" t="s">
        <v>34</v>
      </c>
      <c r="N750">
        <f t="shared" si="67"/>
        <v>1</v>
      </c>
      <c r="O750" t="str">
        <f t="shared" si="66"/>
        <v>Low</v>
      </c>
      <c r="P750" t="str">
        <f t="shared" si="68"/>
        <v>High</v>
      </c>
      <c r="Q750" t="str">
        <f t="shared" si="69"/>
        <v>Low Loan</v>
      </c>
      <c r="R750">
        <f t="shared" si="70"/>
        <v>21600000</v>
      </c>
      <c r="S750" t="str">
        <f t="shared" si="71"/>
        <v>Strong</v>
      </c>
    </row>
    <row r="751" spans="1:19" x14ac:dyDescent="0.25">
      <c r="A751">
        <v>750</v>
      </c>
      <c r="B751">
        <v>4</v>
      </c>
      <c r="C751" t="s">
        <v>31</v>
      </c>
      <c r="D751" t="s">
        <v>32</v>
      </c>
      <c r="E751">
        <v>5700000</v>
      </c>
      <c r="F751">
        <v>19600000</v>
      </c>
      <c r="G751">
        <v>8</v>
      </c>
      <c r="H751">
        <v>691</v>
      </c>
      <c r="I751">
        <v>8800000</v>
      </c>
      <c r="J751">
        <v>2200000</v>
      </c>
      <c r="K751">
        <v>12100000</v>
      </c>
      <c r="L751">
        <v>3000000</v>
      </c>
      <c r="M751" t="s">
        <v>34</v>
      </c>
      <c r="N751">
        <f t="shared" si="67"/>
        <v>1</v>
      </c>
      <c r="O751" t="str">
        <f t="shared" si="66"/>
        <v>Medium</v>
      </c>
      <c r="P751" t="str">
        <f t="shared" si="68"/>
        <v>High</v>
      </c>
      <c r="Q751" t="str">
        <f t="shared" si="69"/>
        <v>Low Loan</v>
      </c>
      <c r="R751">
        <f t="shared" si="70"/>
        <v>26100000</v>
      </c>
      <c r="S751" t="str">
        <f t="shared" si="71"/>
        <v>Strong</v>
      </c>
    </row>
    <row r="752" spans="1:19" x14ac:dyDescent="0.25">
      <c r="A752">
        <v>751</v>
      </c>
      <c r="B752">
        <v>2</v>
      </c>
      <c r="C752" t="s">
        <v>30</v>
      </c>
      <c r="D752" t="s">
        <v>32</v>
      </c>
      <c r="E752">
        <v>1500000</v>
      </c>
      <c r="F752">
        <v>3600000</v>
      </c>
      <c r="G752">
        <v>4</v>
      </c>
      <c r="H752">
        <v>584</v>
      </c>
      <c r="I752">
        <v>3900000</v>
      </c>
      <c r="J752">
        <v>1300000</v>
      </c>
      <c r="K752">
        <v>4800000</v>
      </c>
      <c r="L752">
        <v>1700000</v>
      </c>
      <c r="M752" t="s">
        <v>34</v>
      </c>
      <c r="N752">
        <f t="shared" si="67"/>
        <v>1</v>
      </c>
      <c r="O752" t="str">
        <f t="shared" si="66"/>
        <v>Low</v>
      </c>
      <c r="P752" t="str">
        <f t="shared" si="68"/>
        <v>High</v>
      </c>
      <c r="Q752" t="str">
        <f t="shared" si="69"/>
        <v>Low Loan</v>
      </c>
      <c r="R752">
        <f t="shared" si="70"/>
        <v>11700000</v>
      </c>
      <c r="S752" t="str">
        <f t="shared" si="71"/>
        <v>Strong</v>
      </c>
    </row>
    <row r="753" spans="1:19" x14ac:dyDescent="0.25">
      <c r="A753">
        <v>752</v>
      </c>
      <c r="B753">
        <v>5</v>
      </c>
      <c r="C753" t="s">
        <v>31</v>
      </c>
      <c r="D753" t="s">
        <v>32</v>
      </c>
      <c r="E753">
        <v>6800000</v>
      </c>
      <c r="F753">
        <v>20000000</v>
      </c>
      <c r="G753">
        <v>4</v>
      </c>
      <c r="H753">
        <v>459</v>
      </c>
      <c r="I753">
        <v>14500000</v>
      </c>
      <c r="J753">
        <v>3000000</v>
      </c>
      <c r="K753">
        <v>25000000</v>
      </c>
      <c r="L753">
        <v>4900000</v>
      </c>
      <c r="M753" t="s">
        <v>35</v>
      </c>
      <c r="N753">
        <f t="shared" si="67"/>
        <v>0</v>
      </c>
      <c r="O753" t="str">
        <f t="shared" si="66"/>
        <v>Low</v>
      </c>
      <c r="P753" t="str">
        <f t="shared" si="68"/>
        <v>High</v>
      </c>
      <c r="Q753" t="str">
        <f t="shared" si="69"/>
        <v>High Loan</v>
      </c>
      <c r="R753">
        <f t="shared" si="70"/>
        <v>47400000</v>
      </c>
      <c r="S753" t="str">
        <f t="shared" si="71"/>
        <v>Strong</v>
      </c>
    </row>
    <row r="754" spans="1:19" x14ac:dyDescent="0.25">
      <c r="A754">
        <v>753</v>
      </c>
      <c r="B754">
        <v>1</v>
      </c>
      <c r="C754" t="s">
        <v>30</v>
      </c>
      <c r="D754" t="s">
        <v>33</v>
      </c>
      <c r="E754">
        <v>8100000</v>
      </c>
      <c r="F754">
        <v>31700000</v>
      </c>
      <c r="G754">
        <v>10</v>
      </c>
      <c r="H754">
        <v>755</v>
      </c>
      <c r="I754">
        <v>0</v>
      </c>
      <c r="J754">
        <v>12700000</v>
      </c>
      <c r="K754">
        <v>30100000</v>
      </c>
      <c r="L754">
        <v>4700000</v>
      </c>
      <c r="M754" t="s">
        <v>34</v>
      </c>
      <c r="N754">
        <f t="shared" si="67"/>
        <v>1</v>
      </c>
      <c r="O754" t="str">
        <f t="shared" si="66"/>
        <v>Excellent</v>
      </c>
      <c r="P754" t="str">
        <f t="shared" si="68"/>
        <v>High</v>
      </c>
      <c r="Q754" t="str">
        <f t="shared" si="69"/>
        <v>High Loan</v>
      </c>
      <c r="R754">
        <f t="shared" si="70"/>
        <v>47500000</v>
      </c>
      <c r="S754" t="str">
        <f t="shared" si="71"/>
        <v>Strong</v>
      </c>
    </row>
    <row r="755" spans="1:19" x14ac:dyDescent="0.25">
      <c r="A755">
        <v>754</v>
      </c>
      <c r="B755">
        <v>3</v>
      </c>
      <c r="C755" t="s">
        <v>31</v>
      </c>
      <c r="D755" t="s">
        <v>33</v>
      </c>
      <c r="E755">
        <v>9200000</v>
      </c>
      <c r="F755">
        <v>27700000</v>
      </c>
      <c r="G755">
        <v>20</v>
      </c>
      <c r="H755">
        <v>688</v>
      </c>
      <c r="I755">
        <v>4800000</v>
      </c>
      <c r="J755">
        <v>16300000</v>
      </c>
      <c r="K755">
        <v>25800000</v>
      </c>
      <c r="L755">
        <v>11200000</v>
      </c>
      <c r="M755" t="s">
        <v>34</v>
      </c>
      <c r="N755">
        <f t="shared" si="67"/>
        <v>1</v>
      </c>
      <c r="O755" t="str">
        <f t="shared" si="66"/>
        <v>Medium</v>
      </c>
      <c r="P755" t="str">
        <f t="shared" si="68"/>
        <v>High</v>
      </c>
      <c r="Q755" t="str">
        <f t="shared" si="69"/>
        <v>High Loan</v>
      </c>
      <c r="R755">
        <f t="shared" si="70"/>
        <v>58100000</v>
      </c>
      <c r="S755" t="str">
        <f t="shared" si="71"/>
        <v>Strong</v>
      </c>
    </row>
    <row r="756" spans="1:19" x14ac:dyDescent="0.25">
      <c r="A756">
        <v>755</v>
      </c>
      <c r="B756">
        <v>1</v>
      </c>
      <c r="C756" t="s">
        <v>31</v>
      </c>
      <c r="D756" t="s">
        <v>33</v>
      </c>
      <c r="E756">
        <v>7600000</v>
      </c>
      <c r="F756">
        <v>26000000</v>
      </c>
      <c r="G756">
        <v>6</v>
      </c>
      <c r="H756">
        <v>384</v>
      </c>
      <c r="I756">
        <v>2600000</v>
      </c>
      <c r="J756">
        <v>1200000</v>
      </c>
      <c r="K756">
        <v>20000000</v>
      </c>
      <c r="L756">
        <v>7900000</v>
      </c>
      <c r="M756" t="s">
        <v>35</v>
      </c>
      <c r="N756">
        <f t="shared" si="67"/>
        <v>0</v>
      </c>
      <c r="O756" t="str">
        <f t="shared" si="66"/>
        <v>Low</v>
      </c>
      <c r="P756" t="str">
        <f t="shared" si="68"/>
        <v>High</v>
      </c>
      <c r="Q756" t="str">
        <f t="shared" si="69"/>
        <v>High Loan</v>
      </c>
      <c r="R756">
        <f t="shared" si="70"/>
        <v>31700000</v>
      </c>
      <c r="S756" t="str">
        <f t="shared" si="71"/>
        <v>Strong</v>
      </c>
    </row>
    <row r="757" spans="1:19" x14ac:dyDescent="0.25">
      <c r="A757">
        <v>756</v>
      </c>
      <c r="B757">
        <v>4</v>
      </c>
      <c r="C757" t="s">
        <v>30</v>
      </c>
      <c r="D757" t="s">
        <v>32</v>
      </c>
      <c r="E757">
        <v>600000</v>
      </c>
      <c r="F757">
        <v>1600000</v>
      </c>
      <c r="G757">
        <v>20</v>
      </c>
      <c r="H757">
        <v>869</v>
      </c>
      <c r="I757">
        <v>1400000</v>
      </c>
      <c r="J757">
        <v>1000000</v>
      </c>
      <c r="K757">
        <v>1700000</v>
      </c>
      <c r="L757">
        <v>200000</v>
      </c>
      <c r="M757" t="s">
        <v>34</v>
      </c>
      <c r="N757">
        <f t="shared" si="67"/>
        <v>1</v>
      </c>
      <c r="O757" t="str">
        <f t="shared" si="66"/>
        <v>Excellent</v>
      </c>
      <c r="P757" t="str">
        <f t="shared" si="68"/>
        <v>Middle</v>
      </c>
      <c r="Q757" t="str">
        <f t="shared" si="69"/>
        <v>Low Loan</v>
      </c>
      <c r="R757">
        <f t="shared" si="70"/>
        <v>4300000</v>
      </c>
      <c r="S757" t="str">
        <f t="shared" si="71"/>
        <v>Weak</v>
      </c>
    </row>
    <row r="758" spans="1:19" x14ac:dyDescent="0.25">
      <c r="A758">
        <v>757</v>
      </c>
      <c r="B758">
        <v>1</v>
      </c>
      <c r="C758" t="s">
        <v>31</v>
      </c>
      <c r="D758" t="s">
        <v>33</v>
      </c>
      <c r="E758">
        <v>4700000</v>
      </c>
      <c r="F758">
        <v>18700000</v>
      </c>
      <c r="G758">
        <v>20</v>
      </c>
      <c r="H758">
        <v>445</v>
      </c>
      <c r="I758">
        <v>2100000</v>
      </c>
      <c r="J758">
        <v>0</v>
      </c>
      <c r="K758">
        <v>11100000</v>
      </c>
      <c r="L758">
        <v>4000000</v>
      </c>
      <c r="M758" t="s">
        <v>35</v>
      </c>
      <c r="N758">
        <f t="shared" si="67"/>
        <v>0</v>
      </c>
      <c r="O758" t="str">
        <f t="shared" si="66"/>
        <v>Low</v>
      </c>
      <c r="P758" t="str">
        <f t="shared" si="68"/>
        <v>High</v>
      </c>
      <c r="Q758" t="str">
        <f t="shared" si="69"/>
        <v>Low Loan</v>
      </c>
      <c r="R758">
        <f t="shared" si="70"/>
        <v>17200000</v>
      </c>
      <c r="S758" t="str">
        <f t="shared" si="71"/>
        <v>Strong</v>
      </c>
    </row>
    <row r="759" spans="1:19" x14ac:dyDescent="0.25">
      <c r="A759">
        <v>758</v>
      </c>
      <c r="B759">
        <v>0</v>
      </c>
      <c r="C759" t="s">
        <v>30</v>
      </c>
      <c r="D759" t="s">
        <v>32</v>
      </c>
      <c r="E759">
        <v>1400000</v>
      </c>
      <c r="F759">
        <v>5500000</v>
      </c>
      <c r="G759">
        <v>6</v>
      </c>
      <c r="H759">
        <v>393</v>
      </c>
      <c r="I759">
        <v>500000</v>
      </c>
      <c r="J759">
        <v>1500000</v>
      </c>
      <c r="K759">
        <v>5400000</v>
      </c>
      <c r="L759">
        <v>1800000</v>
      </c>
      <c r="M759" t="s">
        <v>35</v>
      </c>
      <c r="N759">
        <f t="shared" si="67"/>
        <v>0</v>
      </c>
      <c r="O759" t="str">
        <f t="shared" si="66"/>
        <v>Low</v>
      </c>
      <c r="P759" t="str">
        <f t="shared" si="68"/>
        <v>High</v>
      </c>
      <c r="Q759" t="str">
        <f t="shared" si="69"/>
        <v>Low Loan</v>
      </c>
      <c r="R759">
        <f t="shared" si="70"/>
        <v>9200000</v>
      </c>
      <c r="S759" t="str">
        <f t="shared" si="71"/>
        <v>Moderate</v>
      </c>
    </row>
    <row r="760" spans="1:19" x14ac:dyDescent="0.25">
      <c r="A760">
        <v>759</v>
      </c>
      <c r="B760">
        <v>3</v>
      </c>
      <c r="C760" t="s">
        <v>30</v>
      </c>
      <c r="D760" t="s">
        <v>33</v>
      </c>
      <c r="E760">
        <v>9400000</v>
      </c>
      <c r="F760">
        <v>24600000</v>
      </c>
      <c r="G760">
        <v>10</v>
      </c>
      <c r="H760">
        <v>414</v>
      </c>
      <c r="I760">
        <v>8800000</v>
      </c>
      <c r="J760">
        <v>13400000</v>
      </c>
      <c r="K760">
        <v>23800000</v>
      </c>
      <c r="L760">
        <v>5600000</v>
      </c>
      <c r="M760" t="s">
        <v>35</v>
      </c>
      <c r="N760">
        <f t="shared" si="67"/>
        <v>0</v>
      </c>
      <c r="O760" t="str">
        <f t="shared" si="66"/>
        <v>Low</v>
      </c>
      <c r="P760" t="str">
        <f t="shared" si="68"/>
        <v>High</v>
      </c>
      <c r="Q760" t="str">
        <f t="shared" si="69"/>
        <v>High Loan</v>
      </c>
      <c r="R760">
        <f t="shared" si="70"/>
        <v>51600000</v>
      </c>
      <c r="S760" t="str">
        <f t="shared" si="71"/>
        <v>Strong</v>
      </c>
    </row>
    <row r="761" spans="1:19" x14ac:dyDescent="0.25">
      <c r="A761">
        <v>760</v>
      </c>
      <c r="B761">
        <v>2</v>
      </c>
      <c r="C761" t="s">
        <v>30</v>
      </c>
      <c r="D761" t="s">
        <v>32</v>
      </c>
      <c r="E761">
        <v>9700000</v>
      </c>
      <c r="F761">
        <v>19900000</v>
      </c>
      <c r="G761">
        <v>16</v>
      </c>
      <c r="H761">
        <v>395</v>
      </c>
      <c r="I761">
        <v>2800000</v>
      </c>
      <c r="J761">
        <v>13700000</v>
      </c>
      <c r="K761">
        <v>37000000</v>
      </c>
      <c r="L761">
        <v>10800000</v>
      </c>
      <c r="M761" t="s">
        <v>35</v>
      </c>
      <c r="N761">
        <f t="shared" si="67"/>
        <v>0</v>
      </c>
      <c r="O761" t="str">
        <f t="shared" si="66"/>
        <v>Low</v>
      </c>
      <c r="P761" t="str">
        <f t="shared" si="68"/>
        <v>High</v>
      </c>
      <c r="Q761" t="str">
        <f t="shared" si="69"/>
        <v>Low Loan</v>
      </c>
      <c r="R761">
        <f t="shared" si="70"/>
        <v>64300000</v>
      </c>
      <c r="S761" t="str">
        <f t="shared" si="71"/>
        <v>Strong</v>
      </c>
    </row>
    <row r="762" spans="1:19" x14ac:dyDescent="0.25">
      <c r="A762">
        <v>761</v>
      </c>
      <c r="B762">
        <v>3</v>
      </c>
      <c r="C762" t="s">
        <v>31</v>
      </c>
      <c r="D762" t="s">
        <v>33</v>
      </c>
      <c r="E762">
        <v>8900000</v>
      </c>
      <c r="F762">
        <v>21000000</v>
      </c>
      <c r="G762">
        <v>14</v>
      </c>
      <c r="H762">
        <v>815</v>
      </c>
      <c r="I762">
        <v>200000</v>
      </c>
      <c r="J762">
        <v>10800000</v>
      </c>
      <c r="K762">
        <v>21600000</v>
      </c>
      <c r="L762">
        <v>6400000</v>
      </c>
      <c r="M762" t="s">
        <v>34</v>
      </c>
      <c r="N762">
        <f t="shared" si="67"/>
        <v>1</v>
      </c>
      <c r="O762" t="str">
        <f t="shared" si="66"/>
        <v>Excellent</v>
      </c>
      <c r="P762" t="str">
        <f t="shared" si="68"/>
        <v>High</v>
      </c>
      <c r="Q762" t="str">
        <f t="shared" si="69"/>
        <v>High Loan</v>
      </c>
      <c r="R762">
        <f t="shared" si="70"/>
        <v>39000000</v>
      </c>
      <c r="S762" t="str">
        <f t="shared" si="71"/>
        <v>Strong</v>
      </c>
    </row>
    <row r="763" spans="1:19" x14ac:dyDescent="0.25">
      <c r="A763">
        <v>762</v>
      </c>
      <c r="B763">
        <v>5</v>
      </c>
      <c r="C763" t="s">
        <v>30</v>
      </c>
      <c r="D763" t="s">
        <v>32</v>
      </c>
      <c r="E763">
        <v>4600000</v>
      </c>
      <c r="F763">
        <v>10500000</v>
      </c>
      <c r="G763">
        <v>8</v>
      </c>
      <c r="H763">
        <v>758</v>
      </c>
      <c r="I763">
        <v>3900000</v>
      </c>
      <c r="J763">
        <v>4300000</v>
      </c>
      <c r="K763">
        <v>15800000</v>
      </c>
      <c r="L763">
        <v>2900000</v>
      </c>
      <c r="M763" t="s">
        <v>34</v>
      </c>
      <c r="N763">
        <f t="shared" si="67"/>
        <v>1</v>
      </c>
      <c r="O763" t="str">
        <f t="shared" si="66"/>
        <v>Excellent</v>
      </c>
      <c r="P763" t="str">
        <f t="shared" si="68"/>
        <v>High</v>
      </c>
      <c r="Q763" t="str">
        <f t="shared" si="69"/>
        <v>Low Loan</v>
      </c>
      <c r="R763">
        <f t="shared" si="70"/>
        <v>26900000</v>
      </c>
      <c r="S763" t="str">
        <f t="shared" si="71"/>
        <v>Strong</v>
      </c>
    </row>
    <row r="764" spans="1:19" x14ac:dyDescent="0.25">
      <c r="A764">
        <v>763</v>
      </c>
      <c r="B764">
        <v>5</v>
      </c>
      <c r="C764" t="s">
        <v>31</v>
      </c>
      <c r="D764" t="s">
        <v>33</v>
      </c>
      <c r="E764">
        <v>5600000</v>
      </c>
      <c r="F764">
        <v>14500000</v>
      </c>
      <c r="G764">
        <v>10</v>
      </c>
      <c r="H764">
        <v>457</v>
      </c>
      <c r="I764">
        <v>6900000</v>
      </c>
      <c r="J764">
        <v>7800000</v>
      </c>
      <c r="K764">
        <v>20600000</v>
      </c>
      <c r="L764">
        <v>4600000</v>
      </c>
      <c r="M764" t="s">
        <v>35</v>
      </c>
      <c r="N764">
        <f t="shared" si="67"/>
        <v>0</v>
      </c>
      <c r="O764" t="str">
        <f t="shared" si="66"/>
        <v>Low</v>
      </c>
      <c r="P764" t="str">
        <f t="shared" si="68"/>
        <v>High</v>
      </c>
      <c r="Q764" t="str">
        <f t="shared" si="69"/>
        <v>Low Loan</v>
      </c>
      <c r="R764">
        <f t="shared" si="70"/>
        <v>39900000</v>
      </c>
      <c r="S764" t="str">
        <f t="shared" si="71"/>
        <v>Strong</v>
      </c>
    </row>
    <row r="765" spans="1:19" x14ac:dyDescent="0.25">
      <c r="A765">
        <v>764</v>
      </c>
      <c r="B765">
        <v>0</v>
      </c>
      <c r="C765" t="s">
        <v>30</v>
      </c>
      <c r="D765" t="s">
        <v>33</v>
      </c>
      <c r="E765">
        <v>1000000</v>
      </c>
      <c r="F765">
        <v>3200000</v>
      </c>
      <c r="G765">
        <v>10</v>
      </c>
      <c r="H765">
        <v>854</v>
      </c>
      <c r="I765">
        <v>2600000</v>
      </c>
      <c r="J765">
        <v>800000</v>
      </c>
      <c r="K765">
        <v>2900000</v>
      </c>
      <c r="L765">
        <v>1200000</v>
      </c>
      <c r="M765" t="s">
        <v>34</v>
      </c>
      <c r="N765">
        <f t="shared" si="67"/>
        <v>1</v>
      </c>
      <c r="O765" t="str">
        <f t="shared" si="66"/>
        <v>Excellent</v>
      </c>
      <c r="P765" t="str">
        <f t="shared" si="68"/>
        <v>High</v>
      </c>
      <c r="Q765" t="str">
        <f t="shared" si="69"/>
        <v>Low Loan</v>
      </c>
      <c r="R765">
        <f t="shared" si="70"/>
        <v>7500000</v>
      </c>
      <c r="S765" t="str">
        <f t="shared" si="71"/>
        <v>Moderate</v>
      </c>
    </row>
    <row r="766" spans="1:19" x14ac:dyDescent="0.25">
      <c r="A766">
        <v>765</v>
      </c>
      <c r="B766">
        <v>3</v>
      </c>
      <c r="C766" t="s">
        <v>30</v>
      </c>
      <c r="D766" t="s">
        <v>32</v>
      </c>
      <c r="E766">
        <v>3500000</v>
      </c>
      <c r="F766">
        <v>10300000</v>
      </c>
      <c r="G766">
        <v>16</v>
      </c>
      <c r="H766">
        <v>324</v>
      </c>
      <c r="I766">
        <v>2400000</v>
      </c>
      <c r="J766">
        <v>900000</v>
      </c>
      <c r="K766">
        <v>12600000</v>
      </c>
      <c r="L766">
        <v>2400000</v>
      </c>
      <c r="M766" t="s">
        <v>35</v>
      </c>
      <c r="N766">
        <f t="shared" si="67"/>
        <v>0</v>
      </c>
      <c r="O766" t="str">
        <f t="shared" si="66"/>
        <v>Low</v>
      </c>
      <c r="P766" t="str">
        <f t="shared" si="68"/>
        <v>High</v>
      </c>
      <c r="Q766" t="str">
        <f t="shared" si="69"/>
        <v>Low Loan</v>
      </c>
      <c r="R766">
        <f t="shared" si="70"/>
        <v>18300000</v>
      </c>
      <c r="S766" t="str">
        <f t="shared" si="71"/>
        <v>Strong</v>
      </c>
    </row>
    <row r="767" spans="1:19" x14ac:dyDescent="0.25">
      <c r="A767">
        <v>766</v>
      </c>
      <c r="B767">
        <v>0</v>
      </c>
      <c r="C767" t="s">
        <v>31</v>
      </c>
      <c r="D767" t="s">
        <v>32</v>
      </c>
      <c r="E767">
        <v>7900000</v>
      </c>
      <c r="F767">
        <v>31500000</v>
      </c>
      <c r="G767">
        <v>14</v>
      </c>
      <c r="H767">
        <v>849</v>
      </c>
      <c r="I767">
        <v>19400000</v>
      </c>
      <c r="J767">
        <v>10300000</v>
      </c>
      <c r="K767">
        <v>26600000</v>
      </c>
      <c r="L767">
        <v>10600000</v>
      </c>
      <c r="M767" t="s">
        <v>34</v>
      </c>
      <c r="N767">
        <f t="shared" si="67"/>
        <v>1</v>
      </c>
      <c r="O767" t="str">
        <f t="shared" si="66"/>
        <v>Excellent</v>
      </c>
      <c r="P767" t="str">
        <f t="shared" si="68"/>
        <v>High</v>
      </c>
      <c r="Q767" t="str">
        <f t="shared" si="69"/>
        <v>High Loan</v>
      </c>
      <c r="R767">
        <f t="shared" si="70"/>
        <v>66900000</v>
      </c>
      <c r="S767" t="str">
        <f t="shared" si="71"/>
        <v>Strong</v>
      </c>
    </row>
    <row r="768" spans="1:19" x14ac:dyDescent="0.25">
      <c r="A768">
        <v>767</v>
      </c>
      <c r="B768">
        <v>3</v>
      </c>
      <c r="C768" t="s">
        <v>30</v>
      </c>
      <c r="D768" t="s">
        <v>33</v>
      </c>
      <c r="E768">
        <v>6100000</v>
      </c>
      <c r="F768">
        <v>24200000</v>
      </c>
      <c r="G768">
        <v>12</v>
      </c>
      <c r="H768">
        <v>672</v>
      </c>
      <c r="I768">
        <v>300000</v>
      </c>
      <c r="J768">
        <v>11100000</v>
      </c>
      <c r="K768">
        <v>23500000</v>
      </c>
      <c r="L768">
        <v>5000000</v>
      </c>
      <c r="M768" t="s">
        <v>34</v>
      </c>
      <c r="N768">
        <f t="shared" si="67"/>
        <v>1</v>
      </c>
      <c r="O768" t="str">
        <f t="shared" si="66"/>
        <v>Medium</v>
      </c>
      <c r="P768" t="str">
        <f t="shared" si="68"/>
        <v>High</v>
      </c>
      <c r="Q768" t="str">
        <f t="shared" si="69"/>
        <v>High Loan</v>
      </c>
      <c r="R768">
        <f t="shared" si="70"/>
        <v>39900000</v>
      </c>
      <c r="S768" t="str">
        <f t="shared" si="71"/>
        <v>Strong</v>
      </c>
    </row>
    <row r="769" spans="1:19" x14ac:dyDescent="0.25">
      <c r="A769">
        <v>768</v>
      </c>
      <c r="B769">
        <v>3</v>
      </c>
      <c r="C769" t="s">
        <v>31</v>
      </c>
      <c r="D769" t="s">
        <v>33</v>
      </c>
      <c r="E769">
        <v>8900000</v>
      </c>
      <c r="F769">
        <v>20900000</v>
      </c>
      <c r="G769">
        <v>6</v>
      </c>
      <c r="H769">
        <v>859</v>
      </c>
      <c r="I769">
        <v>9600000</v>
      </c>
      <c r="J769">
        <v>16500000</v>
      </c>
      <c r="K769">
        <v>29300000</v>
      </c>
      <c r="L769">
        <v>11100000</v>
      </c>
      <c r="M769" t="s">
        <v>34</v>
      </c>
      <c r="N769">
        <f t="shared" si="67"/>
        <v>1</v>
      </c>
      <c r="O769" t="str">
        <f t="shared" si="66"/>
        <v>Excellent</v>
      </c>
      <c r="P769" t="str">
        <f t="shared" si="68"/>
        <v>High</v>
      </c>
      <c r="Q769" t="str">
        <f t="shared" si="69"/>
        <v>High Loan</v>
      </c>
      <c r="R769">
        <f t="shared" si="70"/>
        <v>66500000</v>
      </c>
      <c r="S769" t="str">
        <f t="shared" si="71"/>
        <v>Strong</v>
      </c>
    </row>
    <row r="770" spans="1:19" x14ac:dyDescent="0.25">
      <c r="A770">
        <v>769</v>
      </c>
      <c r="B770">
        <v>4</v>
      </c>
      <c r="C770" t="s">
        <v>30</v>
      </c>
      <c r="D770" t="s">
        <v>32</v>
      </c>
      <c r="E770">
        <v>5300000</v>
      </c>
      <c r="F770">
        <v>15400000</v>
      </c>
      <c r="G770">
        <v>8</v>
      </c>
      <c r="H770">
        <v>584</v>
      </c>
      <c r="I770">
        <v>5100000</v>
      </c>
      <c r="J770">
        <v>1700000</v>
      </c>
      <c r="K770">
        <v>14000000</v>
      </c>
      <c r="L770">
        <v>5000000</v>
      </c>
      <c r="M770" t="s">
        <v>34</v>
      </c>
      <c r="N770">
        <f t="shared" si="67"/>
        <v>1</v>
      </c>
      <c r="O770" t="str">
        <f t="shared" ref="O770:O833" si="72">IF(H770&lt;650,"Low",
 IF(H770&lt;700,"Medium",
 IF(H770&lt;750,"Good","Excellent")))</f>
        <v>Low</v>
      </c>
      <c r="P770" t="str">
        <f t="shared" si="68"/>
        <v>High</v>
      </c>
      <c r="Q770" t="str">
        <f t="shared" si="69"/>
        <v>Low Loan</v>
      </c>
      <c r="R770">
        <f t="shared" si="70"/>
        <v>25800000</v>
      </c>
      <c r="S770" t="str">
        <f t="shared" si="71"/>
        <v>Strong</v>
      </c>
    </row>
    <row r="771" spans="1:19" x14ac:dyDescent="0.25">
      <c r="A771">
        <v>770</v>
      </c>
      <c r="B771">
        <v>5</v>
      </c>
      <c r="C771" t="s">
        <v>31</v>
      </c>
      <c r="D771" t="s">
        <v>32</v>
      </c>
      <c r="E771">
        <v>1300000</v>
      </c>
      <c r="F771">
        <v>4800000</v>
      </c>
      <c r="G771">
        <v>4</v>
      </c>
      <c r="H771">
        <v>346</v>
      </c>
      <c r="I771">
        <v>3200000</v>
      </c>
      <c r="J771">
        <v>1600000</v>
      </c>
      <c r="K771">
        <v>3400000</v>
      </c>
      <c r="L771">
        <v>1600000</v>
      </c>
      <c r="M771" t="s">
        <v>34</v>
      </c>
      <c r="N771">
        <f t="shared" ref="N771:N834" si="73">IF(TRIM(CLEAN(M771))="Approved",1,0)</f>
        <v>1</v>
      </c>
      <c r="O771" t="str">
        <f t="shared" si="72"/>
        <v>Low</v>
      </c>
      <c r="P771" t="str">
        <f t="shared" ref="P771:P834" si="74">IF(E771&lt;300000,"Low",
 IF(E771&lt;700000,"Middle","High"))</f>
        <v>High</v>
      </c>
      <c r="Q771" t="str">
        <f t="shared" ref="Q771:Q834" si="75">IF(F771&lt;20000000,"Low Loan","High Loan")</f>
        <v>Low Loan</v>
      </c>
      <c r="R771">
        <f t="shared" ref="R771:R834" si="76">I771+J771+K771+L771</f>
        <v>9800000</v>
      </c>
      <c r="S771" t="str">
        <f t="shared" ref="S771:S834" si="77">IF(R771&lt;5000000,"Weak",
 IF(R771&lt;10000000,"Moderate","Strong"))</f>
        <v>Moderate</v>
      </c>
    </row>
    <row r="772" spans="1:19" x14ac:dyDescent="0.25">
      <c r="A772">
        <v>771</v>
      </c>
      <c r="B772">
        <v>3</v>
      </c>
      <c r="C772" t="s">
        <v>30</v>
      </c>
      <c r="D772" t="s">
        <v>32</v>
      </c>
      <c r="E772">
        <v>4000000</v>
      </c>
      <c r="F772">
        <v>12800000</v>
      </c>
      <c r="G772">
        <v>18</v>
      </c>
      <c r="H772">
        <v>635</v>
      </c>
      <c r="I772">
        <v>6000000</v>
      </c>
      <c r="J772">
        <v>7000000</v>
      </c>
      <c r="K772">
        <v>12900000</v>
      </c>
      <c r="L772">
        <v>4200000</v>
      </c>
      <c r="M772" t="s">
        <v>34</v>
      </c>
      <c r="N772">
        <f t="shared" si="73"/>
        <v>1</v>
      </c>
      <c r="O772" t="str">
        <f t="shared" si="72"/>
        <v>Low</v>
      </c>
      <c r="P772" t="str">
        <f t="shared" si="74"/>
        <v>High</v>
      </c>
      <c r="Q772" t="str">
        <f t="shared" si="75"/>
        <v>Low Loan</v>
      </c>
      <c r="R772">
        <f t="shared" si="76"/>
        <v>30100000</v>
      </c>
      <c r="S772" t="str">
        <f t="shared" si="77"/>
        <v>Strong</v>
      </c>
    </row>
    <row r="773" spans="1:19" x14ac:dyDescent="0.25">
      <c r="A773">
        <v>772</v>
      </c>
      <c r="B773">
        <v>2</v>
      </c>
      <c r="C773" t="s">
        <v>31</v>
      </c>
      <c r="D773" t="s">
        <v>32</v>
      </c>
      <c r="E773">
        <v>8700000</v>
      </c>
      <c r="F773">
        <v>22700000</v>
      </c>
      <c r="G773">
        <v>4</v>
      </c>
      <c r="H773">
        <v>365</v>
      </c>
      <c r="I773">
        <v>8200000</v>
      </c>
      <c r="J773">
        <v>14800000</v>
      </c>
      <c r="K773">
        <v>30200000</v>
      </c>
      <c r="L773">
        <v>7200000</v>
      </c>
      <c r="M773" t="s">
        <v>35</v>
      </c>
      <c r="N773">
        <f t="shared" si="73"/>
        <v>0</v>
      </c>
      <c r="O773" t="str">
        <f t="shared" si="72"/>
        <v>Low</v>
      </c>
      <c r="P773" t="str">
        <f t="shared" si="74"/>
        <v>High</v>
      </c>
      <c r="Q773" t="str">
        <f t="shared" si="75"/>
        <v>High Loan</v>
      </c>
      <c r="R773">
        <f t="shared" si="76"/>
        <v>60400000</v>
      </c>
      <c r="S773" t="str">
        <f t="shared" si="77"/>
        <v>Strong</v>
      </c>
    </row>
    <row r="774" spans="1:19" x14ac:dyDescent="0.25">
      <c r="A774">
        <v>773</v>
      </c>
      <c r="B774">
        <v>1</v>
      </c>
      <c r="C774" t="s">
        <v>31</v>
      </c>
      <c r="D774" t="s">
        <v>32</v>
      </c>
      <c r="E774">
        <v>9500000</v>
      </c>
      <c r="F774">
        <v>20000000</v>
      </c>
      <c r="G774">
        <v>16</v>
      </c>
      <c r="H774">
        <v>856</v>
      </c>
      <c r="I774">
        <v>24900000</v>
      </c>
      <c r="J774">
        <v>0</v>
      </c>
      <c r="K774">
        <v>35700000</v>
      </c>
      <c r="L774">
        <v>6200000</v>
      </c>
      <c r="M774" t="s">
        <v>34</v>
      </c>
      <c r="N774">
        <f t="shared" si="73"/>
        <v>1</v>
      </c>
      <c r="O774" t="str">
        <f t="shared" si="72"/>
        <v>Excellent</v>
      </c>
      <c r="P774" t="str">
        <f t="shared" si="74"/>
        <v>High</v>
      </c>
      <c r="Q774" t="str">
        <f t="shared" si="75"/>
        <v>High Loan</v>
      </c>
      <c r="R774">
        <f t="shared" si="76"/>
        <v>66800000</v>
      </c>
      <c r="S774" t="str">
        <f t="shared" si="77"/>
        <v>Strong</v>
      </c>
    </row>
    <row r="775" spans="1:19" x14ac:dyDescent="0.25">
      <c r="A775">
        <v>774</v>
      </c>
      <c r="B775">
        <v>5</v>
      </c>
      <c r="C775" t="s">
        <v>30</v>
      </c>
      <c r="D775" t="s">
        <v>33</v>
      </c>
      <c r="E775">
        <v>9000000</v>
      </c>
      <c r="F775">
        <v>20000000</v>
      </c>
      <c r="G775">
        <v>2</v>
      </c>
      <c r="H775">
        <v>440</v>
      </c>
      <c r="I775">
        <v>17100000</v>
      </c>
      <c r="J775">
        <v>1000000</v>
      </c>
      <c r="K775">
        <v>28500000</v>
      </c>
      <c r="L775">
        <v>7600000</v>
      </c>
      <c r="M775" t="s">
        <v>35</v>
      </c>
      <c r="N775">
        <f t="shared" si="73"/>
        <v>0</v>
      </c>
      <c r="O775" t="str">
        <f t="shared" si="72"/>
        <v>Low</v>
      </c>
      <c r="P775" t="str">
        <f t="shared" si="74"/>
        <v>High</v>
      </c>
      <c r="Q775" t="str">
        <f t="shared" si="75"/>
        <v>High Loan</v>
      </c>
      <c r="R775">
        <f t="shared" si="76"/>
        <v>54200000</v>
      </c>
      <c r="S775" t="str">
        <f t="shared" si="77"/>
        <v>Strong</v>
      </c>
    </row>
    <row r="776" spans="1:19" x14ac:dyDescent="0.25">
      <c r="A776">
        <v>775</v>
      </c>
      <c r="B776">
        <v>0</v>
      </c>
      <c r="C776" t="s">
        <v>30</v>
      </c>
      <c r="D776" t="s">
        <v>33</v>
      </c>
      <c r="E776">
        <v>7300000</v>
      </c>
      <c r="F776">
        <v>23300000</v>
      </c>
      <c r="G776">
        <v>2</v>
      </c>
      <c r="H776">
        <v>616</v>
      </c>
      <c r="I776">
        <v>15700000</v>
      </c>
      <c r="J776">
        <v>5900000</v>
      </c>
      <c r="K776">
        <v>25800000</v>
      </c>
      <c r="L776">
        <v>4100000</v>
      </c>
      <c r="M776" t="s">
        <v>34</v>
      </c>
      <c r="N776">
        <f t="shared" si="73"/>
        <v>1</v>
      </c>
      <c r="O776" t="str">
        <f t="shared" si="72"/>
        <v>Low</v>
      </c>
      <c r="P776" t="str">
        <f t="shared" si="74"/>
        <v>High</v>
      </c>
      <c r="Q776" t="str">
        <f t="shared" si="75"/>
        <v>High Loan</v>
      </c>
      <c r="R776">
        <f t="shared" si="76"/>
        <v>51500000</v>
      </c>
      <c r="S776" t="str">
        <f t="shared" si="77"/>
        <v>Strong</v>
      </c>
    </row>
    <row r="777" spans="1:19" x14ac:dyDescent="0.25">
      <c r="A777">
        <v>776</v>
      </c>
      <c r="B777">
        <v>3</v>
      </c>
      <c r="C777" t="s">
        <v>30</v>
      </c>
      <c r="D777" t="s">
        <v>33</v>
      </c>
      <c r="E777">
        <v>7400000</v>
      </c>
      <c r="F777">
        <v>25700000</v>
      </c>
      <c r="G777">
        <v>2</v>
      </c>
      <c r="H777">
        <v>461</v>
      </c>
      <c r="I777">
        <v>5700000</v>
      </c>
      <c r="J777">
        <v>2900000</v>
      </c>
      <c r="K777">
        <v>15100000</v>
      </c>
      <c r="L777">
        <v>5100000</v>
      </c>
      <c r="M777" t="s">
        <v>34</v>
      </c>
      <c r="N777">
        <f t="shared" si="73"/>
        <v>1</v>
      </c>
      <c r="O777" t="str">
        <f t="shared" si="72"/>
        <v>Low</v>
      </c>
      <c r="P777" t="str">
        <f t="shared" si="74"/>
        <v>High</v>
      </c>
      <c r="Q777" t="str">
        <f t="shared" si="75"/>
        <v>High Loan</v>
      </c>
      <c r="R777">
        <f t="shared" si="76"/>
        <v>28800000</v>
      </c>
      <c r="S777" t="str">
        <f t="shared" si="77"/>
        <v>Strong</v>
      </c>
    </row>
    <row r="778" spans="1:19" x14ac:dyDescent="0.25">
      <c r="A778">
        <v>777</v>
      </c>
      <c r="B778">
        <v>5</v>
      </c>
      <c r="C778" t="s">
        <v>31</v>
      </c>
      <c r="D778" t="s">
        <v>32</v>
      </c>
      <c r="E778">
        <v>3100000</v>
      </c>
      <c r="F778">
        <v>10800000</v>
      </c>
      <c r="G778">
        <v>10</v>
      </c>
      <c r="H778">
        <v>681</v>
      </c>
      <c r="I778">
        <v>5100000</v>
      </c>
      <c r="J778">
        <v>1700000</v>
      </c>
      <c r="K778">
        <v>7400000</v>
      </c>
      <c r="L778">
        <v>1500000</v>
      </c>
      <c r="M778" t="s">
        <v>34</v>
      </c>
      <c r="N778">
        <f t="shared" si="73"/>
        <v>1</v>
      </c>
      <c r="O778" t="str">
        <f t="shared" si="72"/>
        <v>Medium</v>
      </c>
      <c r="P778" t="str">
        <f t="shared" si="74"/>
        <v>High</v>
      </c>
      <c r="Q778" t="str">
        <f t="shared" si="75"/>
        <v>Low Loan</v>
      </c>
      <c r="R778">
        <f t="shared" si="76"/>
        <v>15700000</v>
      </c>
      <c r="S778" t="str">
        <f t="shared" si="77"/>
        <v>Strong</v>
      </c>
    </row>
    <row r="779" spans="1:19" x14ac:dyDescent="0.25">
      <c r="A779">
        <v>778</v>
      </c>
      <c r="B779">
        <v>2</v>
      </c>
      <c r="C779" t="s">
        <v>30</v>
      </c>
      <c r="D779" t="s">
        <v>32</v>
      </c>
      <c r="E779">
        <v>4300000</v>
      </c>
      <c r="F779">
        <v>9400000</v>
      </c>
      <c r="G779">
        <v>2</v>
      </c>
      <c r="H779">
        <v>485</v>
      </c>
      <c r="I779">
        <v>11000000</v>
      </c>
      <c r="J779">
        <v>8100000</v>
      </c>
      <c r="K779">
        <v>11000000</v>
      </c>
      <c r="L779">
        <v>2200000</v>
      </c>
      <c r="M779" t="s">
        <v>35</v>
      </c>
      <c r="N779">
        <f t="shared" si="73"/>
        <v>0</v>
      </c>
      <c r="O779" t="str">
        <f t="shared" si="72"/>
        <v>Low</v>
      </c>
      <c r="P779" t="str">
        <f t="shared" si="74"/>
        <v>High</v>
      </c>
      <c r="Q779" t="str">
        <f t="shared" si="75"/>
        <v>Low Loan</v>
      </c>
      <c r="R779">
        <f t="shared" si="76"/>
        <v>32300000</v>
      </c>
      <c r="S779" t="str">
        <f t="shared" si="77"/>
        <v>Strong</v>
      </c>
    </row>
    <row r="780" spans="1:19" x14ac:dyDescent="0.25">
      <c r="A780">
        <v>779</v>
      </c>
      <c r="B780">
        <v>1</v>
      </c>
      <c r="C780" t="s">
        <v>30</v>
      </c>
      <c r="D780" t="s">
        <v>33</v>
      </c>
      <c r="E780">
        <v>2400000</v>
      </c>
      <c r="F780">
        <v>8300000</v>
      </c>
      <c r="G780">
        <v>6</v>
      </c>
      <c r="H780">
        <v>684</v>
      </c>
      <c r="I780">
        <v>5500000</v>
      </c>
      <c r="J780">
        <v>3500000</v>
      </c>
      <c r="K780">
        <v>5300000</v>
      </c>
      <c r="L780">
        <v>2300000</v>
      </c>
      <c r="M780" t="s">
        <v>34</v>
      </c>
      <c r="N780">
        <f t="shared" si="73"/>
        <v>1</v>
      </c>
      <c r="O780" t="str">
        <f t="shared" si="72"/>
        <v>Medium</v>
      </c>
      <c r="P780" t="str">
        <f t="shared" si="74"/>
        <v>High</v>
      </c>
      <c r="Q780" t="str">
        <f t="shared" si="75"/>
        <v>Low Loan</v>
      </c>
      <c r="R780">
        <f t="shared" si="76"/>
        <v>16600000</v>
      </c>
      <c r="S780" t="str">
        <f t="shared" si="77"/>
        <v>Strong</v>
      </c>
    </row>
    <row r="781" spans="1:19" x14ac:dyDescent="0.25">
      <c r="A781">
        <v>780</v>
      </c>
      <c r="B781">
        <v>1</v>
      </c>
      <c r="C781" t="s">
        <v>30</v>
      </c>
      <c r="D781" t="s">
        <v>32</v>
      </c>
      <c r="E781">
        <v>5400000</v>
      </c>
      <c r="F781">
        <v>17900000</v>
      </c>
      <c r="G781">
        <v>14</v>
      </c>
      <c r="H781">
        <v>727</v>
      </c>
      <c r="I781">
        <v>13100000</v>
      </c>
      <c r="J781">
        <v>0</v>
      </c>
      <c r="K781">
        <v>12300000</v>
      </c>
      <c r="L781">
        <v>4700000</v>
      </c>
      <c r="M781" t="s">
        <v>34</v>
      </c>
      <c r="N781">
        <f t="shared" si="73"/>
        <v>1</v>
      </c>
      <c r="O781" t="str">
        <f t="shared" si="72"/>
        <v>Good</v>
      </c>
      <c r="P781" t="str">
        <f t="shared" si="74"/>
        <v>High</v>
      </c>
      <c r="Q781" t="str">
        <f t="shared" si="75"/>
        <v>Low Loan</v>
      </c>
      <c r="R781">
        <f t="shared" si="76"/>
        <v>30100000</v>
      </c>
      <c r="S781" t="str">
        <f t="shared" si="77"/>
        <v>Strong</v>
      </c>
    </row>
    <row r="782" spans="1:19" x14ac:dyDescent="0.25">
      <c r="A782">
        <v>781</v>
      </c>
      <c r="B782">
        <v>2</v>
      </c>
      <c r="C782" t="s">
        <v>31</v>
      </c>
      <c r="D782" t="s">
        <v>32</v>
      </c>
      <c r="E782">
        <v>1600000</v>
      </c>
      <c r="F782">
        <v>5100000</v>
      </c>
      <c r="G782">
        <v>6</v>
      </c>
      <c r="H782">
        <v>784</v>
      </c>
      <c r="I782">
        <v>1400000</v>
      </c>
      <c r="J782">
        <v>2400000</v>
      </c>
      <c r="K782">
        <v>4500000</v>
      </c>
      <c r="L782">
        <v>1400000</v>
      </c>
      <c r="M782" t="s">
        <v>34</v>
      </c>
      <c r="N782">
        <f t="shared" si="73"/>
        <v>1</v>
      </c>
      <c r="O782" t="str">
        <f t="shared" si="72"/>
        <v>Excellent</v>
      </c>
      <c r="P782" t="str">
        <f t="shared" si="74"/>
        <v>High</v>
      </c>
      <c r="Q782" t="str">
        <f t="shared" si="75"/>
        <v>Low Loan</v>
      </c>
      <c r="R782">
        <f t="shared" si="76"/>
        <v>9700000</v>
      </c>
      <c r="S782" t="str">
        <f t="shared" si="77"/>
        <v>Moderate</v>
      </c>
    </row>
    <row r="783" spans="1:19" x14ac:dyDescent="0.25">
      <c r="A783">
        <v>782</v>
      </c>
      <c r="B783">
        <v>3</v>
      </c>
      <c r="C783" t="s">
        <v>31</v>
      </c>
      <c r="D783" t="s">
        <v>33</v>
      </c>
      <c r="E783">
        <v>9900000</v>
      </c>
      <c r="F783">
        <v>20400000</v>
      </c>
      <c r="G783">
        <v>4</v>
      </c>
      <c r="H783">
        <v>865</v>
      </c>
      <c r="I783">
        <v>26300000</v>
      </c>
      <c r="J783">
        <v>3600000</v>
      </c>
      <c r="K783">
        <v>36500000</v>
      </c>
      <c r="L783">
        <v>12800000</v>
      </c>
      <c r="M783" t="s">
        <v>34</v>
      </c>
      <c r="N783">
        <f t="shared" si="73"/>
        <v>1</v>
      </c>
      <c r="O783" t="str">
        <f t="shared" si="72"/>
        <v>Excellent</v>
      </c>
      <c r="P783" t="str">
        <f t="shared" si="74"/>
        <v>High</v>
      </c>
      <c r="Q783" t="str">
        <f t="shared" si="75"/>
        <v>High Loan</v>
      </c>
      <c r="R783">
        <f t="shared" si="76"/>
        <v>79200000</v>
      </c>
      <c r="S783" t="str">
        <f t="shared" si="77"/>
        <v>Strong</v>
      </c>
    </row>
    <row r="784" spans="1:19" x14ac:dyDescent="0.25">
      <c r="A784">
        <v>783</v>
      </c>
      <c r="B784">
        <v>3</v>
      </c>
      <c r="C784" t="s">
        <v>31</v>
      </c>
      <c r="D784" t="s">
        <v>32</v>
      </c>
      <c r="E784">
        <v>5800000</v>
      </c>
      <c r="F784">
        <v>20100000</v>
      </c>
      <c r="G784">
        <v>18</v>
      </c>
      <c r="H784">
        <v>791</v>
      </c>
      <c r="I784">
        <v>1400000</v>
      </c>
      <c r="J784">
        <v>10800000</v>
      </c>
      <c r="K784">
        <v>16300000</v>
      </c>
      <c r="L784">
        <v>5600000</v>
      </c>
      <c r="M784" t="s">
        <v>34</v>
      </c>
      <c r="N784">
        <f t="shared" si="73"/>
        <v>1</v>
      </c>
      <c r="O784" t="str">
        <f t="shared" si="72"/>
        <v>Excellent</v>
      </c>
      <c r="P784" t="str">
        <f t="shared" si="74"/>
        <v>High</v>
      </c>
      <c r="Q784" t="str">
        <f t="shared" si="75"/>
        <v>High Loan</v>
      </c>
      <c r="R784">
        <f t="shared" si="76"/>
        <v>34100000</v>
      </c>
      <c r="S784" t="str">
        <f t="shared" si="77"/>
        <v>Strong</v>
      </c>
    </row>
    <row r="785" spans="1:19" x14ac:dyDescent="0.25">
      <c r="A785">
        <v>784</v>
      </c>
      <c r="B785">
        <v>4</v>
      </c>
      <c r="C785" t="s">
        <v>31</v>
      </c>
      <c r="D785" t="s">
        <v>32</v>
      </c>
      <c r="E785">
        <v>2200000</v>
      </c>
      <c r="F785">
        <v>8500000</v>
      </c>
      <c r="G785">
        <v>16</v>
      </c>
      <c r="H785">
        <v>866</v>
      </c>
      <c r="I785">
        <v>4000000</v>
      </c>
      <c r="J785">
        <v>1900000</v>
      </c>
      <c r="K785">
        <v>6800000</v>
      </c>
      <c r="L785">
        <v>2800000</v>
      </c>
      <c r="M785" t="s">
        <v>34</v>
      </c>
      <c r="N785">
        <f t="shared" si="73"/>
        <v>1</v>
      </c>
      <c r="O785" t="str">
        <f t="shared" si="72"/>
        <v>Excellent</v>
      </c>
      <c r="P785" t="str">
        <f t="shared" si="74"/>
        <v>High</v>
      </c>
      <c r="Q785" t="str">
        <f t="shared" si="75"/>
        <v>Low Loan</v>
      </c>
      <c r="R785">
        <f t="shared" si="76"/>
        <v>15500000</v>
      </c>
      <c r="S785" t="str">
        <f t="shared" si="77"/>
        <v>Strong</v>
      </c>
    </row>
    <row r="786" spans="1:19" x14ac:dyDescent="0.25">
      <c r="A786">
        <v>785</v>
      </c>
      <c r="B786">
        <v>0</v>
      </c>
      <c r="C786" t="s">
        <v>30</v>
      </c>
      <c r="D786" t="s">
        <v>32</v>
      </c>
      <c r="E786">
        <v>5000000</v>
      </c>
      <c r="F786">
        <v>14400000</v>
      </c>
      <c r="G786">
        <v>2</v>
      </c>
      <c r="H786">
        <v>761</v>
      </c>
      <c r="I786">
        <v>-100000</v>
      </c>
      <c r="J786">
        <v>7300000</v>
      </c>
      <c r="K786">
        <v>12600000</v>
      </c>
      <c r="L786">
        <v>4500000</v>
      </c>
      <c r="M786" t="s">
        <v>34</v>
      </c>
      <c r="N786">
        <f t="shared" si="73"/>
        <v>1</v>
      </c>
      <c r="O786" t="str">
        <f t="shared" si="72"/>
        <v>Excellent</v>
      </c>
      <c r="P786" t="str">
        <f t="shared" si="74"/>
        <v>High</v>
      </c>
      <c r="Q786" t="str">
        <f t="shared" si="75"/>
        <v>Low Loan</v>
      </c>
      <c r="R786">
        <f t="shared" si="76"/>
        <v>24300000</v>
      </c>
      <c r="S786" t="str">
        <f t="shared" si="77"/>
        <v>Strong</v>
      </c>
    </row>
    <row r="787" spans="1:19" x14ac:dyDescent="0.25">
      <c r="A787">
        <v>786</v>
      </c>
      <c r="B787">
        <v>2</v>
      </c>
      <c r="C787" t="s">
        <v>31</v>
      </c>
      <c r="D787" t="s">
        <v>33</v>
      </c>
      <c r="E787">
        <v>600000</v>
      </c>
      <c r="F787">
        <v>2100000</v>
      </c>
      <c r="G787">
        <v>18</v>
      </c>
      <c r="H787">
        <v>572</v>
      </c>
      <c r="I787">
        <v>400000</v>
      </c>
      <c r="J787">
        <v>500000</v>
      </c>
      <c r="K787">
        <v>1400000</v>
      </c>
      <c r="L787">
        <v>300000</v>
      </c>
      <c r="M787" t="s">
        <v>34</v>
      </c>
      <c r="N787">
        <f t="shared" si="73"/>
        <v>1</v>
      </c>
      <c r="O787" t="str">
        <f t="shared" si="72"/>
        <v>Low</v>
      </c>
      <c r="P787" t="str">
        <f t="shared" si="74"/>
        <v>Middle</v>
      </c>
      <c r="Q787" t="str">
        <f t="shared" si="75"/>
        <v>Low Loan</v>
      </c>
      <c r="R787">
        <f t="shared" si="76"/>
        <v>2600000</v>
      </c>
      <c r="S787" t="str">
        <f t="shared" si="77"/>
        <v>Weak</v>
      </c>
    </row>
    <row r="788" spans="1:19" x14ac:dyDescent="0.25">
      <c r="A788">
        <v>787</v>
      </c>
      <c r="B788">
        <v>4</v>
      </c>
      <c r="C788" t="s">
        <v>30</v>
      </c>
      <c r="D788" t="s">
        <v>32</v>
      </c>
      <c r="E788">
        <v>2200000</v>
      </c>
      <c r="F788">
        <v>8600000</v>
      </c>
      <c r="G788">
        <v>6</v>
      </c>
      <c r="H788">
        <v>601</v>
      </c>
      <c r="I788">
        <v>2700000</v>
      </c>
      <c r="J788">
        <v>2900000</v>
      </c>
      <c r="K788">
        <v>6700000</v>
      </c>
      <c r="L788">
        <v>3300000</v>
      </c>
      <c r="M788" t="s">
        <v>34</v>
      </c>
      <c r="N788">
        <f t="shared" si="73"/>
        <v>1</v>
      </c>
      <c r="O788" t="str">
        <f t="shared" si="72"/>
        <v>Low</v>
      </c>
      <c r="P788" t="str">
        <f t="shared" si="74"/>
        <v>High</v>
      </c>
      <c r="Q788" t="str">
        <f t="shared" si="75"/>
        <v>Low Loan</v>
      </c>
      <c r="R788">
        <f t="shared" si="76"/>
        <v>15600000</v>
      </c>
      <c r="S788" t="str">
        <f t="shared" si="77"/>
        <v>Strong</v>
      </c>
    </row>
    <row r="789" spans="1:19" x14ac:dyDescent="0.25">
      <c r="A789">
        <v>788</v>
      </c>
      <c r="B789">
        <v>1</v>
      </c>
      <c r="C789" t="s">
        <v>30</v>
      </c>
      <c r="D789" t="s">
        <v>33</v>
      </c>
      <c r="E789">
        <v>2600000</v>
      </c>
      <c r="F789">
        <v>5500000</v>
      </c>
      <c r="G789">
        <v>14</v>
      </c>
      <c r="H789">
        <v>820</v>
      </c>
      <c r="I789">
        <v>2700000</v>
      </c>
      <c r="J789">
        <v>2400000</v>
      </c>
      <c r="K789">
        <v>9300000</v>
      </c>
      <c r="L789">
        <v>2000000</v>
      </c>
      <c r="M789" t="s">
        <v>34</v>
      </c>
      <c r="N789">
        <f t="shared" si="73"/>
        <v>1</v>
      </c>
      <c r="O789" t="str">
        <f t="shared" si="72"/>
        <v>Excellent</v>
      </c>
      <c r="P789" t="str">
        <f t="shared" si="74"/>
        <v>High</v>
      </c>
      <c r="Q789" t="str">
        <f t="shared" si="75"/>
        <v>Low Loan</v>
      </c>
      <c r="R789">
        <f t="shared" si="76"/>
        <v>16400000</v>
      </c>
      <c r="S789" t="str">
        <f t="shared" si="77"/>
        <v>Strong</v>
      </c>
    </row>
    <row r="790" spans="1:19" x14ac:dyDescent="0.25">
      <c r="A790">
        <v>789</v>
      </c>
      <c r="B790">
        <v>4</v>
      </c>
      <c r="C790" t="s">
        <v>31</v>
      </c>
      <c r="D790" t="s">
        <v>32</v>
      </c>
      <c r="E790">
        <v>1200000</v>
      </c>
      <c r="F790">
        <v>4300000</v>
      </c>
      <c r="G790">
        <v>8</v>
      </c>
      <c r="H790">
        <v>598</v>
      </c>
      <c r="I790">
        <v>1600000</v>
      </c>
      <c r="J790">
        <v>1800000</v>
      </c>
      <c r="K790">
        <v>3200000</v>
      </c>
      <c r="L790">
        <v>1300000</v>
      </c>
      <c r="M790" t="s">
        <v>34</v>
      </c>
      <c r="N790">
        <f t="shared" si="73"/>
        <v>1</v>
      </c>
      <c r="O790" t="str">
        <f t="shared" si="72"/>
        <v>Low</v>
      </c>
      <c r="P790" t="str">
        <f t="shared" si="74"/>
        <v>High</v>
      </c>
      <c r="Q790" t="str">
        <f t="shared" si="75"/>
        <v>Low Loan</v>
      </c>
      <c r="R790">
        <f t="shared" si="76"/>
        <v>7900000</v>
      </c>
      <c r="S790" t="str">
        <f t="shared" si="77"/>
        <v>Moderate</v>
      </c>
    </row>
    <row r="791" spans="1:19" x14ac:dyDescent="0.25">
      <c r="A791">
        <v>790</v>
      </c>
      <c r="B791">
        <v>2</v>
      </c>
      <c r="C791" t="s">
        <v>30</v>
      </c>
      <c r="D791" t="s">
        <v>32</v>
      </c>
      <c r="E791">
        <v>3100000</v>
      </c>
      <c r="F791">
        <v>8700000</v>
      </c>
      <c r="G791">
        <v>18</v>
      </c>
      <c r="H791">
        <v>544</v>
      </c>
      <c r="I791">
        <v>5300000</v>
      </c>
      <c r="J791">
        <v>1100000</v>
      </c>
      <c r="K791">
        <v>12200000</v>
      </c>
      <c r="L791">
        <v>1500000</v>
      </c>
      <c r="M791" t="s">
        <v>35</v>
      </c>
      <c r="N791">
        <f t="shared" si="73"/>
        <v>0</v>
      </c>
      <c r="O791" t="str">
        <f t="shared" si="72"/>
        <v>Low</v>
      </c>
      <c r="P791" t="str">
        <f t="shared" si="74"/>
        <v>High</v>
      </c>
      <c r="Q791" t="str">
        <f t="shared" si="75"/>
        <v>Low Loan</v>
      </c>
      <c r="R791">
        <f t="shared" si="76"/>
        <v>20100000</v>
      </c>
      <c r="S791" t="str">
        <f t="shared" si="77"/>
        <v>Strong</v>
      </c>
    </row>
    <row r="792" spans="1:19" x14ac:dyDescent="0.25">
      <c r="A792">
        <v>791</v>
      </c>
      <c r="B792">
        <v>5</v>
      </c>
      <c r="C792" t="s">
        <v>31</v>
      </c>
      <c r="D792" t="s">
        <v>33</v>
      </c>
      <c r="E792">
        <v>4600000</v>
      </c>
      <c r="F792">
        <v>14500000</v>
      </c>
      <c r="G792">
        <v>14</v>
      </c>
      <c r="H792">
        <v>561</v>
      </c>
      <c r="I792">
        <v>2300000</v>
      </c>
      <c r="J792">
        <v>6200000</v>
      </c>
      <c r="K792">
        <v>10200000</v>
      </c>
      <c r="L792">
        <v>5800000</v>
      </c>
      <c r="M792" t="s">
        <v>34</v>
      </c>
      <c r="N792">
        <f t="shared" si="73"/>
        <v>1</v>
      </c>
      <c r="O792" t="str">
        <f t="shared" si="72"/>
        <v>Low</v>
      </c>
      <c r="P792" t="str">
        <f t="shared" si="74"/>
        <v>High</v>
      </c>
      <c r="Q792" t="str">
        <f t="shared" si="75"/>
        <v>Low Loan</v>
      </c>
      <c r="R792">
        <f t="shared" si="76"/>
        <v>24500000</v>
      </c>
      <c r="S792" t="str">
        <f t="shared" si="77"/>
        <v>Strong</v>
      </c>
    </row>
    <row r="793" spans="1:19" x14ac:dyDescent="0.25">
      <c r="A793">
        <v>792</v>
      </c>
      <c r="B793">
        <v>4</v>
      </c>
      <c r="C793" t="s">
        <v>30</v>
      </c>
      <c r="D793" t="s">
        <v>33</v>
      </c>
      <c r="E793">
        <v>9300000</v>
      </c>
      <c r="F793">
        <v>35500000</v>
      </c>
      <c r="G793">
        <v>6</v>
      </c>
      <c r="H793">
        <v>547</v>
      </c>
      <c r="I793">
        <v>2800000</v>
      </c>
      <c r="J793">
        <v>17800000</v>
      </c>
      <c r="K793">
        <v>27000000</v>
      </c>
      <c r="L793">
        <v>13900000</v>
      </c>
      <c r="M793" t="s">
        <v>35</v>
      </c>
      <c r="N793">
        <f t="shared" si="73"/>
        <v>0</v>
      </c>
      <c r="O793" t="str">
        <f t="shared" si="72"/>
        <v>Low</v>
      </c>
      <c r="P793" t="str">
        <f t="shared" si="74"/>
        <v>High</v>
      </c>
      <c r="Q793" t="str">
        <f t="shared" si="75"/>
        <v>High Loan</v>
      </c>
      <c r="R793">
        <f t="shared" si="76"/>
        <v>61500000</v>
      </c>
      <c r="S793" t="str">
        <f t="shared" si="77"/>
        <v>Strong</v>
      </c>
    </row>
    <row r="794" spans="1:19" x14ac:dyDescent="0.25">
      <c r="A794">
        <v>793</v>
      </c>
      <c r="B794">
        <v>4</v>
      </c>
      <c r="C794" t="s">
        <v>30</v>
      </c>
      <c r="D794" t="s">
        <v>32</v>
      </c>
      <c r="E794">
        <v>6300000</v>
      </c>
      <c r="F794">
        <v>13400000</v>
      </c>
      <c r="G794">
        <v>2</v>
      </c>
      <c r="H794">
        <v>504</v>
      </c>
      <c r="I794">
        <v>10500000</v>
      </c>
      <c r="J794">
        <v>10900000</v>
      </c>
      <c r="K794">
        <v>14500000</v>
      </c>
      <c r="L794">
        <v>9400000</v>
      </c>
      <c r="M794" t="s">
        <v>35</v>
      </c>
      <c r="N794">
        <f t="shared" si="73"/>
        <v>0</v>
      </c>
      <c r="O794" t="str">
        <f t="shared" si="72"/>
        <v>Low</v>
      </c>
      <c r="P794" t="str">
        <f t="shared" si="74"/>
        <v>High</v>
      </c>
      <c r="Q794" t="str">
        <f t="shared" si="75"/>
        <v>Low Loan</v>
      </c>
      <c r="R794">
        <f t="shared" si="76"/>
        <v>45300000</v>
      </c>
      <c r="S794" t="str">
        <f t="shared" si="77"/>
        <v>Strong</v>
      </c>
    </row>
    <row r="795" spans="1:19" x14ac:dyDescent="0.25">
      <c r="A795">
        <v>794</v>
      </c>
      <c r="B795">
        <v>2</v>
      </c>
      <c r="C795" t="s">
        <v>31</v>
      </c>
      <c r="D795" t="s">
        <v>32</v>
      </c>
      <c r="E795">
        <v>5900000</v>
      </c>
      <c r="F795">
        <v>20800000</v>
      </c>
      <c r="G795">
        <v>14</v>
      </c>
      <c r="H795">
        <v>530</v>
      </c>
      <c r="I795">
        <v>7100000</v>
      </c>
      <c r="J795">
        <v>5800000</v>
      </c>
      <c r="K795">
        <v>13100000</v>
      </c>
      <c r="L795">
        <v>8800000</v>
      </c>
      <c r="M795" t="s">
        <v>35</v>
      </c>
      <c r="N795">
        <f t="shared" si="73"/>
        <v>0</v>
      </c>
      <c r="O795" t="str">
        <f t="shared" si="72"/>
        <v>Low</v>
      </c>
      <c r="P795" t="str">
        <f t="shared" si="74"/>
        <v>High</v>
      </c>
      <c r="Q795" t="str">
        <f t="shared" si="75"/>
        <v>High Loan</v>
      </c>
      <c r="R795">
        <f t="shared" si="76"/>
        <v>34800000</v>
      </c>
      <c r="S795" t="str">
        <f t="shared" si="77"/>
        <v>Strong</v>
      </c>
    </row>
    <row r="796" spans="1:19" x14ac:dyDescent="0.25">
      <c r="A796">
        <v>795</v>
      </c>
      <c r="B796">
        <v>2</v>
      </c>
      <c r="C796" t="s">
        <v>30</v>
      </c>
      <c r="D796" t="s">
        <v>33</v>
      </c>
      <c r="E796">
        <v>2900000</v>
      </c>
      <c r="F796">
        <v>10600000</v>
      </c>
      <c r="G796">
        <v>6</v>
      </c>
      <c r="H796">
        <v>614</v>
      </c>
      <c r="I796">
        <v>1000000</v>
      </c>
      <c r="J796">
        <v>300000</v>
      </c>
      <c r="K796">
        <v>7600000</v>
      </c>
      <c r="L796">
        <v>3600000</v>
      </c>
      <c r="M796" t="s">
        <v>34</v>
      </c>
      <c r="N796">
        <f t="shared" si="73"/>
        <v>1</v>
      </c>
      <c r="O796" t="str">
        <f t="shared" si="72"/>
        <v>Low</v>
      </c>
      <c r="P796" t="str">
        <f t="shared" si="74"/>
        <v>High</v>
      </c>
      <c r="Q796" t="str">
        <f t="shared" si="75"/>
        <v>Low Loan</v>
      </c>
      <c r="R796">
        <f t="shared" si="76"/>
        <v>12500000</v>
      </c>
      <c r="S796" t="str">
        <f t="shared" si="77"/>
        <v>Strong</v>
      </c>
    </row>
    <row r="797" spans="1:19" x14ac:dyDescent="0.25">
      <c r="A797">
        <v>796</v>
      </c>
      <c r="B797">
        <v>4</v>
      </c>
      <c r="C797" t="s">
        <v>31</v>
      </c>
      <c r="D797" t="s">
        <v>32</v>
      </c>
      <c r="E797">
        <v>6100000</v>
      </c>
      <c r="F797">
        <v>22400000</v>
      </c>
      <c r="G797">
        <v>18</v>
      </c>
      <c r="H797">
        <v>351</v>
      </c>
      <c r="I797">
        <v>11800000</v>
      </c>
      <c r="J797">
        <v>5000000</v>
      </c>
      <c r="K797">
        <v>24400000</v>
      </c>
      <c r="L797">
        <v>4800000</v>
      </c>
      <c r="M797" t="s">
        <v>35</v>
      </c>
      <c r="N797">
        <f t="shared" si="73"/>
        <v>0</v>
      </c>
      <c r="O797" t="str">
        <f t="shared" si="72"/>
        <v>Low</v>
      </c>
      <c r="P797" t="str">
        <f t="shared" si="74"/>
        <v>High</v>
      </c>
      <c r="Q797" t="str">
        <f t="shared" si="75"/>
        <v>High Loan</v>
      </c>
      <c r="R797">
        <f t="shared" si="76"/>
        <v>46000000</v>
      </c>
      <c r="S797" t="str">
        <f t="shared" si="77"/>
        <v>Strong</v>
      </c>
    </row>
    <row r="798" spans="1:19" x14ac:dyDescent="0.25">
      <c r="A798">
        <v>797</v>
      </c>
      <c r="B798">
        <v>4</v>
      </c>
      <c r="C798" t="s">
        <v>30</v>
      </c>
      <c r="D798" t="s">
        <v>33</v>
      </c>
      <c r="E798">
        <v>5900000</v>
      </c>
      <c r="F798">
        <v>19700000</v>
      </c>
      <c r="G798">
        <v>10</v>
      </c>
      <c r="H798">
        <v>431</v>
      </c>
      <c r="I798">
        <v>3300000</v>
      </c>
      <c r="J798">
        <v>9200000</v>
      </c>
      <c r="K798">
        <v>22700000</v>
      </c>
      <c r="L798">
        <v>5300000</v>
      </c>
      <c r="M798" t="s">
        <v>35</v>
      </c>
      <c r="N798">
        <f t="shared" si="73"/>
        <v>0</v>
      </c>
      <c r="O798" t="str">
        <f t="shared" si="72"/>
        <v>Low</v>
      </c>
      <c r="P798" t="str">
        <f t="shared" si="74"/>
        <v>High</v>
      </c>
      <c r="Q798" t="str">
        <f t="shared" si="75"/>
        <v>Low Loan</v>
      </c>
      <c r="R798">
        <f t="shared" si="76"/>
        <v>40500000</v>
      </c>
      <c r="S798" t="str">
        <f t="shared" si="77"/>
        <v>Strong</v>
      </c>
    </row>
    <row r="799" spans="1:19" x14ac:dyDescent="0.25">
      <c r="A799">
        <v>798</v>
      </c>
      <c r="B799">
        <v>1</v>
      </c>
      <c r="C799" t="s">
        <v>31</v>
      </c>
      <c r="D799" t="s">
        <v>33</v>
      </c>
      <c r="E799">
        <v>4600000</v>
      </c>
      <c r="F799">
        <v>18400000</v>
      </c>
      <c r="G799">
        <v>10</v>
      </c>
      <c r="H799">
        <v>403</v>
      </c>
      <c r="I799">
        <v>200000</v>
      </c>
      <c r="J799">
        <v>8800000</v>
      </c>
      <c r="K799">
        <v>17300000</v>
      </c>
      <c r="L799">
        <v>2900000</v>
      </c>
      <c r="M799" t="s">
        <v>35</v>
      </c>
      <c r="N799">
        <f t="shared" si="73"/>
        <v>0</v>
      </c>
      <c r="O799" t="str">
        <f t="shared" si="72"/>
        <v>Low</v>
      </c>
      <c r="P799" t="str">
        <f t="shared" si="74"/>
        <v>High</v>
      </c>
      <c r="Q799" t="str">
        <f t="shared" si="75"/>
        <v>Low Loan</v>
      </c>
      <c r="R799">
        <f t="shared" si="76"/>
        <v>29200000</v>
      </c>
      <c r="S799" t="str">
        <f t="shared" si="77"/>
        <v>Strong</v>
      </c>
    </row>
    <row r="800" spans="1:19" x14ac:dyDescent="0.25">
      <c r="A800">
        <v>799</v>
      </c>
      <c r="B800">
        <v>2</v>
      </c>
      <c r="C800" t="s">
        <v>31</v>
      </c>
      <c r="D800" t="s">
        <v>32</v>
      </c>
      <c r="E800">
        <v>7000000</v>
      </c>
      <c r="F800">
        <v>20200000</v>
      </c>
      <c r="G800">
        <v>8</v>
      </c>
      <c r="H800">
        <v>668</v>
      </c>
      <c r="I800">
        <v>16600000</v>
      </c>
      <c r="J800">
        <v>5000000</v>
      </c>
      <c r="K800">
        <v>26100000</v>
      </c>
      <c r="L800">
        <v>9100000</v>
      </c>
      <c r="M800" t="s">
        <v>34</v>
      </c>
      <c r="N800">
        <f t="shared" si="73"/>
        <v>1</v>
      </c>
      <c r="O800" t="str">
        <f t="shared" si="72"/>
        <v>Medium</v>
      </c>
      <c r="P800" t="str">
        <f t="shared" si="74"/>
        <v>High</v>
      </c>
      <c r="Q800" t="str">
        <f t="shared" si="75"/>
        <v>High Loan</v>
      </c>
      <c r="R800">
        <f t="shared" si="76"/>
        <v>56800000</v>
      </c>
      <c r="S800" t="str">
        <f t="shared" si="77"/>
        <v>Strong</v>
      </c>
    </row>
    <row r="801" spans="1:19" x14ac:dyDescent="0.25">
      <c r="A801">
        <v>800</v>
      </c>
      <c r="B801">
        <v>3</v>
      </c>
      <c r="C801" t="s">
        <v>31</v>
      </c>
      <c r="D801" t="s">
        <v>33</v>
      </c>
      <c r="E801">
        <v>5100000</v>
      </c>
      <c r="F801">
        <v>10400000</v>
      </c>
      <c r="G801">
        <v>18</v>
      </c>
      <c r="H801">
        <v>399</v>
      </c>
      <c r="I801">
        <v>8000000</v>
      </c>
      <c r="J801">
        <v>4300000</v>
      </c>
      <c r="K801">
        <v>20100000</v>
      </c>
      <c r="L801">
        <v>4600000</v>
      </c>
      <c r="M801" t="s">
        <v>35</v>
      </c>
      <c r="N801">
        <f t="shared" si="73"/>
        <v>0</v>
      </c>
      <c r="O801" t="str">
        <f t="shared" si="72"/>
        <v>Low</v>
      </c>
      <c r="P801" t="str">
        <f t="shared" si="74"/>
        <v>High</v>
      </c>
      <c r="Q801" t="str">
        <f t="shared" si="75"/>
        <v>Low Loan</v>
      </c>
      <c r="R801">
        <f t="shared" si="76"/>
        <v>37000000</v>
      </c>
      <c r="S801" t="str">
        <f t="shared" si="77"/>
        <v>Strong</v>
      </c>
    </row>
    <row r="802" spans="1:19" x14ac:dyDescent="0.25">
      <c r="A802">
        <v>801</v>
      </c>
      <c r="B802">
        <v>1</v>
      </c>
      <c r="C802" t="s">
        <v>30</v>
      </c>
      <c r="D802" t="s">
        <v>32</v>
      </c>
      <c r="E802">
        <v>3100000</v>
      </c>
      <c r="F802">
        <v>10600000</v>
      </c>
      <c r="G802">
        <v>14</v>
      </c>
      <c r="H802">
        <v>665</v>
      </c>
      <c r="I802">
        <v>6200000</v>
      </c>
      <c r="J802">
        <v>800000</v>
      </c>
      <c r="K802">
        <v>9500000</v>
      </c>
      <c r="L802">
        <v>3900000</v>
      </c>
      <c r="M802" t="s">
        <v>34</v>
      </c>
      <c r="N802">
        <f t="shared" si="73"/>
        <v>1</v>
      </c>
      <c r="O802" t="str">
        <f t="shared" si="72"/>
        <v>Medium</v>
      </c>
      <c r="P802" t="str">
        <f t="shared" si="74"/>
        <v>High</v>
      </c>
      <c r="Q802" t="str">
        <f t="shared" si="75"/>
        <v>Low Loan</v>
      </c>
      <c r="R802">
        <f t="shared" si="76"/>
        <v>20400000</v>
      </c>
      <c r="S802" t="str">
        <f t="shared" si="77"/>
        <v>Strong</v>
      </c>
    </row>
    <row r="803" spans="1:19" x14ac:dyDescent="0.25">
      <c r="A803">
        <v>802</v>
      </c>
      <c r="B803">
        <v>2</v>
      </c>
      <c r="C803" t="s">
        <v>30</v>
      </c>
      <c r="D803" t="s">
        <v>32</v>
      </c>
      <c r="E803">
        <v>4100000</v>
      </c>
      <c r="F803">
        <v>12800000</v>
      </c>
      <c r="G803">
        <v>16</v>
      </c>
      <c r="H803">
        <v>344</v>
      </c>
      <c r="I803">
        <v>10300000</v>
      </c>
      <c r="J803">
        <v>7000000</v>
      </c>
      <c r="K803">
        <v>15800000</v>
      </c>
      <c r="L803">
        <v>4100000</v>
      </c>
      <c r="M803" t="s">
        <v>35</v>
      </c>
      <c r="N803">
        <f t="shared" si="73"/>
        <v>0</v>
      </c>
      <c r="O803" t="str">
        <f t="shared" si="72"/>
        <v>Low</v>
      </c>
      <c r="P803" t="str">
        <f t="shared" si="74"/>
        <v>High</v>
      </c>
      <c r="Q803" t="str">
        <f t="shared" si="75"/>
        <v>Low Loan</v>
      </c>
      <c r="R803">
        <f t="shared" si="76"/>
        <v>37200000</v>
      </c>
      <c r="S803" t="str">
        <f t="shared" si="77"/>
        <v>Strong</v>
      </c>
    </row>
    <row r="804" spans="1:19" x14ac:dyDescent="0.25">
      <c r="A804">
        <v>803</v>
      </c>
      <c r="B804">
        <v>0</v>
      </c>
      <c r="C804" t="s">
        <v>30</v>
      </c>
      <c r="D804" t="s">
        <v>32</v>
      </c>
      <c r="E804">
        <v>1800000</v>
      </c>
      <c r="F804">
        <v>5400000</v>
      </c>
      <c r="G804">
        <v>16</v>
      </c>
      <c r="H804">
        <v>555</v>
      </c>
      <c r="I804">
        <v>3900000</v>
      </c>
      <c r="J804">
        <v>2900000</v>
      </c>
      <c r="K804">
        <v>5100000</v>
      </c>
      <c r="L804">
        <v>1700000</v>
      </c>
      <c r="M804" t="s">
        <v>34</v>
      </c>
      <c r="N804">
        <f t="shared" si="73"/>
        <v>1</v>
      </c>
      <c r="O804" t="str">
        <f t="shared" si="72"/>
        <v>Low</v>
      </c>
      <c r="P804" t="str">
        <f t="shared" si="74"/>
        <v>High</v>
      </c>
      <c r="Q804" t="str">
        <f t="shared" si="75"/>
        <v>Low Loan</v>
      </c>
      <c r="R804">
        <f t="shared" si="76"/>
        <v>13600000</v>
      </c>
      <c r="S804" t="str">
        <f t="shared" si="77"/>
        <v>Strong</v>
      </c>
    </row>
    <row r="805" spans="1:19" x14ac:dyDescent="0.25">
      <c r="A805">
        <v>804</v>
      </c>
      <c r="B805">
        <v>4</v>
      </c>
      <c r="C805" t="s">
        <v>31</v>
      </c>
      <c r="D805" t="s">
        <v>33</v>
      </c>
      <c r="E805">
        <v>8200000</v>
      </c>
      <c r="F805">
        <v>26900000</v>
      </c>
      <c r="G805">
        <v>20</v>
      </c>
      <c r="H805">
        <v>301</v>
      </c>
      <c r="I805">
        <v>23800000</v>
      </c>
      <c r="J805">
        <v>13600000</v>
      </c>
      <c r="K805">
        <v>31000000</v>
      </c>
      <c r="L805">
        <v>9900000</v>
      </c>
      <c r="M805" t="s">
        <v>35</v>
      </c>
      <c r="N805">
        <f t="shared" si="73"/>
        <v>0</v>
      </c>
      <c r="O805" t="str">
        <f t="shared" si="72"/>
        <v>Low</v>
      </c>
      <c r="P805" t="str">
        <f t="shared" si="74"/>
        <v>High</v>
      </c>
      <c r="Q805" t="str">
        <f t="shared" si="75"/>
        <v>High Loan</v>
      </c>
      <c r="R805">
        <f t="shared" si="76"/>
        <v>78300000</v>
      </c>
      <c r="S805" t="str">
        <f t="shared" si="77"/>
        <v>Strong</v>
      </c>
    </row>
    <row r="806" spans="1:19" x14ac:dyDescent="0.25">
      <c r="A806">
        <v>805</v>
      </c>
      <c r="B806">
        <v>2</v>
      </c>
      <c r="C806" t="s">
        <v>31</v>
      </c>
      <c r="D806" t="s">
        <v>33</v>
      </c>
      <c r="E806">
        <v>800000</v>
      </c>
      <c r="F806">
        <v>2100000</v>
      </c>
      <c r="G806">
        <v>6</v>
      </c>
      <c r="H806">
        <v>726</v>
      </c>
      <c r="I806">
        <v>2000000</v>
      </c>
      <c r="J806">
        <v>0</v>
      </c>
      <c r="K806">
        <v>2600000</v>
      </c>
      <c r="L806">
        <v>600000</v>
      </c>
      <c r="M806" t="s">
        <v>34</v>
      </c>
      <c r="N806">
        <f t="shared" si="73"/>
        <v>1</v>
      </c>
      <c r="O806" t="str">
        <f t="shared" si="72"/>
        <v>Good</v>
      </c>
      <c r="P806" t="str">
        <f t="shared" si="74"/>
        <v>High</v>
      </c>
      <c r="Q806" t="str">
        <f t="shared" si="75"/>
        <v>Low Loan</v>
      </c>
      <c r="R806">
        <f t="shared" si="76"/>
        <v>5200000</v>
      </c>
      <c r="S806" t="str">
        <f t="shared" si="77"/>
        <v>Moderate</v>
      </c>
    </row>
    <row r="807" spans="1:19" x14ac:dyDescent="0.25">
      <c r="A807">
        <v>806</v>
      </c>
      <c r="B807">
        <v>2</v>
      </c>
      <c r="C807" t="s">
        <v>30</v>
      </c>
      <c r="D807" t="s">
        <v>32</v>
      </c>
      <c r="E807">
        <v>8400000</v>
      </c>
      <c r="F807">
        <v>23100000</v>
      </c>
      <c r="G807">
        <v>6</v>
      </c>
      <c r="H807">
        <v>689</v>
      </c>
      <c r="I807">
        <v>5700000</v>
      </c>
      <c r="J807">
        <v>2500000</v>
      </c>
      <c r="K807">
        <v>18900000</v>
      </c>
      <c r="L807">
        <v>11900000</v>
      </c>
      <c r="M807" t="s">
        <v>34</v>
      </c>
      <c r="N807">
        <f t="shared" si="73"/>
        <v>1</v>
      </c>
      <c r="O807" t="str">
        <f t="shared" si="72"/>
        <v>Medium</v>
      </c>
      <c r="P807" t="str">
        <f t="shared" si="74"/>
        <v>High</v>
      </c>
      <c r="Q807" t="str">
        <f t="shared" si="75"/>
        <v>High Loan</v>
      </c>
      <c r="R807">
        <f t="shared" si="76"/>
        <v>39000000</v>
      </c>
      <c r="S807" t="str">
        <f t="shared" si="77"/>
        <v>Strong</v>
      </c>
    </row>
    <row r="808" spans="1:19" x14ac:dyDescent="0.25">
      <c r="A808">
        <v>807</v>
      </c>
      <c r="B808">
        <v>0</v>
      </c>
      <c r="C808" t="s">
        <v>31</v>
      </c>
      <c r="D808" t="s">
        <v>32</v>
      </c>
      <c r="E808">
        <v>8500000</v>
      </c>
      <c r="F808">
        <v>33900000</v>
      </c>
      <c r="G808">
        <v>4</v>
      </c>
      <c r="H808">
        <v>665</v>
      </c>
      <c r="I808">
        <v>8500000</v>
      </c>
      <c r="J808">
        <v>12800000</v>
      </c>
      <c r="K808">
        <v>17900000</v>
      </c>
      <c r="L808">
        <v>4500000</v>
      </c>
      <c r="M808" t="s">
        <v>34</v>
      </c>
      <c r="N808">
        <f t="shared" si="73"/>
        <v>1</v>
      </c>
      <c r="O808" t="str">
        <f t="shared" si="72"/>
        <v>Medium</v>
      </c>
      <c r="P808" t="str">
        <f t="shared" si="74"/>
        <v>High</v>
      </c>
      <c r="Q808" t="str">
        <f t="shared" si="75"/>
        <v>High Loan</v>
      </c>
      <c r="R808">
        <f t="shared" si="76"/>
        <v>43700000</v>
      </c>
      <c r="S808" t="str">
        <f t="shared" si="77"/>
        <v>Strong</v>
      </c>
    </row>
    <row r="809" spans="1:19" x14ac:dyDescent="0.25">
      <c r="A809">
        <v>808</v>
      </c>
      <c r="B809">
        <v>3</v>
      </c>
      <c r="C809" t="s">
        <v>31</v>
      </c>
      <c r="D809" t="s">
        <v>33</v>
      </c>
      <c r="E809">
        <v>3300000</v>
      </c>
      <c r="F809">
        <v>12700000</v>
      </c>
      <c r="G809">
        <v>16</v>
      </c>
      <c r="H809">
        <v>608</v>
      </c>
      <c r="I809">
        <v>3600000</v>
      </c>
      <c r="J809">
        <v>6200000</v>
      </c>
      <c r="K809">
        <v>12600000</v>
      </c>
      <c r="L809">
        <v>4500000</v>
      </c>
      <c r="M809" t="s">
        <v>34</v>
      </c>
      <c r="N809">
        <f t="shared" si="73"/>
        <v>1</v>
      </c>
      <c r="O809" t="str">
        <f t="shared" si="72"/>
        <v>Low</v>
      </c>
      <c r="P809" t="str">
        <f t="shared" si="74"/>
        <v>High</v>
      </c>
      <c r="Q809" t="str">
        <f t="shared" si="75"/>
        <v>Low Loan</v>
      </c>
      <c r="R809">
        <f t="shared" si="76"/>
        <v>26900000</v>
      </c>
      <c r="S809" t="str">
        <f t="shared" si="77"/>
        <v>Strong</v>
      </c>
    </row>
    <row r="810" spans="1:19" x14ac:dyDescent="0.25">
      <c r="A810">
        <v>809</v>
      </c>
      <c r="B810">
        <v>3</v>
      </c>
      <c r="C810" t="s">
        <v>31</v>
      </c>
      <c r="D810" t="s">
        <v>32</v>
      </c>
      <c r="E810">
        <v>5800000</v>
      </c>
      <c r="F810">
        <v>12800000</v>
      </c>
      <c r="G810">
        <v>20</v>
      </c>
      <c r="H810">
        <v>335</v>
      </c>
      <c r="I810">
        <v>4400000</v>
      </c>
      <c r="J810">
        <v>3000000</v>
      </c>
      <c r="K810">
        <v>15300000</v>
      </c>
      <c r="L810">
        <v>8000000</v>
      </c>
      <c r="M810" t="s">
        <v>35</v>
      </c>
      <c r="N810">
        <f t="shared" si="73"/>
        <v>0</v>
      </c>
      <c r="O810" t="str">
        <f t="shared" si="72"/>
        <v>Low</v>
      </c>
      <c r="P810" t="str">
        <f t="shared" si="74"/>
        <v>High</v>
      </c>
      <c r="Q810" t="str">
        <f t="shared" si="75"/>
        <v>Low Loan</v>
      </c>
      <c r="R810">
        <f t="shared" si="76"/>
        <v>30700000</v>
      </c>
      <c r="S810" t="str">
        <f t="shared" si="77"/>
        <v>Strong</v>
      </c>
    </row>
    <row r="811" spans="1:19" x14ac:dyDescent="0.25">
      <c r="A811">
        <v>810</v>
      </c>
      <c r="B811">
        <v>3</v>
      </c>
      <c r="C811" t="s">
        <v>31</v>
      </c>
      <c r="D811" t="s">
        <v>32</v>
      </c>
      <c r="E811">
        <v>4400000</v>
      </c>
      <c r="F811">
        <v>10500000</v>
      </c>
      <c r="G811">
        <v>18</v>
      </c>
      <c r="H811">
        <v>677</v>
      </c>
      <c r="I811">
        <v>100000</v>
      </c>
      <c r="J811">
        <v>2000000</v>
      </c>
      <c r="K811">
        <v>12100000</v>
      </c>
      <c r="L811">
        <v>5000000</v>
      </c>
      <c r="M811" t="s">
        <v>34</v>
      </c>
      <c r="N811">
        <f t="shared" si="73"/>
        <v>1</v>
      </c>
      <c r="O811" t="str">
        <f t="shared" si="72"/>
        <v>Medium</v>
      </c>
      <c r="P811" t="str">
        <f t="shared" si="74"/>
        <v>High</v>
      </c>
      <c r="Q811" t="str">
        <f t="shared" si="75"/>
        <v>Low Loan</v>
      </c>
      <c r="R811">
        <f t="shared" si="76"/>
        <v>19200000</v>
      </c>
      <c r="S811" t="str">
        <f t="shared" si="77"/>
        <v>Strong</v>
      </c>
    </row>
    <row r="812" spans="1:19" x14ac:dyDescent="0.25">
      <c r="A812">
        <v>811</v>
      </c>
      <c r="B812">
        <v>1</v>
      </c>
      <c r="C812" t="s">
        <v>31</v>
      </c>
      <c r="D812" t="s">
        <v>32</v>
      </c>
      <c r="E812">
        <v>2600000</v>
      </c>
      <c r="F812">
        <v>8500000</v>
      </c>
      <c r="G812">
        <v>2</v>
      </c>
      <c r="H812">
        <v>491</v>
      </c>
      <c r="I812">
        <v>1700000</v>
      </c>
      <c r="J812">
        <v>1800000</v>
      </c>
      <c r="K812">
        <v>5300000</v>
      </c>
      <c r="L812">
        <v>2600000</v>
      </c>
      <c r="M812" t="s">
        <v>34</v>
      </c>
      <c r="N812">
        <f t="shared" si="73"/>
        <v>1</v>
      </c>
      <c r="O812" t="str">
        <f t="shared" si="72"/>
        <v>Low</v>
      </c>
      <c r="P812" t="str">
        <f t="shared" si="74"/>
        <v>High</v>
      </c>
      <c r="Q812" t="str">
        <f t="shared" si="75"/>
        <v>Low Loan</v>
      </c>
      <c r="R812">
        <f t="shared" si="76"/>
        <v>11400000</v>
      </c>
      <c r="S812" t="str">
        <f t="shared" si="77"/>
        <v>Strong</v>
      </c>
    </row>
    <row r="813" spans="1:19" x14ac:dyDescent="0.25">
      <c r="A813">
        <v>812</v>
      </c>
      <c r="B813">
        <v>2</v>
      </c>
      <c r="C813" t="s">
        <v>31</v>
      </c>
      <c r="D813" t="s">
        <v>33</v>
      </c>
      <c r="E813">
        <v>9600000</v>
      </c>
      <c r="F813">
        <v>28100000</v>
      </c>
      <c r="G813">
        <v>20</v>
      </c>
      <c r="H813">
        <v>763</v>
      </c>
      <c r="I813">
        <v>23000000</v>
      </c>
      <c r="J813">
        <v>11800000</v>
      </c>
      <c r="K813">
        <v>27500000</v>
      </c>
      <c r="L813">
        <v>10300000</v>
      </c>
      <c r="M813" t="s">
        <v>34</v>
      </c>
      <c r="N813">
        <f t="shared" si="73"/>
        <v>1</v>
      </c>
      <c r="O813" t="str">
        <f t="shared" si="72"/>
        <v>Excellent</v>
      </c>
      <c r="P813" t="str">
        <f t="shared" si="74"/>
        <v>High</v>
      </c>
      <c r="Q813" t="str">
        <f t="shared" si="75"/>
        <v>High Loan</v>
      </c>
      <c r="R813">
        <f t="shared" si="76"/>
        <v>72600000</v>
      </c>
      <c r="S813" t="str">
        <f t="shared" si="77"/>
        <v>Strong</v>
      </c>
    </row>
    <row r="814" spans="1:19" x14ac:dyDescent="0.25">
      <c r="A814">
        <v>813</v>
      </c>
      <c r="B814">
        <v>5</v>
      </c>
      <c r="C814" t="s">
        <v>31</v>
      </c>
      <c r="D814" t="s">
        <v>33</v>
      </c>
      <c r="E814">
        <v>5200000</v>
      </c>
      <c r="F814">
        <v>18100000</v>
      </c>
      <c r="G814">
        <v>8</v>
      </c>
      <c r="H814">
        <v>809</v>
      </c>
      <c r="I814">
        <v>2400000</v>
      </c>
      <c r="J814">
        <v>6900000</v>
      </c>
      <c r="K814">
        <v>14000000</v>
      </c>
      <c r="L814">
        <v>5500000</v>
      </c>
      <c r="M814" t="s">
        <v>34</v>
      </c>
      <c r="N814">
        <f t="shared" si="73"/>
        <v>1</v>
      </c>
      <c r="O814" t="str">
        <f t="shared" si="72"/>
        <v>Excellent</v>
      </c>
      <c r="P814" t="str">
        <f t="shared" si="74"/>
        <v>High</v>
      </c>
      <c r="Q814" t="str">
        <f t="shared" si="75"/>
        <v>Low Loan</v>
      </c>
      <c r="R814">
        <f t="shared" si="76"/>
        <v>28800000</v>
      </c>
      <c r="S814" t="str">
        <f t="shared" si="77"/>
        <v>Strong</v>
      </c>
    </row>
    <row r="815" spans="1:19" x14ac:dyDescent="0.25">
      <c r="A815">
        <v>814</v>
      </c>
      <c r="B815">
        <v>5</v>
      </c>
      <c r="C815" t="s">
        <v>31</v>
      </c>
      <c r="D815" t="s">
        <v>33</v>
      </c>
      <c r="E815">
        <v>9700000</v>
      </c>
      <c r="F815">
        <v>36400000</v>
      </c>
      <c r="G815">
        <v>16</v>
      </c>
      <c r="H815">
        <v>544</v>
      </c>
      <c r="I815">
        <v>3500000</v>
      </c>
      <c r="J815">
        <v>15000000</v>
      </c>
      <c r="K815">
        <v>31300000</v>
      </c>
      <c r="L815">
        <v>5200000</v>
      </c>
      <c r="M815" t="s">
        <v>35</v>
      </c>
      <c r="N815">
        <f t="shared" si="73"/>
        <v>0</v>
      </c>
      <c r="O815" t="str">
        <f t="shared" si="72"/>
        <v>Low</v>
      </c>
      <c r="P815" t="str">
        <f t="shared" si="74"/>
        <v>High</v>
      </c>
      <c r="Q815" t="str">
        <f t="shared" si="75"/>
        <v>High Loan</v>
      </c>
      <c r="R815">
        <f t="shared" si="76"/>
        <v>55000000</v>
      </c>
      <c r="S815" t="str">
        <f t="shared" si="77"/>
        <v>Strong</v>
      </c>
    </row>
    <row r="816" spans="1:19" x14ac:dyDescent="0.25">
      <c r="A816">
        <v>815</v>
      </c>
      <c r="B816">
        <v>1</v>
      </c>
      <c r="C816" t="s">
        <v>30</v>
      </c>
      <c r="D816" t="s">
        <v>33</v>
      </c>
      <c r="E816">
        <v>200000</v>
      </c>
      <c r="F816">
        <v>800000</v>
      </c>
      <c r="G816">
        <v>14</v>
      </c>
      <c r="H816">
        <v>624</v>
      </c>
      <c r="I816">
        <v>600000</v>
      </c>
      <c r="J816">
        <v>0</v>
      </c>
      <c r="K816">
        <v>600000</v>
      </c>
      <c r="L816">
        <v>0</v>
      </c>
      <c r="M816" t="s">
        <v>34</v>
      </c>
      <c r="N816">
        <f t="shared" si="73"/>
        <v>1</v>
      </c>
      <c r="O816" t="str">
        <f t="shared" si="72"/>
        <v>Low</v>
      </c>
      <c r="P816" t="str">
        <f t="shared" si="74"/>
        <v>Low</v>
      </c>
      <c r="Q816" t="str">
        <f t="shared" si="75"/>
        <v>Low Loan</v>
      </c>
      <c r="R816">
        <f t="shared" si="76"/>
        <v>1200000</v>
      </c>
      <c r="S816" t="str">
        <f t="shared" si="77"/>
        <v>Weak</v>
      </c>
    </row>
    <row r="817" spans="1:19" x14ac:dyDescent="0.25">
      <c r="A817">
        <v>816</v>
      </c>
      <c r="B817">
        <v>3</v>
      </c>
      <c r="C817" t="s">
        <v>30</v>
      </c>
      <c r="D817" t="s">
        <v>32</v>
      </c>
      <c r="E817">
        <v>6500000</v>
      </c>
      <c r="F817">
        <v>16800000</v>
      </c>
      <c r="G817">
        <v>10</v>
      </c>
      <c r="H817">
        <v>388</v>
      </c>
      <c r="I817">
        <v>9500000</v>
      </c>
      <c r="J817">
        <v>800000</v>
      </c>
      <c r="K817">
        <v>14900000</v>
      </c>
      <c r="L817">
        <v>7200000</v>
      </c>
      <c r="M817" t="s">
        <v>35</v>
      </c>
      <c r="N817">
        <f t="shared" si="73"/>
        <v>0</v>
      </c>
      <c r="O817" t="str">
        <f t="shared" si="72"/>
        <v>Low</v>
      </c>
      <c r="P817" t="str">
        <f t="shared" si="74"/>
        <v>High</v>
      </c>
      <c r="Q817" t="str">
        <f t="shared" si="75"/>
        <v>Low Loan</v>
      </c>
      <c r="R817">
        <f t="shared" si="76"/>
        <v>32400000</v>
      </c>
      <c r="S817" t="str">
        <f t="shared" si="77"/>
        <v>Strong</v>
      </c>
    </row>
    <row r="818" spans="1:19" x14ac:dyDescent="0.25">
      <c r="A818">
        <v>817</v>
      </c>
      <c r="B818">
        <v>4</v>
      </c>
      <c r="C818" t="s">
        <v>30</v>
      </c>
      <c r="D818" t="s">
        <v>33</v>
      </c>
      <c r="E818">
        <v>7200000</v>
      </c>
      <c r="F818">
        <v>23100000</v>
      </c>
      <c r="G818">
        <v>14</v>
      </c>
      <c r="H818">
        <v>644</v>
      </c>
      <c r="I818">
        <v>13300000</v>
      </c>
      <c r="J818">
        <v>3500000</v>
      </c>
      <c r="K818">
        <v>18300000</v>
      </c>
      <c r="L818">
        <v>4200000</v>
      </c>
      <c r="M818" t="s">
        <v>34</v>
      </c>
      <c r="N818">
        <f t="shared" si="73"/>
        <v>1</v>
      </c>
      <c r="O818" t="str">
        <f t="shared" si="72"/>
        <v>Low</v>
      </c>
      <c r="P818" t="str">
        <f t="shared" si="74"/>
        <v>High</v>
      </c>
      <c r="Q818" t="str">
        <f t="shared" si="75"/>
        <v>High Loan</v>
      </c>
      <c r="R818">
        <f t="shared" si="76"/>
        <v>39300000</v>
      </c>
      <c r="S818" t="str">
        <f t="shared" si="77"/>
        <v>Strong</v>
      </c>
    </row>
    <row r="819" spans="1:19" x14ac:dyDescent="0.25">
      <c r="A819">
        <v>818</v>
      </c>
      <c r="B819">
        <v>0</v>
      </c>
      <c r="C819" t="s">
        <v>31</v>
      </c>
      <c r="D819" t="s">
        <v>32</v>
      </c>
      <c r="E819">
        <v>5200000</v>
      </c>
      <c r="F819">
        <v>18400000</v>
      </c>
      <c r="G819">
        <v>14</v>
      </c>
      <c r="H819">
        <v>600</v>
      </c>
      <c r="I819">
        <v>7300000</v>
      </c>
      <c r="J819">
        <v>9700000</v>
      </c>
      <c r="K819">
        <v>16500000</v>
      </c>
      <c r="L819">
        <v>3600000</v>
      </c>
      <c r="M819" t="s">
        <v>34</v>
      </c>
      <c r="N819">
        <f t="shared" si="73"/>
        <v>1</v>
      </c>
      <c r="O819" t="str">
        <f t="shared" si="72"/>
        <v>Low</v>
      </c>
      <c r="P819" t="str">
        <f t="shared" si="74"/>
        <v>High</v>
      </c>
      <c r="Q819" t="str">
        <f t="shared" si="75"/>
        <v>Low Loan</v>
      </c>
      <c r="R819">
        <f t="shared" si="76"/>
        <v>37100000</v>
      </c>
      <c r="S819" t="str">
        <f t="shared" si="77"/>
        <v>Strong</v>
      </c>
    </row>
    <row r="820" spans="1:19" x14ac:dyDescent="0.25">
      <c r="A820">
        <v>819</v>
      </c>
      <c r="B820">
        <v>2</v>
      </c>
      <c r="C820" t="s">
        <v>31</v>
      </c>
      <c r="D820" t="s">
        <v>32</v>
      </c>
      <c r="E820">
        <v>6500000</v>
      </c>
      <c r="F820">
        <v>14100000</v>
      </c>
      <c r="G820">
        <v>2</v>
      </c>
      <c r="H820">
        <v>709</v>
      </c>
      <c r="I820">
        <v>1000000</v>
      </c>
      <c r="J820">
        <v>12700000</v>
      </c>
      <c r="K820">
        <v>20900000</v>
      </c>
      <c r="L820">
        <v>4000000</v>
      </c>
      <c r="M820" t="s">
        <v>34</v>
      </c>
      <c r="N820">
        <f t="shared" si="73"/>
        <v>1</v>
      </c>
      <c r="O820" t="str">
        <f t="shared" si="72"/>
        <v>Good</v>
      </c>
      <c r="P820" t="str">
        <f t="shared" si="74"/>
        <v>High</v>
      </c>
      <c r="Q820" t="str">
        <f t="shared" si="75"/>
        <v>Low Loan</v>
      </c>
      <c r="R820">
        <f t="shared" si="76"/>
        <v>38600000</v>
      </c>
      <c r="S820" t="str">
        <f t="shared" si="77"/>
        <v>Strong</v>
      </c>
    </row>
    <row r="821" spans="1:19" x14ac:dyDescent="0.25">
      <c r="A821">
        <v>820</v>
      </c>
      <c r="B821">
        <v>5</v>
      </c>
      <c r="C821" t="s">
        <v>30</v>
      </c>
      <c r="D821" t="s">
        <v>33</v>
      </c>
      <c r="E821">
        <v>2300000</v>
      </c>
      <c r="F821">
        <v>5600000</v>
      </c>
      <c r="G821">
        <v>8</v>
      </c>
      <c r="H821">
        <v>642</v>
      </c>
      <c r="I821">
        <v>2600000</v>
      </c>
      <c r="J821">
        <v>1900000</v>
      </c>
      <c r="K821">
        <v>8600000</v>
      </c>
      <c r="L821">
        <v>2500000</v>
      </c>
      <c r="M821" t="s">
        <v>34</v>
      </c>
      <c r="N821">
        <f t="shared" si="73"/>
        <v>1</v>
      </c>
      <c r="O821" t="str">
        <f t="shared" si="72"/>
        <v>Low</v>
      </c>
      <c r="P821" t="str">
        <f t="shared" si="74"/>
        <v>High</v>
      </c>
      <c r="Q821" t="str">
        <f t="shared" si="75"/>
        <v>Low Loan</v>
      </c>
      <c r="R821">
        <f t="shared" si="76"/>
        <v>15600000</v>
      </c>
      <c r="S821" t="str">
        <f t="shared" si="77"/>
        <v>Strong</v>
      </c>
    </row>
    <row r="822" spans="1:19" x14ac:dyDescent="0.25">
      <c r="A822">
        <v>821</v>
      </c>
      <c r="B822">
        <v>0</v>
      </c>
      <c r="C822" t="s">
        <v>31</v>
      </c>
      <c r="D822" t="s">
        <v>33</v>
      </c>
      <c r="E822">
        <v>3300000</v>
      </c>
      <c r="F822">
        <v>10400000</v>
      </c>
      <c r="G822">
        <v>4</v>
      </c>
      <c r="H822">
        <v>423</v>
      </c>
      <c r="I822">
        <v>7400000</v>
      </c>
      <c r="J822">
        <v>4700000</v>
      </c>
      <c r="K822">
        <v>11600000</v>
      </c>
      <c r="L822">
        <v>3200000</v>
      </c>
      <c r="M822" t="s">
        <v>34</v>
      </c>
      <c r="N822">
        <f t="shared" si="73"/>
        <v>1</v>
      </c>
      <c r="O822" t="str">
        <f t="shared" si="72"/>
        <v>Low</v>
      </c>
      <c r="P822" t="str">
        <f t="shared" si="74"/>
        <v>High</v>
      </c>
      <c r="Q822" t="str">
        <f t="shared" si="75"/>
        <v>Low Loan</v>
      </c>
      <c r="R822">
        <f t="shared" si="76"/>
        <v>26900000</v>
      </c>
      <c r="S822" t="str">
        <f t="shared" si="77"/>
        <v>Strong</v>
      </c>
    </row>
    <row r="823" spans="1:19" x14ac:dyDescent="0.25">
      <c r="A823">
        <v>822</v>
      </c>
      <c r="B823">
        <v>0</v>
      </c>
      <c r="C823" t="s">
        <v>31</v>
      </c>
      <c r="D823" t="s">
        <v>33</v>
      </c>
      <c r="E823">
        <v>2000000</v>
      </c>
      <c r="F823">
        <v>5900000</v>
      </c>
      <c r="G823">
        <v>12</v>
      </c>
      <c r="H823">
        <v>900</v>
      </c>
      <c r="I823">
        <v>3800000</v>
      </c>
      <c r="J823">
        <v>2400000</v>
      </c>
      <c r="K823">
        <v>7100000</v>
      </c>
      <c r="L823">
        <v>3000000</v>
      </c>
      <c r="M823" t="s">
        <v>34</v>
      </c>
      <c r="N823">
        <f t="shared" si="73"/>
        <v>1</v>
      </c>
      <c r="O823" t="str">
        <f t="shared" si="72"/>
        <v>Excellent</v>
      </c>
      <c r="P823" t="str">
        <f t="shared" si="74"/>
        <v>High</v>
      </c>
      <c r="Q823" t="str">
        <f t="shared" si="75"/>
        <v>Low Loan</v>
      </c>
      <c r="R823">
        <f t="shared" si="76"/>
        <v>16300000</v>
      </c>
      <c r="S823" t="str">
        <f t="shared" si="77"/>
        <v>Strong</v>
      </c>
    </row>
    <row r="824" spans="1:19" x14ac:dyDescent="0.25">
      <c r="A824">
        <v>823</v>
      </c>
      <c r="B824">
        <v>2</v>
      </c>
      <c r="C824" t="s">
        <v>30</v>
      </c>
      <c r="D824" t="s">
        <v>33</v>
      </c>
      <c r="E824">
        <v>8300000</v>
      </c>
      <c r="F824">
        <v>19500000</v>
      </c>
      <c r="G824">
        <v>4</v>
      </c>
      <c r="H824">
        <v>415</v>
      </c>
      <c r="I824">
        <v>2300000</v>
      </c>
      <c r="J824">
        <v>9400000</v>
      </c>
      <c r="K824">
        <v>21700000</v>
      </c>
      <c r="L824">
        <v>8600000</v>
      </c>
      <c r="M824" t="s">
        <v>35</v>
      </c>
      <c r="N824">
        <f t="shared" si="73"/>
        <v>0</v>
      </c>
      <c r="O824" t="str">
        <f t="shared" si="72"/>
        <v>Low</v>
      </c>
      <c r="P824" t="str">
        <f t="shared" si="74"/>
        <v>High</v>
      </c>
      <c r="Q824" t="str">
        <f t="shared" si="75"/>
        <v>Low Loan</v>
      </c>
      <c r="R824">
        <f t="shared" si="76"/>
        <v>42000000</v>
      </c>
      <c r="S824" t="str">
        <f t="shared" si="77"/>
        <v>Strong</v>
      </c>
    </row>
    <row r="825" spans="1:19" x14ac:dyDescent="0.25">
      <c r="A825">
        <v>824</v>
      </c>
      <c r="B825">
        <v>4</v>
      </c>
      <c r="C825" t="s">
        <v>30</v>
      </c>
      <c r="D825" t="s">
        <v>33</v>
      </c>
      <c r="E825">
        <v>3800000</v>
      </c>
      <c r="F825">
        <v>14300000</v>
      </c>
      <c r="G825">
        <v>4</v>
      </c>
      <c r="H825">
        <v>645</v>
      </c>
      <c r="I825">
        <v>1300000</v>
      </c>
      <c r="J825">
        <v>1100000</v>
      </c>
      <c r="K825">
        <v>10900000</v>
      </c>
      <c r="L825">
        <v>4600000</v>
      </c>
      <c r="M825" t="s">
        <v>34</v>
      </c>
      <c r="N825">
        <f t="shared" si="73"/>
        <v>1</v>
      </c>
      <c r="O825" t="str">
        <f t="shared" si="72"/>
        <v>Low</v>
      </c>
      <c r="P825" t="str">
        <f t="shared" si="74"/>
        <v>High</v>
      </c>
      <c r="Q825" t="str">
        <f t="shared" si="75"/>
        <v>Low Loan</v>
      </c>
      <c r="R825">
        <f t="shared" si="76"/>
        <v>17900000</v>
      </c>
      <c r="S825" t="str">
        <f t="shared" si="77"/>
        <v>Strong</v>
      </c>
    </row>
    <row r="826" spans="1:19" x14ac:dyDescent="0.25">
      <c r="A826">
        <v>825</v>
      </c>
      <c r="B826">
        <v>0</v>
      </c>
      <c r="C826" t="s">
        <v>31</v>
      </c>
      <c r="D826" t="s">
        <v>32</v>
      </c>
      <c r="E826">
        <v>5700000</v>
      </c>
      <c r="F826">
        <v>15600000</v>
      </c>
      <c r="G826">
        <v>16</v>
      </c>
      <c r="H826">
        <v>742</v>
      </c>
      <c r="I826">
        <v>700000</v>
      </c>
      <c r="J826">
        <v>5800000</v>
      </c>
      <c r="K826">
        <v>11400000</v>
      </c>
      <c r="L826">
        <v>6800000</v>
      </c>
      <c r="M826" t="s">
        <v>34</v>
      </c>
      <c r="N826">
        <f t="shared" si="73"/>
        <v>1</v>
      </c>
      <c r="O826" t="str">
        <f t="shared" si="72"/>
        <v>Good</v>
      </c>
      <c r="P826" t="str">
        <f t="shared" si="74"/>
        <v>High</v>
      </c>
      <c r="Q826" t="str">
        <f t="shared" si="75"/>
        <v>Low Loan</v>
      </c>
      <c r="R826">
        <f t="shared" si="76"/>
        <v>24700000</v>
      </c>
      <c r="S826" t="str">
        <f t="shared" si="77"/>
        <v>Strong</v>
      </c>
    </row>
    <row r="827" spans="1:19" x14ac:dyDescent="0.25">
      <c r="A827">
        <v>826</v>
      </c>
      <c r="B827">
        <v>4</v>
      </c>
      <c r="C827" t="s">
        <v>31</v>
      </c>
      <c r="D827" t="s">
        <v>32</v>
      </c>
      <c r="E827">
        <v>7300000</v>
      </c>
      <c r="F827">
        <v>19800000</v>
      </c>
      <c r="G827">
        <v>8</v>
      </c>
      <c r="H827">
        <v>724</v>
      </c>
      <c r="I827">
        <v>5500000</v>
      </c>
      <c r="J827">
        <v>6000000</v>
      </c>
      <c r="K827">
        <v>29000000</v>
      </c>
      <c r="L827">
        <v>10300000</v>
      </c>
      <c r="M827" t="s">
        <v>34</v>
      </c>
      <c r="N827">
        <f t="shared" si="73"/>
        <v>1</v>
      </c>
      <c r="O827" t="str">
        <f t="shared" si="72"/>
        <v>Good</v>
      </c>
      <c r="P827" t="str">
        <f t="shared" si="74"/>
        <v>High</v>
      </c>
      <c r="Q827" t="str">
        <f t="shared" si="75"/>
        <v>Low Loan</v>
      </c>
      <c r="R827">
        <f t="shared" si="76"/>
        <v>50800000</v>
      </c>
      <c r="S827" t="str">
        <f t="shared" si="77"/>
        <v>Strong</v>
      </c>
    </row>
    <row r="828" spans="1:19" x14ac:dyDescent="0.25">
      <c r="A828">
        <v>827</v>
      </c>
      <c r="B828">
        <v>1</v>
      </c>
      <c r="C828" t="s">
        <v>30</v>
      </c>
      <c r="D828" t="s">
        <v>32</v>
      </c>
      <c r="E828">
        <v>1600000</v>
      </c>
      <c r="F828">
        <v>5400000</v>
      </c>
      <c r="G828">
        <v>12</v>
      </c>
      <c r="H828">
        <v>707</v>
      </c>
      <c r="I828">
        <v>600000</v>
      </c>
      <c r="J828">
        <v>1700000</v>
      </c>
      <c r="K828">
        <v>6200000</v>
      </c>
      <c r="L828">
        <v>800000</v>
      </c>
      <c r="M828" t="s">
        <v>34</v>
      </c>
      <c r="N828">
        <f t="shared" si="73"/>
        <v>1</v>
      </c>
      <c r="O828" t="str">
        <f t="shared" si="72"/>
        <v>Good</v>
      </c>
      <c r="P828" t="str">
        <f t="shared" si="74"/>
        <v>High</v>
      </c>
      <c r="Q828" t="str">
        <f t="shared" si="75"/>
        <v>Low Loan</v>
      </c>
      <c r="R828">
        <f t="shared" si="76"/>
        <v>9300000</v>
      </c>
      <c r="S828" t="str">
        <f t="shared" si="77"/>
        <v>Moderate</v>
      </c>
    </row>
    <row r="829" spans="1:19" x14ac:dyDescent="0.25">
      <c r="A829">
        <v>828</v>
      </c>
      <c r="B829">
        <v>5</v>
      </c>
      <c r="C829" t="s">
        <v>31</v>
      </c>
      <c r="D829" t="s">
        <v>33</v>
      </c>
      <c r="E829">
        <v>800000</v>
      </c>
      <c r="F829">
        <v>2500000</v>
      </c>
      <c r="G829">
        <v>4</v>
      </c>
      <c r="H829">
        <v>780</v>
      </c>
      <c r="I829">
        <v>500000</v>
      </c>
      <c r="J829">
        <v>900000</v>
      </c>
      <c r="K829">
        <v>1700000</v>
      </c>
      <c r="L829">
        <v>400000</v>
      </c>
      <c r="M829" t="s">
        <v>34</v>
      </c>
      <c r="N829">
        <f t="shared" si="73"/>
        <v>1</v>
      </c>
      <c r="O829" t="str">
        <f t="shared" si="72"/>
        <v>Excellent</v>
      </c>
      <c r="P829" t="str">
        <f t="shared" si="74"/>
        <v>High</v>
      </c>
      <c r="Q829" t="str">
        <f t="shared" si="75"/>
        <v>Low Loan</v>
      </c>
      <c r="R829">
        <f t="shared" si="76"/>
        <v>3500000</v>
      </c>
      <c r="S829" t="str">
        <f t="shared" si="77"/>
        <v>Weak</v>
      </c>
    </row>
    <row r="830" spans="1:19" x14ac:dyDescent="0.25">
      <c r="A830">
        <v>829</v>
      </c>
      <c r="B830">
        <v>4</v>
      </c>
      <c r="C830" t="s">
        <v>31</v>
      </c>
      <c r="D830" t="s">
        <v>32</v>
      </c>
      <c r="E830">
        <v>6300000</v>
      </c>
      <c r="F830">
        <v>21900000</v>
      </c>
      <c r="G830">
        <v>10</v>
      </c>
      <c r="H830">
        <v>538</v>
      </c>
      <c r="I830">
        <v>9600000</v>
      </c>
      <c r="J830">
        <v>5400000</v>
      </c>
      <c r="K830">
        <v>19300000</v>
      </c>
      <c r="L830">
        <v>7800000</v>
      </c>
      <c r="M830" t="s">
        <v>35</v>
      </c>
      <c r="N830">
        <f t="shared" si="73"/>
        <v>0</v>
      </c>
      <c r="O830" t="str">
        <f t="shared" si="72"/>
        <v>Low</v>
      </c>
      <c r="P830" t="str">
        <f t="shared" si="74"/>
        <v>High</v>
      </c>
      <c r="Q830" t="str">
        <f t="shared" si="75"/>
        <v>High Loan</v>
      </c>
      <c r="R830">
        <f t="shared" si="76"/>
        <v>42100000</v>
      </c>
      <c r="S830" t="str">
        <f t="shared" si="77"/>
        <v>Strong</v>
      </c>
    </row>
    <row r="831" spans="1:19" x14ac:dyDescent="0.25">
      <c r="A831">
        <v>830</v>
      </c>
      <c r="B831">
        <v>2</v>
      </c>
      <c r="C831" t="s">
        <v>30</v>
      </c>
      <c r="D831" t="s">
        <v>32</v>
      </c>
      <c r="E831">
        <v>8800000</v>
      </c>
      <c r="F831">
        <v>17700000</v>
      </c>
      <c r="G831">
        <v>14</v>
      </c>
      <c r="H831">
        <v>706</v>
      </c>
      <c r="I831">
        <v>22900000</v>
      </c>
      <c r="J831">
        <v>4300000</v>
      </c>
      <c r="K831">
        <v>30300000</v>
      </c>
      <c r="L831">
        <v>9200000</v>
      </c>
      <c r="M831" t="s">
        <v>34</v>
      </c>
      <c r="N831">
        <f t="shared" si="73"/>
        <v>1</v>
      </c>
      <c r="O831" t="str">
        <f t="shared" si="72"/>
        <v>Good</v>
      </c>
      <c r="P831" t="str">
        <f t="shared" si="74"/>
        <v>High</v>
      </c>
      <c r="Q831" t="str">
        <f t="shared" si="75"/>
        <v>Low Loan</v>
      </c>
      <c r="R831">
        <f t="shared" si="76"/>
        <v>66700000</v>
      </c>
      <c r="S831" t="str">
        <f t="shared" si="77"/>
        <v>Strong</v>
      </c>
    </row>
    <row r="832" spans="1:19" x14ac:dyDescent="0.25">
      <c r="A832">
        <v>831</v>
      </c>
      <c r="B832">
        <v>0</v>
      </c>
      <c r="C832" t="s">
        <v>30</v>
      </c>
      <c r="D832" t="s">
        <v>32</v>
      </c>
      <c r="E832">
        <v>7300000</v>
      </c>
      <c r="F832">
        <v>14500000</v>
      </c>
      <c r="G832">
        <v>16</v>
      </c>
      <c r="H832">
        <v>811</v>
      </c>
      <c r="I832">
        <v>1000000</v>
      </c>
      <c r="J832">
        <v>12400000</v>
      </c>
      <c r="K832">
        <v>16100000</v>
      </c>
      <c r="L832">
        <v>9600000</v>
      </c>
      <c r="M832" t="s">
        <v>34</v>
      </c>
      <c r="N832">
        <f t="shared" si="73"/>
        <v>1</v>
      </c>
      <c r="O832" t="str">
        <f t="shared" si="72"/>
        <v>Excellent</v>
      </c>
      <c r="P832" t="str">
        <f t="shared" si="74"/>
        <v>High</v>
      </c>
      <c r="Q832" t="str">
        <f t="shared" si="75"/>
        <v>Low Loan</v>
      </c>
      <c r="R832">
        <f t="shared" si="76"/>
        <v>39100000</v>
      </c>
      <c r="S832" t="str">
        <f t="shared" si="77"/>
        <v>Strong</v>
      </c>
    </row>
    <row r="833" spans="1:19" x14ac:dyDescent="0.25">
      <c r="A833">
        <v>832</v>
      </c>
      <c r="B833">
        <v>2</v>
      </c>
      <c r="C833" t="s">
        <v>30</v>
      </c>
      <c r="D833" t="s">
        <v>33</v>
      </c>
      <c r="E833">
        <v>3800000</v>
      </c>
      <c r="F833">
        <v>9100000</v>
      </c>
      <c r="G833">
        <v>14</v>
      </c>
      <c r="H833">
        <v>849</v>
      </c>
      <c r="I833">
        <v>6300000</v>
      </c>
      <c r="J833">
        <v>2400000</v>
      </c>
      <c r="K833">
        <v>9500000</v>
      </c>
      <c r="L833">
        <v>2500000</v>
      </c>
      <c r="M833" t="s">
        <v>34</v>
      </c>
      <c r="N833">
        <f t="shared" si="73"/>
        <v>1</v>
      </c>
      <c r="O833" t="str">
        <f t="shared" si="72"/>
        <v>Excellent</v>
      </c>
      <c r="P833" t="str">
        <f t="shared" si="74"/>
        <v>High</v>
      </c>
      <c r="Q833" t="str">
        <f t="shared" si="75"/>
        <v>Low Loan</v>
      </c>
      <c r="R833">
        <f t="shared" si="76"/>
        <v>20700000</v>
      </c>
      <c r="S833" t="str">
        <f t="shared" si="77"/>
        <v>Strong</v>
      </c>
    </row>
    <row r="834" spans="1:19" x14ac:dyDescent="0.25">
      <c r="A834">
        <v>833</v>
      </c>
      <c r="B834">
        <v>3</v>
      </c>
      <c r="C834" t="s">
        <v>30</v>
      </c>
      <c r="D834" t="s">
        <v>32</v>
      </c>
      <c r="E834">
        <v>6200000</v>
      </c>
      <c r="F834">
        <v>16700000</v>
      </c>
      <c r="G834">
        <v>10</v>
      </c>
      <c r="H834">
        <v>880</v>
      </c>
      <c r="I834">
        <v>15800000</v>
      </c>
      <c r="J834">
        <v>8200000</v>
      </c>
      <c r="K834">
        <v>20100000</v>
      </c>
      <c r="L834">
        <v>9100000</v>
      </c>
      <c r="M834" t="s">
        <v>34</v>
      </c>
      <c r="N834">
        <f t="shared" si="73"/>
        <v>1</v>
      </c>
      <c r="O834" t="str">
        <f t="shared" ref="O834:O897" si="78">IF(H834&lt;650,"Low",
 IF(H834&lt;700,"Medium",
 IF(H834&lt;750,"Good","Excellent")))</f>
        <v>Excellent</v>
      </c>
      <c r="P834" t="str">
        <f t="shared" si="74"/>
        <v>High</v>
      </c>
      <c r="Q834" t="str">
        <f t="shared" si="75"/>
        <v>Low Loan</v>
      </c>
      <c r="R834">
        <f t="shared" si="76"/>
        <v>53200000</v>
      </c>
      <c r="S834" t="str">
        <f t="shared" si="77"/>
        <v>Strong</v>
      </c>
    </row>
    <row r="835" spans="1:19" x14ac:dyDescent="0.25">
      <c r="A835">
        <v>834</v>
      </c>
      <c r="B835">
        <v>5</v>
      </c>
      <c r="C835" t="s">
        <v>31</v>
      </c>
      <c r="D835" t="s">
        <v>33</v>
      </c>
      <c r="E835">
        <v>3500000</v>
      </c>
      <c r="F835">
        <v>9500000</v>
      </c>
      <c r="G835">
        <v>4</v>
      </c>
      <c r="H835">
        <v>664</v>
      </c>
      <c r="I835">
        <v>9500000</v>
      </c>
      <c r="J835">
        <v>500000</v>
      </c>
      <c r="K835">
        <v>7800000</v>
      </c>
      <c r="L835">
        <v>5200000</v>
      </c>
      <c r="M835" t="s">
        <v>34</v>
      </c>
      <c r="N835">
        <f t="shared" ref="N835:N898" si="79">IF(TRIM(CLEAN(M835))="Approved",1,0)</f>
        <v>1</v>
      </c>
      <c r="O835" t="str">
        <f t="shared" si="78"/>
        <v>Medium</v>
      </c>
      <c r="P835" t="str">
        <f t="shared" ref="P835:P898" si="80">IF(E835&lt;300000,"Low",
 IF(E835&lt;700000,"Middle","High"))</f>
        <v>High</v>
      </c>
      <c r="Q835" t="str">
        <f t="shared" ref="Q835:Q898" si="81">IF(F835&lt;20000000,"Low Loan","High Loan")</f>
        <v>Low Loan</v>
      </c>
      <c r="R835">
        <f t="shared" ref="R835:R898" si="82">I835+J835+K835+L835</f>
        <v>23000000</v>
      </c>
      <c r="S835" t="str">
        <f t="shared" ref="S835:S898" si="83">IF(R835&lt;5000000,"Weak",
 IF(R835&lt;10000000,"Moderate","Strong"))</f>
        <v>Strong</v>
      </c>
    </row>
    <row r="836" spans="1:19" x14ac:dyDescent="0.25">
      <c r="A836">
        <v>835</v>
      </c>
      <c r="B836">
        <v>5</v>
      </c>
      <c r="C836" t="s">
        <v>30</v>
      </c>
      <c r="D836" t="s">
        <v>33</v>
      </c>
      <c r="E836">
        <v>1400000</v>
      </c>
      <c r="F836">
        <v>5000000</v>
      </c>
      <c r="G836">
        <v>2</v>
      </c>
      <c r="H836">
        <v>465</v>
      </c>
      <c r="I836">
        <v>0</v>
      </c>
      <c r="J836">
        <v>2600000</v>
      </c>
      <c r="K836">
        <v>5300000</v>
      </c>
      <c r="L836">
        <v>1500000</v>
      </c>
      <c r="M836" t="s">
        <v>34</v>
      </c>
      <c r="N836">
        <f t="shared" si="79"/>
        <v>1</v>
      </c>
      <c r="O836" t="str">
        <f t="shared" si="78"/>
        <v>Low</v>
      </c>
      <c r="P836" t="str">
        <f t="shared" si="80"/>
        <v>High</v>
      </c>
      <c r="Q836" t="str">
        <f t="shared" si="81"/>
        <v>Low Loan</v>
      </c>
      <c r="R836">
        <f t="shared" si="82"/>
        <v>9400000</v>
      </c>
      <c r="S836" t="str">
        <f t="shared" si="83"/>
        <v>Moderate</v>
      </c>
    </row>
    <row r="837" spans="1:19" x14ac:dyDescent="0.25">
      <c r="A837">
        <v>836</v>
      </c>
      <c r="B837">
        <v>3</v>
      </c>
      <c r="C837" t="s">
        <v>31</v>
      </c>
      <c r="D837" t="s">
        <v>33</v>
      </c>
      <c r="E837">
        <v>3500000</v>
      </c>
      <c r="F837">
        <v>12000000</v>
      </c>
      <c r="G837">
        <v>2</v>
      </c>
      <c r="H837">
        <v>786</v>
      </c>
      <c r="I837">
        <v>600000</v>
      </c>
      <c r="J837">
        <v>6400000</v>
      </c>
      <c r="K837">
        <v>10700000</v>
      </c>
      <c r="L837">
        <v>1700000</v>
      </c>
      <c r="M837" t="s">
        <v>34</v>
      </c>
      <c r="N837">
        <f t="shared" si="79"/>
        <v>1</v>
      </c>
      <c r="O837" t="str">
        <f t="shared" si="78"/>
        <v>Excellent</v>
      </c>
      <c r="P837" t="str">
        <f t="shared" si="80"/>
        <v>High</v>
      </c>
      <c r="Q837" t="str">
        <f t="shared" si="81"/>
        <v>Low Loan</v>
      </c>
      <c r="R837">
        <f t="shared" si="82"/>
        <v>19400000</v>
      </c>
      <c r="S837" t="str">
        <f t="shared" si="83"/>
        <v>Strong</v>
      </c>
    </row>
    <row r="838" spans="1:19" x14ac:dyDescent="0.25">
      <c r="A838">
        <v>837</v>
      </c>
      <c r="B838">
        <v>1</v>
      </c>
      <c r="C838" t="s">
        <v>30</v>
      </c>
      <c r="D838" t="s">
        <v>33</v>
      </c>
      <c r="E838">
        <v>600000</v>
      </c>
      <c r="F838">
        <v>2000000</v>
      </c>
      <c r="G838">
        <v>10</v>
      </c>
      <c r="H838">
        <v>326</v>
      </c>
      <c r="I838">
        <v>400000</v>
      </c>
      <c r="J838">
        <v>1000000</v>
      </c>
      <c r="K838">
        <v>2400000</v>
      </c>
      <c r="L838">
        <v>700000</v>
      </c>
      <c r="M838" t="s">
        <v>35</v>
      </c>
      <c r="N838">
        <f t="shared" si="79"/>
        <v>0</v>
      </c>
      <c r="O838" t="str">
        <f t="shared" si="78"/>
        <v>Low</v>
      </c>
      <c r="P838" t="str">
        <f t="shared" si="80"/>
        <v>Middle</v>
      </c>
      <c r="Q838" t="str">
        <f t="shared" si="81"/>
        <v>Low Loan</v>
      </c>
      <c r="R838">
        <f t="shared" si="82"/>
        <v>4500000</v>
      </c>
      <c r="S838" t="str">
        <f t="shared" si="83"/>
        <v>Weak</v>
      </c>
    </row>
    <row r="839" spans="1:19" x14ac:dyDescent="0.25">
      <c r="A839">
        <v>838</v>
      </c>
      <c r="B839">
        <v>0</v>
      </c>
      <c r="C839" t="s">
        <v>31</v>
      </c>
      <c r="D839" t="s">
        <v>32</v>
      </c>
      <c r="E839">
        <v>4100000</v>
      </c>
      <c r="F839">
        <v>10800000</v>
      </c>
      <c r="G839">
        <v>16</v>
      </c>
      <c r="H839">
        <v>399</v>
      </c>
      <c r="I839">
        <v>5900000</v>
      </c>
      <c r="J839">
        <v>7600000</v>
      </c>
      <c r="K839">
        <v>12700000</v>
      </c>
      <c r="L839">
        <v>5300000</v>
      </c>
      <c r="M839" t="s">
        <v>35</v>
      </c>
      <c r="N839">
        <f t="shared" si="79"/>
        <v>0</v>
      </c>
      <c r="O839" t="str">
        <f t="shared" si="78"/>
        <v>Low</v>
      </c>
      <c r="P839" t="str">
        <f t="shared" si="80"/>
        <v>High</v>
      </c>
      <c r="Q839" t="str">
        <f t="shared" si="81"/>
        <v>Low Loan</v>
      </c>
      <c r="R839">
        <f t="shared" si="82"/>
        <v>31500000</v>
      </c>
      <c r="S839" t="str">
        <f t="shared" si="83"/>
        <v>Strong</v>
      </c>
    </row>
    <row r="840" spans="1:19" x14ac:dyDescent="0.25">
      <c r="A840">
        <v>839</v>
      </c>
      <c r="B840">
        <v>2</v>
      </c>
      <c r="C840" t="s">
        <v>31</v>
      </c>
      <c r="D840" t="s">
        <v>33</v>
      </c>
      <c r="E840">
        <v>5400000</v>
      </c>
      <c r="F840">
        <v>11500000</v>
      </c>
      <c r="G840">
        <v>6</v>
      </c>
      <c r="H840">
        <v>841</v>
      </c>
      <c r="I840">
        <v>6800000</v>
      </c>
      <c r="J840">
        <v>100000</v>
      </c>
      <c r="K840">
        <v>11100000</v>
      </c>
      <c r="L840">
        <v>6600000</v>
      </c>
      <c r="M840" t="s">
        <v>34</v>
      </c>
      <c r="N840">
        <f t="shared" si="79"/>
        <v>1</v>
      </c>
      <c r="O840" t="str">
        <f t="shared" si="78"/>
        <v>Excellent</v>
      </c>
      <c r="P840" t="str">
        <f t="shared" si="80"/>
        <v>High</v>
      </c>
      <c r="Q840" t="str">
        <f t="shared" si="81"/>
        <v>Low Loan</v>
      </c>
      <c r="R840">
        <f t="shared" si="82"/>
        <v>24600000</v>
      </c>
      <c r="S840" t="str">
        <f t="shared" si="83"/>
        <v>Strong</v>
      </c>
    </row>
    <row r="841" spans="1:19" x14ac:dyDescent="0.25">
      <c r="A841">
        <v>840</v>
      </c>
      <c r="B841">
        <v>2</v>
      </c>
      <c r="C841" t="s">
        <v>31</v>
      </c>
      <c r="D841" t="s">
        <v>33</v>
      </c>
      <c r="E841">
        <v>2000000</v>
      </c>
      <c r="F841">
        <v>6700000</v>
      </c>
      <c r="G841">
        <v>14</v>
      </c>
      <c r="H841">
        <v>638</v>
      </c>
      <c r="I841">
        <v>4900000</v>
      </c>
      <c r="J841">
        <v>200000</v>
      </c>
      <c r="K841">
        <v>4900000</v>
      </c>
      <c r="L841">
        <v>2300000</v>
      </c>
      <c r="M841" t="s">
        <v>34</v>
      </c>
      <c r="N841">
        <f t="shared" si="79"/>
        <v>1</v>
      </c>
      <c r="O841" t="str">
        <f t="shared" si="78"/>
        <v>Low</v>
      </c>
      <c r="P841" t="str">
        <f t="shared" si="80"/>
        <v>High</v>
      </c>
      <c r="Q841" t="str">
        <f t="shared" si="81"/>
        <v>Low Loan</v>
      </c>
      <c r="R841">
        <f t="shared" si="82"/>
        <v>12300000</v>
      </c>
      <c r="S841" t="str">
        <f t="shared" si="83"/>
        <v>Strong</v>
      </c>
    </row>
    <row r="842" spans="1:19" x14ac:dyDescent="0.25">
      <c r="A842">
        <v>841</v>
      </c>
      <c r="B842">
        <v>4</v>
      </c>
      <c r="C842" t="s">
        <v>30</v>
      </c>
      <c r="D842" t="s">
        <v>33</v>
      </c>
      <c r="E842">
        <v>3500000</v>
      </c>
      <c r="F842">
        <v>8900000</v>
      </c>
      <c r="G842">
        <v>4</v>
      </c>
      <c r="H842">
        <v>478</v>
      </c>
      <c r="I842">
        <v>4000000</v>
      </c>
      <c r="J842">
        <v>3900000</v>
      </c>
      <c r="K842">
        <v>11300000</v>
      </c>
      <c r="L842">
        <v>3800000</v>
      </c>
      <c r="M842" t="s">
        <v>35</v>
      </c>
      <c r="N842">
        <f t="shared" si="79"/>
        <v>0</v>
      </c>
      <c r="O842" t="str">
        <f t="shared" si="78"/>
        <v>Low</v>
      </c>
      <c r="P842" t="str">
        <f t="shared" si="80"/>
        <v>High</v>
      </c>
      <c r="Q842" t="str">
        <f t="shared" si="81"/>
        <v>Low Loan</v>
      </c>
      <c r="R842">
        <f t="shared" si="82"/>
        <v>23000000</v>
      </c>
      <c r="S842" t="str">
        <f t="shared" si="83"/>
        <v>Strong</v>
      </c>
    </row>
    <row r="843" spans="1:19" x14ac:dyDescent="0.25">
      <c r="A843">
        <v>842</v>
      </c>
      <c r="B843">
        <v>0</v>
      </c>
      <c r="C843" t="s">
        <v>30</v>
      </c>
      <c r="D843" t="s">
        <v>33</v>
      </c>
      <c r="E843">
        <v>8300000</v>
      </c>
      <c r="F843">
        <v>30000000</v>
      </c>
      <c r="G843">
        <v>4</v>
      </c>
      <c r="H843">
        <v>600</v>
      </c>
      <c r="I843">
        <v>14600000</v>
      </c>
      <c r="J843">
        <v>12500000</v>
      </c>
      <c r="K843">
        <v>24800000</v>
      </c>
      <c r="L843">
        <v>12000000</v>
      </c>
      <c r="M843" t="s">
        <v>34</v>
      </c>
      <c r="N843">
        <f t="shared" si="79"/>
        <v>1</v>
      </c>
      <c r="O843" t="str">
        <f t="shared" si="78"/>
        <v>Low</v>
      </c>
      <c r="P843" t="str">
        <f t="shared" si="80"/>
        <v>High</v>
      </c>
      <c r="Q843" t="str">
        <f t="shared" si="81"/>
        <v>High Loan</v>
      </c>
      <c r="R843">
        <f t="shared" si="82"/>
        <v>63900000</v>
      </c>
      <c r="S843" t="str">
        <f t="shared" si="83"/>
        <v>Strong</v>
      </c>
    </row>
    <row r="844" spans="1:19" x14ac:dyDescent="0.25">
      <c r="A844">
        <v>843</v>
      </c>
      <c r="B844">
        <v>0</v>
      </c>
      <c r="C844" t="s">
        <v>30</v>
      </c>
      <c r="D844" t="s">
        <v>33</v>
      </c>
      <c r="E844">
        <v>6700000</v>
      </c>
      <c r="F844">
        <v>15600000</v>
      </c>
      <c r="G844">
        <v>16</v>
      </c>
      <c r="H844">
        <v>768</v>
      </c>
      <c r="I844">
        <v>300000</v>
      </c>
      <c r="J844">
        <v>1800000</v>
      </c>
      <c r="K844">
        <v>26000000</v>
      </c>
      <c r="L844">
        <v>3800000</v>
      </c>
      <c r="M844" t="s">
        <v>34</v>
      </c>
      <c r="N844">
        <f t="shared" si="79"/>
        <v>1</v>
      </c>
      <c r="O844" t="str">
        <f t="shared" si="78"/>
        <v>Excellent</v>
      </c>
      <c r="P844" t="str">
        <f t="shared" si="80"/>
        <v>High</v>
      </c>
      <c r="Q844" t="str">
        <f t="shared" si="81"/>
        <v>Low Loan</v>
      </c>
      <c r="R844">
        <f t="shared" si="82"/>
        <v>31900000</v>
      </c>
      <c r="S844" t="str">
        <f t="shared" si="83"/>
        <v>Strong</v>
      </c>
    </row>
    <row r="845" spans="1:19" x14ac:dyDescent="0.25">
      <c r="A845">
        <v>844</v>
      </c>
      <c r="B845">
        <v>0</v>
      </c>
      <c r="C845" t="s">
        <v>31</v>
      </c>
      <c r="D845" t="s">
        <v>32</v>
      </c>
      <c r="E845">
        <v>1900000</v>
      </c>
      <c r="F845">
        <v>6500000</v>
      </c>
      <c r="G845">
        <v>10</v>
      </c>
      <c r="H845">
        <v>523</v>
      </c>
      <c r="I845">
        <v>2400000</v>
      </c>
      <c r="J845">
        <v>1100000</v>
      </c>
      <c r="K845">
        <v>6200000</v>
      </c>
      <c r="L845">
        <v>1100000</v>
      </c>
      <c r="M845" t="s">
        <v>35</v>
      </c>
      <c r="N845">
        <f t="shared" si="79"/>
        <v>0</v>
      </c>
      <c r="O845" t="str">
        <f t="shared" si="78"/>
        <v>Low</v>
      </c>
      <c r="P845" t="str">
        <f t="shared" si="80"/>
        <v>High</v>
      </c>
      <c r="Q845" t="str">
        <f t="shared" si="81"/>
        <v>Low Loan</v>
      </c>
      <c r="R845">
        <f t="shared" si="82"/>
        <v>10800000</v>
      </c>
      <c r="S845" t="str">
        <f t="shared" si="83"/>
        <v>Strong</v>
      </c>
    </row>
    <row r="846" spans="1:19" x14ac:dyDescent="0.25">
      <c r="A846">
        <v>845</v>
      </c>
      <c r="B846">
        <v>2</v>
      </c>
      <c r="C846" t="s">
        <v>30</v>
      </c>
      <c r="D846" t="s">
        <v>33</v>
      </c>
      <c r="E846">
        <v>6500000</v>
      </c>
      <c r="F846">
        <v>20900000</v>
      </c>
      <c r="G846">
        <v>14</v>
      </c>
      <c r="H846">
        <v>327</v>
      </c>
      <c r="I846">
        <v>8200000</v>
      </c>
      <c r="J846">
        <v>100000</v>
      </c>
      <c r="K846">
        <v>22800000</v>
      </c>
      <c r="L846">
        <v>4700000</v>
      </c>
      <c r="M846" t="s">
        <v>35</v>
      </c>
      <c r="N846">
        <f t="shared" si="79"/>
        <v>0</v>
      </c>
      <c r="O846" t="str">
        <f t="shared" si="78"/>
        <v>Low</v>
      </c>
      <c r="P846" t="str">
        <f t="shared" si="80"/>
        <v>High</v>
      </c>
      <c r="Q846" t="str">
        <f t="shared" si="81"/>
        <v>High Loan</v>
      </c>
      <c r="R846">
        <f t="shared" si="82"/>
        <v>35800000</v>
      </c>
      <c r="S846" t="str">
        <f t="shared" si="83"/>
        <v>Strong</v>
      </c>
    </row>
    <row r="847" spans="1:19" x14ac:dyDescent="0.25">
      <c r="A847">
        <v>846</v>
      </c>
      <c r="B847">
        <v>1</v>
      </c>
      <c r="C847" t="s">
        <v>30</v>
      </c>
      <c r="D847" t="s">
        <v>33</v>
      </c>
      <c r="E847">
        <v>600000</v>
      </c>
      <c r="F847">
        <v>1800000</v>
      </c>
      <c r="G847">
        <v>8</v>
      </c>
      <c r="H847">
        <v>799</v>
      </c>
      <c r="I847">
        <v>1000000</v>
      </c>
      <c r="J847">
        <v>700000</v>
      </c>
      <c r="K847">
        <v>2200000</v>
      </c>
      <c r="L847">
        <v>800000</v>
      </c>
      <c r="M847" t="s">
        <v>34</v>
      </c>
      <c r="N847">
        <f t="shared" si="79"/>
        <v>1</v>
      </c>
      <c r="O847" t="str">
        <f t="shared" si="78"/>
        <v>Excellent</v>
      </c>
      <c r="P847" t="str">
        <f t="shared" si="80"/>
        <v>Middle</v>
      </c>
      <c r="Q847" t="str">
        <f t="shared" si="81"/>
        <v>Low Loan</v>
      </c>
      <c r="R847">
        <f t="shared" si="82"/>
        <v>4700000</v>
      </c>
      <c r="S847" t="str">
        <f t="shared" si="83"/>
        <v>Weak</v>
      </c>
    </row>
    <row r="848" spans="1:19" x14ac:dyDescent="0.25">
      <c r="A848">
        <v>847</v>
      </c>
      <c r="B848">
        <v>5</v>
      </c>
      <c r="C848" t="s">
        <v>30</v>
      </c>
      <c r="D848" t="s">
        <v>32</v>
      </c>
      <c r="E848">
        <v>7000000</v>
      </c>
      <c r="F848">
        <v>23000000</v>
      </c>
      <c r="G848">
        <v>18</v>
      </c>
      <c r="H848">
        <v>803</v>
      </c>
      <c r="I848">
        <v>18700000</v>
      </c>
      <c r="J848">
        <v>6300000</v>
      </c>
      <c r="K848">
        <v>27800000</v>
      </c>
      <c r="L848">
        <v>4100000</v>
      </c>
      <c r="M848" t="s">
        <v>34</v>
      </c>
      <c r="N848">
        <f t="shared" si="79"/>
        <v>1</v>
      </c>
      <c r="O848" t="str">
        <f t="shared" si="78"/>
        <v>Excellent</v>
      </c>
      <c r="P848" t="str">
        <f t="shared" si="80"/>
        <v>High</v>
      </c>
      <c r="Q848" t="str">
        <f t="shared" si="81"/>
        <v>High Loan</v>
      </c>
      <c r="R848">
        <f t="shared" si="82"/>
        <v>56900000</v>
      </c>
      <c r="S848" t="str">
        <f t="shared" si="83"/>
        <v>Strong</v>
      </c>
    </row>
    <row r="849" spans="1:19" x14ac:dyDescent="0.25">
      <c r="A849">
        <v>848</v>
      </c>
      <c r="B849">
        <v>2</v>
      </c>
      <c r="C849" t="s">
        <v>30</v>
      </c>
      <c r="D849" t="s">
        <v>32</v>
      </c>
      <c r="E849">
        <v>7700000</v>
      </c>
      <c r="F849">
        <v>15400000</v>
      </c>
      <c r="G849">
        <v>18</v>
      </c>
      <c r="H849">
        <v>524</v>
      </c>
      <c r="I849">
        <v>12900000</v>
      </c>
      <c r="J849">
        <v>5100000</v>
      </c>
      <c r="K849">
        <v>21000000</v>
      </c>
      <c r="L849">
        <v>6600000</v>
      </c>
      <c r="M849" t="s">
        <v>35</v>
      </c>
      <c r="N849">
        <f t="shared" si="79"/>
        <v>0</v>
      </c>
      <c r="O849" t="str">
        <f t="shared" si="78"/>
        <v>Low</v>
      </c>
      <c r="P849" t="str">
        <f t="shared" si="80"/>
        <v>High</v>
      </c>
      <c r="Q849" t="str">
        <f t="shared" si="81"/>
        <v>Low Loan</v>
      </c>
      <c r="R849">
        <f t="shared" si="82"/>
        <v>45600000</v>
      </c>
      <c r="S849" t="str">
        <f t="shared" si="83"/>
        <v>Strong</v>
      </c>
    </row>
    <row r="850" spans="1:19" x14ac:dyDescent="0.25">
      <c r="A850">
        <v>849</v>
      </c>
      <c r="B850">
        <v>1</v>
      </c>
      <c r="C850" t="s">
        <v>30</v>
      </c>
      <c r="D850" t="s">
        <v>32</v>
      </c>
      <c r="E850">
        <v>2600000</v>
      </c>
      <c r="F850">
        <v>6600000</v>
      </c>
      <c r="G850">
        <v>6</v>
      </c>
      <c r="H850">
        <v>506</v>
      </c>
      <c r="I850">
        <v>2300000</v>
      </c>
      <c r="J850">
        <v>1900000</v>
      </c>
      <c r="K850">
        <v>9600000</v>
      </c>
      <c r="L850">
        <v>2100000</v>
      </c>
      <c r="M850" t="s">
        <v>35</v>
      </c>
      <c r="N850">
        <f t="shared" si="79"/>
        <v>0</v>
      </c>
      <c r="O850" t="str">
        <f t="shared" si="78"/>
        <v>Low</v>
      </c>
      <c r="P850" t="str">
        <f t="shared" si="80"/>
        <v>High</v>
      </c>
      <c r="Q850" t="str">
        <f t="shared" si="81"/>
        <v>Low Loan</v>
      </c>
      <c r="R850">
        <f t="shared" si="82"/>
        <v>15900000</v>
      </c>
      <c r="S850" t="str">
        <f t="shared" si="83"/>
        <v>Strong</v>
      </c>
    </row>
    <row r="851" spans="1:19" x14ac:dyDescent="0.25">
      <c r="A851">
        <v>850</v>
      </c>
      <c r="B851">
        <v>1</v>
      </c>
      <c r="C851" t="s">
        <v>30</v>
      </c>
      <c r="D851" t="s">
        <v>32</v>
      </c>
      <c r="E851">
        <v>9200000</v>
      </c>
      <c r="F851">
        <v>18800000</v>
      </c>
      <c r="G851">
        <v>2</v>
      </c>
      <c r="H851">
        <v>351</v>
      </c>
      <c r="I851">
        <v>22400000</v>
      </c>
      <c r="J851">
        <v>2200000</v>
      </c>
      <c r="K851">
        <v>31500000</v>
      </c>
      <c r="L851">
        <v>13000000</v>
      </c>
      <c r="M851" t="s">
        <v>35</v>
      </c>
      <c r="N851">
        <f t="shared" si="79"/>
        <v>0</v>
      </c>
      <c r="O851" t="str">
        <f t="shared" si="78"/>
        <v>Low</v>
      </c>
      <c r="P851" t="str">
        <f t="shared" si="80"/>
        <v>High</v>
      </c>
      <c r="Q851" t="str">
        <f t="shared" si="81"/>
        <v>Low Loan</v>
      </c>
      <c r="R851">
        <f t="shared" si="82"/>
        <v>69100000</v>
      </c>
      <c r="S851" t="str">
        <f t="shared" si="83"/>
        <v>Strong</v>
      </c>
    </row>
    <row r="852" spans="1:19" x14ac:dyDescent="0.25">
      <c r="A852">
        <v>851</v>
      </c>
      <c r="B852">
        <v>2</v>
      </c>
      <c r="C852" t="s">
        <v>30</v>
      </c>
      <c r="D852" t="s">
        <v>33</v>
      </c>
      <c r="E852">
        <v>1800000</v>
      </c>
      <c r="F852">
        <v>4200000</v>
      </c>
      <c r="G852">
        <v>8</v>
      </c>
      <c r="H852">
        <v>648</v>
      </c>
      <c r="I852">
        <v>1200000</v>
      </c>
      <c r="J852">
        <v>3100000</v>
      </c>
      <c r="K852">
        <v>6200000</v>
      </c>
      <c r="L852">
        <v>1600000</v>
      </c>
      <c r="M852" t="s">
        <v>34</v>
      </c>
      <c r="N852">
        <f t="shared" si="79"/>
        <v>1</v>
      </c>
      <c r="O852" t="str">
        <f t="shared" si="78"/>
        <v>Low</v>
      </c>
      <c r="P852" t="str">
        <f t="shared" si="80"/>
        <v>High</v>
      </c>
      <c r="Q852" t="str">
        <f t="shared" si="81"/>
        <v>Low Loan</v>
      </c>
      <c r="R852">
        <f t="shared" si="82"/>
        <v>12100000</v>
      </c>
      <c r="S852" t="str">
        <f t="shared" si="83"/>
        <v>Strong</v>
      </c>
    </row>
    <row r="853" spans="1:19" x14ac:dyDescent="0.25">
      <c r="A853">
        <v>852</v>
      </c>
      <c r="B853">
        <v>1</v>
      </c>
      <c r="C853" t="s">
        <v>31</v>
      </c>
      <c r="D853" t="s">
        <v>32</v>
      </c>
      <c r="E853">
        <v>4900000</v>
      </c>
      <c r="F853">
        <v>18500000</v>
      </c>
      <c r="G853">
        <v>4</v>
      </c>
      <c r="H853">
        <v>612</v>
      </c>
      <c r="I853">
        <v>6100000</v>
      </c>
      <c r="J853">
        <v>5900000</v>
      </c>
      <c r="K853">
        <v>16400000</v>
      </c>
      <c r="L853">
        <v>2900000</v>
      </c>
      <c r="M853" t="s">
        <v>34</v>
      </c>
      <c r="N853">
        <f t="shared" si="79"/>
        <v>1</v>
      </c>
      <c r="O853" t="str">
        <f t="shared" si="78"/>
        <v>Low</v>
      </c>
      <c r="P853" t="str">
        <f t="shared" si="80"/>
        <v>High</v>
      </c>
      <c r="Q853" t="str">
        <f t="shared" si="81"/>
        <v>Low Loan</v>
      </c>
      <c r="R853">
        <f t="shared" si="82"/>
        <v>31300000</v>
      </c>
      <c r="S853" t="str">
        <f t="shared" si="83"/>
        <v>Strong</v>
      </c>
    </row>
    <row r="854" spans="1:19" x14ac:dyDescent="0.25">
      <c r="A854">
        <v>853</v>
      </c>
      <c r="B854">
        <v>1</v>
      </c>
      <c r="C854" t="s">
        <v>30</v>
      </c>
      <c r="D854" t="s">
        <v>32</v>
      </c>
      <c r="E854">
        <v>5700000</v>
      </c>
      <c r="F854">
        <v>12400000</v>
      </c>
      <c r="G854">
        <v>14</v>
      </c>
      <c r="H854">
        <v>396</v>
      </c>
      <c r="I854">
        <v>5400000</v>
      </c>
      <c r="J854">
        <v>7500000</v>
      </c>
      <c r="K854">
        <v>17600000</v>
      </c>
      <c r="L854">
        <v>5600000</v>
      </c>
      <c r="M854" t="s">
        <v>35</v>
      </c>
      <c r="N854">
        <f t="shared" si="79"/>
        <v>0</v>
      </c>
      <c r="O854" t="str">
        <f t="shared" si="78"/>
        <v>Low</v>
      </c>
      <c r="P854" t="str">
        <f t="shared" si="80"/>
        <v>High</v>
      </c>
      <c r="Q854" t="str">
        <f t="shared" si="81"/>
        <v>Low Loan</v>
      </c>
      <c r="R854">
        <f t="shared" si="82"/>
        <v>36100000</v>
      </c>
      <c r="S854" t="str">
        <f t="shared" si="83"/>
        <v>Strong</v>
      </c>
    </row>
    <row r="855" spans="1:19" x14ac:dyDescent="0.25">
      <c r="A855">
        <v>854</v>
      </c>
      <c r="B855">
        <v>3</v>
      </c>
      <c r="C855" t="s">
        <v>31</v>
      </c>
      <c r="D855" t="s">
        <v>32</v>
      </c>
      <c r="E855">
        <v>300000</v>
      </c>
      <c r="F855">
        <v>800000</v>
      </c>
      <c r="G855">
        <v>2</v>
      </c>
      <c r="H855">
        <v>458</v>
      </c>
      <c r="I855">
        <v>500000</v>
      </c>
      <c r="J855">
        <v>0</v>
      </c>
      <c r="K855">
        <v>1100000</v>
      </c>
      <c r="L855">
        <v>200000</v>
      </c>
      <c r="M855" t="s">
        <v>35</v>
      </c>
      <c r="N855">
        <f t="shared" si="79"/>
        <v>0</v>
      </c>
      <c r="O855" t="str">
        <f t="shared" si="78"/>
        <v>Low</v>
      </c>
      <c r="P855" t="str">
        <f t="shared" si="80"/>
        <v>Middle</v>
      </c>
      <c r="Q855" t="str">
        <f t="shared" si="81"/>
        <v>Low Loan</v>
      </c>
      <c r="R855">
        <f t="shared" si="82"/>
        <v>1800000</v>
      </c>
      <c r="S855" t="str">
        <f t="shared" si="83"/>
        <v>Weak</v>
      </c>
    </row>
    <row r="856" spans="1:19" x14ac:dyDescent="0.25">
      <c r="A856">
        <v>855</v>
      </c>
      <c r="B856">
        <v>3</v>
      </c>
      <c r="C856" t="s">
        <v>30</v>
      </c>
      <c r="D856" t="s">
        <v>33</v>
      </c>
      <c r="E856">
        <v>1700000</v>
      </c>
      <c r="F856">
        <v>3400000</v>
      </c>
      <c r="G856">
        <v>6</v>
      </c>
      <c r="H856">
        <v>488</v>
      </c>
      <c r="I856">
        <v>100000</v>
      </c>
      <c r="J856">
        <v>500000</v>
      </c>
      <c r="K856">
        <v>4500000</v>
      </c>
      <c r="L856">
        <v>1600000</v>
      </c>
      <c r="M856" t="s">
        <v>35</v>
      </c>
      <c r="N856">
        <f t="shared" si="79"/>
        <v>0</v>
      </c>
      <c r="O856" t="str">
        <f t="shared" si="78"/>
        <v>Low</v>
      </c>
      <c r="P856" t="str">
        <f t="shared" si="80"/>
        <v>High</v>
      </c>
      <c r="Q856" t="str">
        <f t="shared" si="81"/>
        <v>Low Loan</v>
      </c>
      <c r="R856">
        <f t="shared" si="82"/>
        <v>6700000</v>
      </c>
      <c r="S856" t="str">
        <f t="shared" si="83"/>
        <v>Moderate</v>
      </c>
    </row>
    <row r="857" spans="1:19" x14ac:dyDescent="0.25">
      <c r="A857">
        <v>856</v>
      </c>
      <c r="B857">
        <v>4</v>
      </c>
      <c r="C857" t="s">
        <v>30</v>
      </c>
      <c r="D857" t="s">
        <v>32</v>
      </c>
      <c r="E857">
        <v>7000000</v>
      </c>
      <c r="F857">
        <v>18900000</v>
      </c>
      <c r="G857">
        <v>6</v>
      </c>
      <c r="H857">
        <v>475</v>
      </c>
      <c r="I857">
        <v>1300000</v>
      </c>
      <c r="J857">
        <v>6100000</v>
      </c>
      <c r="K857">
        <v>14700000</v>
      </c>
      <c r="L857">
        <v>5200000</v>
      </c>
      <c r="M857" t="s">
        <v>35</v>
      </c>
      <c r="N857">
        <f t="shared" si="79"/>
        <v>0</v>
      </c>
      <c r="O857" t="str">
        <f t="shared" si="78"/>
        <v>Low</v>
      </c>
      <c r="P857" t="str">
        <f t="shared" si="80"/>
        <v>High</v>
      </c>
      <c r="Q857" t="str">
        <f t="shared" si="81"/>
        <v>Low Loan</v>
      </c>
      <c r="R857">
        <f t="shared" si="82"/>
        <v>27300000</v>
      </c>
      <c r="S857" t="str">
        <f t="shared" si="83"/>
        <v>Strong</v>
      </c>
    </row>
    <row r="858" spans="1:19" x14ac:dyDescent="0.25">
      <c r="A858">
        <v>857</v>
      </c>
      <c r="B858">
        <v>1</v>
      </c>
      <c r="C858" t="s">
        <v>31</v>
      </c>
      <c r="D858" t="s">
        <v>32</v>
      </c>
      <c r="E858">
        <v>2200000</v>
      </c>
      <c r="F858">
        <v>7000000</v>
      </c>
      <c r="G858">
        <v>18</v>
      </c>
      <c r="H858">
        <v>417</v>
      </c>
      <c r="I858">
        <v>2000000</v>
      </c>
      <c r="J858">
        <v>3900000</v>
      </c>
      <c r="K858">
        <v>6500000</v>
      </c>
      <c r="L858">
        <v>1900000</v>
      </c>
      <c r="M858" t="s">
        <v>35</v>
      </c>
      <c r="N858">
        <f t="shared" si="79"/>
        <v>0</v>
      </c>
      <c r="O858" t="str">
        <f t="shared" si="78"/>
        <v>Low</v>
      </c>
      <c r="P858" t="str">
        <f t="shared" si="80"/>
        <v>High</v>
      </c>
      <c r="Q858" t="str">
        <f t="shared" si="81"/>
        <v>Low Loan</v>
      </c>
      <c r="R858">
        <f t="shared" si="82"/>
        <v>14300000</v>
      </c>
      <c r="S858" t="str">
        <f t="shared" si="83"/>
        <v>Strong</v>
      </c>
    </row>
    <row r="859" spans="1:19" x14ac:dyDescent="0.25">
      <c r="A859">
        <v>858</v>
      </c>
      <c r="B859">
        <v>2</v>
      </c>
      <c r="C859" t="s">
        <v>31</v>
      </c>
      <c r="D859" t="s">
        <v>32</v>
      </c>
      <c r="E859">
        <v>6800000</v>
      </c>
      <c r="F859">
        <v>18700000</v>
      </c>
      <c r="G859">
        <v>8</v>
      </c>
      <c r="H859">
        <v>781</v>
      </c>
      <c r="I859">
        <v>17600000</v>
      </c>
      <c r="J859">
        <v>900000</v>
      </c>
      <c r="K859">
        <v>23700000</v>
      </c>
      <c r="L859">
        <v>5400000</v>
      </c>
      <c r="M859" t="s">
        <v>34</v>
      </c>
      <c r="N859">
        <f t="shared" si="79"/>
        <v>1</v>
      </c>
      <c r="O859" t="str">
        <f t="shared" si="78"/>
        <v>Excellent</v>
      </c>
      <c r="P859" t="str">
        <f t="shared" si="80"/>
        <v>High</v>
      </c>
      <c r="Q859" t="str">
        <f t="shared" si="81"/>
        <v>Low Loan</v>
      </c>
      <c r="R859">
        <f t="shared" si="82"/>
        <v>47600000</v>
      </c>
      <c r="S859" t="str">
        <f t="shared" si="83"/>
        <v>Strong</v>
      </c>
    </row>
    <row r="860" spans="1:19" x14ac:dyDescent="0.25">
      <c r="A860">
        <v>859</v>
      </c>
      <c r="B860">
        <v>1</v>
      </c>
      <c r="C860" t="s">
        <v>31</v>
      </c>
      <c r="D860" t="s">
        <v>33</v>
      </c>
      <c r="E860">
        <v>2400000</v>
      </c>
      <c r="F860">
        <v>6200000</v>
      </c>
      <c r="G860">
        <v>12</v>
      </c>
      <c r="H860">
        <v>337</v>
      </c>
      <c r="I860">
        <v>3400000</v>
      </c>
      <c r="J860">
        <v>2100000</v>
      </c>
      <c r="K860">
        <v>9400000</v>
      </c>
      <c r="L860">
        <v>2300000</v>
      </c>
      <c r="M860" t="s">
        <v>35</v>
      </c>
      <c r="N860">
        <f t="shared" si="79"/>
        <v>0</v>
      </c>
      <c r="O860" t="str">
        <f t="shared" si="78"/>
        <v>Low</v>
      </c>
      <c r="P860" t="str">
        <f t="shared" si="80"/>
        <v>High</v>
      </c>
      <c r="Q860" t="str">
        <f t="shared" si="81"/>
        <v>Low Loan</v>
      </c>
      <c r="R860">
        <f t="shared" si="82"/>
        <v>17200000</v>
      </c>
      <c r="S860" t="str">
        <f t="shared" si="83"/>
        <v>Strong</v>
      </c>
    </row>
    <row r="861" spans="1:19" x14ac:dyDescent="0.25">
      <c r="A861">
        <v>860</v>
      </c>
      <c r="B861">
        <v>0</v>
      </c>
      <c r="C861" t="s">
        <v>31</v>
      </c>
      <c r="D861" t="s">
        <v>33</v>
      </c>
      <c r="E861">
        <v>600000</v>
      </c>
      <c r="F861">
        <v>1800000</v>
      </c>
      <c r="G861">
        <v>12</v>
      </c>
      <c r="H861">
        <v>511</v>
      </c>
      <c r="I861">
        <v>300000</v>
      </c>
      <c r="J861">
        <v>200000</v>
      </c>
      <c r="K861">
        <v>2200000</v>
      </c>
      <c r="L861">
        <v>400000</v>
      </c>
      <c r="M861" t="s">
        <v>35</v>
      </c>
      <c r="N861">
        <f t="shared" si="79"/>
        <v>0</v>
      </c>
      <c r="O861" t="str">
        <f t="shared" si="78"/>
        <v>Low</v>
      </c>
      <c r="P861" t="str">
        <f t="shared" si="80"/>
        <v>Middle</v>
      </c>
      <c r="Q861" t="str">
        <f t="shared" si="81"/>
        <v>Low Loan</v>
      </c>
      <c r="R861">
        <f t="shared" si="82"/>
        <v>3100000</v>
      </c>
      <c r="S861" t="str">
        <f t="shared" si="83"/>
        <v>Weak</v>
      </c>
    </row>
    <row r="862" spans="1:19" x14ac:dyDescent="0.25">
      <c r="A862">
        <v>861</v>
      </c>
      <c r="B862">
        <v>4</v>
      </c>
      <c r="C862" t="s">
        <v>30</v>
      </c>
      <c r="D862" t="s">
        <v>32</v>
      </c>
      <c r="E862">
        <v>6200000</v>
      </c>
      <c r="F862">
        <v>17300000</v>
      </c>
      <c r="G862">
        <v>6</v>
      </c>
      <c r="H862">
        <v>837</v>
      </c>
      <c r="I862">
        <v>12600000</v>
      </c>
      <c r="J862">
        <v>3700000</v>
      </c>
      <c r="K862">
        <v>24700000</v>
      </c>
      <c r="L862">
        <v>4600000</v>
      </c>
      <c r="M862" t="s">
        <v>34</v>
      </c>
      <c r="N862">
        <f t="shared" si="79"/>
        <v>1</v>
      </c>
      <c r="O862" t="str">
        <f t="shared" si="78"/>
        <v>Excellent</v>
      </c>
      <c r="P862" t="str">
        <f t="shared" si="80"/>
        <v>High</v>
      </c>
      <c r="Q862" t="str">
        <f t="shared" si="81"/>
        <v>Low Loan</v>
      </c>
      <c r="R862">
        <f t="shared" si="82"/>
        <v>45600000</v>
      </c>
      <c r="S862" t="str">
        <f t="shared" si="83"/>
        <v>Strong</v>
      </c>
    </row>
    <row r="863" spans="1:19" x14ac:dyDescent="0.25">
      <c r="A863">
        <v>862</v>
      </c>
      <c r="B863">
        <v>1</v>
      </c>
      <c r="C863" t="s">
        <v>31</v>
      </c>
      <c r="D863" t="s">
        <v>32</v>
      </c>
      <c r="E863">
        <v>7600000</v>
      </c>
      <c r="F863">
        <v>24600000</v>
      </c>
      <c r="G863">
        <v>12</v>
      </c>
      <c r="H863">
        <v>810</v>
      </c>
      <c r="I863">
        <v>1300000</v>
      </c>
      <c r="J863">
        <v>10500000</v>
      </c>
      <c r="K863">
        <v>30300000</v>
      </c>
      <c r="L863">
        <v>5200000</v>
      </c>
      <c r="M863" t="s">
        <v>34</v>
      </c>
      <c r="N863">
        <f t="shared" si="79"/>
        <v>1</v>
      </c>
      <c r="O863" t="str">
        <f t="shared" si="78"/>
        <v>Excellent</v>
      </c>
      <c r="P863" t="str">
        <f t="shared" si="80"/>
        <v>High</v>
      </c>
      <c r="Q863" t="str">
        <f t="shared" si="81"/>
        <v>High Loan</v>
      </c>
      <c r="R863">
        <f t="shared" si="82"/>
        <v>47300000</v>
      </c>
      <c r="S863" t="str">
        <f t="shared" si="83"/>
        <v>Strong</v>
      </c>
    </row>
    <row r="864" spans="1:19" x14ac:dyDescent="0.25">
      <c r="A864">
        <v>863</v>
      </c>
      <c r="B864">
        <v>2</v>
      </c>
      <c r="C864" t="s">
        <v>31</v>
      </c>
      <c r="D864" t="s">
        <v>32</v>
      </c>
      <c r="E864">
        <v>4800000</v>
      </c>
      <c r="F864">
        <v>10600000</v>
      </c>
      <c r="G864">
        <v>8</v>
      </c>
      <c r="H864">
        <v>588</v>
      </c>
      <c r="I864">
        <v>3700000</v>
      </c>
      <c r="J864">
        <v>5200000</v>
      </c>
      <c r="K864">
        <v>15000000</v>
      </c>
      <c r="L864">
        <v>4500000</v>
      </c>
      <c r="M864" t="s">
        <v>34</v>
      </c>
      <c r="N864">
        <f t="shared" si="79"/>
        <v>1</v>
      </c>
      <c r="O864" t="str">
        <f t="shared" si="78"/>
        <v>Low</v>
      </c>
      <c r="P864" t="str">
        <f t="shared" si="80"/>
        <v>High</v>
      </c>
      <c r="Q864" t="str">
        <f t="shared" si="81"/>
        <v>Low Loan</v>
      </c>
      <c r="R864">
        <f t="shared" si="82"/>
        <v>28400000</v>
      </c>
      <c r="S864" t="str">
        <f t="shared" si="83"/>
        <v>Strong</v>
      </c>
    </row>
    <row r="865" spans="1:19" x14ac:dyDescent="0.25">
      <c r="A865">
        <v>864</v>
      </c>
      <c r="B865">
        <v>5</v>
      </c>
      <c r="C865" t="s">
        <v>30</v>
      </c>
      <c r="D865" t="s">
        <v>32</v>
      </c>
      <c r="E865">
        <v>4200000</v>
      </c>
      <c r="F865">
        <v>9200000</v>
      </c>
      <c r="G865">
        <v>12</v>
      </c>
      <c r="H865">
        <v>870</v>
      </c>
      <c r="I865">
        <v>3200000</v>
      </c>
      <c r="J865">
        <v>2400000</v>
      </c>
      <c r="K865">
        <v>12300000</v>
      </c>
      <c r="L865">
        <v>5700000</v>
      </c>
      <c r="M865" t="s">
        <v>34</v>
      </c>
      <c r="N865">
        <f t="shared" si="79"/>
        <v>1</v>
      </c>
      <c r="O865" t="str">
        <f t="shared" si="78"/>
        <v>Excellent</v>
      </c>
      <c r="P865" t="str">
        <f t="shared" si="80"/>
        <v>High</v>
      </c>
      <c r="Q865" t="str">
        <f t="shared" si="81"/>
        <v>Low Loan</v>
      </c>
      <c r="R865">
        <f t="shared" si="82"/>
        <v>23600000</v>
      </c>
      <c r="S865" t="str">
        <f t="shared" si="83"/>
        <v>Strong</v>
      </c>
    </row>
    <row r="866" spans="1:19" x14ac:dyDescent="0.25">
      <c r="A866">
        <v>865</v>
      </c>
      <c r="B866">
        <v>0</v>
      </c>
      <c r="C866" t="s">
        <v>31</v>
      </c>
      <c r="D866" t="s">
        <v>33</v>
      </c>
      <c r="E866">
        <v>7200000</v>
      </c>
      <c r="F866">
        <v>20700000</v>
      </c>
      <c r="G866">
        <v>10</v>
      </c>
      <c r="H866">
        <v>733</v>
      </c>
      <c r="I866">
        <v>15600000</v>
      </c>
      <c r="J866">
        <v>12000000</v>
      </c>
      <c r="K866">
        <v>19200000</v>
      </c>
      <c r="L866">
        <v>9900000</v>
      </c>
      <c r="M866" t="s">
        <v>34</v>
      </c>
      <c r="N866">
        <f t="shared" si="79"/>
        <v>1</v>
      </c>
      <c r="O866" t="str">
        <f t="shared" si="78"/>
        <v>Good</v>
      </c>
      <c r="P866" t="str">
        <f t="shared" si="80"/>
        <v>High</v>
      </c>
      <c r="Q866" t="str">
        <f t="shared" si="81"/>
        <v>High Loan</v>
      </c>
      <c r="R866">
        <f t="shared" si="82"/>
        <v>56700000</v>
      </c>
      <c r="S866" t="str">
        <f t="shared" si="83"/>
        <v>Strong</v>
      </c>
    </row>
    <row r="867" spans="1:19" x14ac:dyDescent="0.25">
      <c r="A867">
        <v>866</v>
      </c>
      <c r="B867">
        <v>5</v>
      </c>
      <c r="C867" t="s">
        <v>31</v>
      </c>
      <c r="D867" t="s">
        <v>33</v>
      </c>
      <c r="E867">
        <v>6400000</v>
      </c>
      <c r="F867">
        <v>20300000</v>
      </c>
      <c r="G867">
        <v>16</v>
      </c>
      <c r="H867">
        <v>348</v>
      </c>
      <c r="I867">
        <v>10000000</v>
      </c>
      <c r="J867">
        <v>10900000</v>
      </c>
      <c r="K867">
        <v>20400000</v>
      </c>
      <c r="L867">
        <v>6900000</v>
      </c>
      <c r="M867" t="s">
        <v>35</v>
      </c>
      <c r="N867">
        <f t="shared" si="79"/>
        <v>0</v>
      </c>
      <c r="O867" t="str">
        <f t="shared" si="78"/>
        <v>Low</v>
      </c>
      <c r="P867" t="str">
        <f t="shared" si="80"/>
        <v>High</v>
      </c>
      <c r="Q867" t="str">
        <f t="shared" si="81"/>
        <v>High Loan</v>
      </c>
      <c r="R867">
        <f t="shared" si="82"/>
        <v>48200000</v>
      </c>
      <c r="S867" t="str">
        <f t="shared" si="83"/>
        <v>Strong</v>
      </c>
    </row>
    <row r="868" spans="1:19" x14ac:dyDescent="0.25">
      <c r="A868">
        <v>867</v>
      </c>
      <c r="B868">
        <v>0</v>
      </c>
      <c r="C868" t="s">
        <v>31</v>
      </c>
      <c r="D868" t="s">
        <v>33</v>
      </c>
      <c r="E868">
        <v>8900000</v>
      </c>
      <c r="F868">
        <v>23000000</v>
      </c>
      <c r="G868">
        <v>12</v>
      </c>
      <c r="H868">
        <v>741</v>
      </c>
      <c r="I868">
        <v>5600000</v>
      </c>
      <c r="J868">
        <v>11200000</v>
      </c>
      <c r="K868">
        <v>27100000</v>
      </c>
      <c r="L868">
        <v>7100000</v>
      </c>
      <c r="M868" t="s">
        <v>34</v>
      </c>
      <c r="N868">
        <f t="shared" si="79"/>
        <v>1</v>
      </c>
      <c r="O868" t="str">
        <f t="shared" si="78"/>
        <v>Good</v>
      </c>
      <c r="P868" t="str">
        <f t="shared" si="80"/>
        <v>High</v>
      </c>
      <c r="Q868" t="str">
        <f t="shared" si="81"/>
        <v>High Loan</v>
      </c>
      <c r="R868">
        <f t="shared" si="82"/>
        <v>51000000</v>
      </c>
      <c r="S868" t="str">
        <f t="shared" si="83"/>
        <v>Strong</v>
      </c>
    </row>
    <row r="869" spans="1:19" x14ac:dyDescent="0.25">
      <c r="A869">
        <v>868</v>
      </c>
      <c r="B869">
        <v>3</v>
      </c>
      <c r="C869" t="s">
        <v>31</v>
      </c>
      <c r="D869" t="s">
        <v>32</v>
      </c>
      <c r="E869">
        <v>5100000</v>
      </c>
      <c r="F869">
        <v>14500000</v>
      </c>
      <c r="G869">
        <v>12</v>
      </c>
      <c r="H869">
        <v>306</v>
      </c>
      <c r="I869">
        <v>700000</v>
      </c>
      <c r="J869">
        <v>8800000</v>
      </c>
      <c r="K869">
        <v>11600000</v>
      </c>
      <c r="L869">
        <v>2900000</v>
      </c>
      <c r="M869" t="s">
        <v>35</v>
      </c>
      <c r="N869">
        <f t="shared" si="79"/>
        <v>0</v>
      </c>
      <c r="O869" t="str">
        <f t="shared" si="78"/>
        <v>Low</v>
      </c>
      <c r="P869" t="str">
        <f t="shared" si="80"/>
        <v>High</v>
      </c>
      <c r="Q869" t="str">
        <f t="shared" si="81"/>
        <v>Low Loan</v>
      </c>
      <c r="R869">
        <f t="shared" si="82"/>
        <v>24000000</v>
      </c>
      <c r="S869" t="str">
        <f t="shared" si="83"/>
        <v>Strong</v>
      </c>
    </row>
    <row r="870" spans="1:19" x14ac:dyDescent="0.25">
      <c r="A870">
        <v>869</v>
      </c>
      <c r="B870">
        <v>2</v>
      </c>
      <c r="C870" t="s">
        <v>30</v>
      </c>
      <c r="D870" t="s">
        <v>33</v>
      </c>
      <c r="E870">
        <v>6300000</v>
      </c>
      <c r="F870">
        <v>19500000</v>
      </c>
      <c r="G870">
        <v>18</v>
      </c>
      <c r="H870">
        <v>428</v>
      </c>
      <c r="I870">
        <v>15900000</v>
      </c>
      <c r="J870">
        <v>7200000</v>
      </c>
      <c r="K870">
        <v>19900000</v>
      </c>
      <c r="L870">
        <v>6500000</v>
      </c>
      <c r="M870" t="s">
        <v>35</v>
      </c>
      <c r="N870">
        <f t="shared" si="79"/>
        <v>0</v>
      </c>
      <c r="O870" t="str">
        <f t="shared" si="78"/>
        <v>Low</v>
      </c>
      <c r="P870" t="str">
        <f t="shared" si="80"/>
        <v>High</v>
      </c>
      <c r="Q870" t="str">
        <f t="shared" si="81"/>
        <v>Low Loan</v>
      </c>
      <c r="R870">
        <f t="shared" si="82"/>
        <v>49500000</v>
      </c>
      <c r="S870" t="str">
        <f t="shared" si="83"/>
        <v>Strong</v>
      </c>
    </row>
    <row r="871" spans="1:19" x14ac:dyDescent="0.25">
      <c r="A871">
        <v>870</v>
      </c>
      <c r="B871">
        <v>3</v>
      </c>
      <c r="C871" t="s">
        <v>30</v>
      </c>
      <c r="D871" t="s">
        <v>32</v>
      </c>
      <c r="E871">
        <v>6600000</v>
      </c>
      <c r="F871">
        <v>22100000</v>
      </c>
      <c r="G871">
        <v>4</v>
      </c>
      <c r="H871">
        <v>455</v>
      </c>
      <c r="I871">
        <v>3800000</v>
      </c>
      <c r="J871">
        <v>3000000</v>
      </c>
      <c r="K871">
        <v>25100000</v>
      </c>
      <c r="L871">
        <v>7400000</v>
      </c>
      <c r="M871" t="s">
        <v>34</v>
      </c>
      <c r="N871">
        <f t="shared" si="79"/>
        <v>1</v>
      </c>
      <c r="O871" t="str">
        <f t="shared" si="78"/>
        <v>Low</v>
      </c>
      <c r="P871" t="str">
        <f t="shared" si="80"/>
        <v>High</v>
      </c>
      <c r="Q871" t="str">
        <f t="shared" si="81"/>
        <v>High Loan</v>
      </c>
      <c r="R871">
        <f t="shared" si="82"/>
        <v>39300000</v>
      </c>
      <c r="S871" t="str">
        <f t="shared" si="83"/>
        <v>Strong</v>
      </c>
    </row>
    <row r="872" spans="1:19" x14ac:dyDescent="0.25">
      <c r="A872">
        <v>871</v>
      </c>
      <c r="B872">
        <v>1</v>
      </c>
      <c r="C872" t="s">
        <v>31</v>
      </c>
      <c r="D872" t="s">
        <v>33</v>
      </c>
      <c r="E872">
        <v>4800000</v>
      </c>
      <c r="F872">
        <v>14700000</v>
      </c>
      <c r="G872">
        <v>2</v>
      </c>
      <c r="H872">
        <v>356</v>
      </c>
      <c r="I872">
        <v>7100000</v>
      </c>
      <c r="J872">
        <v>8800000</v>
      </c>
      <c r="K872">
        <v>13400000</v>
      </c>
      <c r="L872">
        <v>5500000</v>
      </c>
      <c r="M872" t="s">
        <v>34</v>
      </c>
      <c r="N872">
        <f t="shared" si="79"/>
        <v>1</v>
      </c>
      <c r="O872" t="str">
        <f t="shared" si="78"/>
        <v>Low</v>
      </c>
      <c r="P872" t="str">
        <f t="shared" si="80"/>
        <v>High</v>
      </c>
      <c r="Q872" t="str">
        <f t="shared" si="81"/>
        <v>Low Loan</v>
      </c>
      <c r="R872">
        <f t="shared" si="82"/>
        <v>34800000</v>
      </c>
      <c r="S872" t="str">
        <f t="shared" si="83"/>
        <v>Strong</v>
      </c>
    </row>
    <row r="873" spans="1:19" x14ac:dyDescent="0.25">
      <c r="A873">
        <v>872</v>
      </c>
      <c r="B873">
        <v>0</v>
      </c>
      <c r="C873" t="s">
        <v>30</v>
      </c>
      <c r="D873" t="s">
        <v>32</v>
      </c>
      <c r="E873">
        <v>200000</v>
      </c>
      <c r="F873">
        <v>400000</v>
      </c>
      <c r="G873">
        <v>4</v>
      </c>
      <c r="H873">
        <v>594</v>
      </c>
      <c r="I873">
        <v>500000</v>
      </c>
      <c r="J873">
        <v>0</v>
      </c>
      <c r="K873">
        <v>400000</v>
      </c>
      <c r="L873">
        <v>100000</v>
      </c>
      <c r="M873" t="s">
        <v>34</v>
      </c>
      <c r="N873">
        <f t="shared" si="79"/>
        <v>1</v>
      </c>
      <c r="O873" t="str">
        <f t="shared" si="78"/>
        <v>Low</v>
      </c>
      <c r="P873" t="str">
        <f t="shared" si="80"/>
        <v>Low</v>
      </c>
      <c r="Q873" t="str">
        <f t="shared" si="81"/>
        <v>Low Loan</v>
      </c>
      <c r="R873">
        <f t="shared" si="82"/>
        <v>1000000</v>
      </c>
      <c r="S873" t="str">
        <f t="shared" si="83"/>
        <v>Weak</v>
      </c>
    </row>
    <row r="874" spans="1:19" x14ac:dyDescent="0.25">
      <c r="A874">
        <v>873</v>
      </c>
      <c r="B874">
        <v>0</v>
      </c>
      <c r="C874" t="s">
        <v>31</v>
      </c>
      <c r="D874" t="s">
        <v>33</v>
      </c>
      <c r="E874">
        <v>7500000</v>
      </c>
      <c r="F874">
        <v>25800000</v>
      </c>
      <c r="G874">
        <v>18</v>
      </c>
      <c r="H874">
        <v>844</v>
      </c>
      <c r="I874">
        <v>9100000</v>
      </c>
      <c r="J874">
        <v>600000</v>
      </c>
      <c r="K874">
        <v>18600000</v>
      </c>
      <c r="L874">
        <v>6500000</v>
      </c>
      <c r="M874" t="s">
        <v>34</v>
      </c>
      <c r="N874">
        <f t="shared" si="79"/>
        <v>1</v>
      </c>
      <c r="O874" t="str">
        <f t="shared" si="78"/>
        <v>Excellent</v>
      </c>
      <c r="P874" t="str">
        <f t="shared" si="80"/>
        <v>High</v>
      </c>
      <c r="Q874" t="str">
        <f t="shared" si="81"/>
        <v>High Loan</v>
      </c>
      <c r="R874">
        <f t="shared" si="82"/>
        <v>34800000</v>
      </c>
      <c r="S874" t="str">
        <f t="shared" si="83"/>
        <v>Strong</v>
      </c>
    </row>
    <row r="875" spans="1:19" x14ac:dyDescent="0.25">
      <c r="A875">
        <v>874</v>
      </c>
      <c r="B875">
        <v>4</v>
      </c>
      <c r="C875" t="s">
        <v>30</v>
      </c>
      <c r="D875" t="s">
        <v>32</v>
      </c>
      <c r="E875">
        <v>9000000</v>
      </c>
      <c r="F875">
        <v>34700000</v>
      </c>
      <c r="G875">
        <v>4</v>
      </c>
      <c r="H875">
        <v>771</v>
      </c>
      <c r="I875">
        <v>4800000</v>
      </c>
      <c r="J875">
        <v>9500000</v>
      </c>
      <c r="K875">
        <v>34100000</v>
      </c>
      <c r="L875">
        <v>7700000</v>
      </c>
      <c r="M875" t="s">
        <v>34</v>
      </c>
      <c r="N875">
        <f t="shared" si="79"/>
        <v>1</v>
      </c>
      <c r="O875" t="str">
        <f t="shared" si="78"/>
        <v>Excellent</v>
      </c>
      <c r="P875" t="str">
        <f t="shared" si="80"/>
        <v>High</v>
      </c>
      <c r="Q875" t="str">
        <f t="shared" si="81"/>
        <v>High Loan</v>
      </c>
      <c r="R875">
        <f t="shared" si="82"/>
        <v>56100000</v>
      </c>
      <c r="S875" t="str">
        <f t="shared" si="83"/>
        <v>Strong</v>
      </c>
    </row>
    <row r="876" spans="1:19" x14ac:dyDescent="0.25">
      <c r="A876">
        <v>875</v>
      </c>
      <c r="B876">
        <v>2</v>
      </c>
      <c r="C876" t="s">
        <v>30</v>
      </c>
      <c r="D876" t="s">
        <v>32</v>
      </c>
      <c r="E876">
        <v>5400000</v>
      </c>
      <c r="F876">
        <v>12500000</v>
      </c>
      <c r="G876">
        <v>4</v>
      </c>
      <c r="H876">
        <v>622</v>
      </c>
      <c r="I876">
        <v>14400000</v>
      </c>
      <c r="J876">
        <v>2900000</v>
      </c>
      <c r="K876">
        <v>11800000</v>
      </c>
      <c r="L876">
        <v>5400000</v>
      </c>
      <c r="M876" t="s">
        <v>34</v>
      </c>
      <c r="N876">
        <f t="shared" si="79"/>
        <v>1</v>
      </c>
      <c r="O876" t="str">
        <f t="shared" si="78"/>
        <v>Low</v>
      </c>
      <c r="P876" t="str">
        <f t="shared" si="80"/>
        <v>High</v>
      </c>
      <c r="Q876" t="str">
        <f t="shared" si="81"/>
        <v>Low Loan</v>
      </c>
      <c r="R876">
        <f t="shared" si="82"/>
        <v>34500000</v>
      </c>
      <c r="S876" t="str">
        <f t="shared" si="83"/>
        <v>Strong</v>
      </c>
    </row>
    <row r="877" spans="1:19" x14ac:dyDescent="0.25">
      <c r="A877">
        <v>876</v>
      </c>
      <c r="B877">
        <v>1</v>
      </c>
      <c r="C877" t="s">
        <v>31</v>
      </c>
      <c r="D877" t="s">
        <v>33</v>
      </c>
      <c r="E877">
        <v>1700000</v>
      </c>
      <c r="F877">
        <v>4500000</v>
      </c>
      <c r="G877">
        <v>20</v>
      </c>
      <c r="H877">
        <v>480</v>
      </c>
      <c r="I877">
        <v>200000</v>
      </c>
      <c r="J877">
        <v>600000</v>
      </c>
      <c r="K877">
        <v>5400000</v>
      </c>
      <c r="L877">
        <v>1900000</v>
      </c>
      <c r="M877" t="s">
        <v>35</v>
      </c>
      <c r="N877">
        <f t="shared" si="79"/>
        <v>0</v>
      </c>
      <c r="O877" t="str">
        <f t="shared" si="78"/>
        <v>Low</v>
      </c>
      <c r="P877" t="str">
        <f t="shared" si="80"/>
        <v>High</v>
      </c>
      <c r="Q877" t="str">
        <f t="shared" si="81"/>
        <v>Low Loan</v>
      </c>
      <c r="R877">
        <f t="shared" si="82"/>
        <v>8100000</v>
      </c>
      <c r="S877" t="str">
        <f t="shared" si="83"/>
        <v>Moderate</v>
      </c>
    </row>
    <row r="878" spans="1:19" x14ac:dyDescent="0.25">
      <c r="A878">
        <v>877</v>
      </c>
      <c r="B878">
        <v>4</v>
      </c>
      <c r="C878" t="s">
        <v>30</v>
      </c>
      <c r="D878" t="s">
        <v>32</v>
      </c>
      <c r="E878">
        <v>4300000</v>
      </c>
      <c r="F878">
        <v>11500000</v>
      </c>
      <c r="G878">
        <v>20</v>
      </c>
      <c r="H878">
        <v>337</v>
      </c>
      <c r="I878">
        <v>11100000</v>
      </c>
      <c r="J878">
        <v>6000000</v>
      </c>
      <c r="K878">
        <v>17000000</v>
      </c>
      <c r="L878">
        <v>5200000</v>
      </c>
      <c r="M878" t="s">
        <v>35</v>
      </c>
      <c r="N878">
        <f t="shared" si="79"/>
        <v>0</v>
      </c>
      <c r="O878" t="str">
        <f t="shared" si="78"/>
        <v>Low</v>
      </c>
      <c r="P878" t="str">
        <f t="shared" si="80"/>
        <v>High</v>
      </c>
      <c r="Q878" t="str">
        <f t="shared" si="81"/>
        <v>Low Loan</v>
      </c>
      <c r="R878">
        <f t="shared" si="82"/>
        <v>39300000</v>
      </c>
      <c r="S878" t="str">
        <f t="shared" si="83"/>
        <v>Strong</v>
      </c>
    </row>
    <row r="879" spans="1:19" x14ac:dyDescent="0.25">
      <c r="A879">
        <v>878</v>
      </c>
      <c r="B879">
        <v>1</v>
      </c>
      <c r="C879" t="s">
        <v>30</v>
      </c>
      <c r="D879" t="s">
        <v>32</v>
      </c>
      <c r="E879">
        <v>5200000</v>
      </c>
      <c r="F879">
        <v>11200000</v>
      </c>
      <c r="G879">
        <v>6</v>
      </c>
      <c r="H879">
        <v>698</v>
      </c>
      <c r="I879">
        <v>14100000</v>
      </c>
      <c r="J879">
        <v>7600000</v>
      </c>
      <c r="K879">
        <v>18800000</v>
      </c>
      <c r="L879">
        <v>2700000</v>
      </c>
      <c r="M879" t="s">
        <v>34</v>
      </c>
      <c r="N879">
        <f t="shared" si="79"/>
        <v>1</v>
      </c>
      <c r="O879" t="str">
        <f t="shared" si="78"/>
        <v>Medium</v>
      </c>
      <c r="P879" t="str">
        <f t="shared" si="80"/>
        <v>High</v>
      </c>
      <c r="Q879" t="str">
        <f t="shared" si="81"/>
        <v>Low Loan</v>
      </c>
      <c r="R879">
        <f t="shared" si="82"/>
        <v>43200000</v>
      </c>
      <c r="S879" t="str">
        <f t="shared" si="83"/>
        <v>Strong</v>
      </c>
    </row>
    <row r="880" spans="1:19" x14ac:dyDescent="0.25">
      <c r="A880">
        <v>879</v>
      </c>
      <c r="B880">
        <v>4</v>
      </c>
      <c r="C880" t="s">
        <v>31</v>
      </c>
      <c r="D880" t="s">
        <v>32</v>
      </c>
      <c r="E880">
        <v>4400000</v>
      </c>
      <c r="F880">
        <v>17000000</v>
      </c>
      <c r="G880">
        <v>18</v>
      </c>
      <c r="H880">
        <v>302</v>
      </c>
      <c r="I880">
        <v>1000000</v>
      </c>
      <c r="J880">
        <v>2100000</v>
      </c>
      <c r="K880">
        <v>14000000</v>
      </c>
      <c r="L880">
        <v>5700000</v>
      </c>
      <c r="M880" t="s">
        <v>35</v>
      </c>
      <c r="N880">
        <f t="shared" si="79"/>
        <v>0</v>
      </c>
      <c r="O880" t="str">
        <f t="shared" si="78"/>
        <v>Low</v>
      </c>
      <c r="P880" t="str">
        <f t="shared" si="80"/>
        <v>High</v>
      </c>
      <c r="Q880" t="str">
        <f t="shared" si="81"/>
        <v>Low Loan</v>
      </c>
      <c r="R880">
        <f t="shared" si="82"/>
        <v>22800000</v>
      </c>
      <c r="S880" t="str">
        <f t="shared" si="83"/>
        <v>Strong</v>
      </c>
    </row>
    <row r="881" spans="1:19" x14ac:dyDescent="0.25">
      <c r="A881">
        <v>880</v>
      </c>
      <c r="B881">
        <v>1</v>
      </c>
      <c r="C881" t="s">
        <v>31</v>
      </c>
      <c r="D881" t="s">
        <v>33</v>
      </c>
      <c r="E881">
        <v>3900000</v>
      </c>
      <c r="F881">
        <v>7800000</v>
      </c>
      <c r="G881">
        <v>14</v>
      </c>
      <c r="H881">
        <v>349</v>
      </c>
      <c r="I881">
        <v>11200000</v>
      </c>
      <c r="J881">
        <v>500000</v>
      </c>
      <c r="K881">
        <v>11800000</v>
      </c>
      <c r="L881">
        <v>3600000</v>
      </c>
      <c r="M881" t="s">
        <v>35</v>
      </c>
      <c r="N881">
        <f t="shared" si="79"/>
        <v>0</v>
      </c>
      <c r="O881" t="str">
        <f t="shared" si="78"/>
        <v>Low</v>
      </c>
      <c r="P881" t="str">
        <f t="shared" si="80"/>
        <v>High</v>
      </c>
      <c r="Q881" t="str">
        <f t="shared" si="81"/>
        <v>Low Loan</v>
      </c>
      <c r="R881">
        <f t="shared" si="82"/>
        <v>27100000</v>
      </c>
      <c r="S881" t="str">
        <f t="shared" si="83"/>
        <v>Strong</v>
      </c>
    </row>
    <row r="882" spans="1:19" x14ac:dyDescent="0.25">
      <c r="A882">
        <v>881</v>
      </c>
      <c r="B882">
        <v>0</v>
      </c>
      <c r="C882" t="s">
        <v>30</v>
      </c>
      <c r="D882" t="s">
        <v>32</v>
      </c>
      <c r="E882">
        <v>1100000</v>
      </c>
      <c r="F882">
        <v>3300000</v>
      </c>
      <c r="G882">
        <v>10</v>
      </c>
      <c r="H882">
        <v>482</v>
      </c>
      <c r="I882">
        <v>2800000</v>
      </c>
      <c r="J882">
        <v>300000</v>
      </c>
      <c r="K882">
        <v>2900000</v>
      </c>
      <c r="L882">
        <v>1600000</v>
      </c>
      <c r="M882" t="s">
        <v>35</v>
      </c>
      <c r="N882">
        <f t="shared" si="79"/>
        <v>0</v>
      </c>
      <c r="O882" t="str">
        <f t="shared" si="78"/>
        <v>Low</v>
      </c>
      <c r="P882" t="str">
        <f t="shared" si="80"/>
        <v>High</v>
      </c>
      <c r="Q882" t="str">
        <f t="shared" si="81"/>
        <v>Low Loan</v>
      </c>
      <c r="R882">
        <f t="shared" si="82"/>
        <v>7600000</v>
      </c>
      <c r="S882" t="str">
        <f t="shared" si="83"/>
        <v>Moderate</v>
      </c>
    </row>
    <row r="883" spans="1:19" x14ac:dyDescent="0.25">
      <c r="A883">
        <v>882</v>
      </c>
      <c r="B883">
        <v>2</v>
      </c>
      <c r="C883" t="s">
        <v>30</v>
      </c>
      <c r="D883" t="s">
        <v>32</v>
      </c>
      <c r="E883">
        <v>2500000</v>
      </c>
      <c r="F883">
        <v>8200000</v>
      </c>
      <c r="G883">
        <v>10</v>
      </c>
      <c r="H883">
        <v>429</v>
      </c>
      <c r="I883">
        <v>1500000</v>
      </c>
      <c r="J883">
        <v>4100000</v>
      </c>
      <c r="K883">
        <v>5900000</v>
      </c>
      <c r="L883">
        <v>2200000</v>
      </c>
      <c r="M883" t="s">
        <v>35</v>
      </c>
      <c r="N883">
        <f t="shared" si="79"/>
        <v>0</v>
      </c>
      <c r="O883" t="str">
        <f t="shared" si="78"/>
        <v>Low</v>
      </c>
      <c r="P883" t="str">
        <f t="shared" si="80"/>
        <v>High</v>
      </c>
      <c r="Q883" t="str">
        <f t="shared" si="81"/>
        <v>Low Loan</v>
      </c>
      <c r="R883">
        <f t="shared" si="82"/>
        <v>13700000</v>
      </c>
      <c r="S883" t="str">
        <f t="shared" si="83"/>
        <v>Strong</v>
      </c>
    </row>
    <row r="884" spans="1:19" x14ac:dyDescent="0.25">
      <c r="A884">
        <v>883</v>
      </c>
      <c r="B884">
        <v>4</v>
      </c>
      <c r="C884" t="s">
        <v>30</v>
      </c>
      <c r="D884" t="s">
        <v>32</v>
      </c>
      <c r="E884">
        <v>500000</v>
      </c>
      <c r="F884">
        <v>1300000</v>
      </c>
      <c r="G884">
        <v>8</v>
      </c>
      <c r="H884">
        <v>471</v>
      </c>
      <c r="I884">
        <v>500000</v>
      </c>
      <c r="J884">
        <v>300000</v>
      </c>
      <c r="K884">
        <v>1500000</v>
      </c>
      <c r="L884">
        <v>700000</v>
      </c>
      <c r="M884" t="s">
        <v>35</v>
      </c>
      <c r="N884">
        <f t="shared" si="79"/>
        <v>0</v>
      </c>
      <c r="O884" t="str">
        <f t="shared" si="78"/>
        <v>Low</v>
      </c>
      <c r="P884" t="str">
        <f t="shared" si="80"/>
        <v>Middle</v>
      </c>
      <c r="Q884" t="str">
        <f t="shared" si="81"/>
        <v>Low Loan</v>
      </c>
      <c r="R884">
        <f t="shared" si="82"/>
        <v>3000000</v>
      </c>
      <c r="S884" t="str">
        <f t="shared" si="83"/>
        <v>Weak</v>
      </c>
    </row>
    <row r="885" spans="1:19" x14ac:dyDescent="0.25">
      <c r="A885">
        <v>884</v>
      </c>
      <c r="B885">
        <v>0</v>
      </c>
      <c r="C885" t="s">
        <v>30</v>
      </c>
      <c r="D885" t="s">
        <v>33</v>
      </c>
      <c r="E885">
        <v>9000000</v>
      </c>
      <c r="F885">
        <v>32400000</v>
      </c>
      <c r="G885">
        <v>10</v>
      </c>
      <c r="H885">
        <v>895</v>
      </c>
      <c r="I885">
        <v>16800000</v>
      </c>
      <c r="J885">
        <v>5800000</v>
      </c>
      <c r="K885">
        <v>20700000</v>
      </c>
      <c r="L885">
        <v>9500000</v>
      </c>
      <c r="M885" t="s">
        <v>34</v>
      </c>
      <c r="N885">
        <f t="shared" si="79"/>
        <v>1</v>
      </c>
      <c r="O885" t="str">
        <f t="shared" si="78"/>
        <v>Excellent</v>
      </c>
      <c r="P885" t="str">
        <f t="shared" si="80"/>
        <v>High</v>
      </c>
      <c r="Q885" t="str">
        <f t="shared" si="81"/>
        <v>High Loan</v>
      </c>
      <c r="R885">
        <f t="shared" si="82"/>
        <v>52800000</v>
      </c>
      <c r="S885" t="str">
        <f t="shared" si="83"/>
        <v>Strong</v>
      </c>
    </row>
    <row r="886" spans="1:19" x14ac:dyDescent="0.25">
      <c r="A886">
        <v>885</v>
      </c>
      <c r="B886">
        <v>1</v>
      </c>
      <c r="C886" t="s">
        <v>31</v>
      </c>
      <c r="D886" t="s">
        <v>33</v>
      </c>
      <c r="E886">
        <v>5100000</v>
      </c>
      <c r="F886">
        <v>20300000</v>
      </c>
      <c r="G886">
        <v>18</v>
      </c>
      <c r="H886">
        <v>757</v>
      </c>
      <c r="I886">
        <v>11800000</v>
      </c>
      <c r="J886">
        <v>3400000</v>
      </c>
      <c r="K886">
        <v>13400000</v>
      </c>
      <c r="L886">
        <v>3200000</v>
      </c>
      <c r="M886" t="s">
        <v>34</v>
      </c>
      <c r="N886">
        <f t="shared" si="79"/>
        <v>1</v>
      </c>
      <c r="O886" t="str">
        <f t="shared" si="78"/>
        <v>Excellent</v>
      </c>
      <c r="P886" t="str">
        <f t="shared" si="80"/>
        <v>High</v>
      </c>
      <c r="Q886" t="str">
        <f t="shared" si="81"/>
        <v>High Loan</v>
      </c>
      <c r="R886">
        <f t="shared" si="82"/>
        <v>31800000</v>
      </c>
      <c r="S886" t="str">
        <f t="shared" si="83"/>
        <v>Strong</v>
      </c>
    </row>
    <row r="887" spans="1:19" x14ac:dyDescent="0.25">
      <c r="A887">
        <v>886</v>
      </c>
      <c r="B887">
        <v>2</v>
      </c>
      <c r="C887" t="s">
        <v>30</v>
      </c>
      <c r="D887" t="s">
        <v>32</v>
      </c>
      <c r="E887">
        <v>5200000</v>
      </c>
      <c r="F887">
        <v>13500000</v>
      </c>
      <c r="G887">
        <v>2</v>
      </c>
      <c r="H887">
        <v>777</v>
      </c>
      <c r="I887">
        <v>7000000</v>
      </c>
      <c r="J887">
        <v>5200000</v>
      </c>
      <c r="K887">
        <v>15500000</v>
      </c>
      <c r="L887">
        <v>6100000</v>
      </c>
      <c r="M887" t="s">
        <v>34</v>
      </c>
      <c r="N887">
        <f t="shared" si="79"/>
        <v>1</v>
      </c>
      <c r="O887" t="str">
        <f t="shared" si="78"/>
        <v>Excellent</v>
      </c>
      <c r="P887" t="str">
        <f t="shared" si="80"/>
        <v>High</v>
      </c>
      <c r="Q887" t="str">
        <f t="shared" si="81"/>
        <v>Low Loan</v>
      </c>
      <c r="R887">
        <f t="shared" si="82"/>
        <v>33800000</v>
      </c>
      <c r="S887" t="str">
        <f t="shared" si="83"/>
        <v>Strong</v>
      </c>
    </row>
    <row r="888" spans="1:19" x14ac:dyDescent="0.25">
      <c r="A888">
        <v>887</v>
      </c>
      <c r="B888">
        <v>5</v>
      </c>
      <c r="C888" t="s">
        <v>31</v>
      </c>
      <c r="D888" t="s">
        <v>33</v>
      </c>
      <c r="E888">
        <v>4400000</v>
      </c>
      <c r="F888">
        <v>8900000</v>
      </c>
      <c r="G888">
        <v>4</v>
      </c>
      <c r="H888">
        <v>761</v>
      </c>
      <c r="I888">
        <v>8100000</v>
      </c>
      <c r="J888">
        <v>1000000</v>
      </c>
      <c r="K888">
        <v>14200000</v>
      </c>
      <c r="L888">
        <v>3000000</v>
      </c>
      <c r="M888" t="s">
        <v>34</v>
      </c>
      <c r="N888">
        <f t="shared" si="79"/>
        <v>1</v>
      </c>
      <c r="O888" t="str">
        <f t="shared" si="78"/>
        <v>Excellent</v>
      </c>
      <c r="P888" t="str">
        <f t="shared" si="80"/>
        <v>High</v>
      </c>
      <c r="Q888" t="str">
        <f t="shared" si="81"/>
        <v>Low Loan</v>
      </c>
      <c r="R888">
        <f t="shared" si="82"/>
        <v>26300000</v>
      </c>
      <c r="S888" t="str">
        <f t="shared" si="83"/>
        <v>Strong</v>
      </c>
    </row>
    <row r="889" spans="1:19" x14ac:dyDescent="0.25">
      <c r="A889">
        <v>888</v>
      </c>
      <c r="B889">
        <v>1</v>
      </c>
      <c r="C889" t="s">
        <v>30</v>
      </c>
      <c r="D889" t="s">
        <v>32</v>
      </c>
      <c r="E889">
        <v>1900000</v>
      </c>
      <c r="F889">
        <v>4200000</v>
      </c>
      <c r="G889">
        <v>12</v>
      </c>
      <c r="H889">
        <v>821</v>
      </c>
      <c r="I889">
        <v>5200000</v>
      </c>
      <c r="J889">
        <v>1500000</v>
      </c>
      <c r="K889">
        <v>5000000</v>
      </c>
      <c r="L889">
        <v>2700000</v>
      </c>
      <c r="M889" t="s">
        <v>34</v>
      </c>
      <c r="N889">
        <f t="shared" si="79"/>
        <v>1</v>
      </c>
      <c r="O889" t="str">
        <f t="shared" si="78"/>
        <v>Excellent</v>
      </c>
      <c r="P889" t="str">
        <f t="shared" si="80"/>
        <v>High</v>
      </c>
      <c r="Q889" t="str">
        <f t="shared" si="81"/>
        <v>Low Loan</v>
      </c>
      <c r="R889">
        <f t="shared" si="82"/>
        <v>14400000</v>
      </c>
      <c r="S889" t="str">
        <f t="shared" si="83"/>
        <v>Strong</v>
      </c>
    </row>
    <row r="890" spans="1:19" x14ac:dyDescent="0.25">
      <c r="A890">
        <v>889</v>
      </c>
      <c r="B890">
        <v>4</v>
      </c>
      <c r="C890" t="s">
        <v>31</v>
      </c>
      <c r="D890" t="s">
        <v>33</v>
      </c>
      <c r="E890">
        <v>9200000</v>
      </c>
      <c r="F890">
        <v>26500000</v>
      </c>
      <c r="G890">
        <v>6</v>
      </c>
      <c r="H890">
        <v>662</v>
      </c>
      <c r="I890">
        <v>1000000</v>
      </c>
      <c r="J890">
        <v>400000</v>
      </c>
      <c r="K890">
        <v>26900000</v>
      </c>
      <c r="L890">
        <v>5300000</v>
      </c>
      <c r="M890" t="s">
        <v>34</v>
      </c>
      <c r="N890">
        <f t="shared" si="79"/>
        <v>1</v>
      </c>
      <c r="O890" t="str">
        <f t="shared" si="78"/>
        <v>Medium</v>
      </c>
      <c r="P890" t="str">
        <f t="shared" si="80"/>
        <v>High</v>
      </c>
      <c r="Q890" t="str">
        <f t="shared" si="81"/>
        <v>High Loan</v>
      </c>
      <c r="R890">
        <f t="shared" si="82"/>
        <v>33600000</v>
      </c>
      <c r="S890" t="str">
        <f t="shared" si="83"/>
        <v>Strong</v>
      </c>
    </row>
    <row r="891" spans="1:19" x14ac:dyDescent="0.25">
      <c r="A891">
        <v>890</v>
      </c>
      <c r="B891">
        <v>2</v>
      </c>
      <c r="C891" t="s">
        <v>31</v>
      </c>
      <c r="D891" t="s">
        <v>33</v>
      </c>
      <c r="E891">
        <v>4800000</v>
      </c>
      <c r="F891">
        <v>16500000</v>
      </c>
      <c r="G891">
        <v>10</v>
      </c>
      <c r="H891">
        <v>350</v>
      </c>
      <c r="I891">
        <v>2000000</v>
      </c>
      <c r="J891">
        <v>6500000</v>
      </c>
      <c r="K891">
        <v>11400000</v>
      </c>
      <c r="L891">
        <v>2900000</v>
      </c>
      <c r="M891" t="s">
        <v>35</v>
      </c>
      <c r="N891">
        <f t="shared" si="79"/>
        <v>0</v>
      </c>
      <c r="O891" t="str">
        <f t="shared" si="78"/>
        <v>Low</v>
      </c>
      <c r="P891" t="str">
        <f t="shared" si="80"/>
        <v>High</v>
      </c>
      <c r="Q891" t="str">
        <f t="shared" si="81"/>
        <v>Low Loan</v>
      </c>
      <c r="R891">
        <f t="shared" si="82"/>
        <v>22800000</v>
      </c>
      <c r="S891" t="str">
        <f t="shared" si="83"/>
        <v>Strong</v>
      </c>
    </row>
    <row r="892" spans="1:19" x14ac:dyDescent="0.25">
      <c r="A892">
        <v>891</v>
      </c>
      <c r="B892">
        <v>4</v>
      </c>
      <c r="C892" t="s">
        <v>31</v>
      </c>
      <c r="D892" t="s">
        <v>32</v>
      </c>
      <c r="E892">
        <v>4900000</v>
      </c>
      <c r="F892">
        <v>10700000</v>
      </c>
      <c r="G892">
        <v>20</v>
      </c>
      <c r="H892">
        <v>321</v>
      </c>
      <c r="I892">
        <v>1200000</v>
      </c>
      <c r="J892">
        <v>400000</v>
      </c>
      <c r="K892">
        <v>11100000</v>
      </c>
      <c r="L892">
        <v>6500000</v>
      </c>
      <c r="M892" t="s">
        <v>35</v>
      </c>
      <c r="N892">
        <f t="shared" si="79"/>
        <v>0</v>
      </c>
      <c r="O892" t="str">
        <f t="shared" si="78"/>
        <v>Low</v>
      </c>
      <c r="P892" t="str">
        <f t="shared" si="80"/>
        <v>High</v>
      </c>
      <c r="Q892" t="str">
        <f t="shared" si="81"/>
        <v>Low Loan</v>
      </c>
      <c r="R892">
        <f t="shared" si="82"/>
        <v>19200000</v>
      </c>
      <c r="S892" t="str">
        <f t="shared" si="83"/>
        <v>Strong</v>
      </c>
    </row>
    <row r="893" spans="1:19" x14ac:dyDescent="0.25">
      <c r="A893">
        <v>892</v>
      </c>
      <c r="B893">
        <v>3</v>
      </c>
      <c r="C893" t="s">
        <v>30</v>
      </c>
      <c r="D893" t="s">
        <v>33</v>
      </c>
      <c r="E893">
        <v>4800000</v>
      </c>
      <c r="F893">
        <v>10100000</v>
      </c>
      <c r="G893">
        <v>4</v>
      </c>
      <c r="H893">
        <v>368</v>
      </c>
      <c r="I893">
        <v>9100000</v>
      </c>
      <c r="J893">
        <v>5100000</v>
      </c>
      <c r="K893">
        <v>16500000</v>
      </c>
      <c r="L893">
        <v>3500000</v>
      </c>
      <c r="M893" t="s">
        <v>35</v>
      </c>
      <c r="N893">
        <f t="shared" si="79"/>
        <v>0</v>
      </c>
      <c r="O893" t="str">
        <f t="shared" si="78"/>
        <v>Low</v>
      </c>
      <c r="P893" t="str">
        <f t="shared" si="80"/>
        <v>High</v>
      </c>
      <c r="Q893" t="str">
        <f t="shared" si="81"/>
        <v>Low Loan</v>
      </c>
      <c r="R893">
        <f t="shared" si="82"/>
        <v>34200000</v>
      </c>
      <c r="S893" t="str">
        <f t="shared" si="83"/>
        <v>Strong</v>
      </c>
    </row>
    <row r="894" spans="1:19" x14ac:dyDescent="0.25">
      <c r="A894">
        <v>893</v>
      </c>
      <c r="B894">
        <v>4</v>
      </c>
      <c r="C894" t="s">
        <v>30</v>
      </c>
      <c r="D894" t="s">
        <v>32</v>
      </c>
      <c r="E894">
        <v>9300000</v>
      </c>
      <c r="F894">
        <v>24900000</v>
      </c>
      <c r="G894">
        <v>14</v>
      </c>
      <c r="H894">
        <v>455</v>
      </c>
      <c r="I894">
        <v>27600000</v>
      </c>
      <c r="J894">
        <v>4700000</v>
      </c>
      <c r="K894">
        <v>35100000</v>
      </c>
      <c r="L894">
        <v>13900000</v>
      </c>
      <c r="M894" t="s">
        <v>35</v>
      </c>
      <c r="N894">
        <f t="shared" si="79"/>
        <v>0</v>
      </c>
      <c r="O894" t="str">
        <f t="shared" si="78"/>
        <v>Low</v>
      </c>
      <c r="P894" t="str">
        <f t="shared" si="80"/>
        <v>High</v>
      </c>
      <c r="Q894" t="str">
        <f t="shared" si="81"/>
        <v>High Loan</v>
      </c>
      <c r="R894">
        <f t="shared" si="82"/>
        <v>81300000</v>
      </c>
      <c r="S894" t="str">
        <f t="shared" si="83"/>
        <v>Strong</v>
      </c>
    </row>
    <row r="895" spans="1:19" x14ac:dyDescent="0.25">
      <c r="A895">
        <v>894</v>
      </c>
      <c r="B895">
        <v>5</v>
      </c>
      <c r="C895" t="s">
        <v>31</v>
      </c>
      <c r="D895" t="s">
        <v>33</v>
      </c>
      <c r="E895">
        <v>7500000</v>
      </c>
      <c r="F895">
        <v>24600000</v>
      </c>
      <c r="G895">
        <v>8</v>
      </c>
      <c r="H895">
        <v>744</v>
      </c>
      <c r="I895">
        <v>1600000</v>
      </c>
      <c r="J895">
        <v>3600000</v>
      </c>
      <c r="K895">
        <v>16700000</v>
      </c>
      <c r="L895">
        <v>9300000</v>
      </c>
      <c r="M895" t="s">
        <v>34</v>
      </c>
      <c r="N895">
        <f t="shared" si="79"/>
        <v>1</v>
      </c>
      <c r="O895" t="str">
        <f t="shared" si="78"/>
        <v>Good</v>
      </c>
      <c r="P895" t="str">
        <f t="shared" si="80"/>
        <v>High</v>
      </c>
      <c r="Q895" t="str">
        <f t="shared" si="81"/>
        <v>High Loan</v>
      </c>
      <c r="R895">
        <f t="shared" si="82"/>
        <v>31200000</v>
      </c>
      <c r="S895" t="str">
        <f t="shared" si="83"/>
        <v>Strong</v>
      </c>
    </row>
    <row r="896" spans="1:19" x14ac:dyDescent="0.25">
      <c r="A896">
        <v>895</v>
      </c>
      <c r="B896">
        <v>1</v>
      </c>
      <c r="C896" t="s">
        <v>30</v>
      </c>
      <c r="D896" t="s">
        <v>32</v>
      </c>
      <c r="E896">
        <v>5900000</v>
      </c>
      <c r="F896">
        <v>16800000</v>
      </c>
      <c r="G896">
        <v>4</v>
      </c>
      <c r="H896">
        <v>806</v>
      </c>
      <c r="I896">
        <v>11200000</v>
      </c>
      <c r="J896">
        <v>9700000</v>
      </c>
      <c r="K896">
        <v>22800000</v>
      </c>
      <c r="L896">
        <v>7100000</v>
      </c>
      <c r="M896" t="s">
        <v>34</v>
      </c>
      <c r="N896">
        <f t="shared" si="79"/>
        <v>1</v>
      </c>
      <c r="O896" t="str">
        <f t="shared" si="78"/>
        <v>Excellent</v>
      </c>
      <c r="P896" t="str">
        <f t="shared" si="80"/>
        <v>High</v>
      </c>
      <c r="Q896" t="str">
        <f t="shared" si="81"/>
        <v>Low Loan</v>
      </c>
      <c r="R896">
        <f t="shared" si="82"/>
        <v>50800000</v>
      </c>
      <c r="S896" t="str">
        <f t="shared" si="83"/>
        <v>Strong</v>
      </c>
    </row>
    <row r="897" spans="1:19" x14ac:dyDescent="0.25">
      <c r="A897">
        <v>896</v>
      </c>
      <c r="B897">
        <v>0</v>
      </c>
      <c r="C897" t="s">
        <v>30</v>
      </c>
      <c r="D897" t="s">
        <v>32</v>
      </c>
      <c r="E897">
        <v>9400000</v>
      </c>
      <c r="F897">
        <v>27900000</v>
      </c>
      <c r="G897">
        <v>6</v>
      </c>
      <c r="H897">
        <v>456</v>
      </c>
      <c r="I897">
        <v>21400000</v>
      </c>
      <c r="J897">
        <v>18500000</v>
      </c>
      <c r="K897">
        <v>35600000</v>
      </c>
      <c r="L897">
        <v>7800000</v>
      </c>
      <c r="M897" t="s">
        <v>35</v>
      </c>
      <c r="N897">
        <f t="shared" si="79"/>
        <v>0</v>
      </c>
      <c r="O897" t="str">
        <f t="shared" si="78"/>
        <v>Low</v>
      </c>
      <c r="P897" t="str">
        <f t="shared" si="80"/>
        <v>High</v>
      </c>
      <c r="Q897" t="str">
        <f t="shared" si="81"/>
        <v>High Loan</v>
      </c>
      <c r="R897">
        <f t="shared" si="82"/>
        <v>83300000</v>
      </c>
      <c r="S897" t="str">
        <f t="shared" si="83"/>
        <v>Strong</v>
      </c>
    </row>
    <row r="898" spans="1:19" x14ac:dyDescent="0.25">
      <c r="A898">
        <v>897</v>
      </c>
      <c r="B898">
        <v>5</v>
      </c>
      <c r="C898" t="s">
        <v>30</v>
      </c>
      <c r="D898" t="s">
        <v>32</v>
      </c>
      <c r="E898">
        <v>5300000</v>
      </c>
      <c r="F898">
        <v>13400000</v>
      </c>
      <c r="G898">
        <v>8</v>
      </c>
      <c r="H898">
        <v>719</v>
      </c>
      <c r="I898">
        <v>1600000</v>
      </c>
      <c r="J898">
        <v>200000</v>
      </c>
      <c r="K898">
        <v>11400000</v>
      </c>
      <c r="L898">
        <v>5300000</v>
      </c>
      <c r="M898" t="s">
        <v>34</v>
      </c>
      <c r="N898">
        <f t="shared" si="79"/>
        <v>1</v>
      </c>
      <c r="O898" t="str">
        <f t="shared" ref="O898:O961" si="84">IF(H898&lt;650,"Low",
 IF(H898&lt;700,"Medium",
 IF(H898&lt;750,"Good","Excellent")))</f>
        <v>Good</v>
      </c>
      <c r="P898" t="str">
        <f t="shared" si="80"/>
        <v>High</v>
      </c>
      <c r="Q898" t="str">
        <f t="shared" si="81"/>
        <v>Low Loan</v>
      </c>
      <c r="R898">
        <f t="shared" si="82"/>
        <v>18500000</v>
      </c>
      <c r="S898" t="str">
        <f t="shared" si="83"/>
        <v>Strong</v>
      </c>
    </row>
    <row r="899" spans="1:19" x14ac:dyDescent="0.25">
      <c r="A899">
        <v>898</v>
      </c>
      <c r="B899">
        <v>4</v>
      </c>
      <c r="C899" t="s">
        <v>30</v>
      </c>
      <c r="D899" t="s">
        <v>32</v>
      </c>
      <c r="E899">
        <v>3700000</v>
      </c>
      <c r="F899">
        <v>9000000</v>
      </c>
      <c r="G899">
        <v>18</v>
      </c>
      <c r="H899">
        <v>668</v>
      </c>
      <c r="I899">
        <v>7800000</v>
      </c>
      <c r="J899">
        <v>1600000</v>
      </c>
      <c r="K899">
        <v>13400000</v>
      </c>
      <c r="L899">
        <v>3100000</v>
      </c>
      <c r="M899" t="s">
        <v>34</v>
      </c>
      <c r="N899">
        <f t="shared" ref="N899:N962" si="85">IF(TRIM(CLEAN(M899))="Approved",1,0)</f>
        <v>1</v>
      </c>
      <c r="O899" t="str">
        <f t="shared" si="84"/>
        <v>Medium</v>
      </c>
      <c r="P899" t="str">
        <f t="shared" ref="P899:P962" si="86">IF(E899&lt;300000,"Low",
 IF(E899&lt;700000,"Middle","High"))</f>
        <v>High</v>
      </c>
      <c r="Q899" t="str">
        <f t="shared" ref="Q899:Q962" si="87">IF(F899&lt;20000000,"Low Loan","High Loan")</f>
        <v>Low Loan</v>
      </c>
      <c r="R899">
        <f t="shared" ref="R899:R962" si="88">I899+J899+K899+L899</f>
        <v>25900000</v>
      </c>
      <c r="S899" t="str">
        <f t="shared" ref="S899:S962" si="89">IF(R899&lt;5000000,"Weak",
 IF(R899&lt;10000000,"Moderate","Strong"))</f>
        <v>Strong</v>
      </c>
    </row>
    <row r="900" spans="1:19" x14ac:dyDescent="0.25">
      <c r="A900">
        <v>899</v>
      </c>
      <c r="B900">
        <v>0</v>
      </c>
      <c r="C900" t="s">
        <v>30</v>
      </c>
      <c r="D900" t="s">
        <v>33</v>
      </c>
      <c r="E900">
        <v>2500000</v>
      </c>
      <c r="F900">
        <v>5800000</v>
      </c>
      <c r="G900">
        <v>18</v>
      </c>
      <c r="H900">
        <v>494</v>
      </c>
      <c r="I900">
        <v>5100000</v>
      </c>
      <c r="J900">
        <v>4400000</v>
      </c>
      <c r="K900">
        <v>8500000</v>
      </c>
      <c r="L900">
        <v>2300000</v>
      </c>
      <c r="M900" t="s">
        <v>35</v>
      </c>
      <c r="N900">
        <f t="shared" si="85"/>
        <v>0</v>
      </c>
      <c r="O900" t="str">
        <f t="shared" si="84"/>
        <v>Low</v>
      </c>
      <c r="P900" t="str">
        <f t="shared" si="86"/>
        <v>High</v>
      </c>
      <c r="Q900" t="str">
        <f t="shared" si="87"/>
        <v>Low Loan</v>
      </c>
      <c r="R900">
        <f t="shared" si="88"/>
        <v>20300000</v>
      </c>
      <c r="S900" t="str">
        <f t="shared" si="89"/>
        <v>Strong</v>
      </c>
    </row>
    <row r="901" spans="1:19" x14ac:dyDescent="0.25">
      <c r="A901">
        <v>900</v>
      </c>
      <c r="B901">
        <v>4</v>
      </c>
      <c r="C901" t="s">
        <v>31</v>
      </c>
      <c r="D901" t="s">
        <v>32</v>
      </c>
      <c r="E901">
        <v>2800000</v>
      </c>
      <c r="F901">
        <v>10800000</v>
      </c>
      <c r="G901">
        <v>2</v>
      </c>
      <c r="H901">
        <v>841</v>
      </c>
      <c r="I901">
        <v>700000</v>
      </c>
      <c r="J901">
        <v>2600000</v>
      </c>
      <c r="K901">
        <v>7100000</v>
      </c>
      <c r="L901">
        <v>4100000</v>
      </c>
      <c r="M901" t="s">
        <v>34</v>
      </c>
      <c r="N901">
        <f t="shared" si="85"/>
        <v>1</v>
      </c>
      <c r="O901" t="str">
        <f t="shared" si="84"/>
        <v>Excellent</v>
      </c>
      <c r="P901" t="str">
        <f t="shared" si="86"/>
        <v>High</v>
      </c>
      <c r="Q901" t="str">
        <f t="shared" si="87"/>
        <v>Low Loan</v>
      </c>
      <c r="R901">
        <f t="shared" si="88"/>
        <v>14500000</v>
      </c>
      <c r="S901" t="str">
        <f t="shared" si="89"/>
        <v>Strong</v>
      </c>
    </row>
    <row r="902" spans="1:19" x14ac:dyDescent="0.25">
      <c r="A902">
        <v>901</v>
      </c>
      <c r="B902">
        <v>0</v>
      </c>
      <c r="C902" t="s">
        <v>30</v>
      </c>
      <c r="D902" t="s">
        <v>33</v>
      </c>
      <c r="E902">
        <v>5400000</v>
      </c>
      <c r="F902">
        <v>21400000</v>
      </c>
      <c r="G902">
        <v>8</v>
      </c>
      <c r="H902">
        <v>721</v>
      </c>
      <c r="I902">
        <v>8200000</v>
      </c>
      <c r="J902">
        <v>6400000</v>
      </c>
      <c r="K902">
        <v>16700000</v>
      </c>
      <c r="L902">
        <v>7400000</v>
      </c>
      <c r="M902" t="s">
        <v>34</v>
      </c>
      <c r="N902">
        <f t="shared" si="85"/>
        <v>1</v>
      </c>
      <c r="O902" t="str">
        <f t="shared" si="84"/>
        <v>Good</v>
      </c>
      <c r="P902" t="str">
        <f t="shared" si="86"/>
        <v>High</v>
      </c>
      <c r="Q902" t="str">
        <f t="shared" si="87"/>
        <v>High Loan</v>
      </c>
      <c r="R902">
        <f t="shared" si="88"/>
        <v>38700000</v>
      </c>
      <c r="S902" t="str">
        <f t="shared" si="89"/>
        <v>Strong</v>
      </c>
    </row>
    <row r="903" spans="1:19" x14ac:dyDescent="0.25">
      <c r="A903">
        <v>902</v>
      </c>
      <c r="B903">
        <v>5</v>
      </c>
      <c r="C903" t="s">
        <v>30</v>
      </c>
      <c r="D903" t="s">
        <v>32</v>
      </c>
      <c r="E903">
        <v>3100000</v>
      </c>
      <c r="F903">
        <v>9400000</v>
      </c>
      <c r="G903">
        <v>10</v>
      </c>
      <c r="H903">
        <v>414</v>
      </c>
      <c r="I903">
        <v>200000</v>
      </c>
      <c r="J903">
        <v>5300000</v>
      </c>
      <c r="K903">
        <v>8000000</v>
      </c>
      <c r="L903">
        <v>2800000</v>
      </c>
      <c r="M903" t="s">
        <v>35</v>
      </c>
      <c r="N903">
        <f t="shared" si="85"/>
        <v>0</v>
      </c>
      <c r="O903" t="str">
        <f t="shared" si="84"/>
        <v>Low</v>
      </c>
      <c r="P903" t="str">
        <f t="shared" si="86"/>
        <v>High</v>
      </c>
      <c r="Q903" t="str">
        <f t="shared" si="87"/>
        <v>Low Loan</v>
      </c>
      <c r="R903">
        <f t="shared" si="88"/>
        <v>16300000</v>
      </c>
      <c r="S903" t="str">
        <f t="shared" si="89"/>
        <v>Strong</v>
      </c>
    </row>
    <row r="904" spans="1:19" x14ac:dyDescent="0.25">
      <c r="A904">
        <v>903</v>
      </c>
      <c r="B904">
        <v>5</v>
      </c>
      <c r="C904" t="s">
        <v>31</v>
      </c>
      <c r="D904" t="s">
        <v>32</v>
      </c>
      <c r="E904">
        <v>4800000</v>
      </c>
      <c r="F904">
        <v>15500000</v>
      </c>
      <c r="G904">
        <v>10</v>
      </c>
      <c r="H904">
        <v>812</v>
      </c>
      <c r="I904">
        <v>9500000</v>
      </c>
      <c r="J904">
        <v>1500000</v>
      </c>
      <c r="K904">
        <v>17800000</v>
      </c>
      <c r="L904">
        <v>3500000</v>
      </c>
      <c r="M904" t="s">
        <v>34</v>
      </c>
      <c r="N904">
        <f t="shared" si="85"/>
        <v>1</v>
      </c>
      <c r="O904" t="str">
        <f t="shared" si="84"/>
        <v>Excellent</v>
      </c>
      <c r="P904" t="str">
        <f t="shared" si="86"/>
        <v>High</v>
      </c>
      <c r="Q904" t="str">
        <f t="shared" si="87"/>
        <v>Low Loan</v>
      </c>
      <c r="R904">
        <f t="shared" si="88"/>
        <v>32300000</v>
      </c>
      <c r="S904" t="str">
        <f t="shared" si="89"/>
        <v>Strong</v>
      </c>
    </row>
    <row r="905" spans="1:19" x14ac:dyDescent="0.25">
      <c r="A905">
        <v>904</v>
      </c>
      <c r="B905">
        <v>1</v>
      </c>
      <c r="C905" t="s">
        <v>31</v>
      </c>
      <c r="D905" t="s">
        <v>32</v>
      </c>
      <c r="E905">
        <v>8800000</v>
      </c>
      <c r="F905">
        <v>17500000</v>
      </c>
      <c r="G905">
        <v>20</v>
      </c>
      <c r="H905">
        <v>832</v>
      </c>
      <c r="I905">
        <v>1800000</v>
      </c>
      <c r="J905">
        <v>3600000</v>
      </c>
      <c r="K905">
        <v>24000000</v>
      </c>
      <c r="L905">
        <v>7400000</v>
      </c>
      <c r="M905" t="s">
        <v>34</v>
      </c>
      <c r="N905">
        <f t="shared" si="85"/>
        <v>1</v>
      </c>
      <c r="O905" t="str">
        <f t="shared" si="84"/>
        <v>Excellent</v>
      </c>
      <c r="P905" t="str">
        <f t="shared" si="86"/>
        <v>High</v>
      </c>
      <c r="Q905" t="str">
        <f t="shared" si="87"/>
        <v>Low Loan</v>
      </c>
      <c r="R905">
        <f t="shared" si="88"/>
        <v>36800000</v>
      </c>
      <c r="S905" t="str">
        <f t="shared" si="89"/>
        <v>Strong</v>
      </c>
    </row>
    <row r="906" spans="1:19" x14ac:dyDescent="0.25">
      <c r="A906">
        <v>905</v>
      </c>
      <c r="B906">
        <v>2</v>
      </c>
      <c r="C906" t="s">
        <v>30</v>
      </c>
      <c r="D906" t="s">
        <v>32</v>
      </c>
      <c r="E906">
        <v>4100000</v>
      </c>
      <c r="F906">
        <v>14900000</v>
      </c>
      <c r="G906">
        <v>12</v>
      </c>
      <c r="H906">
        <v>571</v>
      </c>
      <c r="I906">
        <v>-100000</v>
      </c>
      <c r="J906">
        <v>5200000</v>
      </c>
      <c r="K906">
        <v>13000000</v>
      </c>
      <c r="L906">
        <v>3400000</v>
      </c>
      <c r="M906" t="s">
        <v>34</v>
      </c>
      <c r="N906">
        <f t="shared" si="85"/>
        <v>1</v>
      </c>
      <c r="O906" t="str">
        <f t="shared" si="84"/>
        <v>Low</v>
      </c>
      <c r="P906" t="str">
        <f t="shared" si="86"/>
        <v>High</v>
      </c>
      <c r="Q906" t="str">
        <f t="shared" si="87"/>
        <v>Low Loan</v>
      </c>
      <c r="R906">
        <f t="shared" si="88"/>
        <v>21500000</v>
      </c>
      <c r="S906" t="str">
        <f t="shared" si="89"/>
        <v>Strong</v>
      </c>
    </row>
    <row r="907" spans="1:19" x14ac:dyDescent="0.25">
      <c r="A907">
        <v>906</v>
      </c>
      <c r="B907">
        <v>5</v>
      </c>
      <c r="C907" t="s">
        <v>31</v>
      </c>
      <c r="D907" t="s">
        <v>32</v>
      </c>
      <c r="E907">
        <v>9700000</v>
      </c>
      <c r="F907">
        <v>37000000</v>
      </c>
      <c r="G907">
        <v>14</v>
      </c>
      <c r="H907">
        <v>459</v>
      </c>
      <c r="I907">
        <v>28700000</v>
      </c>
      <c r="J907">
        <v>17900000</v>
      </c>
      <c r="K907">
        <v>22800000</v>
      </c>
      <c r="L907">
        <v>5600000</v>
      </c>
      <c r="M907" t="s">
        <v>35</v>
      </c>
      <c r="N907">
        <f t="shared" si="85"/>
        <v>0</v>
      </c>
      <c r="O907" t="str">
        <f t="shared" si="84"/>
        <v>Low</v>
      </c>
      <c r="P907" t="str">
        <f t="shared" si="86"/>
        <v>High</v>
      </c>
      <c r="Q907" t="str">
        <f t="shared" si="87"/>
        <v>High Loan</v>
      </c>
      <c r="R907">
        <f t="shared" si="88"/>
        <v>75000000</v>
      </c>
      <c r="S907" t="str">
        <f t="shared" si="89"/>
        <v>Strong</v>
      </c>
    </row>
    <row r="908" spans="1:19" x14ac:dyDescent="0.25">
      <c r="A908">
        <v>907</v>
      </c>
      <c r="B908">
        <v>2</v>
      </c>
      <c r="C908" t="s">
        <v>30</v>
      </c>
      <c r="D908" t="s">
        <v>33</v>
      </c>
      <c r="E908">
        <v>6400000</v>
      </c>
      <c r="F908">
        <v>24100000</v>
      </c>
      <c r="G908">
        <v>6</v>
      </c>
      <c r="H908">
        <v>592</v>
      </c>
      <c r="I908">
        <v>2500000</v>
      </c>
      <c r="J908">
        <v>6300000</v>
      </c>
      <c r="K908">
        <v>20200000</v>
      </c>
      <c r="L908">
        <v>6000000</v>
      </c>
      <c r="M908" t="s">
        <v>34</v>
      </c>
      <c r="N908">
        <f t="shared" si="85"/>
        <v>1</v>
      </c>
      <c r="O908" t="str">
        <f t="shared" si="84"/>
        <v>Low</v>
      </c>
      <c r="P908" t="str">
        <f t="shared" si="86"/>
        <v>High</v>
      </c>
      <c r="Q908" t="str">
        <f t="shared" si="87"/>
        <v>High Loan</v>
      </c>
      <c r="R908">
        <f t="shared" si="88"/>
        <v>35000000</v>
      </c>
      <c r="S908" t="str">
        <f t="shared" si="89"/>
        <v>Strong</v>
      </c>
    </row>
    <row r="909" spans="1:19" x14ac:dyDescent="0.25">
      <c r="A909">
        <v>908</v>
      </c>
      <c r="B909">
        <v>5</v>
      </c>
      <c r="C909" t="s">
        <v>30</v>
      </c>
      <c r="D909" t="s">
        <v>32</v>
      </c>
      <c r="E909">
        <v>3400000</v>
      </c>
      <c r="F909">
        <v>13100000</v>
      </c>
      <c r="G909">
        <v>20</v>
      </c>
      <c r="H909">
        <v>527</v>
      </c>
      <c r="I909">
        <v>900000</v>
      </c>
      <c r="J909">
        <v>4500000</v>
      </c>
      <c r="K909">
        <v>8600000</v>
      </c>
      <c r="L909">
        <v>4000000</v>
      </c>
      <c r="M909" t="s">
        <v>35</v>
      </c>
      <c r="N909">
        <f t="shared" si="85"/>
        <v>0</v>
      </c>
      <c r="O909" t="str">
        <f t="shared" si="84"/>
        <v>Low</v>
      </c>
      <c r="P909" t="str">
        <f t="shared" si="86"/>
        <v>High</v>
      </c>
      <c r="Q909" t="str">
        <f t="shared" si="87"/>
        <v>Low Loan</v>
      </c>
      <c r="R909">
        <f t="shared" si="88"/>
        <v>18000000</v>
      </c>
      <c r="S909" t="str">
        <f t="shared" si="89"/>
        <v>Strong</v>
      </c>
    </row>
    <row r="910" spans="1:19" x14ac:dyDescent="0.25">
      <c r="A910">
        <v>909</v>
      </c>
      <c r="B910">
        <v>4</v>
      </c>
      <c r="C910" t="s">
        <v>31</v>
      </c>
      <c r="D910" t="s">
        <v>32</v>
      </c>
      <c r="E910">
        <v>3500000</v>
      </c>
      <c r="F910">
        <v>10200000</v>
      </c>
      <c r="G910">
        <v>12</v>
      </c>
      <c r="H910">
        <v>333</v>
      </c>
      <c r="I910">
        <v>7600000</v>
      </c>
      <c r="J910">
        <v>6400000</v>
      </c>
      <c r="K910">
        <v>8100000</v>
      </c>
      <c r="L910">
        <v>3400000</v>
      </c>
      <c r="M910" t="s">
        <v>35</v>
      </c>
      <c r="N910">
        <f t="shared" si="85"/>
        <v>0</v>
      </c>
      <c r="O910" t="str">
        <f t="shared" si="84"/>
        <v>Low</v>
      </c>
      <c r="P910" t="str">
        <f t="shared" si="86"/>
        <v>High</v>
      </c>
      <c r="Q910" t="str">
        <f t="shared" si="87"/>
        <v>Low Loan</v>
      </c>
      <c r="R910">
        <f t="shared" si="88"/>
        <v>25500000</v>
      </c>
      <c r="S910" t="str">
        <f t="shared" si="89"/>
        <v>Strong</v>
      </c>
    </row>
    <row r="911" spans="1:19" x14ac:dyDescent="0.25">
      <c r="A911">
        <v>910</v>
      </c>
      <c r="B911">
        <v>3</v>
      </c>
      <c r="C911" t="s">
        <v>31</v>
      </c>
      <c r="D911" t="s">
        <v>32</v>
      </c>
      <c r="E911">
        <v>3200000</v>
      </c>
      <c r="F911">
        <v>10000000</v>
      </c>
      <c r="G911">
        <v>18</v>
      </c>
      <c r="H911">
        <v>532</v>
      </c>
      <c r="I911">
        <v>3300000</v>
      </c>
      <c r="J911">
        <v>100000</v>
      </c>
      <c r="K911">
        <v>9800000</v>
      </c>
      <c r="L911">
        <v>2100000</v>
      </c>
      <c r="M911" t="s">
        <v>35</v>
      </c>
      <c r="N911">
        <f t="shared" si="85"/>
        <v>0</v>
      </c>
      <c r="O911" t="str">
        <f t="shared" si="84"/>
        <v>Low</v>
      </c>
      <c r="P911" t="str">
        <f t="shared" si="86"/>
        <v>High</v>
      </c>
      <c r="Q911" t="str">
        <f t="shared" si="87"/>
        <v>Low Loan</v>
      </c>
      <c r="R911">
        <f t="shared" si="88"/>
        <v>15300000</v>
      </c>
      <c r="S911" t="str">
        <f t="shared" si="89"/>
        <v>Strong</v>
      </c>
    </row>
    <row r="912" spans="1:19" x14ac:dyDescent="0.25">
      <c r="A912">
        <v>911</v>
      </c>
      <c r="B912">
        <v>2</v>
      </c>
      <c r="C912" t="s">
        <v>30</v>
      </c>
      <c r="D912" t="s">
        <v>33</v>
      </c>
      <c r="E912">
        <v>4900000</v>
      </c>
      <c r="F912">
        <v>13100000</v>
      </c>
      <c r="G912">
        <v>18</v>
      </c>
      <c r="H912">
        <v>754</v>
      </c>
      <c r="I912">
        <v>8200000</v>
      </c>
      <c r="J912">
        <v>3300000</v>
      </c>
      <c r="K912">
        <v>16500000</v>
      </c>
      <c r="L912">
        <v>7200000</v>
      </c>
      <c r="M912" t="s">
        <v>34</v>
      </c>
      <c r="N912">
        <f t="shared" si="85"/>
        <v>1</v>
      </c>
      <c r="O912" t="str">
        <f t="shared" si="84"/>
        <v>Excellent</v>
      </c>
      <c r="P912" t="str">
        <f t="shared" si="86"/>
        <v>High</v>
      </c>
      <c r="Q912" t="str">
        <f t="shared" si="87"/>
        <v>Low Loan</v>
      </c>
      <c r="R912">
        <f t="shared" si="88"/>
        <v>35200000</v>
      </c>
      <c r="S912" t="str">
        <f t="shared" si="89"/>
        <v>Strong</v>
      </c>
    </row>
    <row r="913" spans="1:19" x14ac:dyDescent="0.25">
      <c r="A913">
        <v>912</v>
      </c>
      <c r="B913">
        <v>0</v>
      </c>
      <c r="C913" t="s">
        <v>30</v>
      </c>
      <c r="D913" t="s">
        <v>33</v>
      </c>
      <c r="E913">
        <v>1300000</v>
      </c>
      <c r="F913">
        <v>4800000</v>
      </c>
      <c r="G913">
        <v>4</v>
      </c>
      <c r="H913">
        <v>835</v>
      </c>
      <c r="I913">
        <v>500000</v>
      </c>
      <c r="J913">
        <v>100000</v>
      </c>
      <c r="K913">
        <v>3300000</v>
      </c>
      <c r="L913">
        <v>800000</v>
      </c>
      <c r="M913" t="s">
        <v>35</v>
      </c>
      <c r="N913">
        <f t="shared" si="85"/>
        <v>0</v>
      </c>
      <c r="O913" t="str">
        <f t="shared" si="84"/>
        <v>Excellent</v>
      </c>
      <c r="P913" t="str">
        <f t="shared" si="86"/>
        <v>High</v>
      </c>
      <c r="Q913" t="str">
        <f t="shared" si="87"/>
        <v>Low Loan</v>
      </c>
      <c r="R913">
        <f t="shared" si="88"/>
        <v>4700000</v>
      </c>
      <c r="S913" t="str">
        <f t="shared" si="89"/>
        <v>Weak</v>
      </c>
    </row>
    <row r="914" spans="1:19" x14ac:dyDescent="0.25">
      <c r="A914">
        <v>913</v>
      </c>
      <c r="B914">
        <v>4</v>
      </c>
      <c r="C914" t="s">
        <v>30</v>
      </c>
      <c r="D914" t="s">
        <v>32</v>
      </c>
      <c r="E914">
        <v>2500000</v>
      </c>
      <c r="F914">
        <v>5400000</v>
      </c>
      <c r="G914">
        <v>10</v>
      </c>
      <c r="H914">
        <v>592</v>
      </c>
      <c r="I914">
        <v>3400000</v>
      </c>
      <c r="J914">
        <v>1500000</v>
      </c>
      <c r="K914">
        <v>9900000</v>
      </c>
      <c r="L914">
        <v>2900000</v>
      </c>
      <c r="M914" t="s">
        <v>34</v>
      </c>
      <c r="N914">
        <f t="shared" si="85"/>
        <v>1</v>
      </c>
      <c r="O914" t="str">
        <f t="shared" si="84"/>
        <v>Low</v>
      </c>
      <c r="P914" t="str">
        <f t="shared" si="86"/>
        <v>High</v>
      </c>
      <c r="Q914" t="str">
        <f t="shared" si="87"/>
        <v>Low Loan</v>
      </c>
      <c r="R914">
        <f t="shared" si="88"/>
        <v>17700000</v>
      </c>
      <c r="S914" t="str">
        <f t="shared" si="89"/>
        <v>Strong</v>
      </c>
    </row>
    <row r="915" spans="1:19" x14ac:dyDescent="0.25">
      <c r="A915">
        <v>914</v>
      </c>
      <c r="B915">
        <v>0</v>
      </c>
      <c r="C915" t="s">
        <v>30</v>
      </c>
      <c r="D915" t="s">
        <v>32</v>
      </c>
      <c r="E915">
        <v>7500000</v>
      </c>
      <c r="F915">
        <v>27300000</v>
      </c>
      <c r="G915">
        <v>20</v>
      </c>
      <c r="H915">
        <v>553</v>
      </c>
      <c r="I915">
        <v>11600000</v>
      </c>
      <c r="J915">
        <v>2800000</v>
      </c>
      <c r="K915">
        <v>26200000</v>
      </c>
      <c r="L915">
        <v>6100000</v>
      </c>
      <c r="M915" t="s">
        <v>34</v>
      </c>
      <c r="N915">
        <f t="shared" si="85"/>
        <v>1</v>
      </c>
      <c r="O915" t="str">
        <f t="shared" si="84"/>
        <v>Low</v>
      </c>
      <c r="P915" t="str">
        <f t="shared" si="86"/>
        <v>High</v>
      </c>
      <c r="Q915" t="str">
        <f t="shared" si="87"/>
        <v>High Loan</v>
      </c>
      <c r="R915">
        <f t="shared" si="88"/>
        <v>46700000</v>
      </c>
      <c r="S915" t="str">
        <f t="shared" si="89"/>
        <v>Strong</v>
      </c>
    </row>
    <row r="916" spans="1:19" x14ac:dyDescent="0.25">
      <c r="A916">
        <v>915</v>
      </c>
      <c r="B916">
        <v>2</v>
      </c>
      <c r="C916" t="s">
        <v>30</v>
      </c>
      <c r="D916" t="s">
        <v>32</v>
      </c>
      <c r="E916">
        <v>700000</v>
      </c>
      <c r="F916">
        <v>2000000</v>
      </c>
      <c r="G916">
        <v>8</v>
      </c>
      <c r="H916">
        <v>806</v>
      </c>
      <c r="I916">
        <v>1900000</v>
      </c>
      <c r="J916">
        <v>1100000</v>
      </c>
      <c r="K916">
        <v>2200000</v>
      </c>
      <c r="L916">
        <v>400000</v>
      </c>
      <c r="M916" t="s">
        <v>34</v>
      </c>
      <c r="N916">
        <f t="shared" si="85"/>
        <v>1</v>
      </c>
      <c r="O916" t="str">
        <f t="shared" si="84"/>
        <v>Excellent</v>
      </c>
      <c r="P916" t="str">
        <f t="shared" si="86"/>
        <v>High</v>
      </c>
      <c r="Q916" t="str">
        <f t="shared" si="87"/>
        <v>Low Loan</v>
      </c>
      <c r="R916">
        <f t="shared" si="88"/>
        <v>5600000</v>
      </c>
      <c r="S916" t="str">
        <f t="shared" si="89"/>
        <v>Moderate</v>
      </c>
    </row>
    <row r="917" spans="1:19" x14ac:dyDescent="0.25">
      <c r="A917">
        <v>916</v>
      </c>
      <c r="B917">
        <v>4</v>
      </c>
      <c r="C917" t="s">
        <v>30</v>
      </c>
      <c r="D917" t="s">
        <v>33</v>
      </c>
      <c r="E917">
        <v>8200000</v>
      </c>
      <c r="F917">
        <v>28500000</v>
      </c>
      <c r="G917">
        <v>2</v>
      </c>
      <c r="H917">
        <v>378</v>
      </c>
      <c r="I917">
        <v>6800000</v>
      </c>
      <c r="J917">
        <v>11200000</v>
      </c>
      <c r="K917">
        <v>26400000</v>
      </c>
      <c r="L917">
        <v>11500000</v>
      </c>
      <c r="M917" t="s">
        <v>34</v>
      </c>
      <c r="N917">
        <f t="shared" si="85"/>
        <v>1</v>
      </c>
      <c r="O917" t="str">
        <f t="shared" si="84"/>
        <v>Low</v>
      </c>
      <c r="P917" t="str">
        <f t="shared" si="86"/>
        <v>High</v>
      </c>
      <c r="Q917" t="str">
        <f t="shared" si="87"/>
        <v>High Loan</v>
      </c>
      <c r="R917">
        <f t="shared" si="88"/>
        <v>55900000</v>
      </c>
      <c r="S917" t="str">
        <f t="shared" si="89"/>
        <v>Strong</v>
      </c>
    </row>
    <row r="918" spans="1:19" x14ac:dyDescent="0.25">
      <c r="A918">
        <v>917</v>
      </c>
      <c r="B918">
        <v>1</v>
      </c>
      <c r="C918" t="s">
        <v>31</v>
      </c>
      <c r="D918" t="s">
        <v>32</v>
      </c>
      <c r="E918">
        <v>6900000</v>
      </c>
      <c r="F918">
        <v>26200000</v>
      </c>
      <c r="G918">
        <v>4</v>
      </c>
      <c r="H918">
        <v>534</v>
      </c>
      <c r="I918">
        <v>14500000</v>
      </c>
      <c r="J918">
        <v>11900000</v>
      </c>
      <c r="K918">
        <v>14900000</v>
      </c>
      <c r="L918">
        <v>9400000</v>
      </c>
      <c r="M918" t="s">
        <v>34</v>
      </c>
      <c r="N918">
        <f t="shared" si="85"/>
        <v>1</v>
      </c>
      <c r="O918" t="str">
        <f t="shared" si="84"/>
        <v>Low</v>
      </c>
      <c r="P918" t="str">
        <f t="shared" si="86"/>
        <v>High</v>
      </c>
      <c r="Q918" t="str">
        <f t="shared" si="87"/>
        <v>High Loan</v>
      </c>
      <c r="R918">
        <f t="shared" si="88"/>
        <v>50700000</v>
      </c>
      <c r="S918" t="str">
        <f t="shared" si="89"/>
        <v>Strong</v>
      </c>
    </row>
    <row r="919" spans="1:19" x14ac:dyDescent="0.25">
      <c r="A919">
        <v>918</v>
      </c>
      <c r="B919">
        <v>1</v>
      </c>
      <c r="C919" t="s">
        <v>31</v>
      </c>
      <c r="D919" t="s">
        <v>33</v>
      </c>
      <c r="E919">
        <v>1500000</v>
      </c>
      <c r="F919">
        <v>5900000</v>
      </c>
      <c r="G919">
        <v>16</v>
      </c>
      <c r="H919">
        <v>400</v>
      </c>
      <c r="I919">
        <v>4200000</v>
      </c>
      <c r="J919">
        <v>2400000</v>
      </c>
      <c r="K919">
        <v>4800000</v>
      </c>
      <c r="L919">
        <v>1500000</v>
      </c>
      <c r="M919" t="s">
        <v>35</v>
      </c>
      <c r="N919">
        <f t="shared" si="85"/>
        <v>0</v>
      </c>
      <c r="O919" t="str">
        <f t="shared" si="84"/>
        <v>Low</v>
      </c>
      <c r="P919" t="str">
        <f t="shared" si="86"/>
        <v>High</v>
      </c>
      <c r="Q919" t="str">
        <f t="shared" si="87"/>
        <v>Low Loan</v>
      </c>
      <c r="R919">
        <f t="shared" si="88"/>
        <v>12900000</v>
      </c>
      <c r="S919" t="str">
        <f t="shared" si="89"/>
        <v>Strong</v>
      </c>
    </row>
    <row r="920" spans="1:19" x14ac:dyDescent="0.25">
      <c r="A920">
        <v>919</v>
      </c>
      <c r="B920">
        <v>3</v>
      </c>
      <c r="C920" t="s">
        <v>30</v>
      </c>
      <c r="D920" t="s">
        <v>32</v>
      </c>
      <c r="E920">
        <v>6300000</v>
      </c>
      <c r="F920">
        <v>18300000</v>
      </c>
      <c r="G920">
        <v>18</v>
      </c>
      <c r="H920">
        <v>543</v>
      </c>
      <c r="I920">
        <v>1800000</v>
      </c>
      <c r="J920">
        <v>9400000</v>
      </c>
      <c r="K920">
        <v>17700000</v>
      </c>
      <c r="L920">
        <v>3500000</v>
      </c>
      <c r="M920" t="s">
        <v>35</v>
      </c>
      <c r="N920">
        <f t="shared" si="85"/>
        <v>0</v>
      </c>
      <c r="O920" t="str">
        <f t="shared" si="84"/>
        <v>Low</v>
      </c>
      <c r="P920" t="str">
        <f t="shared" si="86"/>
        <v>High</v>
      </c>
      <c r="Q920" t="str">
        <f t="shared" si="87"/>
        <v>Low Loan</v>
      </c>
      <c r="R920">
        <f t="shared" si="88"/>
        <v>32400000</v>
      </c>
      <c r="S920" t="str">
        <f t="shared" si="89"/>
        <v>Strong</v>
      </c>
    </row>
    <row r="921" spans="1:19" x14ac:dyDescent="0.25">
      <c r="A921">
        <v>920</v>
      </c>
      <c r="B921">
        <v>0</v>
      </c>
      <c r="C921" t="s">
        <v>31</v>
      </c>
      <c r="D921" t="s">
        <v>33</v>
      </c>
      <c r="E921">
        <v>8800000</v>
      </c>
      <c r="F921">
        <v>25600000</v>
      </c>
      <c r="G921">
        <v>10</v>
      </c>
      <c r="H921">
        <v>715</v>
      </c>
      <c r="I921">
        <v>25300000</v>
      </c>
      <c r="J921">
        <v>2500000</v>
      </c>
      <c r="K921">
        <v>34900000</v>
      </c>
      <c r="L921">
        <v>8600000</v>
      </c>
      <c r="M921" t="s">
        <v>34</v>
      </c>
      <c r="N921">
        <f t="shared" si="85"/>
        <v>1</v>
      </c>
      <c r="O921" t="str">
        <f t="shared" si="84"/>
        <v>Good</v>
      </c>
      <c r="P921" t="str">
        <f t="shared" si="86"/>
        <v>High</v>
      </c>
      <c r="Q921" t="str">
        <f t="shared" si="87"/>
        <v>High Loan</v>
      </c>
      <c r="R921">
        <f t="shared" si="88"/>
        <v>71300000</v>
      </c>
      <c r="S921" t="str">
        <f t="shared" si="89"/>
        <v>Strong</v>
      </c>
    </row>
    <row r="922" spans="1:19" x14ac:dyDescent="0.25">
      <c r="A922">
        <v>921</v>
      </c>
      <c r="B922">
        <v>4</v>
      </c>
      <c r="C922" t="s">
        <v>30</v>
      </c>
      <c r="D922" t="s">
        <v>33</v>
      </c>
      <c r="E922">
        <v>8900000</v>
      </c>
      <c r="F922">
        <v>20700000</v>
      </c>
      <c r="G922">
        <v>6</v>
      </c>
      <c r="H922">
        <v>684</v>
      </c>
      <c r="I922">
        <v>1100000</v>
      </c>
      <c r="J922">
        <v>9200000</v>
      </c>
      <c r="K922">
        <v>20400000</v>
      </c>
      <c r="L922">
        <v>6700000</v>
      </c>
      <c r="M922" t="s">
        <v>34</v>
      </c>
      <c r="N922">
        <f t="shared" si="85"/>
        <v>1</v>
      </c>
      <c r="O922" t="str">
        <f t="shared" si="84"/>
        <v>Medium</v>
      </c>
      <c r="P922" t="str">
        <f t="shared" si="86"/>
        <v>High</v>
      </c>
      <c r="Q922" t="str">
        <f t="shared" si="87"/>
        <v>High Loan</v>
      </c>
      <c r="R922">
        <f t="shared" si="88"/>
        <v>37400000</v>
      </c>
      <c r="S922" t="str">
        <f t="shared" si="89"/>
        <v>Strong</v>
      </c>
    </row>
    <row r="923" spans="1:19" x14ac:dyDescent="0.25">
      <c r="A923">
        <v>922</v>
      </c>
      <c r="B923">
        <v>3</v>
      </c>
      <c r="C923" t="s">
        <v>31</v>
      </c>
      <c r="D923" t="s">
        <v>33</v>
      </c>
      <c r="E923">
        <v>2100000</v>
      </c>
      <c r="F923">
        <v>6100000</v>
      </c>
      <c r="G923">
        <v>8</v>
      </c>
      <c r="H923">
        <v>346</v>
      </c>
      <c r="I923">
        <v>5500000</v>
      </c>
      <c r="J923">
        <v>600000</v>
      </c>
      <c r="K923">
        <v>4500000</v>
      </c>
      <c r="L923">
        <v>2900000</v>
      </c>
      <c r="M923" t="s">
        <v>35</v>
      </c>
      <c r="N923">
        <f t="shared" si="85"/>
        <v>0</v>
      </c>
      <c r="O923" t="str">
        <f t="shared" si="84"/>
        <v>Low</v>
      </c>
      <c r="P923" t="str">
        <f t="shared" si="86"/>
        <v>High</v>
      </c>
      <c r="Q923" t="str">
        <f t="shared" si="87"/>
        <v>Low Loan</v>
      </c>
      <c r="R923">
        <f t="shared" si="88"/>
        <v>13500000</v>
      </c>
      <c r="S923" t="str">
        <f t="shared" si="89"/>
        <v>Strong</v>
      </c>
    </row>
    <row r="924" spans="1:19" x14ac:dyDescent="0.25">
      <c r="A924">
        <v>923</v>
      </c>
      <c r="B924">
        <v>1</v>
      </c>
      <c r="C924" t="s">
        <v>30</v>
      </c>
      <c r="D924" t="s">
        <v>33</v>
      </c>
      <c r="E924">
        <v>9200000</v>
      </c>
      <c r="F924">
        <v>29200000</v>
      </c>
      <c r="G924">
        <v>6</v>
      </c>
      <c r="H924">
        <v>669</v>
      </c>
      <c r="I924">
        <v>9900000</v>
      </c>
      <c r="J924">
        <v>12900000</v>
      </c>
      <c r="K924">
        <v>23400000</v>
      </c>
      <c r="L924">
        <v>11700000</v>
      </c>
      <c r="M924" t="s">
        <v>34</v>
      </c>
      <c r="N924">
        <f t="shared" si="85"/>
        <v>1</v>
      </c>
      <c r="O924" t="str">
        <f t="shared" si="84"/>
        <v>Medium</v>
      </c>
      <c r="P924" t="str">
        <f t="shared" si="86"/>
        <v>High</v>
      </c>
      <c r="Q924" t="str">
        <f t="shared" si="87"/>
        <v>High Loan</v>
      </c>
      <c r="R924">
        <f t="shared" si="88"/>
        <v>57900000</v>
      </c>
      <c r="S924" t="str">
        <f t="shared" si="89"/>
        <v>Strong</v>
      </c>
    </row>
    <row r="925" spans="1:19" x14ac:dyDescent="0.25">
      <c r="A925">
        <v>924</v>
      </c>
      <c r="B925">
        <v>2</v>
      </c>
      <c r="C925" t="s">
        <v>31</v>
      </c>
      <c r="D925" t="s">
        <v>32</v>
      </c>
      <c r="E925">
        <v>3600000</v>
      </c>
      <c r="F925">
        <v>8000000</v>
      </c>
      <c r="G925">
        <v>12</v>
      </c>
      <c r="H925">
        <v>566</v>
      </c>
      <c r="I925">
        <v>10500000</v>
      </c>
      <c r="J925">
        <v>3000000</v>
      </c>
      <c r="K925">
        <v>8900000</v>
      </c>
      <c r="L925">
        <v>2700000</v>
      </c>
      <c r="M925" t="s">
        <v>34</v>
      </c>
      <c r="N925">
        <f t="shared" si="85"/>
        <v>1</v>
      </c>
      <c r="O925" t="str">
        <f t="shared" si="84"/>
        <v>Low</v>
      </c>
      <c r="P925" t="str">
        <f t="shared" si="86"/>
        <v>High</v>
      </c>
      <c r="Q925" t="str">
        <f t="shared" si="87"/>
        <v>Low Loan</v>
      </c>
      <c r="R925">
        <f t="shared" si="88"/>
        <v>25100000</v>
      </c>
      <c r="S925" t="str">
        <f t="shared" si="89"/>
        <v>Strong</v>
      </c>
    </row>
    <row r="926" spans="1:19" x14ac:dyDescent="0.25">
      <c r="A926">
        <v>925</v>
      </c>
      <c r="B926">
        <v>0</v>
      </c>
      <c r="C926" t="s">
        <v>31</v>
      </c>
      <c r="D926" t="s">
        <v>33</v>
      </c>
      <c r="E926">
        <v>8600000</v>
      </c>
      <c r="F926">
        <v>23600000</v>
      </c>
      <c r="G926">
        <v>2</v>
      </c>
      <c r="H926">
        <v>361</v>
      </c>
      <c r="I926">
        <v>25800000</v>
      </c>
      <c r="J926">
        <v>5300000</v>
      </c>
      <c r="K926">
        <v>24700000</v>
      </c>
      <c r="L926">
        <v>7500000</v>
      </c>
      <c r="M926" t="s">
        <v>35</v>
      </c>
      <c r="N926">
        <f t="shared" si="85"/>
        <v>0</v>
      </c>
      <c r="O926" t="str">
        <f t="shared" si="84"/>
        <v>Low</v>
      </c>
      <c r="P926" t="str">
        <f t="shared" si="86"/>
        <v>High</v>
      </c>
      <c r="Q926" t="str">
        <f t="shared" si="87"/>
        <v>High Loan</v>
      </c>
      <c r="R926">
        <f t="shared" si="88"/>
        <v>63300000</v>
      </c>
      <c r="S926" t="str">
        <f t="shared" si="89"/>
        <v>Strong</v>
      </c>
    </row>
    <row r="927" spans="1:19" x14ac:dyDescent="0.25">
      <c r="A927">
        <v>926</v>
      </c>
      <c r="B927">
        <v>5</v>
      </c>
      <c r="C927" t="s">
        <v>30</v>
      </c>
      <c r="D927" t="s">
        <v>32</v>
      </c>
      <c r="E927">
        <v>3000000</v>
      </c>
      <c r="F927">
        <v>8000000</v>
      </c>
      <c r="G927">
        <v>6</v>
      </c>
      <c r="H927">
        <v>333</v>
      </c>
      <c r="I927">
        <v>3200000</v>
      </c>
      <c r="J927">
        <v>400000</v>
      </c>
      <c r="K927">
        <v>8200000</v>
      </c>
      <c r="L927">
        <v>2200000</v>
      </c>
      <c r="M927" t="s">
        <v>35</v>
      </c>
      <c r="N927">
        <f t="shared" si="85"/>
        <v>0</v>
      </c>
      <c r="O927" t="str">
        <f t="shared" si="84"/>
        <v>Low</v>
      </c>
      <c r="P927" t="str">
        <f t="shared" si="86"/>
        <v>High</v>
      </c>
      <c r="Q927" t="str">
        <f t="shared" si="87"/>
        <v>Low Loan</v>
      </c>
      <c r="R927">
        <f t="shared" si="88"/>
        <v>14000000</v>
      </c>
      <c r="S927" t="str">
        <f t="shared" si="89"/>
        <v>Strong</v>
      </c>
    </row>
    <row r="928" spans="1:19" x14ac:dyDescent="0.25">
      <c r="A928">
        <v>927</v>
      </c>
      <c r="B928">
        <v>3</v>
      </c>
      <c r="C928" t="s">
        <v>31</v>
      </c>
      <c r="D928" t="s">
        <v>33</v>
      </c>
      <c r="E928">
        <v>5200000</v>
      </c>
      <c r="F928">
        <v>16300000</v>
      </c>
      <c r="G928">
        <v>8</v>
      </c>
      <c r="H928">
        <v>335</v>
      </c>
      <c r="I928">
        <v>9500000</v>
      </c>
      <c r="J928">
        <v>7000000</v>
      </c>
      <c r="K928">
        <v>13600000</v>
      </c>
      <c r="L928">
        <v>7300000</v>
      </c>
      <c r="M928" t="s">
        <v>35</v>
      </c>
      <c r="N928">
        <f t="shared" si="85"/>
        <v>0</v>
      </c>
      <c r="O928" t="str">
        <f t="shared" si="84"/>
        <v>Low</v>
      </c>
      <c r="P928" t="str">
        <f t="shared" si="86"/>
        <v>High</v>
      </c>
      <c r="Q928" t="str">
        <f t="shared" si="87"/>
        <v>Low Loan</v>
      </c>
      <c r="R928">
        <f t="shared" si="88"/>
        <v>37400000</v>
      </c>
      <c r="S928" t="str">
        <f t="shared" si="89"/>
        <v>Strong</v>
      </c>
    </row>
    <row r="929" spans="1:19" x14ac:dyDescent="0.25">
      <c r="A929">
        <v>928</v>
      </c>
      <c r="B929">
        <v>3</v>
      </c>
      <c r="C929" t="s">
        <v>30</v>
      </c>
      <c r="D929" t="s">
        <v>33</v>
      </c>
      <c r="E929">
        <v>7200000</v>
      </c>
      <c r="F929">
        <v>20400000</v>
      </c>
      <c r="G929">
        <v>10</v>
      </c>
      <c r="H929">
        <v>558</v>
      </c>
      <c r="I929">
        <v>0</v>
      </c>
      <c r="J929">
        <v>13200000</v>
      </c>
      <c r="K929">
        <v>27200000</v>
      </c>
      <c r="L929">
        <v>10600000</v>
      </c>
      <c r="M929" t="s">
        <v>34</v>
      </c>
      <c r="N929">
        <f t="shared" si="85"/>
        <v>1</v>
      </c>
      <c r="O929" t="str">
        <f t="shared" si="84"/>
        <v>Low</v>
      </c>
      <c r="P929" t="str">
        <f t="shared" si="86"/>
        <v>High</v>
      </c>
      <c r="Q929" t="str">
        <f t="shared" si="87"/>
        <v>High Loan</v>
      </c>
      <c r="R929">
        <f t="shared" si="88"/>
        <v>51000000</v>
      </c>
      <c r="S929" t="str">
        <f t="shared" si="89"/>
        <v>Strong</v>
      </c>
    </row>
    <row r="930" spans="1:19" x14ac:dyDescent="0.25">
      <c r="A930">
        <v>929</v>
      </c>
      <c r="B930">
        <v>1</v>
      </c>
      <c r="C930" t="s">
        <v>31</v>
      </c>
      <c r="D930" t="s">
        <v>33</v>
      </c>
      <c r="E930">
        <v>4000000</v>
      </c>
      <c r="F930">
        <v>15600000</v>
      </c>
      <c r="G930">
        <v>12</v>
      </c>
      <c r="H930">
        <v>436</v>
      </c>
      <c r="I930">
        <v>10400000</v>
      </c>
      <c r="J930">
        <v>2800000</v>
      </c>
      <c r="K930">
        <v>14800000</v>
      </c>
      <c r="L930">
        <v>3200000</v>
      </c>
      <c r="M930" t="s">
        <v>35</v>
      </c>
      <c r="N930">
        <f t="shared" si="85"/>
        <v>0</v>
      </c>
      <c r="O930" t="str">
        <f t="shared" si="84"/>
        <v>Low</v>
      </c>
      <c r="P930" t="str">
        <f t="shared" si="86"/>
        <v>High</v>
      </c>
      <c r="Q930" t="str">
        <f t="shared" si="87"/>
        <v>Low Loan</v>
      </c>
      <c r="R930">
        <f t="shared" si="88"/>
        <v>31200000</v>
      </c>
      <c r="S930" t="str">
        <f t="shared" si="89"/>
        <v>Strong</v>
      </c>
    </row>
    <row r="931" spans="1:19" x14ac:dyDescent="0.25">
      <c r="A931">
        <v>930</v>
      </c>
      <c r="B931">
        <v>1</v>
      </c>
      <c r="C931" t="s">
        <v>31</v>
      </c>
      <c r="D931" t="s">
        <v>32</v>
      </c>
      <c r="E931">
        <v>2400000</v>
      </c>
      <c r="F931">
        <v>5200000</v>
      </c>
      <c r="G931">
        <v>2</v>
      </c>
      <c r="H931">
        <v>371</v>
      </c>
      <c r="I931">
        <v>6100000</v>
      </c>
      <c r="J931">
        <v>3100000</v>
      </c>
      <c r="K931">
        <v>8500000</v>
      </c>
      <c r="L931">
        <v>1400000</v>
      </c>
      <c r="M931" t="s">
        <v>35</v>
      </c>
      <c r="N931">
        <f t="shared" si="85"/>
        <v>0</v>
      </c>
      <c r="O931" t="str">
        <f t="shared" si="84"/>
        <v>Low</v>
      </c>
      <c r="P931" t="str">
        <f t="shared" si="86"/>
        <v>High</v>
      </c>
      <c r="Q931" t="str">
        <f t="shared" si="87"/>
        <v>Low Loan</v>
      </c>
      <c r="R931">
        <f t="shared" si="88"/>
        <v>19100000</v>
      </c>
      <c r="S931" t="str">
        <f t="shared" si="89"/>
        <v>Strong</v>
      </c>
    </row>
    <row r="932" spans="1:19" x14ac:dyDescent="0.25">
      <c r="A932">
        <v>931</v>
      </c>
      <c r="B932">
        <v>2</v>
      </c>
      <c r="C932" t="s">
        <v>31</v>
      </c>
      <c r="D932" t="s">
        <v>33</v>
      </c>
      <c r="E932">
        <v>5500000</v>
      </c>
      <c r="F932">
        <v>18400000</v>
      </c>
      <c r="G932">
        <v>10</v>
      </c>
      <c r="H932">
        <v>515</v>
      </c>
      <c r="I932">
        <v>6800000</v>
      </c>
      <c r="J932">
        <v>4400000</v>
      </c>
      <c r="K932">
        <v>18500000</v>
      </c>
      <c r="L932">
        <v>4100000</v>
      </c>
      <c r="M932" t="s">
        <v>35</v>
      </c>
      <c r="N932">
        <f t="shared" si="85"/>
        <v>0</v>
      </c>
      <c r="O932" t="str">
        <f t="shared" si="84"/>
        <v>Low</v>
      </c>
      <c r="P932" t="str">
        <f t="shared" si="86"/>
        <v>High</v>
      </c>
      <c r="Q932" t="str">
        <f t="shared" si="87"/>
        <v>Low Loan</v>
      </c>
      <c r="R932">
        <f t="shared" si="88"/>
        <v>33800000</v>
      </c>
      <c r="S932" t="str">
        <f t="shared" si="89"/>
        <v>Strong</v>
      </c>
    </row>
    <row r="933" spans="1:19" x14ac:dyDescent="0.25">
      <c r="A933">
        <v>932</v>
      </c>
      <c r="B933">
        <v>0</v>
      </c>
      <c r="C933" t="s">
        <v>31</v>
      </c>
      <c r="D933" t="s">
        <v>33</v>
      </c>
      <c r="E933">
        <v>9000000</v>
      </c>
      <c r="F933">
        <v>24300000</v>
      </c>
      <c r="G933">
        <v>10</v>
      </c>
      <c r="H933">
        <v>599</v>
      </c>
      <c r="I933">
        <v>12900000</v>
      </c>
      <c r="J933">
        <v>3400000</v>
      </c>
      <c r="K933">
        <v>26900000</v>
      </c>
      <c r="L933">
        <v>6400000</v>
      </c>
      <c r="M933" t="s">
        <v>34</v>
      </c>
      <c r="N933">
        <f t="shared" si="85"/>
        <v>1</v>
      </c>
      <c r="O933" t="str">
        <f t="shared" si="84"/>
        <v>Low</v>
      </c>
      <c r="P933" t="str">
        <f t="shared" si="86"/>
        <v>High</v>
      </c>
      <c r="Q933" t="str">
        <f t="shared" si="87"/>
        <v>High Loan</v>
      </c>
      <c r="R933">
        <f t="shared" si="88"/>
        <v>49600000</v>
      </c>
      <c r="S933" t="str">
        <f t="shared" si="89"/>
        <v>Strong</v>
      </c>
    </row>
    <row r="934" spans="1:19" x14ac:dyDescent="0.25">
      <c r="A934">
        <v>933</v>
      </c>
      <c r="B934">
        <v>0</v>
      </c>
      <c r="C934" t="s">
        <v>31</v>
      </c>
      <c r="D934" t="s">
        <v>33</v>
      </c>
      <c r="E934">
        <v>7900000</v>
      </c>
      <c r="F934">
        <v>24000000</v>
      </c>
      <c r="G934">
        <v>20</v>
      </c>
      <c r="H934">
        <v>728</v>
      </c>
      <c r="I934">
        <v>18600000</v>
      </c>
      <c r="J934">
        <v>15600000</v>
      </c>
      <c r="K934">
        <v>21800000</v>
      </c>
      <c r="L934">
        <v>7400000</v>
      </c>
      <c r="M934" t="s">
        <v>34</v>
      </c>
      <c r="N934">
        <f t="shared" si="85"/>
        <v>1</v>
      </c>
      <c r="O934" t="str">
        <f t="shared" si="84"/>
        <v>Good</v>
      </c>
      <c r="P934" t="str">
        <f t="shared" si="86"/>
        <v>High</v>
      </c>
      <c r="Q934" t="str">
        <f t="shared" si="87"/>
        <v>High Loan</v>
      </c>
      <c r="R934">
        <f t="shared" si="88"/>
        <v>63400000</v>
      </c>
      <c r="S934" t="str">
        <f t="shared" si="89"/>
        <v>Strong</v>
      </c>
    </row>
    <row r="935" spans="1:19" x14ac:dyDescent="0.25">
      <c r="A935">
        <v>934</v>
      </c>
      <c r="B935">
        <v>2</v>
      </c>
      <c r="C935" t="s">
        <v>31</v>
      </c>
      <c r="D935" t="s">
        <v>33</v>
      </c>
      <c r="E935">
        <v>6200000</v>
      </c>
      <c r="F935">
        <v>21600000</v>
      </c>
      <c r="G935">
        <v>20</v>
      </c>
      <c r="H935">
        <v>679</v>
      </c>
      <c r="I935">
        <v>18600000</v>
      </c>
      <c r="J935">
        <v>2500000</v>
      </c>
      <c r="K935">
        <v>24500000</v>
      </c>
      <c r="L935">
        <v>9100000</v>
      </c>
      <c r="M935" t="s">
        <v>34</v>
      </c>
      <c r="N935">
        <f t="shared" si="85"/>
        <v>1</v>
      </c>
      <c r="O935" t="str">
        <f t="shared" si="84"/>
        <v>Medium</v>
      </c>
      <c r="P935" t="str">
        <f t="shared" si="86"/>
        <v>High</v>
      </c>
      <c r="Q935" t="str">
        <f t="shared" si="87"/>
        <v>High Loan</v>
      </c>
      <c r="R935">
        <f t="shared" si="88"/>
        <v>54700000</v>
      </c>
      <c r="S935" t="str">
        <f t="shared" si="89"/>
        <v>Strong</v>
      </c>
    </row>
    <row r="936" spans="1:19" x14ac:dyDescent="0.25">
      <c r="A936">
        <v>935</v>
      </c>
      <c r="B936">
        <v>3</v>
      </c>
      <c r="C936" t="s">
        <v>30</v>
      </c>
      <c r="D936" t="s">
        <v>33</v>
      </c>
      <c r="E936">
        <v>7900000</v>
      </c>
      <c r="F936">
        <v>29200000</v>
      </c>
      <c r="G936">
        <v>4</v>
      </c>
      <c r="H936">
        <v>399</v>
      </c>
      <c r="I936">
        <v>23200000</v>
      </c>
      <c r="J936">
        <v>5500000</v>
      </c>
      <c r="K936">
        <v>30200000</v>
      </c>
      <c r="L936">
        <v>6900000</v>
      </c>
      <c r="M936" t="s">
        <v>34</v>
      </c>
      <c r="N936">
        <f t="shared" si="85"/>
        <v>1</v>
      </c>
      <c r="O936" t="str">
        <f t="shared" si="84"/>
        <v>Low</v>
      </c>
      <c r="P936" t="str">
        <f t="shared" si="86"/>
        <v>High</v>
      </c>
      <c r="Q936" t="str">
        <f t="shared" si="87"/>
        <v>High Loan</v>
      </c>
      <c r="R936">
        <f t="shared" si="88"/>
        <v>65800000</v>
      </c>
      <c r="S936" t="str">
        <f t="shared" si="89"/>
        <v>Strong</v>
      </c>
    </row>
    <row r="937" spans="1:19" x14ac:dyDescent="0.25">
      <c r="A937">
        <v>936</v>
      </c>
      <c r="B937">
        <v>3</v>
      </c>
      <c r="C937" t="s">
        <v>31</v>
      </c>
      <c r="D937" t="s">
        <v>32</v>
      </c>
      <c r="E937">
        <v>1200000</v>
      </c>
      <c r="F937">
        <v>4500000</v>
      </c>
      <c r="G937">
        <v>6</v>
      </c>
      <c r="H937">
        <v>819</v>
      </c>
      <c r="I937">
        <v>1400000</v>
      </c>
      <c r="J937">
        <v>1100000</v>
      </c>
      <c r="K937">
        <v>4400000</v>
      </c>
      <c r="L937">
        <v>900000</v>
      </c>
      <c r="M937" t="s">
        <v>34</v>
      </c>
      <c r="N937">
        <f t="shared" si="85"/>
        <v>1</v>
      </c>
      <c r="O937" t="str">
        <f t="shared" si="84"/>
        <v>Excellent</v>
      </c>
      <c r="P937" t="str">
        <f t="shared" si="86"/>
        <v>High</v>
      </c>
      <c r="Q937" t="str">
        <f t="shared" si="87"/>
        <v>Low Loan</v>
      </c>
      <c r="R937">
        <f t="shared" si="88"/>
        <v>7800000</v>
      </c>
      <c r="S937" t="str">
        <f t="shared" si="89"/>
        <v>Moderate</v>
      </c>
    </row>
    <row r="938" spans="1:19" x14ac:dyDescent="0.25">
      <c r="A938">
        <v>937</v>
      </c>
      <c r="B938">
        <v>1</v>
      </c>
      <c r="C938" t="s">
        <v>30</v>
      </c>
      <c r="D938" t="s">
        <v>32</v>
      </c>
      <c r="E938">
        <v>4700000</v>
      </c>
      <c r="F938">
        <v>11700000</v>
      </c>
      <c r="G938">
        <v>6</v>
      </c>
      <c r="H938">
        <v>308</v>
      </c>
      <c r="I938">
        <v>11800000</v>
      </c>
      <c r="J938">
        <v>1100000</v>
      </c>
      <c r="K938">
        <v>15100000</v>
      </c>
      <c r="L938">
        <v>3700000</v>
      </c>
      <c r="M938" t="s">
        <v>35</v>
      </c>
      <c r="N938">
        <f t="shared" si="85"/>
        <v>0</v>
      </c>
      <c r="O938" t="str">
        <f t="shared" si="84"/>
        <v>Low</v>
      </c>
      <c r="P938" t="str">
        <f t="shared" si="86"/>
        <v>High</v>
      </c>
      <c r="Q938" t="str">
        <f t="shared" si="87"/>
        <v>Low Loan</v>
      </c>
      <c r="R938">
        <f t="shared" si="88"/>
        <v>31700000</v>
      </c>
      <c r="S938" t="str">
        <f t="shared" si="89"/>
        <v>Strong</v>
      </c>
    </row>
    <row r="939" spans="1:19" x14ac:dyDescent="0.25">
      <c r="A939">
        <v>938</v>
      </c>
      <c r="B939">
        <v>5</v>
      </c>
      <c r="C939" t="s">
        <v>30</v>
      </c>
      <c r="D939" t="s">
        <v>33</v>
      </c>
      <c r="E939">
        <v>5900000</v>
      </c>
      <c r="F939">
        <v>15600000</v>
      </c>
      <c r="G939">
        <v>2</v>
      </c>
      <c r="H939">
        <v>730</v>
      </c>
      <c r="I939">
        <v>12600000</v>
      </c>
      <c r="J939">
        <v>4700000</v>
      </c>
      <c r="K939">
        <v>15900000</v>
      </c>
      <c r="L939">
        <v>5900000</v>
      </c>
      <c r="M939" t="s">
        <v>34</v>
      </c>
      <c r="N939">
        <f t="shared" si="85"/>
        <v>1</v>
      </c>
      <c r="O939" t="str">
        <f t="shared" si="84"/>
        <v>Good</v>
      </c>
      <c r="P939" t="str">
        <f t="shared" si="86"/>
        <v>High</v>
      </c>
      <c r="Q939" t="str">
        <f t="shared" si="87"/>
        <v>Low Loan</v>
      </c>
      <c r="R939">
        <f t="shared" si="88"/>
        <v>39100000</v>
      </c>
      <c r="S939" t="str">
        <f t="shared" si="89"/>
        <v>Strong</v>
      </c>
    </row>
    <row r="940" spans="1:19" x14ac:dyDescent="0.25">
      <c r="A940">
        <v>939</v>
      </c>
      <c r="B940">
        <v>4</v>
      </c>
      <c r="C940" t="s">
        <v>31</v>
      </c>
      <c r="D940" t="s">
        <v>33</v>
      </c>
      <c r="E940">
        <v>1400000</v>
      </c>
      <c r="F940">
        <v>5100000</v>
      </c>
      <c r="G940">
        <v>14</v>
      </c>
      <c r="H940">
        <v>312</v>
      </c>
      <c r="I940">
        <v>4000000</v>
      </c>
      <c r="J940">
        <v>1000000</v>
      </c>
      <c r="K940">
        <v>3200000</v>
      </c>
      <c r="L940">
        <v>1400000</v>
      </c>
      <c r="M940" t="s">
        <v>35</v>
      </c>
      <c r="N940">
        <f t="shared" si="85"/>
        <v>0</v>
      </c>
      <c r="O940" t="str">
        <f t="shared" si="84"/>
        <v>Low</v>
      </c>
      <c r="P940" t="str">
        <f t="shared" si="86"/>
        <v>High</v>
      </c>
      <c r="Q940" t="str">
        <f t="shared" si="87"/>
        <v>Low Loan</v>
      </c>
      <c r="R940">
        <f t="shared" si="88"/>
        <v>9600000</v>
      </c>
      <c r="S940" t="str">
        <f t="shared" si="89"/>
        <v>Moderate</v>
      </c>
    </row>
    <row r="941" spans="1:19" x14ac:dyDescent="0.25">
      <c r="A941">
        <v>940</v>
      </c>
      <c r="B941">
        <v>3</v>
      </c>
      <c r="C941" t="s">
        <v>31</v>
      </c>
      <c r="D941" t="s">
        <v>33</v>
      </c>
      <c r="E941">
        <v>4700000</v>
      </c>
      <c r="F941">
        <v>12800000</v>
      </c>
      <c r="G941">
        <v>16</v>
      </c>
      <c r="H941">
        <v>740</v>
      </c>
      <c r="I941">
        <v>2200000</v>
      </c>
      <c r="J941">
        <v>8600000</v>
      </c>
      <c r="K941">
        <v>11700000</v>
      </c>
      <c r="L941">
        <v>6100000</v>
      </c>
      <c r="M941" t="s">
        <v>34</v>
      </c>
      <c r="N941">
        <f t="shared" si="85"/>
        <v>1</v>
      </c>
      <c r="O941" t="str">
        <f t="shared" si="84"/>
        <v>Good</v>
      </c>
      <c r="P941" t="str">
        <f t="shared" si="86"/>
        <v>High</v>
      </c>
      <c r="Q941" t="str">
        <f t="shared" si="87"/>
        <v>Low Loan</v>
      </c>
      <c r="R941">
        <f t="shared" si="88"/>
        <v>28600000</v>
      </c>
      <c r="S941" t="str">
        <f t="shared" si="89"/>
        <v>Strong</v>
      </c>
    </row>
    <row r="942" spans="1:19" x14ac:dyDescent="0.25">
      <c r="A942">
        <v>941</v>
      </c>
      <c r="B942">
        <v>5</v>
      </c>
      <c r="C942" t="s">
        <v>30</v>
      </c>
      <c r="D942" t="s">
        <v>33</v>
      </c>
      <c r="E942">
        <v>7600000</v>
      </c>
      <c r="F942">
        <v>20000000</v>
      </c>
      <c r="G942">
        <v>10</v>
      </c>
      <c r="H942">
        <v>522</v>
      </c>
      <c r="I942">
        <v>21500000</v>
      </c>
      <c r="J942">
        <v>1400000</v>
      </c>
      <c r="K942">
        <v>20400000</v>
      </c>
      <c r="L942">
        <v>4300000</v>
      </c>
      <c r="M942" t="s">
        <v>35</v>
      </c>
      <c r="N942">
        <f t="shared" si="85"/>
        <v>0</v>
      </c>
      <c r="O942" t="str">
        <f t="shared" si="84"/>
        <v>Low</v>
      </c>
      <c r="P942" t="str">
        <f t="shared" si="86"/>
        <v>High</v>
      </c>
      <c r="Q942" t="str">
        <f t="shared" si="87"/>
        <v>High Loan</v>
      </c>
      <c r="R942">
        <f t="shared" si="88"/>
        <v>47600000</v>
      </c>
      <c r="S942" t="str">
        <f t="shared" si="89"/>
        <v>Strong</v>
      </c>
    </row>
    <row r="943" spans="1:19" x14ac:dyDescent="0.25">
      <c r="A943">
        <v>942</v>
      </c>
      <c r="B943">
        <v>4</v>
      </c>
      <c r="C943" t="s">
        <v>30</v>
      </c>
      <c r="D943" t="s">
        <v>32</v>
      </c>
      <c r="E943">
        <v>7200000</v>
      </c>
      <c r="F943">
        <v>16900000</v>
      </c>
      <c r="G943">
        <v>4</v>
      </c>
      <c r="H943">
        <v>702</v>
      </c>
      <c r="I943">
        <v>15900000</v>
      </c>
      <c r="J943">
        <v>7100000</v>
      </c>
      <c r="K943">
        <v>22000000</v>
      </c>
      <c r="L943">
        <v>9600000</v>
      </c>
      <c r="M943" t="s">
        <v>34</v>
      </c>
      <c r="N943">
        <f t="shared" si="85"/>
        <v>1</v>
      </c>
      <c r="O943" t="str">
        <f t="shared" si="84"/>
        <v>Good</v>
      </c>
      <c r="P943" t="str">
        <f t="shared" si="86"/>
        <v>High</v>
      </c>
      <c r="Q943" t="str">
        <f t="shared" si="87"/>
        <v>Low Loan</v>
      </c>
      <c r="R943">
        <f t="shared" si="88"/>
        <v>54600000</v>
      </c>
      <c r="S943" t="str">
        <f t="shared" si="89"/>
        <v>Strong</v>
      </c>
    </row>
    <row r="944" spans="1:19" x14ac:dyDescent="0.25">
      <c r="A944">
        <v>943</v>
      </c>
      <c r="B944">
        <v>4</v>
      </c>
      <c r="C944" t="s">
        <v>31</v>
      </c>
      <c r="D944" t="s">
        <v>33</v>
      </c>
      <c r="E944">
        <v>1400000</v>
      </c>
      <c r="F944">
        <v>4300000</v>
      </c>
      <c r="G944">
        <v>16</v>
      </c>
      <c r="H944">
        <v>447</v>
      </c>
      <c r="I944">
        <v>3600000</v>
      </c>
      <c r="J944">
        <v>1200000</v>
      </c>
      <c r="K944">
        <v>5300000</v>
      </c>
      <c r="L944">
        <v>1000000</v>
      </c>
      <c r="M944" t="s">
        <v>35</v>
      </c>
      <c r="N944">
        <f t="shared" si="85"/>
        <v>0</v>
      </c>
      <c r="O944" t="str">
        <f t="shared" si="84"/>
        <v>Low</v>
      </c>
      <c r="P944" t="str">
        <f t="shared" si="86"/>
        <v>High</v>
      </c>
      <c r="Q944" t="str">
        <f t="shared" si="87"/>
        <v>Low Loan</v>
      </c>
      <c r="R944">
        <f t="shared" si="88"/>
        <v>11100000</v>
      </c>
      <c r="S944" t="str">
        <f t="shared" si="89"/>
        <v>Strong</v>
      </c>
    </row>
    <row r="945" spans="1:19" x14ac:dyDescent="0.25">
      <c r="A945">
        <v>944</v>
      </c>
      <c r="B945">
        <v>5</v>
      </c>
      <c r="C945" t="s">
        <v>30</v>
      </c>
      <c r="D945" t="s">
        <v>32</v>
      </c>
      <c r="E945">
        <v>1400000</v>
      </c>
      <c r="F945">
        <v>2900000</v>
      </c>
      <c r="G945">
        <v>4</v>
      </c>
      <c r="H945">
        <v>829</v>
      </c>
      <c r="I945">
        <v>800000</v>
      </c>
      <c r="J945">
        <v>600000</v>
      </c>
      <c r="K945">
        <v>5400000</v>
      </c>
      <c r="L945">
        <v>1600000</v>
      </c>
      <c r="M945" t="s">
        <v>34</v>
      </c>
      <c r="N945">
        <f t="shared" si="85"/>
        <v>1</v>
      </c>
      <c r="O945" t="str">
        <f t="shared" si="84"/>
        <v>Excellent</v>
      </c>
      <c r="P945" t="str">
        <f t="shared" si="86"/>
        <v>High</v>
      </c>
      <c r="Q945" t="str">
        <f t="shared" si="87"/>
        <v>Low Loan</v>
      </c>
      <c r="R945">
        <f t="shared" si="88"/>
        <v>8400000</v>
      </c>
      <c r="S945" t="str">
        <f t="shared" si="89"/>
        <v>Moderate</v>
      </c>
    </row>
    <row r="946" spans="1:19" x14ac:dyDescent="0.25">
      <c r="A946">
        <v>945</v>
      </c>
      <c r="B946">
        <v>2</v>
      </c>
      <c r="C946" t="s">
        <v>30</v>
      </c>
      <c r="D946" t="s">
        <v>32</v>
      </c>
      <c r="E946">
        <v>7900000</v>
      </c>
      <c r="F946">
        <v>18500000</v>
      </c>
      <c r="G946">
        <v>18</v>
      </c>
      <c r="H946">
        <v>727</v>
      </c>
      <c r="I946">
        <v>20200000</v>
      </c>
      <c r="J946">
        <v>12400000</v>
      </c>
      <c r="K946">
        <v>19600000</v>
      </c>
      <c r="L946">
        <v>7100000</v>
      </c>
      <c r="M946" t="s">
        <v>34</v>
      </c>
      <c r="N946">
        <f t="shared" si="85"/>
        <v>1</v>
      </c>
      <c r="O946" t="str">
        <f t="shared" si="84"/>
        <v>Good</v>
      </c>
      <c r="P946" t="str">
        <f t="shared" si="86"/>
        <v>High</v>
      </c>
      <c r="Q946" t="str">
        <f t="shared" si="87"/>
        <v>Low Loan</v>
      </c>
      <c r="R946">
        <f t="shared" si="88"/>
        <v>59300000</v>
      </c>
      <c r="S946" t="str">
        <f t="shared" si="89"/>
        <v>Strong</v>
      </c>
    </row>
    <row r="947" spans="1:19" x14ac:dyDescent="0.25">
      <c r="A947">
        <v>946</v>
      </c>
      <c r="B947">
        <v>5</v>
      </c>
      <c r="C947" t="s">
        <v>31</v>
      </c>
      <c r="D947" t="s">
        <v>33</v>
      </c>
      <c r="E947">
        <v>7600000</v>
      </c>
      <c r="F947">
        <v>18700000</v>
      </c>
      <c r="G947">
        <v>14</v>
      </c>
      <c r="H947">
        <v>509</v>
      </c>
      <c r="I947">
        <v>8500000</v>
      </c>
      <c r="J947">
        <v>8500000</v>
      </c>
      <c r="K947">
        <v>22200000</v>
      </c>
      <c r="L947">
        <v>3700000</v>
      </c>
      <c r="M947" t="s">
        <v>35</v>
      </c>
      <c r="N947">
        <f t="shared" si="85"/>
        <v>0</v>
      </c>
      <c r="O947" t="str">
        <f t="shared" si="84"/>
        <v>Low</v>
      </c>
      <c r="P947" t="str">
        <f t="shared" si="86"/>
        <v>High</v>
      </c>
      <c r="Q947" t="str">
        <f t="shared" si="87"/>
        <v>Low Loan</v>
      </c>
      <c r="R947">
        <f t="shared" si="88"/>
        <v>42900000</v>
      </c>
      <c r="S947" t="str">
        <f t="shared" si="89"/>
        <v>Strong</v>
      </c>
    </row>
    <row r="948" spans="1:19" x14ac:dyDescent="0.25">
      <c r="A948">
        <v>947</v>
      </c>
      <c r="B948">
        <v>3</v>
      </c>
      <c r="C948" t="s">
        <v>30</v>
      </c>
      <c r="D948" t="s">
        <v>33</v>
      </c>
      <c r="E948">
        <v>9600000</v>
      </c>
      <c r="F948">
        <v>34200000</v>
      </c>
      <c r="G948">
        <v>2</v>
      </c>
      <c r="H948">
        <v>745</v>
      </c>
      <c r="I948">
        <v>2500000</v>
      </c>
      <c r="J948">
        <v>2000000</v>
      </c>
      <c r="K948">
        <v>33000000</v>
      </c>
      <c r="L948">
        <v>6700000</v>
      </c>
      <c r="M948" t="s">
        <v>34</v>
      </c>
      <c r="N948">
        <f t="shared" si="85"/>
        <v>1</v>
      </c>
      <c r="O948" t="str">
        <f t="shared" si="84"/>
        <v>Good</v>
      </c>
      <c r="P948" t="str">
        <f t="shared" si="86"/>
        <v>High</v>
      </c>
      <c r="Q948" t="str">
        <f t="shared" si="87"/>
        <v>High Loan</v>
      </c>
      <c r="R948">
        <f t="shared" si="88"/>
        <v>44200000</v>
      </c>
      <c r="S948" t="str">
        <f t="shared" si="89"/>
        <v>Strong</v>
      </c>
    </row>
    <row r="949" spans="1:19" x14ac:dyDescent="0.25">
      <c r="A949">
        <v>948</v>
      </c>
      <c r="B949">
        <v>1</v>
      </c>
      <c r="C949" t="s">
        <v>31</v>
      </c>
      <c r="D949" t="s">
        <v>32</v>
      </c>
      <c r="E949">
        <v>2300000</v>
      </c>
      <c r="F949">
        <v>6600000</v>
      </c>
      <c r="G949">
        <v>18</v>
      </c>
      <c r="H949">
        <v>513</v>
      </c>
      <c r="I949">
        <v>4600000</v>
      </c>
      <c r="J949">
        <v>900000</v>
      </c>
      <c r="K949">
        <v>9000000</v>
      </c>
      <c r="L949">
        <v>1600000</v>
      </c>
      <c r="M949" t="s">
        <v>35</v>
      </c>
      <c r="N949">
        <f t="shared" si="85"/>
        <v>0</v>
      </c>
      <c r="O949" t="str">
        <f t="shared" si="84"/>
        <v>Low</v>
      </c>
      <c r="P949" t="str">
        <f t="shared" si="86"/>
        <v>High</v>
      </c>
      <c r="Q949" t="str">
        <f t="shared" si="87"/>
        <v>Low Loan</v>
      </c>
      <c r="R949">
        <f t="shared" si="88"/>
        <v>16100000</v>
      </c>
      <c r="S949" t="str">
        <f t="shared" si="89"/>
        <v>Strong</v>
      </c>
    </row>
    <row r="950" spans="1:19" x14ac:dyDescent="0.25">
      <c r="A950">
        <v>949</v>
      </c>
      <c r="B950">
        <v>2</v>
      </c>
      <c r="C950" t="s">
        <v>31</v>
      </c>
      <c r="D950" t="s">
        <v>32</v>
      </c>
      <c r="E950">
        <v>8100000</v>
      </c>
      <c r="F950">
        <v>18500000</v>
      </c>
      <c r="G950">
        <v>6</v>
      </c>
      <c r="H950">
        <v>372</v>
      </c>
      <c r="I950">
        <v>19100000</v>
      </c>
      <c r="J950">
        <v>10200000</v>
      </c>
      <c r="K950">
        <v>31000000</v>
      </c>
      <c r="L950">
        <v>7900000</v>
      </c>
      <c r="M950" t="s">
        <v>35</v>
      </c>
      <c r="N950">
        <f t="shared" si="85"/>
        <v>0</v>
      </c>
      <c r="O950" t="str">
        <f t="shared" si="84"/>
        <v>Low</v>
      </c>
      <c r="P950" t="str">
        <f t="shared" si="86"/>
        <v>High</v>
      </c>
      <c r="Q950" t="str">
        <f t="shared" si="87"/>
        <v>Low Loan</v>
      </c>
      <c r="R950">
        <f t="shared" si="88"/>
        <v>68200000</v>
      </c>
      <c r="S950" t="str">
        <f t="shared" si="89"/>
        <v>Strong</v>
      </c>
    </row>
    <row r="951" spans="1:19" x14ac:dyDescent="0.25">
      <c r="A951">
        <v>950</v>
      </c>
      <c r="B951">
        <v>2</v>
      </c>
      <c r="C951" t="s">
        <v>30</v>
      </c>
      <c r="D951" t="s">
        <v>33</v>
      </c>
      <c r="E951">
        <v>300000</v>
      </c>
      <c r="F951">
        <v>700000</v>
      </c>
      <c r="G951">
        <v>4</v>
      </c>
      <c r="H951">
        <v>411</v>
      </c>
      <c r="I951">
        <v>600000</v>
      </c>
      <c r="J951">
        <v>0</v>
      </c>
      <c r="K951">
        <v>1200000</v>
      </c>
      <c r="L951">
        <v>100000</v>
      </c>
      <c r="M951" t="s">
        <v>35</v>
      </c>
      <c r="N951">
        <f t="shared" si="85"/>
        <v>0</v>
      </c>
      <c r="O951" t="str">
        <f t="shared" si="84"/>
        <v>Low</v>
      </c>
      <c r="P951" t="str">
        <f t="shared" si="86"/>
        <v>Middle</v>
      </c>
      <c r="Q951" t="str">
        <f t="shared" si="87"/>
        <v>Low Loan</v>
      </c>
      <c r="R951">
        <f t="shared" si="88"/>
        <v>1900000</v>
      </c>
      <c r="S951" t="str">
        <f t="shared" si="89"/>
        <v>Weak</v>
      </c>
    </row>
    <row r="952" spans="1:19" x14ac:dyDescent="0.25">
      <c r="A952">
        <v>951</v>
      </c>
      <c r="B952">
        <v>4</v>
      </c>
      <c r="C952" t="s">
        <v>30</v>
      </c>
      <c r="D952" t="s">
        <v>32</v>
      </c>
      <c r="E952">
        <v>4700000</v>
      </c>
      <c r="F952">
        <v>10800000</v>
      </c>
      <c r="G952">
        <v>20</v>
      </c>
      <c r="H952">
        <v>495</v>
      </c>
      <c r="I952">
        <v>11300000</v>
      </c>
      <c r="J952">
        <v>6800000</v>
      </c>
      <c r="K952">
        <v>17000000</v>
      </c>
      <c r="L952">
        <v>4500000</v>
      </c>
      <c r="M952" t="s">
        <v>35</v>
      </c>
      <c r="N952">
        <f t="shared" si="85"/>
        <v>0</v>
      </c>
      <c r="O952" t="str">
        <f t="shared" si="84"/>
        <v>Low</v>
      </c>
      <c r="P952" t="str">
        <f t="shared" si="86"/>
        <v>High</v>
      </c>
      <c r="Q952" t="str">
        <f t="shared" si="87"/>
        <v>Low Loan</v>
      </c>
      <c r="R952">
        <f t="shared" si="88"/>
        <v>39600000</v>
      </c>
      <c r="S952" t="str">
        <f t="shared" si="89"/>
        <v>Strong</v>
      </c>
    </row>
    <row r="953" spans="1:19" x14ac:dyDescent="0.25">
      <c r="A953">
        <v>952</v>
      </c>
      <c r="B953">
        <v>5</v>
      </c>
      <c r="C953" t="s">
        <v>31</v>
      </c>
      <c r="D953" t="s">
        <v>32</v>
      </c>
      <c r="E953">
        <v>1100000</v>
      </c>
      <c r="F953">
        <v>2500000</v>
      </c>
      <c r="G953">
        <v>4</v>
      </c>
      <c r="H953">
        <v>827</v>
      </c>
      <c r="I953">
        <v>2400000</v>
      </c>
      <c r="J953">
        <v>1000000</v>
      </c>
      <c r="K953">
        <v>4100000</v>
      </c>
      <c r="L953">
        <v>600000</v>
      </c>
      <c r="M953" t="s">
        <v>34</v>
      </c>
      <c r="N953">
        <f t="shared" si="85"/>
        <v>1</v>
      </c>
      <c r="O953" t="str">
        <f t="shared" si="84"/>
        <v>Excellent</v>
      </c>
      <c r="P953" t="str">
        <f t="shared" si="86"/>
        <v>High</v>
      </c>
      <c r="Q953" t="str">
        <f t="shared" si="87"/>
        <v>Low Loan</v>
      </c>
      <c r="R953">
        <f t="shared" si="88"/>
        <v>8100000</v>
      </c>
      <c r="S953" t="str">
        <f t="shared" si="89"/>
        <v>Moderate</v>
      </c>
    </row>
    <row r="954" spans="1:19" x14ac:dyDescent="0.25">
      <c r="A954">
        <v>953</v>
      </c>
      <c r="B954">
        <v>4</v>
      </c>
      <c r="C954" t="s">
        <v>31</v>
      </c>
      <c r="D954" t="s">
        <v>32</v>
      </c>
      <c r="E954">
        <v>8600000</v>
      </c>
      <c r="F954">
        <v>25100000</v>
      </c>
      <c r="G954">
        <v>6</v>
      </c>
      <c r="H954">
        <v>820</v>
      </c>
      <c r="I954">
        <v>14400000</v>
      </c>
      <c r="J954">
        <v>5000000</v>
      </c>
      <c r="K954">
        <v>26000000</v>
      </c>
      <c r="L954">
        <v>8300000</v>
      </c>
      <c r="M954" t="s">
        <v>34</v>
      </c>
      <c r="N954">
        <f t="shared" si="85"/>
        <v>1</v>
      </c>
      <c r="O954" t="str">
        <f t="shared" si="84"/>
        <v>Excellent</v>
      </c>
      <c r="P954" t="str">
        <f t="shared" si="86"/>
        <v>High</v>
      </c>
      <c r="Q954" t="str">
        <f t="shared" si="87"/>
        <v>High Loan</v>
      </c>
      <c r="R954">
        <f t="shared" si="88"/>
        <v>53700000</v>
      </c>
      <c r="S954" t="str">
        <f t="shared" si="89"/>
        <v>Strong</v>
      </c>
    </row>
    <row r="955" spans="1:19" x14ac:dyDescent="0.25">
      <c r="A955">
        <v>954</v>
      </c>
      <c r="B955">
        <v>5</v>
      </c>
      <c r="C955" t="s">
        <v>30</v>
      </c>
      <c r="D955" t="s">
        <v>33</v>
      </c>
      <c r="E955">
        <v>8700000</v>
      </c>
      <c r="F955">
        <v>28100000</v>
      </c>
      <c r="G955">
        <v>10</v>
      </c>
      <c r="H955">
        <v>660</v>
      </c>
      <c r="I955">
        <v>25500000</v>
      </c>
      <c r="J955">
        <v>800000</v>
      </c>
      <c r="K955">
        <v>25900000</v>
      </c>
      <c r="L955">
        <v>10100000</v>
      </c>
      <c r="M955" t="s">
        <v>34</v>
      </c>
      <c r="N955">
        <f t="shared" si="85"/>
        <v>1</v>
      </c>
      <c r="O955" t="str">
        <f t="shared" si="84"/>
        <v>Medium</v>
      </c>
      <c r="P955" t="str">
        <f t="shared" si="86"/>
        <v>High</v>
      </c>
      <c r="Q955" t="str">
        <f t="shared" si="87"/>
        <v>High Loan</v>
      </c>
      <c r="R955">
        <f t="shared" si="88"/>
        <v>62300000</v>
      </c>
      <c r="S955" t="str">
        <f t="shared" si="89"/>
        <v>Strong</v>
      </c>
    </row>
    <row r="956" spans="1:19" x14ac:dyDescent="0.25">
      <c r="A956">
        <v>955</v>
      </c>
      <c r="B956">
        <v>0</v>
      </c>
      <c r="C956" t="s">
        <v>31</v>
      </c>
      <c r="D956" t="s">
        <v>32</v>
      </c>
      <c r="E956">
        <v>2200000</v>
      </c>
      <c r="F956">
        <v>8600000</v>
      </c>
      <c r="G956">
        <v>4</v>
      </c>
      <c r="H956">
        <v>563</v>
      </c>
      <c r="I956">
        <v>900000</v>
      </c>
      <c r="J956">
        <v>1000000</v>
      </c>
      <c r="K956">
        <v>4400000</v>
      </c>
      <c r="L956">
        <v>2800000</v>
      </c>
      <c r="M956" t="s">
        <v>34</v>
      </c>
      <c r="N956">
        <f t="shared" si="85"/>
        <v>1</v>
      </c>
      <c r="O956" t="str">
        <f t="shared" si="84"/>
        <v>Low</v>
      </c>
      <c r="P956" t="str">
        <f t="shared" si="86"/>
        <v>High</v>
      </c>
      <c r="Q956" t="str">
        <f t="shared" si="87"/>
        <v>Low Loan</v>
      </c>
      <c r="R956">
        <f t="shared" si="88"/>
        <v>9100000</v>
      </c>
      <c r="S956" t="str">
        <f t="shared" si="89"/>
        <v>Moderate</v>
      </c>
    </row>
    <row r="957" spans="1:19" x14ac:dyDescent="0.25">
      <c r="A957">
        <v>956</v>
      </c>
      <c r="B957">
        <v>1</v>
      </c>
      <c r="C957" t="s">
        <v>31</v>
      </c>
      <c r="D957" t="s">
        <v>33</v>
      </c>
      <c r="E957">
        <v>500000</v>
      </c>
      <c r="F957">
        <v>1400000</v>
      </c>
      <c r="G957">
        <v>10</v>
      </c>
      <c r="H957">
        <v>883</v>
      </c>
      <c r="I957">
        <v>900000</v>
      </c>
      <c r="J957">
        <v>0</v>
      </c>
      <c r="K957">
        <v>1700000</v>
      </c>
      <c r="L957">
        <v>300000</v>
      </c>
      <c r="M957" t="s">
        <v>34</v>
      </c>
      <c r="N957">
        <f t="shared" si="85"/>
        <v>1</v>
      </c>
      <c r="O957" t="str">
        <f t="shared" si="84"/>
        <v>Excellent</v>
      </c>
      <c r="P957" t="str">
        <f t="shared" si="86"/>
        <v>Middle</v>
      </c>
      <c r="Q957" t="str">
        <f t="shared" si="87"/>
        <v>Low Loan</v>
      </c>
      <c r="R957">
        <f t="shared" si="88"/>
        <v>2900000</v>
      </c>
      <c r="S957" t="str">
        <f t="shared" si="89"/>
        <v>Weak</v>
      </c>
    </row>
    <row r="958" spans="1:19" x14ac:dyDescent="0.25">
      <c r="A958">
        <v>957</v>
      </c>
      <c r="B958">
        <v>0</v>
      </c>
      <c r="C958" t="s">
        <v>31</v>
      </c>
      <c r="D958" t="s">
        <v>33</v>
      </c>
      <c r="E958">
        <v>9100000</v>
      </c>
      <c r="F958">
        <v>22000000</v>
      </c>
      <c r="G958">
        <v>12</v>
      </c>
      <c r="H958">
        <v>387</v>
      </c>
      <c r="I958">
        <v>25300000</v>
      </c>
      <c r="J958">
        <v>15600000</v>
      </c>
      <c r="K958">
        <v>31700000</v>
      </c>
      <c r="L958">
        <v>7000000</v>
      </c>
      <c r="M958" t="s">
        <v>35</v>
      </c>
      <c r="N958">
        <f t="shared" si="85"/>
        <v>0</v>
      </c>
      <c r="O958" t="str">
        <f t="shared" si="84"/>
        <v>Low</v>
      </c>
      <c r="P958" t="str">
        <f t="shared" si="86"/>
        <v>High</v>
      </c>
      <c r="Q958" t="str">
        <f t="shared" si="87"/>
        <v>High Loan</v>
      </c>
      <c r="R958">
        <f t="shared" si="88"/>
        <v>79600000</v>
      </c>
      <c r="S958" t="str">
        <f t="shared" si="89"/>
        <v>Strong</v>
      </c>
    </row>
    <row r="959" spans="1:19" x14ac:dyDescent="0.25">
      <c r="A959">
        <v>958</v>
      </c>
      <c r="B959">
        <v>1</v>
      </c>
      <c r="C959" t="s">
        <v>30</v>
      </c>
      <c r="D959" t="s">
        <v>32</v>
      </c>
      <c r="E959">
        <v>2200000</v>
      </c>
      <c r="F959">
        <v>8700000</v>
      </c>
      <c r="G959">
        <v>12</v>
      </c>
      <c r="H959">
        <v>613</v>
      </c>
      <c r="I959">
        <v>500000</v>
      </c>
      <c r="J959">
        <v>1800000</v>
      </c>
      <c r="K959">
        <v>5700000</v>
      </c>
      <c r="L959">
        <v>2400000</v>
      </c>
      <c r="M959" t="s">
        <v>34</v>
      </c>
      <c r="N959">
        <f t="shared" si="85"/>
        <v>1</v>
      </c>
      <c r="O959" t="str">
        <f t="shared" si="84"/>
        <v>Low</v>
      </c>
      <c r="P959" t="str">
        <f t="shared" si="86"/>
        <v>High</v>
      </c>
      <c r="Q959" t="str">
        <f t="shared" si="87"/>
        <v>Low Loan</v>
      </c>
      <c r="R959">
        <f t="shared" si="88"/>
        <v>10400000</v>
      </c>
      <c r="S959" t="str">
        <f t="shared" si="89"/>
        <v>Strong</v>
      </c>
    </row>
    <row r="960" spans="1:19" x14ac:dyDescent="0.25">
      <c r="A960">
        <v>959</v>
      </c>
      <c r="B960">
        <v>0</v>
      </c>
      <c r="C960" t="s">
        <v>31</v>
      </c>
      <c r="D960" t="s">
        <v>33</v>
      </c>
      <c r="E960">
        <v>2200000</v>
      </c>
      <c r="F960">
        <v>8000000</v>
      </c>
      <c r="G960">
        <v>14</v>
      </c>
      <c r="H960">
        <v>335</v>
      </c>
      <c r="I960">
        <v>2800000</v>
      </c>
      <c r="J960">
        <v>3700000</v>
      </c>
      <c r="K960">
        <v>6900000</v>
      </c>
      <c r="L960">
        <v>2900000</v>
      </c>
      <c r="M960" t="s">
        <v>35</v>
      </c>
      <c r="N960">
        <f t="shared" si="85"/>
        <v>0</v>
      </c>
      <c r="O960" t="str">
        <f t="shared" si="84"/>
        <v>Low</v>
      </c>
      <c r="P960" t="str">
        <f t="shared" si="86"/>
        <v>High</v>
      </c>
      <c r="Q960" t="str">
        <f t="shared" si="87"/>
        <v>Low Loan</v>
      </c>
      <c r="R960">
        <f t="shared" si="88"/>
        <v>16300000</v>
      </c>
      <c r="S960" t="str">
        <f t="shared" si="89"/>
        <v>Strong</v>
      </c>
    </row>
    <row r="961" spans="1:19" x14ac:dyDescent="0.25">
      <c r="A961">
        <v>960</v>
      </c>
      <c r="B961">
        <v>1</v>
      </c>
      <c r="C961" t="s">
        <v>30</v>
      </c>
      <c r="D961" t="s">
        <v>33</v>
      </c>
      <c r="E961">
        <v>9600000</v>
      </c>
      <c r="F961">
        <v>34500000</v>
      </c>
      <c r="G961">
        <v>2</v>
      </c>
      <c r="H961">
        <v>795</v>
      </c>
      <c r="I961">
        <v>9500000</v>
      </c>
      <c r="J961">
        <v>900000</v>
      </c>
      <c r="K961">
        <v>32000000</v>
      </c>
      <c r="L961">
        <v>9300000</v>
      </c>
      <c r="M961" t="s">
        <v>34</v>
      </c>
      <c r="N961">
        <f t="shared" si="85"/>
        <v>1</v>
      </c>
      <c r="O961" t="str">
        <f t="shared" si="84"/>
        <v>Excellent</v>
      </c>
      <c r="P961" t="str">
        <f t="shared" si="86"/>
        <v>High</v>
      </c>
      <c r="Q961" t="str">
        <f t="shared" si="87"/>
        <v>High Loan</v>
      </c>
      <c r="R961">
        <f t="shared" si="88"/>
        <v>51700000</v>
      </c>
      <c r="S961" t="str">
        <f t="shared" si="89"/>
        <v>Strong</v>
      </c>
    </row>
    <row r="962" spans="1:19" x14ac:dyDescent="0.25">
      <c r="A962">
        <v>961</v>
      </c>
      <c r="B962">
        <v>1</v>
      </c>
      <c r="C962" t="s">
        <v>30</v>
      </c>
      <c r="D962" t="s">
        <v>33</v>
      </c>
      <c r="E962">
        <v>6500000</v>
      </c>
      <c r="F962">
        <v>13900000</v>
      </c>
      <c r="G962">
        <v>8</v>
      </c>
      <c r="H962">
        <v>369</v>
      </c>
      <c r="I962">
        <v>9600000</v>
      </c>
      <c r="J962">
        <v>300000</v>
      </c>
      <c r="K962">
        <v>17200000</v>
      </c>
      <c r="L962">
        <v>8300000</v>
      </c>
      <c r="M962" t="s">
        <v>35</v>
      </c>
      <c r="N962">
        <f t="shared" si="85"/>
        <v>0</v>
      </c>
      <c r="O962" t="str">
        <f t="shared" ref="O962:O1025" si="90">IF(H962&lt;650,"Low",
 IF(H962&lt;700,"Medium",
 IF(H962&lt;750,"Good","Excellent")))</f>
        <v>Low</v>
      </c>
      <c r="P962" t="str">
        <f t="shared" si="86"/>
        <v>High</v>
      </c>
      <c r="Q962" t="str">
        <f t="shared" si="87"/>
        <v>Low Loan</v>
      </c>
      <c r="R962">
        <f t="shared" si="88"/>
        <v>35400000</v>
      </c>
      <c r="S962" t="str">
        <f t="shared" si="89"/>
        <v>Strong</v>
      </c>
    </row>
    <row r="963" spans="1:19" x14ac:dyDescent="0.25">
      <c r="A963">
        <v>962</v>
      </c>
      <c r="B963">
        <v>4</v>
      </c>
      <c r="C963" t="s">
        <v>30</v>
      </c>
      <c r="D963" t="s">
        <v>33</v>
      </c>
      <c r="E963">
        <v>2400000</v>
      </c>
      <c r="F963">
        <v>7400000</v>
      </c>
      <c r="G963">
        <v>18</v>
      </c>
      <c r="H963">
        <v>888</v>
      </c>
      <c r="I963">
        <v>2700000</v>
      </c>
      <c r="J963">
        <v>1600000</v>
      </c>
      <c r="K963">
        <v>7600000</v>
      </c>
      <c r="L963">
        <v>3200000</v>
      </c>
      <c r="M963" t="s">
        <v>34</v>
      </c>
      <c r="N963">
        <f t="shared" ref="N963:N1026" si="91">IF(TRIM(CLEAN(M963))="Approved",1,0)</f>
        <v>1</v>
      </c>
      <c r="O963" t="str">
        <f t="shared" si="90"/>
        <v>Excellent</v>
      </c>
      <c r="P963" t="str">
        <f t="shared" ref="P963:P1026" si="92">IF(E963&lt;300000,"Low",
 IF(E963&lt;700000,"Middle","High"))</f>
        <v>High</v>
      </c>
      <c r="Q963" t="str">
        <f t="shared" ref="Q963:Q1026" si="93">IF(F963&lt;20000000,"Low Loan","High Loan")</f>
        <v>Low Loan</v>
      </c>
      <c r="R963">
        <f t="shared" ref="R963:R1026" si="94">I963+J963+K963+L963</f>
        <v>15100000</v>
      </c>
      <c r="S963" t="str">
        <f t="shared" ref="S963:S1026" si="95">IF(R963&lt;5000000,"Weak",
 IF(R963&lt;10000000,"Moderate","Strong"))</f>
        <v>Strong</v>
      </c>
    </row>
    <row r="964" spans="1:19" x14ac:dyDescent="0.25">
      <c r="A964">
        <v>963</v>
      </c>
      <c r="B964">
        <v>4</v>
      </c>
      <c r="C964" t="s">
        <v>31</v>
      </c>
      <c r="D964" t="s">
        <v>32</v>
      </c>
      <c r="E964">
        <v>5500000</v>
      </c>
      <c r="F964">
        <v>12300000</v>
      </c>
      <c r="G964">
        <v>6</v>
      </c>
      <c r="H964">
        <v>742</v>
      </c>
      <c r="I964">
        <v>12900000</v>
      </c>
      <c r="J964">
        <v>2700000</v>
      </c>
      <c r="K964">
        <v>19800000</v>
      </c>
      <c r="L964">
        <v>4300000</v>
      </c>
      <c r="M964" t="s">
        <v>34</v>
      </c>
      <c r="N964">
        <f t="shared" si="91"/>
        <v>1</v>
      </c>
      <c r="O964" t="str">
        <f t="shared" si="90"/>
        <v>Good</v>
      </c>
      <c r="P964" t="str">
        <f t="shared" si="92"/>
        <v>High</v>
      </c>
      <c r="Q964" t="str">
        <f t="shared" si="93"/>
        <v>Low Loan</v>
      </c>
      <c r="R964">
        <f t="shared" si="94"/>
        <v>39700000</v>
      </c>
      <c r="S964" t="str">
        <f t="shared" si="95"/>
        <v>Strong</v>
      </c>
    </row>
    <row r="965" spans="1:19" x14ac:dyDescent="0.25">
      <c r="A965">
        <v>964</v>
      </c>
      <c r="B965">
        <v>0</v>
      </c>
      <c r="C965" t="s">
        <v>30</v>
      </c>
      <c r="D965" t="s">
        <v>32</v>
      </c>
      <c r="E965">
        <v>5000000</v>
      </c>
      <c r="F965">
        <v>14400000</v>
      </c>
      <c r="G965">
        <v>4</v>
      </c>
      <c r="H965">
        <v>874</v>
      </c>
      <c r="I965">
        <v>3000000</v>
      </c>
      <c r="J965">
        <v>9300000</v>
      </c>
      <c r="K965">
        <v>14100000</v>
      </c>
      <c r="L965">
        <v>3900000</v>
      </c>
      <c r="M965" t="s">
        <v>34</v>
      </c>
      <c r="N965">
        <f t="shared" si="91"/>
        <v>1</v>
      </c>
      <c r="O965" t="str">
        <f t="shared" si="90"/>
        <v>Excellent</v>
      </c>
      <c r="P965" t="str">
        <f t="shared" si="92"/>
        <v>High</v>
      </c>
      <c r="Q965" t="str">
        <f t="shared" si="93"/>
        <v>Low Loan</v>
      </c>
      <c r="R965">
        <f t="shared" si="94"/>
        <v>30300000</v>
      </c>
      <c r="S965" t="str">
        <f t="shared" si="95"/>
        <v>Strong</v>
      </c>
    </row>
    <row r="966" spans="1:19" x14ac:dyDescent="0.25">
      <c r="A966">
        <v>965</v>
      </c>
      <c r="B966">
        <v>1</v>
      </c>
      <c r="C966" t="s">
        <v>30</v>
      </c>
      <c r="D966" t="s">
        <v>32</v>
      </c>
      <c r="E966">
        <v>2700000</v>
      </c>
      <c r="F966">
        <v>8100000</v>
      </c>
      <c r="G966">
        <v>16</v>
      </c>
      <c r="H966">
        <v>691</v>
      </c>
      <c r="I966">
        <v>2000000</v>
      </c>
      <c r="J966">
        <v>3600000</v>
      </c>
      <c r="K966">
        <v>8100000</v>
      </c>
      <c r="L966">
        <v>2100000</v>
      </c>
      <c r="M966" t="s">
        <v>34</v>
      </c>
      <c r="N966">
        <f t="shared" si="91"/>
        <v>1</v>
      </c>
      <c r="O966" t="str">
        <f t="shared" si="90"/>
        <v>Medium</v>
      </c>
      <c r="P966" t="str">
        <f t="shared" si="92"/>
        <v>High</v>
      </c>
      <c r="Q966" t="str">
        <f t="shared" si="93"/>
        <v>Low Loan</v>
      </c>
      <c r="R966">
        <f t="shared" si="94"/>
        <v>15800000</v>
      </c>
      <c r="S966" t="str">
        <f t="shared" si="95"/>
        <v>Strong</v>
      </c>
    </row>
    <row r="967" spans="1:19" x14ac:dyDescent="0.25">
      <c r="A967">
        <v>966</v>
      </c>
      <c r="B967">
        <v>3</v>
      </c>
      <c r="C967" t="s">
        <v>31</v>
      </c>
      <c r="D967" t="s">
        <v>33</v>
      </c>
      <c r="E967">
        <v>8500000</v>
      </c>
      <c r="F967">
        <v>30300000</v>
      </c>
      <c r="G967">
        <v>12</v>
      </c>
      <c r="H967">
        <v>762</v>
      </c>
      <c r="I967">
        <v>12700000</v>
      </c>
      <c r="J967">
        <v>3700000</v>
      </c>
      <c r="K967">
        <v>20000000</v>
      </c>
      <c r="L967">
        <v>4200000</v>
      </c>
      <c r="M967" t="s">
        <v>34</v>
      </c>
      <c r="N967">
        <f t="shared" si="91"/>
        <v>1</v>
      </c>
      <c r="O967" t="str">
        <f t="shared" si="90"/>
        <v>Excellent</v>
      </c>
      <c r="P967" t="str">
        <f t="shared" si="92"/>
        <v>High</v>
      </c>
      <c r="Q967" t="str">
        <f t="shared" si="93"/>
        <v>High Loan</v>
      </c>
      <c r="R967">
        <f t="shared" si="94"/>
        <v>40600000</v>
      </c>
      <c r="S967" t="str">
        <f t="shared" si="95"/>
        <v>Strong</v>
      </c>
    </row>
    <row r="968" spans="1:19" x14ac:dyDescent="0.25">
      <c r="A968">
        <v>967</v>
      </c>
      <c r="B968">
        <v>1</v>
      </c>
      <c r="C968" t="s">
        <v>30</v>
      </c>
      <c r="D968" t="s">
        <v>32</v>
      </c>
      <c r="E968">
        <v>4400000</v>
      </c>
      <c r="F968">
        <v>10700000</v>
      </c>
      <c r="G968">
        <v>18</v>
      </c>
      <c r="H968">
        <v>324</v>
      </c>
      <c r="I968">
        <v>2200000</v>
      </c>
      <c r="J968">
        <v>3300000</v>
      </c>
      <c r="K968">
        <v>12700000</v>
      </c>
      <c r="L968">
        <v>5400000</v>
      </c>
      <c r="M968" t="s">
        <v>35</v>
      </c>
      <c r="N968">
        <f t="shared" si="91"/>
        <v>0</v>
      </c>
      <c r="O968" t="str">
        <f t="shared" si="90"/>
        <v>Low</v>
      </c>
      <c r="P968" t="str">
        <f t="shared" si="92"/>
        <v>High</v>
      </c>
      <c r="Q968" t="str">
        <f t="shared" si="93"/>
        <v>Low Loan</v>
      </c>
      <c r="R968">
        <f t="shared" si="94"/>
        <v>23600000</v>
      </c>
      <c r="S968" t="str">
        <f t="shared" si="95"/>
        <v>Strong</v>
      </c>
    </row>
    <row r="969" spans="1:19" x14ac:dyDescent="0.25">
      <c r="A969">
        <v>968</v>
      </c>
      <c r="B969">
        <v>4</v>
      </c>
      <c r="C969" t="s">
        <v>31</v>
      </c>
      <c r="D969" t="s">
        <v>32</v>
      </c>
      <c r="E969">
        <v>500000</v>
      </c>
      <c r="F969">
        <v>1800000</v>
      </c>
      <c r="G969">
        <v>20</v>
      </c>
      <c r="H969">
        <v>777</v>
      </c>
      <c r="I969">
        <v>900000</v>
      </c>
      <c r="J969">
        <v>300000</v>
      </c>
      <c r="K969">
        <v>1300000</v>
      </c>
      <c r="L969">
        <v>200000</v>
      </c>
      <c r="M969" t="s">
        <v>34</v>
      </c>
      <c r="N969">
        <f t="shared" si="91"/>
        <v>1</v>
      </c>
      <c r="O969" t="str">
        <f t="shared" si="90"/>
        <v>Excellent</v>
      </c>
      <c r="P969" t="str">
        <f t="shared" si="92"/>
        <v>Middle</v>
      </c>
      <c r="Q969" t="str">
        <f t="shared" si="93"/>
        <v>Low Loan</v>
      </c>
      <c r="R969">
        <f t="shared" si="94"/>
        <v>2700000</v>
      </c>
      <c r="S969" t="str">
        <f t="shared" si="95"/>
        <v>Weak</v>
      </c>
    </row>
    <row r="970" spans="1:19" x14ac:dyDescent="0.25">
      <c r="A970">
        <v>969</v>
      </c>
      <c r="B970">
        <v>0</v>
      </c>
      <c r="C970" t="s">
        <v>30</v>
      </c>
      <c r="D970" t="s">
        <v>32</v>
      </c>
      <c r="E970">
        <v>8300000</v>
      </c>
      <c r="F970">
        <v>21400000</v>
      </c>
      <c r="G970">
        <v>2</v>
      </c>
      <c r="H970">
        <v>662</v>
      </c>
      <c r="I970">
        <v>6100000</v>
      </c>
      <c r="J970">
        <v>12300000</v>
      </c>
      <c r="K970">
        <v>24500000</v>
      </c>
      <c r="L970">
        <v>10200000</v>
      </c>
      <c r="M970" t="s">
        <v>34</v>
      </c>
      <c r="N970">
        <f t="shared" si="91"/>
        <v>1</v>
      </c>
      <c r="O970" t="str">
        <f t="shared" si="90"/>
        <v>Medium</v>
      </c>
      <c r="P970" t="str">
        <f t="shared" si="92"/>
        <v>High</v>
      </c>
      <c r="Q970" t="str">
        <f t="shared" si="93"/>
        <v>High Loan</v>
      </c>
      <c r="R970">
        <f t="shared" si="94"/>
        <v>53100000</v>
      </c>
      <c r="S970" t="str">
        <f t="shared" si="95"/>
        <v>Strong</v>
      </c>
    </row>
    <row r="971" spans="1:19" x14ac:dyDescent="0.25">
      <c r="A971">
        <v>970</v>
      </c>
      <c r="B971">
        <v>2</v>
      </c>
      <c r="C971" t="s">
        <v>31</v>
      </c>
      <c r="D971" t="s">
        <v>33</v>
      </c>
      <c r="E971">
        <v>6000000</v>
      </c>
      <c r="F971">
        <v>13000000</v>
      </c>
      <c r="G971">
        <v>12</v>
      </c>
      <c r="H971">
        <v>462</v>
      </c>
      <c r="I971">
        <v>2100000</v>
      </c>
      <c r="J971">
        <v>2500000</v>
      </c>
      <c r="K971">
        <v>14600000</v>
      </c>
      <c r="L971">
        <v>5600000</v>
      </c>
      <c r="M971" t="s">
        <v>35</v>
      </c>
      <c r="N971">
        <f t="shared" si="91"/>
        <v>0</v>
      </c>
      <c r="O971" t="str">
        <f t="shared" si="90"/>
        <v>Low</v>
      </c>
      <c r="P971" t="str">
        <f t="shared" si="92"/>
        <v>High</v>
      </c>
      <c r="Q971" t="str">
        <f t="shared" si="93"/>
        <v>Low Loan</v>
      </c>
      <c r="R971">
        <f t="shared" si="94"/>
        <v>24800000</v>
      </c>
      <c r="S971" t="str">
        <f t="shared" si="95"/>
        <v>Strong</v>
      </c>
    </row>
    <row r="972" spans="1:19" x14ac:dyDescent="0.25">
      <c r="A972">
        <v>971</v>
      </c>
      <c r="B972">
        <v>3</v>
      </c>
      <c r="C972" t="s">
        <v>31</v>
      </c>
      <c r="D972" t="s">
        <v>33</v>
      </c>
      <c r="E972">
        <v>4000000</v>
      </c>
      <c r="F972">
        <v>10400000</v>
      </c>
      <c r="G972">
        <v>14</v>
      </c>
      <c r="H972">
        <v>609</v>
      </c>
      <c r="I972">
        <v>2100000</v>
      </c>
      <c r="J972">
        <v>6900000</v>
      </c>
      <c r="K972">
        <v>11700000</v>
      </c>
      <c r="L972">
        <v>4600000</v>
      </c>
      <c r="M972" t="s">
        <v>34</v>
      </c>
      <c r="N972">
        <f t="shared" si="91"/>
        <v>1</v>
      </c>
      <c r="O972" t="str">
        <f t="shared" si="90"/>
        <v>Low</v>
      </c>
      <c r="P972" t="str">
        <f t="shared" si="92"/>
        <v>High</v>
      </c>
      <c r="Q972" t="str">
        <f t="shared" si="93"/>
        <v>Low Loan</v>
      </c>
      <c r="R972">
        <f t="shared" si="94"/>
        <v>25300000</v>
      </c>
      <c r="S972" t="str">
        <f t="shared" si="95"/>
        <v>Strong</v>
      </c>
    </row>
    <row r="973" spans="1:19" x14ac:dyDescent="0.25">
      <c r="A973">
        <v>972</v>
      </c>
      <c r="B973">
        <v>5</v>
      </c>
      <c r="C973" t="s">
        <v>30</v>
      </c>
      <c r="D973" t="s">
        <v>33</v>
      </c>
      <c r="E973">
        <v>4400000</v>
      </c>
      <c r="F973">
        <v>11700000</v>
      </c>
      <c r="G973">
        <v>20</v>
      </c>
      <c r="H973">
        <v>590</v>
      </c>
      <c r="I973">
        <v>900000</v>
      </c>
      <c r="J973">
        <v>2700000</v>
      </c>
      <c r="K973">
        <v>15500000</v>
      </c>
      <c r="L973">
        <v>2300000</v>
      </c>
      <c r="M973" t="s">
        <v>34</v>
      </c>
      <c r="N973">
        <f t="shared" si="91"/>
        <v>1</v>
      </c>
      <c r="O973" t="str">
        <f t="shared" si="90"/>
        <v>Low</v>
      </c>
      <c r="P973" t="str">
        <f t="shared" si="92"/>
        <v>High</v>
      </c>
      <c r="Q973" t="str">
        <f t="shared" si="93"/>
        <v>Low Loan</v>
      </c>
      <c r="R973">
        <f t="shared" si="94"/>
        <v>21400000</v>
      </c>
      <c r="S973" t="str">
        <f t="shared" si="95"/>
        <v>Strong</v>
      </c>
    </row>
    <row r="974" spans="1:19" x14ac:dyDescent="0.25">
      <c r="A974">
        <v>973</v>
      </c>
      <c r="B974">
        <v>3</v>
      </c>
      <c r="C974" t="s">
        <v>30</v>
      </c>
      <c r="D974" t="s">
        <v>33</v>
      </c>
      <c r="E974">
        <v>4400000</v>
      </c>
      <c r="F974">
        <v>15800000</v>
      </c>
      <c r="G974">
        <v>18</v>
      </c>
      <c r="H974">
        <v>779</v>
      </c>
      <c r="I974">
        <v>7200000</v>
      </c>
      <c r="J974">
        <v>5400000</v>
      </c>
      <c r="K974">
        <v>14900000</v>
      </c>
      <c r="L974">
        <v>3600000</v>
      </c>
      <c r="M974" t="s">
        <v>34</v>
      </c>
      <c r="N974">
        <f t="shared" si="91"/>
        <v>1</v>
      </c>
      <c r="O974" t="str">
        <f t="shared" si="90"/>
        <v>Excellent</v>
      </c>
      <c r="P974" t="str">
        <f t="shared" si="92"/>
        <v>High</v>
      </c>
      <c r="Q974" t="str">
        <f t="shared" si="93"/>
        <v>Low Loan</v>
      </c>
      <c r="R974">
        <f t="shared" si="94"/>
        <v>31100000</v>
      </c>
      <c r="S974" t="str">
        <f t="shared" si="95"/>
        <v>Strong</v>
      </c>
    </row>
    <row r="975" spans="1:19" x14ac:dyDescent="0.25">
      <c r="A975">
        <v>974</v>
      </c>
      <c r="B975">
        <v>2</v>
      </c>
      <c r="C975" t="s">
        <v>30</v>
      </c>
      <c r="D975" t="s">
        <v>33</v>
      </c>
      <c r="E975">
        <v>1900000</v>
      </c>
      <c r="F975">
        <v>5000000</v>
      </c>
      <c r="G975">
        <v>14</v>
      </c>
      <c r="H975">
        <v>641</v>
      </c>
      <c r="I975">
        <v>1000000</v>
      </c>
      <c r="J975">
        <v>900000</v>
      </c>
      <c r="K975">
        <v>5500000</v>
      </c>
      <c r="L975">
        <v>2400000</v>
      </c>
      <c r="M975" t="s">
        <v>34</v>
      </c>
      <c r="N975">
        <f t="shared" si="91"/>
        <v>1</v>
      </c>
      <c r="O975" t="str">
        <f t="shared" si="90"/>
        <v>Low</v>
      </c>
      <c r="P975" t="str">
        <f t="shared" si="92"/>
        <v>High</v>
      </c>
      <c r="Q975" t="str">
        <f t="shared" si="93"/>
        <v>Low Loan</v>
      </c>
      <c r="R975">
        <f t="shared" si="94"/>
        <v>9800000</v>
      </c>
      <c r="S975" t="str">
        <f t="shared" si="95"/>
        <v>Moderate</v>
      </c>
    </row>
    <row r="976" spans="1:19" x14ac:dyDescent="0.25">
      <c r="A976">
        <v>975</v>
      </c>
      <c r="B976">
        <v>0</v>
      </c>
      <c r="C976" t="s">
        <v>30</v>
      </c>
      <c r="D976" t="s">
        <v>33</v>
      </c>
      <c r="E976">
        <v>5000000</v>
      </c>
      <c r="F976">
        <v>18400000</v>
      </c>
      <c r="G976">
        <v>12</v>
      </c>
      <c r="H976">
        <v>752</v>
      </c>
      <c r="I976">
        <v>14600000</v>
      </c>
      <c r="J976">
        <v>4000000</v>
      </c>
      <c r="K976">
        <v>10500000</v>
      </c>
      <c r="L976">
        <v>6500000</v>
      </c>
      <c r="M976" t="s">
        <v>34</v>
      </c>
      <c r="N976">
        <f t="shared" si="91"/>
        <v>1</v>
      </c>
      <c r="O976" t="str">
        <f t="shared" si="90"/>
        <v>Excellent</v>
      </c>
      <c r="P976" t="str">
        <f t="shared" si="92"/>
        <v>High</v>
      </c>
      <c r="Q976" t="str">
        <f t="shared" si="93"/>
        <v>Low Loan</v>
      </c>
      <c r="R976">
        <f t="shared" si="94"/>
        <v>35600000</v>
      </c>
      <c r="S976" t="str">
        <f t="shared" si="95"/>
        <v>Strong</v>
      </c>
    </row>
    <row r="977" spans="1:19" x14ac:dyDescent="0.25">
      <c r="A977">
        <v>976</v>
      </c>
      <c r="B977">
        <v>0</v>
      </c>
      <c r="C977" t="s">
        <v>30</v>
      </c>
      <c r="D977" t="s">
        <v>32</v>
      </c>
      <c r="E977">
        <v>8000000</v>
      </c>
      <c r="F977">
        <v>23700000</v>
      </c>
      <c r="G977">
        <v>10</v>
      </c>
      <c r="H977">
        <v>305</v>
      </c>
      <c r="I977">
        <v>22200000</v>
      </c>
      <c r="J977">
        <v>11600000</v>
      </c>
      <c r="K977">
        <v>17200000</v>
      </c>
      <c r="L977">
        <v>12000000</v>
      </c>
      <c r="M977" t="s">
        <v>35</v>
      </c>
      <c r="N977">
        <f t="shared" si="91"/>
        <v>0</v>
      </c>
      <c r="O977" t="str">
        <f t="shared" si="90"/>
        <v>Low</v>
      </c>
      <c r="P977" t="str">
        <f t="shared" si="92"/>
        <v>High</v>
      </c>
      <c r="Q977" t="str">
        <f t="shared" si="93"/>
        <v>High Loan</v>
      </c>
      <c r="R977">
        <f t="shared" si="94"/>
        <v>63000000</v>
      </c>
      <c r="S977" t="str">
        <f t="shared" si="95"/>
        <v>Strong</v>
      </c>
    </row>
    <row r="978" spans="1:19" x14ac:dyDescent="0.25">
      <c r="A978">
        <v>977</v>
      </c>
      <c r="B978">
        <v>4</v>
      </c>
      <c r="C978" t="s">
        <v>31</v>
      </c>
      <c r="D978" t="s">
        <v>32</v>
      </c>
      <c r="E978">
        <v>8200000</v>
      </c>
      <c r="F978">
        <v>20700000</v>
      </c>
      <c r="G978">
        <v>10</v>
      </c>
      <c r="H978">
        <v>546</v>
      </c>
      <c r="I978">
        <v>10800000</v>
      </c>
      <c r="J978">
        <v>7000000</v>
      </c>
      <c r="K978">
        <v>25000000</v>
      </c>
      <c r="L978">
        <v>10600000</v>
      </c>
      <c r="M978" t="s">
        <v>35</v>
      </c>
      <c r="N978">
        <f t="shared" si="91"/>
        <v>0</v>
      </c>
      <c r="O978" t="str">
        <f t="shared" si="90"/>
        <v>Low</v>
      </c>
      <c r="P978" t="str">
        <f t="shared" si="92"/>
        <v>High</v>
      </c>
      <c r="Q978" t="str">
        <f t="shared" si="93"/>
        <v>High Loan</v>
      </c>
      <c r="R978">
        <f t="shared" si="94"/>
        <v>53400000</v>
      </c>
      <c r="S978" t="str">
        <f t="shared" si="95"/>
        <v>Strong</v>
      </c>
    </row>
    <row r="979" spans="1:19" x14ac:dyDescent="0.25">
      <c r="A979">
        <v>978</v>
      </c>
      <c r="B979">
        <v>2</v>
      </c>
      <c r="C979" t="s">
        <v>30</v>
      </c>
      <c r="D979" t="s">
        <v>32</v>
      </c>
      <c r="E979">
        <v>7000000</v>
      </c>
      <c r="F979">
        <v>24200000</v>
      </c>
      <c r="G979">
        <v>8</v>
      </c>
      <c r="H979">
        <v>833</v>
      </c>
      <c r="I979">
        <v>13700000</v>
      </c>
      <c r="J979">
        <v>4100000</v>
      </c>
      <c r="K979">
        <v>26100000</v>
      </c>
      <c r="L979">
        <v>9100000</v>
      </c>
      <c r="M979" t="s">
        <v>34</v>
      </c>
      <c r="N979">
        <f t="shared" si="91"/>
        <v>1</v>
      </c>
      <c r="O979" t="str">
        <f t="shared" si="90"/>
        <v>Excellent</v>
      </c>
      <c r="P979" t="str">
        <f t="shared" si="92"/>
        <v>High</v>
      </c>
      <c r="Q979" t="str">
        <f t="shared" si="93"/>
        <v>High Loan</v>
      </c>
      <c r="R979">
        <f t="shared" si="94"/>
        <v>53000000</v>
      </c>
      <c r="S979" t="str">
        <f t="shared" si="95"/>
        <v>Strong</v>
      </c>
    </row>
    <row r="980" spans="1:19" x14ac:dyDescent="0.25">
      <c r="A980">
        <v>979</v>
      </c>
      <c r="B980">
        <v>2</v>
      </c>
      <c r="C980" t="s">
        <v>31</v>
      </c>
      <c r="D980" t="s">
        <v>32</v>
      </c>
      <c r="E980">
        <v>2400000</v>
      </c>
      <c r="F980">
        <v>8800000</v>
      </c>
      <c r="G980">
        <v>18</v>
      </c>
      <c r="H980">
        <v>421</v>
      </c>
      <c r="I980">
        <v>3200000</v>
      </c>
      <c r="J980">
        <v>1500000</v>
      </c>
      <c r="K980">
        <v>6700000</v>
      </c>
      <c r="L980">
        <v>1400000</v>
      </c>
      <c r="M980" t="s">
        <v>35</v>
      </c>
      <c r="N980">
        <f t="shared" si="91"/>
        <v>0</v>
      </c>
      <c r="O980" t="str">
        <f t="shared" si="90"/>
        <v>Low</v>
      </c>
      <c r="P980" t="str">
        <f t="shared" si="92"/>
        <v>High</v>
      </c>
      <c r="Q980" t="str">
        <f t="shared" si="93"/>
        <v>Low Loan</v>
      </c>
      <c r="R980">
        <f t="shared" si="94"/>
        <v>12800000</v>
      </c>
      <c r="S980" t="str">
        <f t="shared" si="95"/>
        <v>Strong</v>
      </c>
    </row>
    <row r="981" spans="1:19" x14ac:dyDescent="0.25">
      <c r="A981">
        <v>980</v>
      </c>
      <c r="B981">
        <v>5</v>
      </c>
      <c r="C981" t="s">
        <v>30</v>
      </c>
      <c r="D981" t="s">
        <v>32</v>
      </c>
      <c r="E981">
        <v>6600000</v>
      </c>
      <c r="F981">
        <v>18800000</v>
      </c>
      <c r="G981">
        <v>4</v>
      </c>
      <c r="H981">
        <v>639</v>
      </c>
      <c r="I981">
        <v>3200000</v>
      </c>
      <c r="J981">
        <v>1100000</v>
      </c>
      <c r="K981">
        <v>25100000</v>
      </c>
      <c r="L981">
        <v>4300000</v>
      </c>
      <c r="M981" t="s">
        <v>34</v>
      </c>
      <c r="N981">
        <f t="shared" si="91"/>
        <v>1</v>
      </c>
      <c r="O981" t="str">
        <f t="shared" si="90"/>
        <v>Low</v>
      </c>
      <c r="P981" t="str">
        <f t="shared" si="92"/>
        <v>High</v>
      </c>
      <c r="Q981" t="str">
        <f t="shared" si="93"/>
        <v>Low Loan</v>
      </c>
      <c r="R981">
        <f t="shared" si="94"/>
        <v>33700000</v>
      </c>
      <c r="S981" t="str">
        <f t="shared" si="95"/>
        <v>Strong</v>
      </c>
    </row>
    <row r="982" spans="1:19" x14ac:dyDescent="0.25">
      <c r="A982">
        <v>981</v>
      </c>
      <c r="B982">
        <v>3</v>
      </c>
      <c r="C982" t="s">
        <v>30</v>
      </c>
      <c r="D982" t="s">
        <v>32</v>
      </c>
      <c r="E982">
        <v>3200000</v>
      </c>
      <c r="F982">
        <v>6900000</v>
      </c>
      <c r="G982">
        <v>20</v>
      </c>
      <c r="H982">
        <v>735</v>
      </c>
      <c r="I982">
        <v>1500000</v>
      </c>
      <c r="J982">
        <v>3700000</v>
      </c>
      <c r="K982">
        <v>9200000</v>
      </c>
      <c r="L982">
        <v>3100000</v>
      </c>
      <c r="M982" t="s">
        <v>34</v>
      </c>
      <c r="N982">
        <f t="shared" si="91"/>
        <v>1</v>
      </c>
      <c r="O982" t="str">
        <f t="shared" si="90"/>
        <v>Good</v>
      </c>
      <c r="P982" t="str">
        <f t="shared" si="92"/>
        <v>High</v>
      </c>
      <c r="Q982" t="str">
        <f t="shared" si="93"/>
        <v>Low Loan</v>
      </c>
      <c r="R982">
        <f t="shared" si="94"/>
        <v>17500000</v>
      </c>
      <c r="S982" t="str">
        <f t="shared" si="95"/>
        <v>Strong</v>
      </c>
    </row>
    <row r="983" spans="1:19" x14ac:dyDescent="0.25">
      <c r="A983">
        <v>982</v>
      </c>
      <c r="B983">
        <v>0</v>
      </c>
      <c r="C983" t="s">
        <v>31</v>
      </c>
      <c r="D983" t="s">
        <v>33</v>
      </c>
      <c r="E983">
        <v>2600000</v>
      </c>
      <c r="F983">
        <v>5400000</v>
      </c>
      <c r="G983">
        <v>2</v>
      </c>
      <c r="H983">
        <v>377</v>
      </c>
      <c r="I983">
        <v>100000</v>
      </c>
      <c r="J983">
        <v>4900000</v>
      </c>
      <c r="K983">
        <v>6100000</v>
      </c>
      <c r="L983">
        <v>2700000</v>
      </c>
      <c r="M983" t="s">
        <v>35</v>
      </c>
      <c r="N983">
        <f t="shared" si="91"/>
        <v>0</v>
      </c>
      <c r="O983" t="str">
        <f t="shared" si="90"/>
        <v>Low</v>
      </c>
      <c r="P983" t="str">
        <f t="shared" si="92"/>
        <v>High</v>
      </c>
      <c r="Q983" t="str">
        <f t="shared" si="93"/>
        <v>Low Loan</v>
      </c>
      <c r="R983">
        <f t="shared" si="94"/>
        <v>13800000</v>
      </c>
      <c r="S983" t="str">
        <f t="shared" si="95"/>
        <v>Strong</v>
      </c>
    </row>
    <row r="984" spans="1:19" x14ac:dyDescent="0.25">
      <c r="A984">
        <v>983</v>
      </c>
      <c r="B984">
        <v>3</v>
      </c>
      <c r="C984" t="s">
        <v>31</v>
      </c>
      <c r="D984" t="s">
        <v>32</v>
      </c>
      <c r="E984">
        <v>6900000</v>
      </c>
      <c r="F984">
        <v>15600000</v>
      </c>
      <c r="G984">
        <v>20</v>
      </c>
      <c r="H984">
        <v>310</v>
      </c>
      <c r="I984">
        <v>4500000</v>
      </c>
      <c r="J984">
        <v>3600000</v>
      </c>
      <c r="K984">
        <v>20400000</v>
      </c>
      <c r="L984">
        <v>4800000</v>
      </c>
      <c r="M984" t="s">
        <v>35</v>
      </c>
      <c r="N984">
        <f t="shared" si="91"/>
        <v>0</v>
      </c>
      <c r="O984" t="str">
        <f t="shared" si="90"/>
        <v>Low</v>
      </c>
      <c r="P984" t="str">
        <f t="shared" si="92"/>
        <v>High</v>
      </c>
      <c r="Q984" t="str">
        <f t="shared" si="93"/>
        <v>Low Loan</v>
      </c>
      <c r="R984">
        <f t="shared" si="94"/>
        <v>33300000</v>
      </c>
      <c r="S984" t="str">
        <f t="shared" si="95"/>
        <v>Strong</v>
      </c>
    </row>
    <row r="985" spans="1:19" x14ac:dyDescent="0.25">
      <c r="A985">
        <v>984</v>
      </c>
      <c r="B985">
        <v>4</v>
      </c>
      <c r="C985" t="s">
        <v>30</v>
      </c>
      <c r="D985" t="s">
        <v>32</v>
      </c>
      <c r="E985">
        <v>4800000</v>
      </c>
      <c r="F985">
        <v>14000000</v>
      </c>
      <c r="G985">
        <v>2</v>
      </c>
      <c r="H985">
        <v>695</v>
      </c>
      <c r="I985">
        <v>11300000</v>
      </c>
      <c r="J985">
        <v>1700000</v>
      </c>
      <c r="K985">
        <v>15400000</v>
      </c>
      <c r="L985">
        <v>4600000</v>
      </c>
      <c r="M985" t="s">
        <v>34</v>
      </c>
      <c r="N985">
        <f t="shared" si="91"/>
        <v>1</v>
      </c>
      <c r="O985" t="str">
        <f t="shared" si="90"/>
        <v>Medium</v>
      </c>
      <c r="P985" t="str">
        <f t="shared" si="92"/>
        <v>High</v>
      </c>
      <c r="Q985" t="str">
        <f t="shared" si="93"/>
        <v>Low Loan</v>
      </c>
      <c r="R985">
        <f t="shared" si="94"/>
        <v>33000000</v>
      </c>
      <c r="S985" t="str">
        <f t="shared" si="95"/>
        <v>Strong</v>
      </c>
    </row>
    <row r="986" spans="1:19" x14ac:dyDescent="0.25">
      <c r="A986">
        <v>985</v>
      </c>
      <c r="B986">
        <v>1</v>
      </c>
      <c r="C986" t="s">
        <v>31</v>
      </c>
      <c r="D986" t="s">
        <v>33</v>
      </c>
      <c r="E986">
        <v>300000</v>
      </c>
      <c r="F986">
        <v>1200000</v>
      </c>
      <c r="G986">
        <v>4</v>
      </c>
      <c r="H986">
        <v>355</v>
      </c>
      <c r="I986">
        <v>700000</v>
      </c>
      <c r="J986">
        <v>300000</v>
      </c>
      <c r="K986">
        <v>800000</v>
      </c>
      <c r="L986">
        <v>200000</v>
      </c>
      <c r="M986" t="s">
        <v>34</v>
      </c>
      <c r="N986">
        <f t="shared" si="91"/>
        <v>1</v>
      </c>
      <c r="O986" t="str">
        <f t="shared" si="90"/>
        <v>Low</v>
      </c>
      <c r="P986" t="str">
        <f t="shared" si="92"/>
        <v>Middle</v>
      </c>
      <c r="Q986" t="str">
        <f t="shared" si="93"/>
        <v>Low Loan</v>
      </c>
      <c r="R986">
        <f t="shared" si="94"/>
        <v>2000000</v>
      </c>
      <c r="S986" t="str">
        <f t="shared" si="95"/>
        <v>Weak</v>
      </c>
    </row>
    <row r="987" spans="1:19" x14ac:dyDescent="0.25">
      <c r="A987">
        <v>986</v>
      </c>
      <c r="B987">
        <v>1</v>
      </c>
      <c r="C987" t="s">
        <v>31</v>
      </c>
      <c r="D987" t="s">
        <v>33</v>
      </c>
      <c r="E987">
        <v>4300000</v>
      </c>
      <c r="F987">
        <v>14100000</v>
      </c>
      <c r="G987">
        <v>12</v>
      </c>
      <c r="H987">
        <v>525</v>
      </c>
      <c r="I987">
        <v>2100000</v>
      </c>
      <c r="J987">
        <v>1100000</v>
      </c>
      <c r="K987">
        <v>14100000</v>
      </c>
      <c r="L987">
        <v>5500000</v>
      </c>
      <c r="M987" t="s">
        <v>35</v>
      </c>
      <c r="N987">
        <f t="shared" si="91"/>
        <v>0</v>
      </c>
      <c r="O987" t="str">
        <f t="shared" si="90"/>
        <v>Low</v>
      </c>
      <c r="P987" t="str">
        <f t="shared" si="92"/>
        <v>High</v>
      </c>
      <c r="Q987" t="str">
        <f t="shared" si="93"/>
        <v>Low Loan</v>
      </c>
      <c r="R987">
        <f t="shared" si="94"/>
        <v>22800000</v>
      </c>
      <c r="S987" t="str">
        <f t="shared" si="95"/>
        <v>Strong</v>
      </c>
    </row>
    <row r="988" spans="1:19" x14ac:dyDescent="0.25">
      <c r="A988">
        <v>987</v>
      </c>
      <c r="B988">
        <v>5</v>
      </c>
      <c r="C988" t="s">
        <v>31</v>
      </c>
      <c r="D988" t="s">
        <v>32</v>
      </c>
      <c r="E988">
        <v>700000</v>
      </c>
      <c r="F988">
        <v>2400000</v>
      </c>
      <c r="G988">
        <v>20</v>
      </c>
      <c r="H988">
        <v>330</v>
      </c>
      <c r="I988">
        <v>1300000</v>
      </c>
      <c r="J988">
        <v>700000</v>
      </c>
      <c r="K988">
        <v>2500000</v>
      </c>
      <c r="L988">
        <v>500000</v>
      </c>
      <c r="M988" t="s">
        <v>35</v>
      </c>
      <c r="N988">
        <f t="shared" si="91"/>
        <v>0</v>
      </c>
      <c r="O988" t="str">
        <f t="shared" si="90"/>
        <v>Low</v>
      </c>
      <c r="P988" t="str">
        <f t="shared" si="92"/>
        <v>High</v>
      </c>
      <c r="Q988" t="str">
        <f t="shared" si="93"/>
        <v>Low Loan</v>
      </c>
      <c r="R988">
        <f t="shared" si="94"/>
        <v>5000000</v>
      </c>
      <c r="S988" t="str">
        <f t="shared" si="95"/>
        <v>Moderate</v>
      </c>
    </row>
    <row r="989" spans="1:19" x14ac:dyDescent="0.25">
      <c r="A989">
        <v>988</v>
      </c>
      <c r="B989">
        <v>5</v>
      </c>
      <c r="C989" t="s">
        <v>30</v>
      </c>
      <c r="D989" t="s">
        <v>32</v>
      </c>
      <c r="E989">
        <v>9400000</v>
      </c>
      <c r="F989">
        <v>25800000</v>
      </c>
      <c r="G989">
        <v>14</v>
      </c>
      <c r="H989">
        <v>625</v>
      </c>
      <c r="I989">
        <v>28200000</v>
      </c>
      <c r="J989">
        <v>15400000</v>
      </c>
      <c r="K989">
        <v>30800000</v>
      </c>
      <c r="L989">
        <v>11100000</v>
      </c>
      <c r="M989" t="s">
        <v>34</v>
      </c>
      <c r="N989">
        <f t="shared" si="91"/>
        <v>1</v>
      </c>
      <c r="O989" t="str">
        <f t="shared" si="90"/>
        <v>Low</v>
      </c>
      <c r="P989" t="str">
        <f t="shared" si="92"/>
        <v>High</v>
      </c>
      <c r="Q989" t="str">
        <f t="shared" si="93"/>
        <v>High Loan</v>
      </c>
      <c r="R989">
        <f t="shared" si="94"/>
        <v>85500000</v>
      </c>
      <c r="S989" t="str">
        <f t="shared" si="95"/>
        <v>Strong</v>
      </c>
    </row>
    <row r="990" spans="1:19" x14ac:dyDescent="0.25">
      <c r="A990">
        <v>989</v>
      </c>
      <c r="B990">
        <v>3</v>
      </c>
      <c r="C990" t="s">
        <v>31</v>
      </c>
      <c r="D990" t="s">
        <v>33</v>
      </c>
      <c r="E990">
        <v>800000</v>
      </c>
      <c r="F990">
        <v>2900000</v>
      </c>
      <c r="G990">
        <v>10</v>
      </c>
      <c r="H990">
        <v>644</v>
      </c>
      <c r="I990">
        <v>600000</v>
      </c>
      <c r="J990">
        <v>500000</v>
      </c>
      <c r="K990">
        <v>2900000</v>
      </c>
      <c r="L990">
        <v>400000</v>
      </c>
      <c r="M990" t="s">
        <v>34</v>
      </c>
      <c r="N990">
        <f t="shared" si="91"/>
        <v>1</v>
      </c>
      <c r="O990" t="str">
        <f t="shared" si="90"/>
        <v>Low</v>
      </c>
      <c r="P990" t="str">
        <f t="shared" si="92"/>
        <v>High</v>
      </c>
      <c r="Q990" t="str">
        <f t="shared" si="93"/>
        <v>Low Loan</v>
      </c>
      <c r="R990">
        <f t="shared" si="94"/>
        <v>4400000</v>
      </c>
      <c r="S990" t="str">
        <f t="shared" si="95"/>
        <v>Weak</v>
      </c>
    </row>
    <row r="991" spans="1:19" x14ac:dyDescent="0.25">
      <c r="A991">
        <v>990</v>
      </c>
      <c r="B991">
        <v>5</v>
      </c>
      <c r="C991" t="s">
        <v>31</v>
      </c>
      <c r="D991" t="s">
        <v>32</v>
      </c>
      <c r="E991">
        <v>4400000</v>
      </c>
      <c r="F991">
        <v>14900000</v>
      </c>
      <c r="G991">
        <v>4</v>
      </c>
      <c r="H991">
        <v>865</v>
      </c>
      <c r="I991">
        <v>8200000</v>
      </c>
      <c r="J991">
        <v>6200000</v>
      </c>
      <c r="K991">
        <v>14900000</v>
      </c>
      <c r="L991">
        <v>3500000</v>
      </c>
      <c r="M991" t="s">
        <v>34</v>
      </c>
      <c r="N991">
        <f t="shared" si="91"/>
        <v>1</v>
      </c>
      <c r="O991" t="str">
        <f t="shared" si="90"/>
        <v>Excellent</v>
      </c>
      <c r="P991" t="str">
        <f t="shared" si="92"/>
        <v>High</v>
      </c>
      <c r="Q991" t="str">
        <f t="shared" si="93"/>
        <v>Low Loan</v>
      </c>
      <c r="R991">
        <f t="shared" si="94"/>
        <v>32800000</v>
      </c>
      <c r="S991" t="str">
        <f t="shared" si="95"/>
        <v>Strong</v>
      </c>
    </row>
    <row r="992" spans="1:19" x14ac:dyDescent="0.25">
      <c r="A992">
        <v>991</v>
      </c>
      <c r="B992">
        <v>1</v>
      </c>
      <c r="C992" t="s">
        <v>30</v>
      </c>
      <c r="D992" t="s">
        <v>33</v>
      </c>
      <c r="E992">
        <v>4700000</v>
      </c>
      <c r="F992">
        <v>14800000</v>
      </c>
      <c r="G992">
        <v>6</v>
      </c>
      <c r="H992">
        <v>661</v>
      </c>
      <c r="I992">
        <v>8500000</v>
      </c>
      <c r="J992">
        <v>6000000</v>
      </c>
      <c r="K992">
        <v>13600000</v>
      </c>
      <c r="L992">
        <v>6400000</v>
      </c>
      <c r="M992" t="s">
        <v>34</v>
      </c>
      <c r="N992">
        <f t="shared" si="91"/>
        <v>1</v>
      </c>
      <c r="O992" t="str">
        <f t="shared" si="90"/>
        <v>Medium</v>
      </c>
      <c r="P992" t="str">
        <f t="shared" si="92"/>
        <v>High</v>
      </c>
      <c r="Q992" t="str">
        <f t="shared" si="93"/>
        <v>Low Loan</v>
      </c>
      <c r="R992">
        <f t="shared" si="94"/>
        <v>34500000</v>
      </c>
      <c r="S992" t="str">
        <f t="shared" si="95"/>
        <v>Strong</v>
      </c>
    </row>
    <row r="993" spans="1:19" x14ac:dyDescent="0.25">
      <c r="A993">
        <v>992</v>
      </c>
      <c r="B993">
        <v>2</v>
      </c>
      <c r="C993" t="s">
        <v>31</v>
      </c>
      <c r="D993" t="s">
        <v>32</v>
      </c>
      <c r="E993">
        <v>2300000</v>
      </c>
      <c r="F993">
        <v>5000000</v>
      </c>
      <c r="G993">
        <v>8</v>
      </c>
      <c r="H993">
        <v>884</v>
      </c>
      <c r="I993">
        <v>1400000</v>
      </c>
      <c r="J993">
        <v>1700000</v>
      </c>
      <c r="K993">
        <v>6100000</v>
      </c>
      <c r="L993">
        <v>1500000</v>
      </c>
      <c r="M993" t="s">
        <v>34</v>
      </c>
      <c r="N993">
        <f t="shared" si="91"/>
        <v>1</v>
      </c>
      <c r="O993" t="str">
        <f t="shared" si="90"/>
        <v>Excellent</v>
      </c>
      <c r="P993" t="str">
        <f t="shared" si="92"/>
        <v>High</v>
      </c>
      <c r="Q993" t="str">
        <f t="shared" si="93"/>
        <v>Low Loan</v>
      </c>
      <c r="R993">
        <f t="shared" si="94"/>
        <v>10700000</v>
      </c>
      <c r="S993" t="str">
        <f t="shared" si="95"/>
        <v>Strong</v>
      </c>
    </row>
    <row r="994" spans="1:19" x14ac:dyDescent="0.25">
      <c r="A994">
        <v>993</v>
      </c>
      <c r="B994">
        <v>5</v>
      </c>
      <c r="C994" t="s">
        <v>30</v>
      </c>
      <c r="D994" t="s">
        <v>33</v>
      </c>
      <c r="E994">
        <v>8500000</v>
      </c>
      <c r="F994">
        <v>26700000</v>
      </c>
      <c r="G994">
        <v>10</v>
      </c>
      <c r="H994">
        <v>803</v>
      </c>
      <c r="I994">
        <v>500000</v>
      </c>
      <c r="J994">
        <v>16600000</v>
      </c>
      <c r="K994">
        <v>24400000</v>
      </c>
      <c r="L994">
        <v>9600000</v>
      </c>
      <c r="M994" t="s">
        <v>34</v>
      </c>
      <c r="N994">
        <f t="shared" si="91"/>
        <v>1</v>
      </c>
      <c r="O994" t="str">
        <f t="shared" si="90"/>
        <v>Excellent</v>
      </c>
      <c r="P994" t="str">
        <f t="shared" si="92"/>
        <v>High</v>
      </c>
      <c r="Q994" t="str">
        <f t="shared" si="93"/>
        <v>High Loan</v>
      </c>
      <c r="R994">
        <f t="shared" si="94"/>
        <v>51100000</v>
      </c>
      <c r="S994" t="str">
        <f t="shared" si="95"/>
        <v>Strong</v>
      </c>
    </row>
    <row r="995" spans="1:19" x14ac:dyDescent="0.25">
      <c r="A995">
        <v>994</v>
      </c>
      <c r="B995">
        <v>2</v>
      </c>
      <c r="C995" t="s">
        <v>30</v>
      </c>
      <c r="D995" t="s">
        <v>32</v>
      </c>
      <c r="E995">
        <v>7600000</v>
      </c>
      <c r="F995">
        <v>28300000</v>
      </c>
      <c r="G995">
        <v>12</v>
      </c>
      <c r="H995">
        <v>800</v>
      </c>
      <c r="I995">
        <v>19700000</v>
      </c>
      <c r="J995">
        <v>14800000</v>
      </c>
      <c r="K995">
        <v>15600000</v>
      </c>
      <c r="L995">
        <v>7800000</v>
      </c>
      <c r="M995" t="s">
        <v>34</v>
      </c>
      <c r="N995">
        <f t="shared" si="91"/>
        <v>1</v>
      </c>
      <c r="O995" t="str">
        <f t="shared" si="90"/>
        <v>Excellent</v>
      </c>
      <c r="P995" t="str">
        <f t="shared" si="92"/>
        <v>High</v>
      </c>
      <c r="Q995" t="str">
        <f t="shared" si="93"/>
        <v>High Loan</v>
      </c>
      <c r="R995">
        <f t="shared" si="94"/>
        <v>57900000</v>
      </c>
      <c r="S995" t="str">
        <f t="shared" si="95"/>
        <v>Strong</v>
      </c>
    </row>
    <row r="996" spans="1:19" x14ac:dyDescent="0.25">
      <c r="A996">
        <v>995</v>
      </c>
      <c r="B996">
        <v>2</v>
      </c>
      <c r="C996" t="s">
        <v>30</v>
      </c>
      <c r="D996" t="s">
        <v>32</v>
      </c>
      <c r="E996">
        <v>3200000</v>
      </c>
      <c r="F996">
        <v>12600000</v>
      </c>
      <c r="G996">
        <v>18</v>
      </c>
      <c r="H996">
        <v>796</v>
      </c>
      <c r="I996">
        <v>6200000</v>
      </c>
      <c r="J996">
        <v>3500000</v>
      </c>
      <c r="K996">
        <v>9600000</v>
      </c>
      <c r="L996">
        <v>2000000</v>
      </c>
      <c r="M996" t="s">
        <v>34</v>
      </c>
      <c r="N996">
        <f t="shared" si="91"/>
        <v>1</v>
      </c>
      <c r="O996" t="str">
        <f t="shared" si="90"/>
        <v>Excellent</v>
      </c>
      <c r="P996" t="str">
        <f t="shared" si="92"/>
        <v>High</v>
      </c>
      <c r="Q996" t="str">
        <f t="shared" si="93"/>
        <v>Low Loan</v>
      </c>
      <c r="R996">
        <f t="shared" si="94"/>
        <v>21300000</v>
      </c>
      <c r="S996" t="str">
        <f t="shared" si="95"/>
        <v>Strong</v>
      </c>
    </row>
    <row r="997" spans="1:19" x14ac:dyDescent="0.25">
      <c r="A997">
        <v>996</v>
      </c>
      <c r="B997">
        <v>4</v>
      </c>
      <c r="C997" t="s">
        <v>31</v>
      </c>
      <c r="D997" t="s">
        <v>32</v>
      </c>
      <c r="E997">
        <v>2400000</v>
      </c>
      <c r="F997">
        <v>5000000</v>
      </c>
      <c r="G997">
        <v>4</v>
      </c>
      <c r="H997">
        <v>716</v>
      </c>
      <c r="I997">
        <v>1500000</v>
      </c>
      <c r="J997">
        <v>2800000</v>
      </c>
      <c r="K997">
        <v>6900000</v>
      </c>
      <c r="L997">
        <v>1400000</v>
      </c>
      <c r="M997" t="s">
        <v>34</v>
      </c>
      <c r="N997">
        <f t="shared" si="91"/>
        <v>1</v>
      </c>
      <c r="O997" t="str">
        <f t="shared" si="90"/>
        <v>Good</v>
      </c>
      <c r="P997" t="str">
        <f t="shared" si="92"/>
        <v>High</v>
      </c>
      <c r="Q997" t="str">
        <f t="shared" si="93"/>
        <v>Low Loan</v>
      </c>
      <c r="R997">
        <f t="shared" si="94"/>
        <v>12600000</v>
      </c>
      <c r="S997" t="str">
        <f t="shared" si="95"/>
        <v>Strong</v>
      </c>
    </row>
    <row r="998" spans="1:19" x14ac:dyDescent="0.25">
      <c r="A998">
        <v>997</v>
      </c>
      <c r="B998">
        <v>0</v>
      </c>
      <c r="C998" t="s">
        <v>30</v>
      </c>
      <c r="D998" t="s">
        <v>33</v>
      </c>
      <c r="E998">
        <v>500000</v>
      </c>
      <c r="F998">
        <v>1100000</v>
      </c>
      <c r="G998">
        <v>18</v>
      </c>
      <c r="H998">
        <v>479</v>
      </c>
      <c r="I998">
        <v>1500000</v>
      </c>
      <c r="J998">
        <v>500000</v>
      </c>
      <c r="K998">
        <v>1800000</v>
      </c>
      <c r="L998">
        <v>600000</v>
      </c>
      <c r="M998" t="s">
        <v>35</v>
      </c>
      <c r="N998">
        <f t="shared" si="91"/>
        <v>0</v>
      </c>
      <c r="O998" t="str">
        <f t="shared" si="90"/>
        <v>Low</v>
      </c>
      <c r="P998" t="str">
        <f t="shared" si="92"/>
        <v>Middle</v>
      </c>
      <c r="Q998" t="str">
        <f t="shared" si="93"/>
        <v>Low Loan</v>
      </c>
      <c r="R998">
        <f t="shared" si="94"/>
        <v>4400000</v>
      </c>
      <c r="S998" t="str">
        <f t="shared" si="95"/>
        <v>Weak</v>
      </c>
    </row>
    <row r="999" spans="1:19" x14ac:dyDescent="0.25">
      <c r="A999">
        <v>998</v>
      </c>
      <c r="B999">
        <v>3</v>
      </c>
      <c r="C999" t="s">
        <v>31</v>
      </c>
      <c r="D999" t="s">
        <v>33</v>
      </c>
      <c r="E999">
        <v>8500000</v>
      </c>
      <c r="F999">
        <v>28300000</v>
      </c>
      <c r="G999">
        <v>2</v>
      </c>
      <c r="H999">
        <v>810</v>
      </c>
      <c r="I999">
        <v>25200000</v>
      </c>
      <c r="J999">
        <v>4300000</v>
      </c>
      <c r="K999">
        <v>18500000</v>
      </c>
      <c r="L999">
        <v>10700000</v>
      </c>
      <c r="M999" t="s">
        <v>34</v>
      </c>
      <c r="N999">
        <f t="shared" si="91"/>
        <v>1</v>
      </c>
      <c r="O999" t="str">
        <f t="shared" si="90"/>
        <v>Excellent</v>
      </c>
      <c r="P999" t="str">
        <f t="shared" si="92"/>
        <v>High</v>
      </c>
      <c r="Q999" t="str">
        <f t="shared" si="93"/>
        <v>High Loan</v>
      </c>
      <c r="R999">
        <f t="shared" si="94"/>
        <v>58700000</v>
      </c>
      <c r="S999" t="str">
        <f t="shared" si="95"/>
        <v>Strong</v>
      </c>
    </row>
    <row r="1000" spans="1:19" x14ac:dyDescent="0.25">
      <c r="A1000">
        <v>999</v>
      </c>
      <c r="B1000">
        <v>0</v>
      </c>
      <c r="C1000" t="s">
        <v>30</v>
      </c>
      <c r="D1000" t="s">
        <v>33</v>
      </c>
      <c r="E1000">
        <v>8900000</v>
      </c>
      <c r="F1000">
        <v>20900000</v>
      </c>
      <c r="G1000">
        <v>18</v>
      </c>
      <c r="H1000">
        <v>568</v>
      </c>
      <c r="I1000">
        <v>18800000</v>
      </c>
      <c r="J1000">
        <v>700000</v>
      </c>
      <c r="K1000">
        <v>32700000</v>
      </c>
      <c r="L1000">
        <v>5300000</v>
      </c>
      <c r="M1000" t="s">
        <v>34</v>
      </c>
      <c r="N1000">
        <f t="shared" si="91"/>
        <v>1</v>
      </c>
      <c r="O1000" t="str">
        <f t="shared" si="90"/>
        <v>Low</v>
      </c>
      <c r="P1000" t="str">
        <f t="shared" si="92"/>
        <v>High</v>
      </c>
      <c r="Q1000" t="str">
        <f t="shared" si="93"/>
        <v>High Loan</v>
      </c>
      <c r="R1000">
        <f t="shared" si="94"/>
        <v>57500000</v>
      </c>
      <c r="S1000" t="str">
        <f t="shared" si="95"/>
        <v>Strong</v>
      </c>
    </row>
    <row r="1001" spans="1:19" x14ac:dyDescent="0.25">
      <c r="A1001">
        <v>1000</v>
      </c>
      <c r="B1001">
        <v>0</v>
      </c>
      <c r="C1001" t="s">
        <v>30</v>
      </c>
      <c r="D1001" t="s">
        <v>32</v>
      </c>
      <c r="E1001">
        <v>2800000</v>
      </c>
      <c r="F1001">
        <v>5600000</v>
      </c>
      <c r="G1001">
        <v>8</v>
      </c>
      <c r="H1001">
        <v>842</v>
      </c>
      <c r="I1001">
        <v>0</v>
      </c>
      <c r="J1001">
        <v>1300000</v>
      </c>
      <c r="K1001">
        <v>6100000</v>
      </c>
      <c r="L1001">
        <v>1900000</v>
      </c>
      <c r="M1001" t="s">
        <v>34</v>
      </c>
      <c r="N1001">
        <f t="shared" si="91"/>
        <v>1</v>
      </c>
      <c r="O1001" t="str">
        <f t="shared" si="90"/>
        <v>Excellent</v>
      </c>
      <c r="P1001" t="str">
        <f t="shared" si="92"/>
        <v>High</v>
      </c>
      <c r="Q1001" t="str">
        <f t="shared" si="93"/>
        <v>Low Loan</v>
      </c>
      <c r="R1001">
        <f t="shared" si="94"/>
        <v>9300000</v>
      </c>
      <c r="S1001" t="str">
        <f t="shared" si="95"/>
        <v>Moderate</v>
      </c>
    </row>
    <row r="1002" spans="1:19" x14ac:dyDescent="0.25">
      <c r="A1002">
        <v>1001</v>
      </c>
      <c r="B1002">
        <v>3</v>
      </c>
      <c r="C1002" t="s">
        <v>31</v>
      </c>
      <c r="D1002" t="s">
        <v>33</v>
      </c>
      <c r="E1002">
        <v>2900000</v>
      </c>
      <c r="F1002">
        <v>7000000</v>
      </c>
      <c r="G1002">
        <v>4</v>
      </c>
      <c r="H1002">
        <v>806</v>
      </c>
      <c r="I1002">
        <v>5700000</v>
      </c>
      <c r="J1002">
        <v>5600000</v>
      </c>
      <c r="K1002">
        <v>5900000</v>
      </c>
      <c r="L1002">
        <v>3000000</v>
      </c>
      <c r="M1002" t="s">
        <v>34</v>
      </c>
      <c r="N1002">
        <f t="shared" si="91"/>
        <v>1</v>
      </c>
      <c r="O1002" t="str">
        <f t="shared" si="90"/>
        <v>Excellent</v>
      </c>
      <c r="P1002" t="str">
        <f t="shared" si="92"/>
        <v>High</v>
      </c>
      <c r="Q1002" t="str">
        <f t="shared" si="93"/>
        <v>Low Loan</v>
      </c>
      <c r="R1002">
        <f t="shared" si="94"/>
        <v>20200000</v>
      </c>
      <c r="S1002" t="str">
        <f t="shared" si="95"/>
        <v>Strong</v>
      </c>
    </row>
    <row r="1003" spans="1:19" x14ac:dyDescent="0.25">
      <c r="A1003">
        <v>1002</v>
      </c>
      <c r="B1003">
        <v>1</v>
      </c>
      <c r="C1003" t="s">
        <v>30</v>
      </c>
      <c r="D1003" t="s">
        <v>33</v>
      </c>
      <c r="E1003">
        <v>4900000</v>
      </c>
      <c r="F1003">
        <v>17700000</v>
      </c>
      <c r="G1003">
        <v>8</v>
      </c>
      <c r="H1003">
        <v>722</v>
      </c>
      <c r="I1003">
        <v>9200000</v>
      </c>
      <c r="J1003">
        <v>7300000</v>
      </c>
      <c r="K1003">
        <v>16400000</v>
      </c>
      <c r="L1003">
        <v>3000000</v>
      </c>
      <c r="M1003" t="s">
        <v>34</v>
      </c>
      <c r="N1003">
        <f t="shared" si="91"/>
        <v>1</v>
      </c>
      <c r="O1003" t="str">
        <f t="shared" si="90"/>
        <v>Good</v>
      </c>
      <c r="P1003" t="str">
        <f t="shared" si="92"/>
        <v>High</v>
      </c>
      <c r="Q1003" t="str">
        <f t="shared" si="93"/>
        <v>Low Loan</v>
      </c>
      <c r="R1003">
        <f t="shared" si="94"/>
        <v>35900000</v>
      </c>
      <c r="S1003" t="str">
        <f t="shared" si="95"/>
        <v>Strong</v>
      </c>
    </row>
    <row r="1004" spans="1:19" x14ac:dyDescent="0.25">
      <c r="A1004">
        <v>1003</v>
      </c>
      <c r="B1004">
        <v>5</v>
      </c>
      <c r="C1004" t="s">
        <v>31</v>
      </c>
      <c r="D1004" t="s">
        <v>32</v>
      </c>
      <c r="E1004">
        <v>9600000</v>
      </c>
      <c r="F1004">
        <v>20700000</v>
      </c>
      <c r="G1004">
        <v>14</v>
      </c>
      <c r="H1004">
        <v>442</v>
      </c>
      <c r="I1004">
        <v>25800000</v>
      </c>
      <c r="J1004">
        <v>9800000</v>
      </c>
      <c r="K1004">
        <v>31800000</v>
      </c>
      <c r="L1004">
        <v>8200000</v>
      </c>
      <c r="M1004" t="s">
        <v>35</v>
      </c>
      <c r="N1004">
        <f t="shared" si="91"/>
        <v>0</v>
      </c>
      <c r="O1004" t="str">
        <f t="shared" si="90"/>
        <v>Low</v>
      </c>
      <c r="P1004" t="str">
        <f t="shared" si="92"/>
        <v>High</v>
      </c>
      <c r="Q1004" t="str">
        <f t="shared" si="93"/>
        <v>High Loan</v>
      </c>
      <c r="R1004">
        <f t="shared" si="94"/>
        <v>75600000</v>
      </c>
      <c r="S1004" t="str">
        <f t="shared" si="95"/>
        <v>Strong</v>
      </c>
    </row>
    <row r="1005" spans="1:19" x14ac:dyDescent="0.25">
      <c r="A1005">
        <v>1004</v>
      </c>
      <c r="B1005">
        <v>3</v>
      </c>
      <c r="C1005" t="s">
        <v>30</v>
      </c>
      <c r="D1005" t="s">
        <v>33</v>
      </c>
      <c r="E1005">
        <v>3300000</v>
      </c>
      <c r="F1005">
        <v>9800000</v>
      </c>
      <c r="G1005">
        <v>6</v>
      </c>
      <c r="H1005">
        <v>360</v>
      </c>
      <c r="I1005">
        <v>4500000</v>
      </c>
      <c r="J1005">
        <v>600000</v>
      </c>
      <c r="K1005">
        <v>11000000</v>
      </c>
      <c r="L1005">
        <v>4400000</v>
      </c>
      <c r="M1005" t="s">
        <v>35</v>
      </c>
      <c r="N1005">
        <f t="shared" si="91"/>
        <v>0</v>
      </c>
      <c r="O1005" t="str">
        <f t="shared" si="90"/>
        <v>Low</v>
      </c>
      <c r="P1005" t="str">
        <f t="shared" si="92"/>
        <v>High</v>
      </c>
      <c r="Q1005" t="str">
        <f t="shared" si="93"/>
        <v>Low Loan</v>
      </c>
      <c r="R1005">
        <f t="shared" si="94"/>
        <v>20500000</v>
      </c>
      <c r="S1005" t="str">
        <f t="shared" si="95"/>
        <v>Strong</v>
      </c>
    </row>
    <row r="1006" spans="1:19" x14ac:dyDescent="0.25">
      <c r="A1006">
        <v>1005</v>
      </c>
      <c r="B1006">
        <v>3</v>
      </c>
      <c r="C1006" t="s">
        <v>31</v>
      </c>
      <c r="D1006" t="s">
        <v>32</v>
      </c>
      <c r="E1006">
        <v>2800000</v>
      </c>
      <c r="F1006">
        <v>5900000</v>
      </c>
      <c r="G1006">
        <v>4</v>
      </c>
      <c r="H1006">
        <v>461</v>
      </c>
      <c r="I1006">
        <v>1600000</v>
      </c>
      <c r="J1006">
        <v>400000</v>
      </c>
      <c r="K1006">
        <v>8900000</v>
      </c>
      <c r="L1006">
        <v>2800000</v>
      </c>
      <c r="M1006" t="s">
        <v>35</v>
      </c>
      <c r="N1006">
        <f t="shared" si="91"/>
        <v>0</v>
      </c>
      <c r="O1006" t="str">
        <f t="shared" si="90"/>
        <v>Low</v>
      </c>
      <c r="P1006" t="str">
        <f t="shared" si="92"/>
        <v>High</v>
      </c>
      <c r="Q1006" t="str">
        <f t="shared" si="93"/>
        <v>Low Loan</v>
      </c>
      <c r="R1006">
        <f t="shared" si="94"/>
        <v>13700000</v>
      </c>
      <c r="S1006" t="str">
        <f t="shared" si="95"/>
        <v>Strong</v>
      </c>
    </row>
    <row r="1007" spans="1:19" x14ac:dyDescent="0.25">
      <c r="A1007">
        <v>1006</v>
      </c>
      <c r="B1007">
        <v>2</v>
      </c>
      <c r="C1007" t="s">
        <v>30</v>
      </c>
      <c r="D1007" t="s">
        <v>32</v>
      </c>
      <c r="E1007">
        <v>7800000</v>
      </c>
      <c r="F1007">
        <v>22200000</v>
      </c>
      <c r="G1007">
        <v>10</v>
      </c>
      <c r="H1007">
        <v>735</v>
      </c>
      <c r="I1007">
        <v>9700000</v>
      </c>
      <c r="J1007">
        <v>4600000</v>
      </c>
      <c r="K1007">
        <v>23000000</v>
      </c>
      <c r="L1007">
        <v>6900000</v>
      </c>
      <c r="M1007" t="s">
        <v>34</v>
      </c>
      <c r="N1007">
        <f t="shared" si="91"/>
        <v>1</v>
      </c>
      <c r="O1007" t="str">
        <f t="shared" si="90"/>
        <v>Good</v>
      </c>
      <c r="P1007" t="str">
        <f t="shared" si="92"/>
        <v>High</v>
      </c>
      <c r="Q1007" t="str">
        <f t="shared" si="93"/>
        <v>High Loan</v>
      </c>
      <c r="R1007">
        <f t="shared" si="94"/>
        <v>44200000</v>
      </c>
      <c r="S1007" t="str">
        <f t="shared" si="95"/>
        <v>Strong</v>
      </c>
    </row>
    <row r="1008" spans="1:19" x14ac:dyDescent="0.25">
      <c r="A1008">
        <v>1007</v>
      </c>
      <c r="B1008">
        <v>4</v>
      </c>
      <c r="C1008" t="s">
        <v>30</v>
      </c>
      <c r="D1008" t="s">
        <v>33</v>
      </c>
      <c r="E1008">
        <v>2500000</v>
      </c>
      <c r="F1008">
        <v>8400000</v>
      </c>
      <c r="G1008">
        <v>12</v>
      </c>
      <c r="H1008">
        <v>761</v>
      </c>
      <c r="I1008">
        <v>6300000</v>
      </c>
      <c r="J1008">
        <v>1300000</v>
      </c>
      <c r="K1008">
        <v>8400000</v>
      </c>
      <c r="L1008">
        <v>1600000</v>
      </c>
      <c r="M1008" t="s">
        <v>34</v>
      </c>
      <c r="N1008">
        <f t="shared" si="91"/>
        <v>1</v>
      </c>
      <c r="O1008" t="str">
        <f t="shared" si="90"/>
        <v>Excellent</v>
      </c>
      <c r="P1008" t="str">
        <f t="shared" si="92"/>
        <v>High</v>
      </c>
      <c r="Q1008" t="str">
        <f t="shared" si="93"/>
        <v>Low Loan</v>
      </c>
      <c r="R1008">
        <f t="shared" si="94"/>
        <v>17600000</v>
      </c>
      <c r="S1008" t="str">
        <f t="shared" si="95"/>
        <v>Strong</v>
      </c>
    </row>
    <row r="1009" spans="1:19" x14ac:dyDescent="0.25">
      <c r="A1009">
        <v>1008</v>
      </c>
      <c r="B1009">
        <v>0</v>
      </c>
      <c r="C1009" t="s">
        <v>30</v>
      </c>
      <c r="D1009" t="s">
        <v>32</v>
      </c>
      <c r="E1009">
        <v>4400000</v>
      </c>
      <c r="F1009">
        <v>10600000</v>
      </c>
      <c r="G1009">
        <v>20</v>
      </c>
      <c r="H1009">
        <v>653</v>
      </c>
      <c r="I1009">
        <v>6800000</v>
      </c>
      <c r="J1009">
        <v>4600000</v>
      </c>
      <c r="K1009">
        <v>16800000</v>
      </c>
      <c r="L1009">
        <v>5400000</v>
      </c>
      <c r="M1009" t="s">
        <v>34</v>
      </c>
      <c r="N1009">
        <f t="shared" si="91"/>
        <v>1</v>
      </c>
      <c r="O1009" t="str">
        <f t="shared" si="90"/>
        <v>Medium</v>
      </c>
      <c r="P1009" t="str">
        <f t="shared" si="92"/>
        <v>High</v>
      </c>
      <c r="Q1009" t="str">
        <f t="shared" si="93"/>
        <v>Low Loan</v>
      </c>
      <c r="R1009">
        <f t="shared" si="94"/>
        <v>33600000</v>
      </c>
      <c r="S1009" t="str">
        <f t="shared" si="95"/>
        <v>Strong</v>
      </c>
    </row>
    <row r="1010" spans="1:19" x14ac:dyDescent="0.25">
      <c r="A1010">
        <v>1009</v>
      </c>
      <c r="B1010">
        <v>0</v>
      </c>
      <c r="C1010" t="s">
        <v>31</v>
      </c>
      <c r="D1010" t="s">
        <v>32</v>
      </c>
      <c r="E1010">
        <v>7900000</v>
      </c>
      <c r="F1010">
        <v>30800000</v>
      </c>
      <c r="G1010">
        <v>4</v>
      </c>
      <c r="H1010">
        <v>726</v>
      </c>
      <c r="I1010">
        <v>5000000</v>
      </c>
      <c r="J1010">
        <v>14600000</v>
      </c>
      <c r="K1010">
        <v>23800000</v>
      </c>
      <c r="L1010">
        <v>5500000</v>
      </c>
      <c r="M1010" t="s">
        <v>34</v>
      </c>
      <c r="N1010">
        <f t="shared" si="91"/>
        <v>1</v>
      </c>
      <c r="O1010" t="str">
        <f t="shared" si="90"/>
        <v>Good</v>
      </c>
      <c r="P1010" t="str">
        <f t="shared" si="92"/>
        <v>High</v>
      </c>
      <c r="Q1010" t="str">
        <f t="shared" si="93"/>
        <v>High Loan</v>
      </c>
      <c r="R1010">
        <f t="shared" si="94"/>
        <v>48900000</v>
      </c>
      <c r="S1010" t="str">
        <f t="shared" si="95"/>
        <v>Strong</v>
      </c>
    </row>
    <row r="1011" spans="1:19" x14ac:dyDescent="0.25">
      <c r="A1011">
        <v>1010</v>
      </c>
      <c r="B1011">
        <v>1</v>
      </c>
      <c r="C1011" t="s">
        <v>30</v>
      </c>
      <c r="D1011" t="s">
        <v>32</v>
      </c>
      <c r="E1011">
        <v>8900000</v>
      </c>
      <c r="F1011">
        <v>22600000</v>
      </c>
      <c r="G1011">
        <v>18</v>
      </c>
      <c r="H1011">
        <v>617</v>
      </c>
      <c r="I1011">
        <v>8400000</v>
      </c>
      <c r="J1011">
        <v>15500000</v>
      </c>
      <c r="K1011">
        <v>27900000</v>
      </c>
      <c r="L1011">
        <v>11700000</v>
      </c>
      <c r="M1011" t="s">
        <v>34</v>
      </c>
      <c r="N1011">
        <f t="shared" si="91"/>
        <v>1</v>
      </c>
      <c r="O1011" t="str">
        <f t="shared" si="90"/>
        <v>Low</v>
      </c>
      <c r="P1011" t="str">
        <f t="shared" si="92"/>
        <v>High</v>
      </c>
      <c r="Q1011" t="str">
        <f t="shared" si="93"/>
        <v>High Loan</v>
      </c>
      <c r="R1011">
        <f t="shared" si="94"/>
        <v>63500000</v>
      </c>
      <c r="S1011" t="str">
        <f t="shared" si="95"/>
        <v>Strong</v>
      </c>
    </row>
    <row r="1012" spans="1:19" x14ac:dyDescent="0.25">
      <c r="A1012">
        <v>1011</v>
      </c>
      <c r="B1012">
        <v>0</v>
      </c>
      <c r="C1012" t="s">
        <v>30</v>
      </c>
      <c r="D1012" t="s">
        <v>32</v>
      </c>
      <c r="E1012">
        <v>5600000</v>
      </c>
      <c r="F1012">
        <v>13400000</v>
      </c>
      <c r="G1012">
        <v>2</v>
      </c>
      <c r="H1012">
        <v>460</v>
      </c>
      <c r="I1012">
        <v>3400000</v>
      </c>
      <c r="J1012">
        <v>4100000</v>
      </c>
      <c r="K1012">
        <v>14800000</v>
      </c>
      <c r="L1012">
        <v>4100000</v>
      </c>
      <c r="M1012" t="s">
        <v>35</v>
      </c>
      <c r="N1012">
        <f t="shared" si="91"/>
        <v>0</v>
      </c>
      <c r="O1012" t="str">
        <f t="shared" si="90"/>
        <v>Low</v>
      </c>
      <c r="P1012" t="str">
        <f t="shared" si="92"/>
        <v>High</v>
      </c>
      <c r="Q1012" t="str">
        <f t="shared" si="93"/>
        <v>Low Loan</v>
      </c>
      <c r="R1012">
        <f t="shared" si="94"/>
        <v>26400000</v>
      </c>
      <c r="S1012" t="str">
        <f t="shared" si="95"/>
        <v>Strong</v>
      </c>
    </row>
    <row r="1013" spans="1:19" x14ac:dyDescent="0.25">
      <c r="A1013">
        <v>1012</v>
      </c>
      <c r="B1013">
        <v>1</v>
      </c>
      <c r="C1013" t="s">
        <v>31</v>
      </c>
      <c r="D1013" t="s">
        <v>32</v>
      </c>
      <c r="E1013">
        <v>1400000</v>
      </c>
      <c r="F1013">
        <v>3300000</v>
      </c>
      <c r="G1013">
        <v>8</v>
      </c>
      <c r="H1013">
        <v>306</v>
      </c>
      <c r="I1013">
        <v>3200000</v>
      </c>
      <c r="J1013">
        <v>800000</v>
      </c>
      <c r="K1013">
        <v>2700000</v>
      </c>
      <c r="L1013">
        <v>800000</v>
      </c>
      <c r="M1013" t="s">
        <v>35</v>
      </c>
      <c r="N1013">
        <f t="shared" si="91"/>
        <v>0</v>
      </c>
      <c r="O1013" t="str">
        <f t="shared" si="90"/>
        <v>Low</v>
      </c>
      <c r="P1013" t="str">
        <f t="shared" si="92"/>
        <v>High</v>
      </c>
      <c r="Q1013" t="str">
        <f t="shared" si="93"/>
        <v>Low Loan</v>
      </c>
      <c r="R1013">
        <f t="shared" si="94"/>
        <v>7500000</v>
      </c>
      <c r="S1013" t="str">
        <f t="shared" si="95"/>
        <v>Moderate</v>
      </c>
    </row>
    <row r="1014" spans="1:19" x14ac:dyDescent="0.25">
      <c r="A1014">
        <v>1013</v>
      </c>
      <c r="B1014">
        <v>5</v>
      </c>
      <c r="C1014" t="s">
        <v>30</v>
      </c>
      <c r="D1014" t="s">
        <v>33</v>
      </c>
      <c r="E1014">
        <v>500000</v>
      </c>
      <c r="F1014">
        <v>1400000</v>
      </c>
      <c r="G1014">
        <v>4</v>
      </c>
      <c r="H1014">
        <v>471</v>
      </c>
      <c r="I1014">
        <v>500000</v>
      </c>
      <c r="J1014">
        <v>100000</v>
      </c>
      <c r="K1014">
        <v>1300000</v>
      </c>
      <c r="L1014">
        <v>300000</v>
      </c>
      <c r="M1014" t="s">
        <v>35</v>
      </c>
      <c r="N1014">
        <f t="shared" si="91"/>
        <v>0</v>
      </c>
      <c r="O1014" t="str">
        <f t="shared" si="90"/>
        <v>Low</v>
      </c>
      <c r="P1014" t="str">
        <f t="shared" si="92"/>
        <v>Middle</v>
      </c>
      <c r="Q1014" t="str">
        <f t="shared" si="93"/>
        <v>Low Loan</v>
      </c>
      <c r="R1014">
        <f t="shared" si="94"/>
        <v>2200000</v>
      </c>
      <c r="S1014" t="str">
        <f t="shared" si="95"/>
        <v>Weak</v>
      </c>
    </row>
    <row r="1015" spans="1:19" x14ac:dyDescent="0.25">
      <c r="A1015">
        <v>1014</v>
      </c>
      <c r="B1015">
        <v>1</v>
      </c>
      <c r="C1015" t="s">
        <v>30</v>
      </c>
      <c r="D1015" t="s">
        <v>33</v>
      </c>
      <c r="E1015">
        <v>5100000</v>
      </c>
      <c r="F1015">
        <v>15300000</v>
      </c>
      <c r="G1015">
        <v>4</v>
      </c>
      <c r="H1015">
        <v>628</v>
      </c>
      <c r="I1015">
        <v>6900000</v>
      </c>
      <c r="J1015">
        <v>3300000</v>
      </c>
      <c r="K1015">
        <v>17600000</v>
      </c>
      <c r="L1015">
        <v>2700000</v>
      </c>
      <c r="M1015" t="s">
        <v>34</v>
      </c>
      <c r="N1015">
        <f t="shared" si="91"/>
        <v>1</v>
      </c>
      <c r="O1015" t="str">
        <f t="shared" si="90"/>
        <v>Low</v>
      </c>
      <c r="P1015" t="str">
        <f t="shared" si="92"/>
        <v>High</v>
      </c>
      <c r="Q1015" t="str">
        <f t="shared" si="93"/>
        <v>Low Loan</v>
      </c>
      <c r="R1015">
        <f t="shared" si="94"/>
        <v>30500000</v>
      </c>
      <c r="S1015" t="str">
        <f t="shared" si="95"/>
        <v>Strong</v>
      </c>
    </row>
    <row r="1016" spans="1:19" x14ac:dyDescent="0.25">
      <c r="A1016">
        <v>1015</v>
      </c>
      <c r="B1016">
        <v>3</v>
      </c>
      <c r="C1016" t="s">
        <v>30</v>
      </c>
      <c r="D1016" t="s">
        <v>32</v>
      </c>
      <c r="E1016">
        <v>9800000</v>
      </c>
      <c r="F1016">
        <v>25600000</v>
      </c>
      <c r="G1016">
        <v>10</v>
      </c>
      <c r="H1016">
        <v>404</v>
      </c>
      <c r="I1016">
        <v>24400000</v>
      </c>
      <c r="J1016">
        <v>6700000</v>
      </c>
      <c r="K1016">
        <v>37000000</v>
      </c>
      <c r="L1016">
        <v>11500000</v>
      </c>
      <c r="M1016" t="s">
        <v>35</v>
      </c>
      <c r="N1016">
        <f t="shared" si="91"/>
        <v>0</v>
      </c>
      <c r="O1016" t="str">
        <f t="shared" si="90"/>
        <v>Low</v>
      </c>
      <c r="P1016" t="str">
        <f t="shared" si="92"/>
        <v>High</v>
      </c>
      <c r="Q1016" t="str">
        <f t="shared" si="93"/>
        <v>High Loan</v>
      </c>
      <c r="R1016">
        <f t="shared" si="94"/>
        <v>79600000</v>
      </c>
      <c r="S1016" t="str">
        <f t="shared" si="95"/>
        <v>Strong</v>
      </c>
    </row>
    <row r="1017" spans="1:19" x14ac:dyDescent="0.25">
      <c r="A1017">
        <v>1016</v>
      </c>
      <c r="B1017">
        <v>2</v>
      </c>
      <c r="C1017" t="s">
        <v>30</v>
      </c>
      <c r="D1017" t="s">
        <v>33</v>
      </c>
      <c r="E1017">
        <v>8600000</v>
      </c>
      <c r="F1017">
        <v>21600000</v>
      </c>
      <c r="G1017">
        <v>16</v>
      </c>
      <c r="H1017">
        <v>804</v>
      </c>
      <c r="I1017">
        <v>15400000</v>
      </c>
      <c r="J1017">
        <v>300000</v>
      </c>
      <c r="K1017">
        <v>26800000</v>
      </c>
      <c r="L1017">
        <v>7100000</v>
      </c>
      <c r="M1017" t="s">
        <v>34</v>
      </c>
      <c r="N1017">
        <f t="shared" si="91"/>
        <v>1</v>
      </c>
      <c r="O1017" t="str">
        <f t="shared" si="90"/>
        <v>Excellent</v>
      </c>
      <c r="P1017" t="str">
        <f t="shared" si="92"/>
        <v>High</v>
      </c>
      <c r="Q1017" t="str">
        <f t="shared" si="93"/>
        <v>High Loan</v>
      </c>
      <c r="R1017">
        <f t="shared" si="94"/>
        <v>49600000</v>
      </c>
      <c r="S1017" t="str">
        <f t="shared" si="95"/>
        <v>Strong</v>
      </c>
    </row>
    <row r="1018" spans="1:19" x14ac:dyDescent="0.25">
      <c r="A1018">
        <v>1017</v>
      </c>
      <c r="B1018">
        <v>3</v>
      </c>
      <c r="C1018" t="s">
        <v>31</v>
      </c>
      <c r="D1018" t="s">
        <v>32</v>
      </c>
      <c r="E1018">
        <v>1600000</v>
      </c>
      <c r="F1018">
        <v>3900000</v>
      </c>
      <c r="G1018">
        <v>20</v>
      </c>
      <c r="H1018">
        <v>804</v>
      </c>
      <c r="I1018">
        <v>900000</v>
      </c>
      <c r="J1018">
        <v>2500000</v>
      </c>
      <c r="K1018">
        <v>3200000</v>
      </c>
      <c r="L1018">
        <v>800000</v>
      </c>
      <c r="M1018" t="s">
        <v>34</v>
      </c>
      <c r="N1018">
        <f t="shared" si="91"/>
        <v>1</v>
      </c>
      <c r="O1018" t="str">
        <f t="shared" si="90"/>
        <v>Excellent</v>
      </c>
      <c r="P1018" t="str">
        <f t="shared" si="92"/>
        <v>High</v>
      </c>
      <c r="Q1018" t="str">
        <f t="shared" si="93"/>
        <v>Low Loan</v>
      </c>
      <c r="R1018">
        <f t="shared" si="94"/>
        <v>7400000</v>
      </c>
      <c r="S1018" t="str">
        <f t="shared" si="95"/>
        <v>Moderate</v>
      </c>
    </row>
    <row r="1019" spans="1:19" x14ac:dyDescent="0.25">
      <c r="A1019">
        <v>1018</v>
      </c>
      <c r="B1019">
        <v>1</v>
      </c>
      <c r="C1019" t="s">
        <v>31</v>
      </c>
      <c r="D1019" t="s">
        <v>33</v>
      </c>
      <c r="E1019">
        <v>2500000</v>
      </c>
      <c r="F1019">
        <v>6700000</v>
      </c>
      <c r="G1019">
        <v>2</v>
      </c>
      <c r="H1019">
        <v>502</v>
      </c>
      <c r="I1019">
        <v>3400000</v>
      </c>
      <c r="J1019">
        <v>2600000</v>
      </c>
      <c r="K1019">
        <v>9400000</v>
      </c>
      <c r="L1019">
        <v>1400000</v>
      </c>
      <c r="M1019" t="s">
        <v>35</v>
      </c>
      <c r="N1019">
        <f t="shared" si="91"/>
        <v>0</v>
      </c>
      <c r="O1019" t="str">
        <f t="shared" si="90"/>
        <v>Low</v>
      </c>
      <c r="P1019" t="str">
        <f t="shared" si="92"/>
        <v>High</v>
      </c>
      <c r="Q1019" t="str">
        <f t="shared" si="93"/>
        <v>Low Loan</v>
      </c>
      <c r="R1019">
        <f t="shared" si="94"/>
        <v>16800000</v>
      </c>
      <c r="S1019" t="str">
        <f t="shared" si="95"/>
        <v>Strong</v>
      </c>
    </row>
    <row r="1020" spans="1:19" x14ac:dyDescent="0.25">
      <c r="A1020">
        <v>1019</v>
      </c>
      <c r="B1020">
        <v>0</v>
      </c>
      <c r="C1020" t="s">
        <v>30</v>
      </c>
      <c r="D1020" t="s">
        <v>32</v>
      </c>
      <c r="E1020">
        <v>9500000</v>
      </c>
      <c r="F1020">
        <v>22600000</v>
      </c>
      <c r="G1020">
        <v>6</v>
      </c>
      <c r="H1020">
        <v>861</v>
      </c>
      <c r="I1020">
        <v>24700000</v>
      </c>
      <c r="J1020">
        <v>13200000</v>
      </c>
      <c r="K1020">
        <v>29000000</v>
      </c>
      <c r="L1020">
        <v>5600000</v>
      </c>
      <c r="M1020" t="s">
        <v>34</v>
      </c>
      <c r="N1020">
        <f t="shared" si="91"/>
        <v>1</v>
      </c>
      <c r="O1020" t="str">
        <f t="shared" si="90"/>
        <v>Excellent</v>
      </c>
      <c r="P1020" t="str">
        <f t="shared" si="92"/>
        <v>High</v>
      </c>
      <c r="Q1020" t="str">
        <f t="shared" si="93"/>
        <v>High Loan</v>
      </c>
      <c r="R1020">
        <f t="shared" si="94"/>
        <v>72500000</v>
      </c>
      <c r="S1020" t="str">
        <f t="shared" si="95"/>
        <v>Strong</v>
      </c>
    </row>
    <row r="1021" spans="1:19" x14ac:dyDescent="0.25">
      <c r="A1021">
        <v>1020</v>
      </c>
      <c r="B1021">
        <v>2</v>
      </c>
      <c r="C1021" t="s">
        <v>31</v>
      </c>
      <c r="D1021" t="s">
        <v>33</v>
      </c>
      <c r="E1021">
        <v>3000000</v>
      </c>
      <c r="F1021">
        <v>7800000</v>
      </c>
      <c r="G1021">
        <v>14</v>
      </c>
      <c r="H1021">
        <v>555</v>
      </c>
      <c r="I1021">
        <v>6600000</v>
      </c>
      <c r="J1021">
        <v>2700000</v>
      </c>
      <c r="K1021">
        <v>9600000</v>
      </c>
      <c r="L1021">
        <v>1700000</v>
      </c>
      <c r="M1021" t="s">
        <v>34</v>
      </c>
      <c r="N1021">
        <f t="shared" si="91"/>
        <v>1</v>
      </c>
      <c r="O1021" t="str">
        <f t="shared" si="90"/>
        <v>Low</v>
      </c>
      <c r="P1021" t="str">
        <f t="shared" si="92"/>
        <v>High</v>
      </c>
      <c r="Q1021" t="str">
        <f t="shared" si="93"/>
        <v>Low Loan</v>
      </c>
      <c r="R1021">
        <f t="shared" si="94"/>
        <v>20600000</v>
      </c>
      <c r="S1021" t="str">
        <f t="shared" si="95"/>
        <v>Strong</v>
      </c>
    </row>
    <row r="1022" spans="1:19" x14ac:dyDescent="0.25">
      <c r="A1022">
        <v>1021</v>
      </c>
      <c r="B1022">
        <v>0</v>
      </c>
      <c r="C1022" t="s">
        <v>31</v>
      </c>
      <c r="D1022" t="s">
        <v>32</v>
      </c>
      <c r="E1022">
        <v>5100000</v>
      </c>
      <c r="F1022">
        <v>13600000</v>
      </c>
      <c r="G1022">
        <v>18</v>
      </c>
      <c r="H1022">
        <v>351</v>
      </c>
      <c r="I1022">
        <v>1700000</v>
      </c>
      <c r="J1022">
        <v>3700000</v>
      </c>
      <c r="K1022">
        <v>14400000</v>
      </c>
      <c r="L1022">
        <v>7600000</v>
      </c>
      <c r="M1022" t="s">
        <v>35</v>
      </c>
      <c r="N1022">
        <f t="shared" si="91"/>
        <v>0</v>
      </c>
      <c r="O1022" t="str">
        <f t="shared" si="90"/>
        <v>Low</v>
      </c>
      <c r="P1022" t="str">
        <f t="shared" si="92"/>
        <v>High</v>
      </c>
      <c r="Q1022" t="str">
        <f t="shared" si="93"/>
        <v>Low Loan</v>
      </c>
      <c r="R1022">
        <f t="shared" si="94"/>
        <v>27400000</v>
      </c>
      <c r="S1022" t="str">
        <f t="shared" si="95"/>
        <v>Strong</v>
      </c>
    </row>
    <row r="1023" spans="1:19" x14ac:dyDescent="0.25">
      <c r="A1023">
        <v>1022</v>
      </c>
      <c r="B1023">
        <v>2</v>
      </c>
      <c r="C1023" t="s">
        <v>31</v>
      </c>
      <c r="D1023" t="s">
        <v>33</v>
      </c>
      <c r="E1023">
        <v>7600000</v>
      </c>
      <c r="F1023">
        <v>23600000</v>
      </c>
      <c r="G1023">
        <v>6</v>
      </c>
      <c r="H1023">
        <v>358</v>
      </c>
      <c r="I1023">
        <v>20200000</v>
      </c>
      <c r="J1023">
        <v>2900000</v>
      </c>
      <c r="K1023">
        <v>22100000</v>
      </c>
      <c r="L1023">
        <v>10900000</v>
      </c>
      <c r="M1023" t="s">
        <v>35</v>
      </c>
      <c r="N1023">
        <f t="shared" si="91"/>
        <v>0</v>
      </c>
      <c r="O1023" t="str">
        <f t="shared" si="90"/>
        <v>Low</v>
      </c>
      <c r="P1023" t="str">
        <f t="shared" si="92"/>
        <v>High</v>
      </c>
      <c r="Q1023" t="str">
        <f t="shared" si="93"/>
        <v>High Loan</v>
      </c>
      <c r="R1023">
        <f t="shared" si="94"/>
        <v>56100000</v>
      </c>
      <c r="S1023" t="str">
        <f t="shared" si="95"/>
        <v>Strong</v>
      </c>
    </row>
    <row r="1024" spans="1:19" x14ac:dyDescent="0.25">
      <c r="A1024">
        <v>1023</v>
      </c>
      <c r="B1024">
        <v>5</v>
      </c>
      <c r="C1024" t="s">
        <v>30</v>
      </c>
      <c r="D1024" t="s">
        <v>32</v>
      </c>
      <c r="E1024">
        <v>8800000</v>
      </c>
      <c r="F1024">
        <v>18800000</v>
      </c>
      <c r="G1024">
        <v>14</v>
      </c>
      <c r="H1024">
        <v>836</v>
      </c>
      <c r="I1024">
        <v>17300000</v>
      </c>
      <c r="J1024">
        <v>10100000</v>
      </c>
      <c r="K1024">
        <v>32700000</v>
      </c>
      <c r="L1024">
        <v>5400000</v>
      </c>
      <c r="M1024" t="s">
        <v>34</v>
      </c>
      <c r="N1024">
        <f t="shared" si="91"/>
        <v>1</v>
      </c>
      <c r="O1024" t="str">
        <f t="shared" si="90"/>
        <v>Excellent</v>
      </c>
      <c r="P1024" t="str">
        <f t="shared" si="92"/>
        <v>High</v>
      </c>
      <c r="Q1024" t="str">
        <f t="shared" si="93"/>
        <v>Low Loan</v>
      </c>
      <c r="R1024">
        <f t="shared" si="94"/>
        <v>65500000</v>
      </c>
      <c r="S1024" t="str">
        <f t="shared" si="95"/>
        <v>Strong</v>
      </c>
    </row>
    <row r="1025" spans="1:19" x14ac:dyDescent="0.25">
      <c r="A1025">
        <v>1024</v>
      </c>
      <c r="B1025">
        <v>4</v>
      </c>
      <c r="C1025" t="s">
        <v>31</v>
      </c>
      <c r="D1025" t="s">
        <v>33</v>
      </c>
      <c r="E1025">
        <v>1100000</v>
      </c>
      <c r="F1025">
        <v>2900000</v>
      </c>
      <c r="G1025">
        <v>4</v>
      </c>
      <c r="H1025">
        <v>554</v>
      </c>
      <c r="I1025">
        <v>2800000</v>
      </c>
      <c r="J1025">
        <v>1000000</v>
      </c>
      <c r="K1025">
        <v>4100000</v>
      </c>
      <c r="L1025">
        <v>1600000</v>
      </c>
      <c r="M1025" t="s">
        <v>34</v>
      </c>
      <c r="N1025">
        <f t="shared" si="91"/>
        <v>1</v>
      </c>
      <c r="O1025" t="str">
        <f t="shared" si="90"/>
        <v>Low</v>
      </c>
      <c r="P1025" t="str">
        <f t="shared" si="92"/>
        <v>High</v>
      </c>
      <c r="Q1025" t="str">
        <f t="shared" si="93"/>
        <v>Low Loan</v>
      </c>
      <c r="R1025">
        <f t="shared" si="94"/>
        <v>9500000</v>
      </c>
      <c r="S1025" t="str">
        <f t="shared" si="95"/>
        <v>Moderate</v>
      </c>
    </row>
    <row r="1026" spans="1:19" x14ac:dyDescent="0.25">
      <c r="A1026">
        <v>1025</v>
      </c>
      <c r="B1026">
        <v>3</v>
      </c>
      <c r="C1026" t="s">
        <v>30</v>
      </c>
      <c r="D1026" t="s">
        <v>32</v>
      </c>
      <c r="E1026">
        <v>8700000</v>
      </c>
      <c r="F1026">
        <v>30500000</v>
      </c>
      <c r="G1026">
        <v>2</v>
      </c>
      <c r="H1026">
        <v>443</v>
      </c>
      <c r="I1026">
        <v>11800000</v>
      </c>
      <c r="J1026">
        <v>1800000</v>
      </c>
      <c r="K1026">
        <v>24600000</v>
      </c>
      <c r="L1026">
        <v>8100000</v>
      </c>
      <c r="M1026" t="s">
        <v>34</v>
      </c>
      <c r="N1026">
        <f t="shared" si="91"/>
        <v>1</v>
      </c>
      <c r="O1026" t="str">
        <f t="shared" ref="O1026:O1089" si="96">IF(H1026&lt;650,"Low",
 IF(H1026&lt;700,"Medium",
 IF(H1026&lt;750,"Good","Excellent")))</f>
        <v>Low</v>
      </c>
      <c r="P1026" t="str">
        <f t="shared" si="92"/>
        <v>High</v>
      </c>
      <c r="Q1026" t="str">
        <f t="shared" si="93"/>
        <v>High Loan</v>
      </c>
      <c r="R1026">
        <f t="shared" si="94"/>
        <v>46300000</v>
      </c>
      <c r="S1026" t="str">
        <f t="shared" si="95"/>
        <v>Strong</v>
      </c>
    </row>
    <row r="1027" spans="1:19" x14ac:dyDescent="0.25">
      <c r="A1027">
        <v>1026</v>
      </c>
      <c r="B1027">
        <v>5</v>
      </c>
      <c r="C1027" t="s">
        <v>31</v>
      </c>
      <c r="D1027" t="s">
        <v>32</v>
      </c>
      <c r="E1027">
        <v>6100000</v>
      </c>
      <c r="F1027">
        <v>23600000</v>
      </c>
      <c r="G1027">
        <v>4</v>
      </c>
      <c r="H1027">
        <v>725</v>
      </c>
      <c r="I1027">
        <v>17400000</v>
      </c>
      <c r="J1027">
        <v>5100000</v>
      </c>
      <c r="K1027">
        <v>15600000</v>
      </c>
      <c r="L1027">
        <v>4800000</v>
      </c>
      <c r="M1027" t="s">
        <v>34</v>
      </c>
      <c r="N1027">
        <f t="shared" ref="N1027:N1090" si="97">IF(TRIM(CLEAN(M1027))="Approved",1,0)</f>
        <v>1</v>
      </c>
      <c r="O1027" t="str">
        <f t="shared" si="96"/>
        <v>Good</v>
      </c>
      <c r="P1027" t="str">
        <f t="shared" ref="P1027:P1090" si="98">IF(E1027&lt;300000,"Low",
 IF(E1027&lt;700000,"Middle","High"))</f>
        <v>High</v>
      </c>
      <c r="Q1027" t="str">
        <f t="shared" ref="Q1027:Q1090" si="99">IF(F1027&lt;20000000,"Low Loan","High Loan")</f>
        <v>High Loan</v>
      </c>
      <c r="R1027">
        <f t="shared" ref="R1027:R1090" si="100">I1027+J1027+K1027+L1027</f>
        <v>42900000</v>
      </c>
      <c r="S1027" t="str">
        <f t="shared" ref="S1027:S1090" si="101">IF(R1027&lt;5000000,"Weak",
 IF(R1027&lt;10000000,"Moderate","Strong"))</f>
        <v>Strong</v>
      </c>
    </row>
    <row r="1028" spans="1:19" x14ac:dyDescent="0.25">
      <c r="A1028">
        <v>1027</v>
      </c>
      <c r="B1028">
        <v>2</v>
      </c>
      <c r="C1028" t="s">
        <v>31</v>
      </c>
      <c r="D1028" t="s">
        <v>33</v>
      </c>
      <c r="E1028">
        <v>1900000</v>
      </c>
      <c r="F1028">
        <v>7000000</v>
      </c>
      <c r="G1028">
        <v>14</v>
      </c>
      <c r="H1028">
        <v>818</v>
      </c>
      <c r="I1028">
        <v>4800000</v>
      </c>
      <c r="J1028">
        <v>3500000</v>
      </c>
      <c r="K1028">
        <v>4500000</v>
      </c>
      <c r="L1028">
        <v>2100000</v>
      </c>
      <c r="M1028" t="s">
        <v>34</v>
      </c>
      <c r="N1028">
        <f t="shared" si="97"/>
        <v>1</v>
      </c>
      <c r="O1028" t="str">
        <f t="shared" si="96"/>
        <v>Excellent</v>
      </c>
      <c r="P1028" t="str">
        <f t="shared" si="98"/>
        <v>High</v>
      </c>
      <c r="Q1028" t="str">
        <f t="shared" si="99"/>
        <v>Low Loan</v>
      </c>
      <c r="R1028">
        <f t="shared" si="100"/>
        <v>14900000</v>
      </c>
      <c r="S1028" t="str">
        <f t="shared" si="101"/>
        <v>Strong</v>
      </c>
    </row>
    <row r="1029" spans="1:19" x14ac:dyDescent="0.25">
      <c r="A1029">
        <v>1028</v>
      </c>
      <c r="B1029">
        <v>1</v>
      </c>
      <c r="C1029" t="s">
        <v>31</v>
      </c>
      <c r="D1029" t="s">
        <v>32</v>
      </c>
      <c r="E1029">
        <v>9900000</v>
      </c>
      <c r="F1029">
        <v>38700000</v>
      </c>
      <c r="G1029">
        <v>6</v>
      </c>
      <c r="H1029">
        <v>670</v>
      </c>
      <c r="I1029">
        <v>19400000</v>
      </c>
      <c r="J1029">
        <v>12600000</v>
      </c>
      <c r="K1029">
        <v>35800000</v>
      </c>
      <c r="L1029">
        <v>6500000</v>
      </c>
      <c r="M1029" t="s">
        <v>34</v>
      </c>
      <c r="N1029">
        <f t="shared" si="97"/>
        <v>1</v>
      </c>
      <c r="O1029" t="str">
        <f t="shared" si="96"/>
        <v>Medium</v>
      </c>
      <c r="P1029" t="str">
        <f t="shared" si="98"/>
        <v>High</v>
      </c>
      <c r="Q1029" t="str">
        <f t="shared" si="99"/>
        <v>High Loan</v>
      </c>
      <c r="R1029">
        <f t="shared" si="100"/>
        <v>74300000</v>
      </c>
      <c r="S1029" t="str">
        <f t="shared" si="101"/>
        <v>Strong</v>
      </c>
    </row>
    <row r="1030" spans="1:19" x14ac:dyDescent="0.25">
      <c r="A1030">
        <v>1029</v>
      </c>
      <c r="B1030">
        <v>0</v>
      </c>
      <c r="C1030" t="s">
        <v>30</v>
      </c>
      <c r="D1030" t="s">
        <v>32</v>
      </c>
      <c r="E1030">
        <v>5800000</v>
      </c>
      <c r="F1030">
        <v>21100000</v>
      </c>
      <c r="G1030">
        <v>6</v>
      </c>
      <c r="H1030">
        <v>414</v>
      </c>
      <c r="I1030">
        <v>7900000</v>
      </c>
      <c r="J1030">
        <v>2400000</v>
      </c>
      <c r="K1030">
        <v>16000000</v>
      </c>
      <c r="L1030">
        <v>5600000</v>
      </c>
      <c r="M1030" t="s">
        <v>35</v>
      </c>
      <c r="N1030">
        <f t="shared" si="97"/>
        <v>0</v>
      </c>
      <c r="O1030" t="str">
        <f t="shared" si="96"/>
        <v>Low</v>
      </c>
      <c r="P1030" t="str">
        <f t="shared" si="98"/>
        <v>High</v>
      </c>
      <c r="Q1030" t="str">
        <f t="shared" si="99"/>
        <v>High Loan</v>
      </c>
      <c r="R1030">
        <f t="shared" si="100"/>
        <v>31900000</v>
      </c>
      <c r="S1030" t="str">
        <f t="shared" si="101"/>
        <v>Strong</v>
      </c>
    </row>
    <row r="1031" spans="1:19" x14ac:dyDescent="0.25">
      <c r="A1031">
        <v>1030</v>
      </c>
      <c r="B1031">
        <v>2</v>
      </c>
      <c r="C1031" t="s">
        <v>31</v>
      </c>
      <c r="D1031" t="s">
        <v>33</v>
      </c>
      <c r="E1031">
        <v>9500000</v>
      </c>
      <c r="F1031">
        <v>37000000</v>
      </c>
      <c r="G1031">
        <v>8</v>
      </c>
      <c r="H1031">
        <v>887</v>
      </c>
      <c r="I1031">
        <v>21800000</v>
      </c>
      <c r="J1031">
        <v>18300000</v>
      </c>
      <c r="K1031">
        <v>19200000</v>
      </c>
      <c r="L1031">
        <v>11700000</v>
      </c>
      <c r="M1031" t="s">
        <v>34</v>
      </c>
      <c r="N1031">
        <f t="shared" si="97"/>
        <v>1</v>
      </c>
      <c r="O1031" t="str">
        <f t="shared" si="96"/>
        <v>Excellent</v>
      </c>
      <c r="P1031" t="str">
        <f t="shared" si="98"/>
        <v>High</v>
      </c>
      <c r="Q1031" t="str">
        <f t="shared" si="99"/>
        <v>High Loan</v>
      </c>
      <c r="R1031">
        <f t="shared" si="100"/>
        <v>71000000</v>
      </c>
      <c r="S1031" t="str">
        <f t="shared" si="101"/>
        <v>Strong</v>
      </c>
    </row>
    <row r="1032" spans="1:19" x14ac:dyDescent="0.25">
      <c r="A1032">
        <v>1031</v>
      </c>
      <c r="B1032">
        <v>3</v>
      </c>
      <c r="C1032" t="s">
        <v>30</v>
      </c>
      <c r="D1032" t="s">
        <v>33</v>
      </c>
      <c r="E1032">
        <v>7900000</v>
      </c>
      <c r="F1032">
        <v>26600000</v>
      </c>
      <c r="G1032">
        <v>12</v>
      </c>
      <c r="H1032">
        <v>409</v>
      </c>
      <c r="I1032">
        <v>17100000</v>
      </c>
      <c r="J1032">
        <v>1400000</v>
      </c>
      <c r="K1032">
        <v>22500000</v>
      </c>
      <c r="L1032">
        <v>8700000</v>
      </c>
      <c r="M1032" t="s">
        <v>35</v>
      </c>
      <c r="N1032">
        <f t="shared" si="97"/>
        <v>0</v>
      </c>
      <c r="O1032" t="str">
        <f t="shared" si="96"/>
        <v>Low</v>
      </c>
      <c r="P1032" t="str">
        <f t="shared" si="98"/>
        <v>High</v>
      </c>
      <c r="Q1032" t="str">
        <f t="shared" si="99"/>
        <v>High Loan</v>
      </c>
      <c r="R1032">
        <f t="shared" si="100"/>
        <v>49700000</v>
      </c>
      <c r="S1032" t="str">
        <f t="shared" si="101"/>
        <v>Strong</v>
      </c>
    </row>
    <row r="1033" spans="1:19" x14ac:dyDescent="0.25">
      <c r="A1033">
        <v>1032</v>
      </c>
      <c r="B1033">
        <v>1</v>
      </c>
      <c r="C1033" t="s">
        <v>31</v>
      </c>
      <c r="D1033" t="s">
        <v>33</v>
      </c>
      <c r="E1033">
        <v>1300000</v>
      </c>
      <c r="F1033">
        <v>4500000</v>
      </c>
      <c r="G1033">
        <v>14</v>
      </c>
      <c r="H1033">
        <v>679</v>
      </c>
      <c r="I1033">
        <v>2700000</v>
      </c>
      <c r="J1033">
        <v>2100000</v>
      </c>
      <c r="K1033">
        <v>3700000</v>
      </c>
      <c r="L1033">
        <v>1600000</v>
      </c>
      <c r="M1033" t="s">
        <v>34</v>
      </c>
      <c r="N1033">
        <f t="shared" si="97"/>
        <v>1</v>
      </c>
      <c r="O1033" t="str">
        <f t="shared" si="96"/>
        <v>Medium</v>
      </c>
      <c r="P1033" t="str">
        <f t="shared" si="98"/>
        <v>High</v>
      </c>
      <c r="Q1033" t="str">
        <f t="shared" si="99"/>
        <v>Low Loan</v>
      </c>
      <c r="R1033">
        <f t="shared" si="100"/>
        <v>10100000</v>
      </c>
      <c r="S1033" t="str">
        <f t="shared" si="101"/>
        <v>Strong</v>
      </c>
    </row>
    <row r="1034" spans="1:19" x14ac:dyDescent="0.25">
      <c r="A1034">
        <v>1033</v>
      </c>
      <c r="B1034">
        <v>4</v>
      </c>
      <c r="C1034" t="s">
        <v>30</v>
      </c>
      <c r="D1034" t="s">
        <v>33</v>
      </c>
      <c r="E1034">
        <v>700000</v>
      </c>
      <c r="F1034">
        <v>2600000</v>
      </c>
      <c r="G1034">
        <v>18</v>
      </c>
      <c r="H1034">
        <v>478</v>
      </c>
      <c r="I1034">
        <v>600000</v>
      </c>
      <c r="J1034">
        <v>600000</v>
      </c>
      <c r="K1034">
        <v>2100000</v>
      </c>
      <c r="L1034">
        <v>300000</v>
      </c>
      <c r="M1034" t="s">
        <v>35</v>
      </c>
      <c r="N1034">
        <f t="shared" si="97"/>
        <v>0</v>
      </c>
      <c r="O1034" t="str">
        <f t="shared" si="96"/>
        <v>Low</v>
      </c>
      <c r="P1034" t="str">
        <f t="shared" si="98"/>
        <v>High</v>
      </c>
      <c r="Q1034" t="str">
        <f t="shared" si="99"/>
        <v>Low Loan</v>
      </c>
      <c r="R1034">
        <f t="shared" si="100"/>
        <v>3600000</v>
      </c>
      <c r="S1034" t="str">
        <f t="shared" si="101"/>
        <v>Weak</v>
      </c>
    </row>
    <row r="1035" spans="1:19" x14ac:dyDescent="0.25">
      <c r="A1035">
        <v>1034</v>
      </c>
      <c r="B1035">
        <v>3</v>
      </c>
      <c r="C1035" t="s">
        <v>30</v>
      </c>
      <c r="D1035" t="s">
        <v>32</v>
      </c>
      <c r="E1035">
        <v>600000</v>
      </c>
      <c r="F1035">
        <v>1200000</v>
      </c>
      <c r="G1035">
        <v>2</v>
      </c>
      <c r="H1035">
        <v>752</v>
      </c>
      <c r="I1035">
        <v>1100000</v>
      </c>
      <c r="J1035">
        <v>500000</v>
      </c>
      <c r="K1035">
        <v>2300000</v>
      </c>
      <c r="L1035">
        <v>700000</v>
      </c>
      <c r="M1035" t="s">
        <v>34</v>
      </c>
      <c r="N1035">
        <f t="shared" si="97"/>
        <v>1</v>
      </c>
      <c r="O1035" t="str">
        <f t="shared" si="96"/>
        <v>Excellent</v>
      </c>
      <c r="P1035" t="str">
        <f t="shared" si="98"/>
        <v>Middle</v>
      </c>
      <c r="Q1035" t="str">
        <f t="shared" si="99"/>
        <v>Low Loan</v>
      </c>
      <c r="R1035">
        <f t="shared" si="100"/>
        <v>4600000</v>
      </c>
      <c r="S1035" t="str">
        <f t="shared" si="101"/>
        <v>Weak</v>
      </c>
    </row>
    <row r="1036" spans="1:19" x14ac:dyDescent="0.25">
      <c r="A1036">
        <v>1035</v>
      </c>
      <c r="B1036">
        <v>0</v>
      </c>
      <c r="C1036" t="s">
        <v>30</v>
      </c>
      <c r="D1036" t="s">
        <v>32</v>
      </c>
      <c r="E1036">
        <v>9400000</v>
      </c>
      <c r="F1036">
        <v>33000000</v>
      </c>
      <c r="G1036">
        <v>4</v>
      </c>
      <c r="H1036">
        <v>616</v>
      </c>
      <c r="I1036">
        <v>15400000</v>
      </c>
      <c r="J1036">
        <v>5000000</v>
      </c>
      <c r="K1036">
        <v>25100000</v>
      </c>
      <c r="L1036">
        <v>7800000</v>
      </c>
      <c r="M1036" t="s">
        <v>34</v>
      </c>
      <c r="N1036">
        <f t="shared" si="97"/>
        <v>1</v>
      </c>
      <c r="O1036" t="str">
        <f t="shared" si="96"/>
        <v>Low</v>
      </c>
      <c r="P1036" t="str">
        <f t="shared" si="98"/>
        <v>High</v>
      </c>
      <c r="Q1036" t="str">
        <f t="shared" si="99"/>
        <v>High Loan</v>
      </c>
      <c r="R1036">
        <f t="shared" si="100"/>
        <v>53300000</v>
      </c>
      <c r="S1036" t="str">
        <f t="shared" si="101"/>
        <v>Strong</v>
      </c>
    </row>
    <row r="1037" spans="1:19" x14ac:dyDescent="0.25">
      <c r="A1037">
        <v>1036</v>
      </c>
      <c r="B1037">
        <v>2</v>
      </c>
      <c r="C1037" t="s">
        <v>31</v>
      </c>
      <c r="D1037" t="s">
        <v>33</v>
      </c>
      <c r="E1037">
        <v>3800000</v>
      </c>
      <c r="F1037">
        <v>12500000</v>
      </c>
      <c r="G1037">
        <v>14</v>
      </c>
      <c r="H1037">
        <v>842</v>
      </c>
      <c r="I1037">
        <v>3700000</v>
      </c>
      <c r="J1037">
        <v>6700000</v>
      </c>
      <c r="K1037">
        <v>14600000</v>
      </c>
      <c r="L1037">
        <v>5300000</v>
      </c>
      <c r="M1037" t="s">
        <v>34</v>
      </c>
      <c r="N1037">
        <f t="shared" si="97"/>
        <v>1</v>
      </c>
      <c r="O1037" t="str">
        <f t="shared" si="96"/>
        <v>Excellent</v>
      </c>
      <c r="P1037" t="str">
        <f t="shared" si="98"/>
        <v>High</v>
      </c>
      <c r="Q1037" t="str">
        <f t="shared" si="99"/>
        <v>Low Loan</v>
      </c>
      <c r="R1037">
        <f t="shared" si="100"/>
        <v>30300000</v>
      </c>
      <c r="S1037" t="str">
        <f t="shared" si="101"/>
        <v>Strong</v>
      </c>
    </row>
    <row r="1038" spans="1:19" x14ac:dyDescent="0.25">
      <c r="A1038">
        <v>1037</v>
      </c>
      <c r="B1038">
        <v>3</v>
      </c>
      <c r="C1038" t="s">
        <v>30</v>
      </c>
      <c r="D1038" t="s">
        <v>33</v>
      </c>
      <c r="E1038">
        <v>7800000</v>
      </c>
      <c r="F1038">
        <v>26300000</v>
      </c>
      <c r="G1038">
        <v>20</v>
      </c>
      <c r="H1038">
        <v>840</v>
      </c>
      <c r="I1038">
        <v>1200000</v>
      </c>
      <c r="J1038">
        <v>11300000</v>
      </c>
      <c r="K1038">
        <v>24100000</v>
      </c>
      <c r="L1038">
        <v>5300000</v>
      </c>
      <c r="M1038" t="s">
        <v>34</v>
      </c>
      <c r="N1038">
        <f t="shared" si="97"/>
        <v>1</v>
      </c>
      <c r="O1038" t="str">
        <f t="shared" si="96"/>
        <v>Excellent</v>
      </c>
      <c r="P1038" t="str">
        <f t="shared" si="98"/>
        <v>High</v>
      </c>
      <c r="Q1038" t="str">
        <f t="shared" si="99"/>
        <v>High Loan</v>
      </c>
      <c r="R1038">
        <f t="shared" si="100"/>
        <v>41900000</v>
      </c>
      <c r="S1038" t="str">
        <f t="shared" si="101"/>
        <v>Strong</v>
      </c>
    </row>
    <row r="1039" spans="1:19" x14ac:dyDescent="0.25">
      <c r="A1039">
        <v>1038</v>
      </c>
      <c r="B1039">
        <v>3</v>
      </c>
      <c r="C1039" t="s">
        <v>30</v>
      </c>
      <c r="D1039" t="s">
        <v>33</v>
      </c>
      <c r="E1039">
        <v>7800000</v>
      </c>
      <c r="F1039">
        <v>27700000</v>
      </c>
      <c r="G1039">
        <v>6</v>
      </c>
      <c r="H1039">
        <v>430</v>
      </c>
      <c r="I1039">
        <v>2000000</v>
      </c>
      <c r="J1039">
        <v>8000000</v>
      </c>
      <c r="K1039">
        <v>26100000</v>
      </c>
      <c r="L1039">
        <v>5300000</v>
      </c>
      <c r="M1039" t="s">
        <v>35</v>
      </c>
      <c r="N1039">
        <f t="shared" si="97"/>
        <v>0</v>
      </c>
      <c r="O1039" t="str">
        <f t="shared" si="96"/>
        <v>Low</v>
      </c>
      <c r="P1039" t="str">
        <f t="shared" si="98"/>
        <v>High</v>
      </c>
      <c r="Q1039" t="str">
        <f t="shared" si="99"/>
        <v>High Loan</v>
      </c>
      <c r="R1039">
        <f t="shared" si="100"/>
        <v>41400000</v>
      </c>
      <c r="S1039" t="str">
        <f t="shared" si="101"/>
        <v>Strong</v>
      </c>
    </row>
    <row r="1040" spans="1:19" x14ac:dyDescent="0.25">
      <c r="A1040">
        <v>1039</v>
      </c>
      <c r="B1040">
        <v>4</v>
      </c>
      <c r="C1040" t="s">
        <v>31</v>
      </c>
      <c r="D1040" t="s">
        <v>32</v>
      </c>
      <c r="E1040">
        <v>2700000</v>
      </c>
      <c r="F1040">
        <v>7000000</v>
      </c>
      <c r="G1040">
        <v>4</v>
      </c>
      <c r="H1040">
        <v>351</v>
      </c>
      <c r="I1040">
        <v>1100000</v>
      </c>
      <c r="J1040">
        <v>2300000</v>
      </c>
      <c r="K1040">
        <v>8300000</v>
      </c>
      <c r="L1040">
        <v>2700000</v>
      </c>
      <c r="M1040" t="s">
        <v>35</v>
      </c>
      <c r="N1040">
        <f t="shared" si="97"/>
        <v>0</v>
      </c>
      <c r="O1040" t="str">
        <f t="shared" si="96"/>
        <v>Low</v>
      </c>
      <c r="P1040" t="str">
        <f t="shared" si="98"/>
        <v>High</v>
      </c>
      <c r="Q1040" t="str">
        <f t="shared" si="99"/>
        <v>Low Loan</v>
      </c>
      <c r="R1040">
        <f t="shared" si="100"/>
        <v>14400000</v>
      </c>
      <c r="S1040" t="str">
        <f t="shared" si="101"/>
        <v>Strong</v>
      </c>
    </row>
    <row r="1041" spans="1:19" x14ac:dyDescent="0.25">
      <c r="A1041">
        <v>1040</v>
      </c>
      <c r="B1041">
        <v>5</v>
      </c>
      <c r="C1041" t="s">
        <v>31</v>
      </c>
      <c r="D1041" t="s">
        <v>32</v>
      </c>
      <c r="E1041">
        <v>600000</v>
      </c>
      <c r="F1041">
        <v>2300000</v>
      </c>
      <c r="G1041">
        <v>4</v>
      </c>
      <c r="H1041">
        <v>347</v>
      </c>
      <c r="I1041">
        <v>0</v>
      </c>
      <c r="J1041">
        <v>0</v>
      </c>
      <c r="K1041">
        <v>1900000</v>
      </c>
      <c r="L1041">
        <v>200000</v>
      </c>
      <c r="M1041" t="s">
        <v>35</v>
      </c>
      <c r="N1041">
        <f t="shared" si="97"/>
        <v>0</v>
      </c>
      <c r="O1041" t="str">
        <f t="shared" si="96"/>
        <v>Low</v>
      </c>
      <c r="P1041" t="str">
        <f t="shared" si="98"/>
        <v>Middle</v>
      </c>
      <c r="Q1041" t="str">
        <f t="shared" si="99"/>
        <v>Low Loan</v>
      </c>
      <c r="R1041">
        <f t="shared" si="100"/>
        <v>2100000</v>
      </c>
      <c r="S1041" t="str">
        <f t="shared" si="101"/>
        <v>Weak</v>
      </c>
    </row>
    <row r="1042" spans="1:19" x14ac:dyDescent="0.25">
      <c r="A1042">
        <v>1041</v>
      </c>
      <c r="B1042">
        <v>3</v>
      </c>
      <c r="C1042" t="s">
        <v>31</v>
      </c>
      <c r="D1042" t="s">
        <v>33</v>
      </c>
      <c r="E1042">
        <v>8000000</v>
      </c>
      <c r="F1042">
        <v>28800000</v>
      </c>
      <c r="G1042">
        <v>10</v>
      </c>
      <c r="H1042">
        <v>576</v>
      </c>
      <c r="I1042">
        <v>18800000</v>
      </c>
      <c r="J1042">
        <v>7500000</v>
      </c>
      <c r="K1042">
        <v>16300000</v>
      </c>
      <c r="L1042">
        <v>11900000</v>
      </c>
      <c r="M1042" t="s">
        <v>34</v>
      </c>
      <c r="N1042">
        <f t="shared" si="97"/>
        <v>1</v>
      </c>
      <c r="O1042" t="str">
        <f t="shared" si="96"/>
        <v>Low</v>
      </c>
      <c r="P1042" t="str">
        <f t="shared" si="98"/>
        <v>High</v>
      </c>
      <c r="Q1042" t="str">
        <f t="shared" si="99"/>
        <v>High Loan</v>
      </c>
      <c r="R1042">
        <f t="shared" si="100"/>
        <v>54500000</v>
      </c>
      <c r="S1042" t="str">
        <f t="shared" si="101"/>
        <v>Strong</v>
      </c>
    </row>
    <row r="1043" spans="1:19" x14ac:dyDescent="0.25">
      <c r="A1043">
        <v>1042</v>
      </c>
      <c r="B1043">
        <v>0</v>
      </c>
      <c r="C1043" t="s">
        <v>31</v>
      </c>
      <c r="D1043" t="s">
        <v>33</v>
      </c>
      <c r="E1043">
        <v>4000000</v>
      </c>
      <c r="F1043">
        <v>11000000</v>
      </c>
      <c r="G1043">
        <v>8</v>
      </c>
      <c r="H1043">
        <v>799</v>
      </c>
      <c r="I1043">
        <v>4400000</v>
      </c>
      <c r="J1043">
        <v>6100000</v>
      </c>
      <c r="K1043">
        <v>14700000</v>
      </c>
      <c r="L1043">
        <v>4200000</v>
      </c>
      <c r="M1043" t="s">
        <v>34</v>
      </c>
      <c r="N1043">
        <f t="shared" si="97"/>
        <v>1</v>
      </c>
      <c r="O1043" t="str">
        <f t="shared" si="96"/>
        <v>Excellent</v>
      </c>
      <c r="P1043" t="str">
        <f t="shared" si="98"/>
        <v>High</v>
      </c>
      <c r="Q1043" t="str">
        <f t="shared" si="99"/>
        <v>Low Loan</v>
      </c>
      <c r="R1043">
        <f t="shared" si="100"/>
        <v>29400000</v>
      </c>
      <c r="S1043" t="str">
        <f t="shared" si="101"/>
        <v>Strong</v>
      </c>
    </row>
    <row r="1044" spans="1:19" x14ac:dyDescent="0.25">
      <c r="A1044">
        <v>1043</v>
      </c>
      <c r="B1044">
        <v>1</v>
      </c>
      <c r="C1044" t="s">
        <v>31</v>
      </c>
      <c r="D1044" t="s">
        <v>33</v>
      </c>
      <c r="E1044">
        <v>3300000</v>
      </c>
      <c r="F1044">
        <v>10800000</v>
      </c>
      <c r="G1044">
        <v>2</v>
      </c>
      <c r="H1044">
        <v>550</v>
      </c>
      <c r="I1044">
        <v>6000000</v>
      </c>
      <c r="J1044">
        <v>3800000</v>
      </c>
      <c r="K1044">
        <v>11000000</v>
      </c>
      <c r="L1044">
        <v>4700000</v>
      </c>
      <c r="M1044" t="s">
        <v>34</v>
      </c>
      <c r="N1044">
        <f t="shared" si="97"/>
        <v>1</v>
      </c>
      <c r="O1044" t="str">
        <f t="shared" si="96"/>
        <v>Low</v>
      </c>
      <c r="P1044" t="str">
        <f t="shared" si="98"/>
        <v>High</v>
      </c>
      <c r="Q1044" t="str">
        <f t="shared" si="99"/>
        <v>Low Loan</v>
      </c>
      <c r="R1044">
        <f t="shared" si="100"/>
        <v>25500000</v>
      </c>
      <c r="S1044" t="str">
        <f t="shared" si="101"/>
        <v>Strong</v>
      </c>
    </row>
    <row r="1045" spans="1:19" x14ac:dyDescent="0.25">
      <c r="A1045">
        <v>1044</v>
      </c>
      <c r="B1045">
        <v>2</v>
      </c>
      <c r="C1045" t="s">
        <v>30</v>
      </c>
      <c r="D1045" t="s">
        <v>32</v>
      </c>
      <c r="E1045">
        <v>5800000</v>
      </c>
      <c r="F1045">
        <v>13300000</v>
      </c>
      <c r="G1045">
        <v>4</v>
      </c>
      <c r="H1045">
        <v>878</v>
      </c>
      <c r="I1045">
        <v>8400000</v>
      </c>
      <c r="J1045">
        <v>5400000</v>
      </c>
      <c r="K1045">
        <v>18600000</v>
      </c>
      <c r="L1045">
        <v>4500000</v>
      </c>
      <c r="M1045" t="s">
        <v>34</v>
      </c>
      <c r="N1045">
        <f t="shared" si="97"/>
        <v>1</v>
      </c>
      <c r="O1045" t="str">
        <f t="shared" si="96"/>
        <v>Excellent</v>
      </c>
      <c r="P1045" t="str">
        <f t="shared" si="98"/>
        <v>High</v>
      </c>
      <c r="Q1045" t="str">
        <f t="shared" si="99"/>
        <v>Low Loan</v>
      </c>
      <c r="R1045">
        <f t="shared" si="100"/>
        <v>36900000</v>
      </c>
      <c r="S1045" t="str">
        <f t="shared" si="101"/>
        <v>Strong</v>
      </c>
    </row>
    <row r="1046" spans="1:19" x14ac:dyDescent="0.25">
      <c r="A1046">
        <v>1045</v>
      </c>
      <c r="B1046">
        <v>3</v>
      </c>
      <c r="C1046" t="s">
        <v>30</v>
      </c>
      <c r="D1046" t="s">
        <v>33</v>
      </c>
      <c r="E1046">
        <v>2400000</v>
      </c>
      <c r="F1046">
        <v>4800000</v>
      </c>
      <c r="G1046">
        <v>12</v>
      </c>
      <c r="H1046">
        <v>895</v>
      </c>
      <c r="I1046">
        <v>6800000</v>
      </c>
      <c r="J1046">
        <v>300000</v>
      </c>
      <c r="K1046">
        <v>7300000</v>
      </c>
      <c r="L1046">
        <v>3300000</v>
      </c>
      <c r="M1046" t="s">
        <v>34</v>
      </c>
      <c r="N1046">
        <f t="shared" si="97"/>
        <v>1</v>
      </c>
      <c r="O1046" t="str">
        <f t="shared" si="96"/>
        <v>Excellent</v>
      </c>
      <c r="P1046" t="str">
        <f t="shared" si="98"/>
        <v>High</v>
      </c>
      <c r="Q1046" t="str">
        <f t="shared" si="99"/>
        <v>Low Loan</v>
      </c>
      <c r="R1046">
        <f t="shared" si="100"/>
        <v>17700000</v>
      </c>
      <c r="S1046" t="str">
        <f t="shared" si="101"/>
        <v>Strong</v>
      </c>
    </row>
    <row r="1047" spans="1:19" x14ac:dyDescent="0.25">
      <c r="A1047">
        <v>1046</v>
      </c>
      <c r="B1047">
        <v>4</v>
      </c>
      <c r="C1047" t="s">
        <v>31</v>
      </c>
      <c r="D1047" t="s">
        <v>32</v>
      </c>
      <c r="E1047">
        <v>7600000</v>
      </c>
      <c r="F1047">
        <v>29700000</v>
      </c>
      <c r="G1047">
        <v>6</v>
      </c>
      <c r="H1047">
        <v>603</v>
      </c>
      <c r="I1047">
        <v>3200000</v>
      </c>
      <c r="J1047">
        <v>2900000</v>
      </c>
      <c r="K1047">
        <v>27800000</v>
      </c>
      <c r="L1047">
        <v>11000000</v>
      </c>
      <c r="M1047" t="s">
        <v>34</v>
      </c>
      <c r="N1047">
        <f t="shared" si="97"/>
        <v>1</v>
      </c>
      <c r="O1047" t="str">
        <f t="shared" si="96"/>
        <v>Low</v>
      </c>
      <c r="P1047" t="str">
        <f t="shared" si="98"/>
        <v>High</v>
      </c>
      <c r="Q1047" t="str">
        <f t="shared" si="99"/>
        <v>High Loan</v>
      </c>
      <c r="R1047">
        <f t="shared" si="100"/>
        <v>44900000</v>
      </c>
      <c r="S1047" t="str">
        <f t="shared" si="101"/>
        <v>Strong</v>
      </c>
    </row>
    <row r="1048" spans="1:19" x14ac:dyDescent="0.25">
      <c r="A1048">
        <v>1047</v>
      </c>
      <c r="B1048">
        <v>2</v>
      </c>
      <c r="C1048" t="s">
        <v>31</v>
      </c>
      <c r="D1048" t="s">
        <v>33</v>
      </c>
      <c r="E1048">
        <v>2500000</v>
      </c>
      <c r="F1048">
        <v>6900000</v>
      </c>
      <c r="G1048">
        <v>12</v>
      </c>
      <c r="H1048">
        <v>325</v>
      </c>
      <c r="I1048">
        <v>5800000</v>
      </c>
      <c r="J1048">
        <v>1600000</v>
      </c>
      <c r="K1048">
        <v>6400000</v>
      </c>
      <c r="L1048">
        <v>3600000</v>
      </c>
      <c r="M1048" t="s">
        <v>35</v>
      </c>
      <c r="N1048">
        <f t="shared" si="97"/>
        <v>0</v>
      </c>
      <c r="O1048" t="str">
        <f t="shared" si="96"/>
        <v>Low</v>
      </c>
      <c r="P1048" t="str">
        <f t="shared" si="98"/>
        <v>High</v>
      </c>
      <c r="Q1048" t="str">
        <f t="shared" si="99"/>
        <v>Low Loan</v>
      </c>
      <c r="R1048">
        <f t="shared" si="100"/>
        <v>17400000</v>
      </c>
      <c r="S1048" t="str">
        <f t="shared" si="101"/>
        <v>Strong</v>
      </c>
    </row>
    <row r="1049" spans="1:19" x14ac:dyDescent="0.25">
      <c r="A1049">
        <v>1048</v>
      </c>
      <c r="B1049">
        <v>2</v>
      </c>
      <c r="C1049" t="s">
        <v>30</v>
      </c>
      <c r="D1049" t="s">
        <v>32</v>
      </c>
      <c r="E1049">
        <v>3300000</v>
      </c>
      <c r="F1049">
        <v>11800000</v>
      </c>
      <c r="G1049">
        <v>4</v>
      </c>
      <c r="H1049">
        <v>393</v>
      </c>
      <c r="I1049">
        <v>5700000</v>
      </c>
      <c r="J1049">
        <v>3700000</v>
      </c>
      <c r="K1049">
        <v>6800000</v>
      </c>
      <c r="L1049">
        <v>2600000</v>
      </c>
      <c r="M1049" t="s">
        <v>34</v>
      </c>
      <c r="N1049">
        <f t="shared" si="97"/>
        <v>1</v>
      </c>
      <c r="O1049" t="str">
        <f t="shared" si="96"/>
        <v>Low</v>
      </c>
      <c r="P1049" t="str">
        <f t="shared" si="98"/>
        <v>High</v>
      </c>
      <c r="Q1049" t="str">
        <f t="shared" si="99"/>
        <v>Low Loan</v>
      </c>
      <c r="R1049">
        <f t="shared" si="100"/>
        <v>18800000</v>
      </c>
      <c r="S1049" t="str">
        <f t="shared" si="101"/>
        <v>Strong</v>
      </c>
    </row>
    <row r="1050" spans="1:19" x14ac:dyDescent="0.25">
      <c r="A1050">
        <v>1049</v>
      </c>
      <c r="B1050">
        <v>3</v>
      </c>
      <c r="C1050" t="s">
        <v>30</v>
      </c>
      <c r="D1050" t="s">
        <v>32</v>
      </c>
      <c r="E1050">
        <v>9800000</v>
      </c>
      <c r="F1050">
        <v>30300000</v>
      </c>
      <c r="G1050">
        <v>2</v>
      </c>
      <c r="H1050">
        <v>612</v>
      </c>
      <c r="I1050">
        <v>10700000</v>
      </c>
      <c r="J1050">
        <v>4600000</v>
      </c>
      <c r="K1050">
        <v>32100000</v>
      </c>
      <c r="L1050">
        <v>5600000</v>
      </c>
      <c r="M1050" t="s">
        <v>34</v>
      </c>
      <c r="N1050">
        <f t="shared" si="97"/>
        <v>1</v>
      </c>
      <c r="O1050" t="str">
        <f t="shared" si="96"/>
        <v>Low</v>
      </c>
      <c r="P1050" t="str">
        <f t="shared" si="98"/>
        <v>High</v>
      </c>
      <c r="Q1050" t="str">
        <f t="shared" si="99"/>
        <v>High Loan</v>
      </c>
      <c r="R1050">
        <f t="shared" si="100"/>
        <v>53000000</v>
      </c>
      <c r="S1050" t="str">
        <f t="shared" si="101"/>
        <v>Strong</v>
      </c>
    </row>
    <row r="1051" spans="1:19" x14ac:dyDescent="0.25">
      <c r="A1051">
        <v>1050</v>
      </c>
      <c r="B1051">
        <v>0</v>
      </c>
      <c r="C1051" t="s">
        <v>30</v>
      </c>
      <c r="D1051" t="s">
        <v>33</v>
      </c>
      <c r="E1051">
        <v>1000000</v>
      </c>
      <c r="F1051">
        <v>3800000</v>
      </c>
      <c r="G1051">
        <v>8</v>
      </c>
      <c r="H1051">
        <v>553</v>
      </c>
      <c r="I1051">
        <v>2500000</v>
      </c>
      <c r="J1051">
        <v>1000000</v>
      </c>
      <c r="K1051">
        <v>2100000</v>
      </c>
      <c r="L1051">
        <v>1300000</v>
      </c>
      <c r="M1051" t="s">
        <v>34</v>
      </c>
      <c r="N1051">
        <f t="shared" si="97"/>
        <v>1</v>
      </c>
      <c r="O1051" t="str">
        <f t="shared" si="96"/>
        <v>Low</v>
      </c>
      <c r="P1051" t="str">
        <f t="shared" si="98"/>
        <v>High</v>
      </c>
      <c r="Q1051" t="str">
        <f t="shared" si="99"/>
        <v>Low Loan</v>
      </c>
      <c r="R1051">
        <f t="shared" si="100"/>
        <v>6900000</v>
      </c>
      <c r="S1051" t="str">
        <f t="shared" si="101"/>
        <v>Moderate</v>
      </c>
    </row>
    <row r="1052" spans="1:19" x14ac:dyDescent="0.25">
      <c r="A1052">
        <v>1051</v>
      </c>
      <c r="B1052">
        <v>0</v>
      </c>
      <c r="C1052" t="s">
        <v>31</v>
      </c>
      <c r="D1052" t="s">
        <v>33</v>
      </c>
      <c r="E1052">
        <v>2500000</v>
      </c>
      <c r="F1052">
        <v>8800000</v>
      </c>
      <c r="G1052">
        <v>14</v>
      </c>
      <c r="H1052">
        <v>389</v>
      </c>
      <c r="I1052">
        <v>7300000</v>
      </c>
      <c r="J1052">
        <v>1400000</v>
      </c>
      <c r="K1052">
        <v>8500000</v>
      </c>
      <c r="L1052">
        <v>3600000</v>
      </c>
      <c r="M1052" t="s">
        <v>35</v>
      </c>
      <c r="N1052">
        <f t="shared" si="97"/>
        <v>0</v>
      </c>
      <c r="O1052" t="str">
        <f t="shared" si="96"/>
        <v>Low</v>
      </c>
      <c r="P1052" t="str">
        <f t="shared" si="98"/>
        <v>High</v>
      </c>
      <c r="Q1052" t="str">
        <f t="shared" si="99"/>
        <v>Low Loan</v>
      </c>
      <c r="R1052">
        <f t="shared" si="100"/>
        <v>20800000</v>
      </c>
      <c r="S1052" t="str">
        <f t="shared" si="101"/>
        <v>Strong</v>
      </c>
    </row>
    <row r="1053" spans="1:19" x14ac:dyDescent="0.25">
      <c r="A1053">
        <v>1052</v>
      </c>
      <c r="B1053">
        <v>0</v>
      </c>
      <c r="C1053" t="s">
        <v>30</v>
      </c>
      <c r="D1053" t="s">
        <v>32</v>
      </c>
      <c r="E1053">
        <v>1900000</v>
      </c>
      <c r="F1053">
        <v>6800000</v>
      </c>
      <c r="G1053">
        <v>4</v>
      </c>
      <c r="H1053">
        <v>782</v>
      </c>
      <c r="I1053">
        <v>100000</v>
      </c>
      <c r="J1053">
        <v>3400000</v>
      </c>
      <c r="K1053">
        <v>4900000</v>
      </c>
      <c r="L1053">
        <v>2400000</v>
      </c>
      <c r="M1053" t="s">
        <v>34</v>
      </c>
      <c r="N1053">
        <f t="shared" si="97"/>
        <v>1</v>
      </c>
      <c r="O1053" t="str">
        <f t="shared" si="96"/>
        <v>Excellent</v>
      </c>
      <c r="P1053" t="str">
        <f t="shared" si="98"/>
        <v>High</v>
      </c>
      <c r="Q1053" t="str">
        <f t="shared" si="99"/>
        <v>Low Loan</v>
      </c>
      <c r="R1053">
        <f t="shared" si="100"/>
        <v>10800000</v>
      </c>
      <c r="S1053" t="str">
        <f t="shared" si="101"/>
        <v>Strong</v>
      </c>
    </row>
    <row r="1054" spans="1:19" x14ac:dyDescent="0.25">
      <c r="A1054">
        <v>1053</v>
      </c>
      <c r="B1054">
        <v>3</v>
      </c>
      <c r="C1054" t="s">
        <v>30</v>
      </c>
      <c r="D1054" t="s">
        <v>32</v>
      </c>
      <c r="E1054">
        <v>3100000</v>
      </c>
      <c r="F1054">
        <v>8500000</v>
      </c>
      <c r="G1054">
        <v>12</v>
      </c>
      <c r="H1054">
        <v>493</v>
      </c>
      <c r="I1054">
        <v>8700000</v>
      </c>
      <c r="J1054">
        <v>5100000</v>
      </c>
      <c r="K1054">
        <v>12000000</v>
      </c>
      <c r="L1054">
        <v>2000000</v>
      </c>
      <c r="M1054" t="s">
        <v>35</v>
      </c>
      <c r="N1054">
        <f t="shared" si="97"/>
        <v>0</v>
      </c>
      <c r="O1054" t="str">
        <f t="shared" si="96"/>
        <v>Low</v>
      </c>
      <c r="P1054" t="str">
        <f t="shared" si="98"/>
        <v>High</v>
      </c>
      <c r="Q1054" t="str">
        <f t="shared" si="99"/>
        <v>Low Loan</v>
      </c>
      <c r="R1054">
        <f t="shared" si="100"/>
        <v>27800000</v>
      </c>
      <c r="S1054" t="str">
        <f t="shared" si="101"/>
        <v>Strong</v>
      </c>
    </row>
    <row r="1055" spans="1:19" x14ac:dyDescent="0.25">
      <c r="A1055">
        <v>1054</v>
      </c>
      <c r="B1055">
        <v>5</v>
      </c>
      <c r="C1055" t="s">
        <v>30</v>
      </c>
      <c r="D1055" t="s">
        <v>33</v>
      </c>
      <c r="E1055">
        <v>6000000</v>
      </c>
      <c r="F1055">
        <v>11900000</v>
      </c>
      <c r="G1055">
        <v>2</v>
      </c>
      <c r="H1055">
        <v>629</v>
      </c>
      <c r="I1055">
        <v>2500000</v>
      </c>
      <c r="J1055">
        <v>0</v>
      </c>
      <c r="K1055">
        <v>19200000</v>
      </c>
      <c r="L1055">
        <v>4200000</v>
      </c>
      <c r="M1055" t="s">
        <v>34</v>
      </c>
      <c r="N1055">
        <f t="shared" si="97"/>
        <v>1</v>
      </c>
      <c r="O1055" t="str">
        <f t="shared" si="96"/>
        <v>Low</v>
      </c>
      <c r="P1055" t="str">
        <f t="shared" si="98"/>
        <v>High</v>
      </c>
      <c r="Q1055" t="str">
        <f t="shared" si="99"/>
        <v>Low Loan</v>
      </c>
      <c r="R1055">
        <f t="shared" si="100"/>
        <v>25900000</v>
      </c>
      <c r="S1055" t="str">
        <f t="shared" si="101"/>
        <v>Strong</v>
      </c>
    </row>
    <row r="1056" spans="1:19" x14ac:dyDescent="0.25">
      <c r="A1056">
        <v>1055</v>
      </c>
      <c r="B1056">
        <v>5</v>
      </c>
      <c r="C1056" t="s">
        <v>31</v>
      </c>
      <c r="D1056" t="s">
        <v>32</v>
      </c>
      <c r="E1056">
        <v>6500000</v>
      </c>
      <c r="F1056">
        <v>21600000</v>
      </c>
      <c r="G1056">
        <v>10</v>
      </c>
      <c r="H1056">
        <v>419</v>
      </c>
      <c r="I1056">
        <v>1600000</v>
      </c>
      <c r="J1056">
        <v>10900000</v>
      </c>
      <c r="K1056">
        <v>22300000</v>
      </c>
      <c r="L1056">
        <v>6600000</v>
      </c>
      <c r="M1056" t="s">
        <v>35</v>
      </c>
      <c r="N1056">
        <f t="shared" si="97"/>
        <v>0</v>
      </c>
      <c r="O1056" t="str">
        <f t="shared" si="96"/>
        <v>Low</v>
      </c>
      <c r="P1056" t="str">
        <f t="shared" si="98"/>
        <v>High</v>
      </c>
      <c r="Q1056" t="str">
        <f t="shared" si="99"/>
        <v>High Loan</v>
      </c>
      <c r="R1056">
        <f t="shared" si="100"/>
        <v>41400000</v>
      </c>
      <c r="S1056" t="str">
        <f t="shared" si="101"/>
        <v>Strong</v>
      </c>
    </row>
    <row r="1057" spans="1:19" x14ac:dyDescent="0.25">
      <c r="A1057">
        <v>1056</v>
      </c>
      <c r="B1057">
        <v>2</v>
      </c>
      <c r="C1057" t="s">
        <v>31</v>
      </c>
      <c r="D1057" t="s">
        <v>33</v>
      </c>
      <c r="E1057">
        <v>5900000</v>
      </c>
      <c r="F1057">
        <v>15800000</v>
      </c>
      <c r="G1057">
        <v>2</v>
      </c>
      <c r="H1057">
        <v>444</v>
      </c>
      <c r="I1057">
        <v>14300000</v>
      </c>
      <c r="J1057">
        <v>4300000</v>
      </c>
      <c r="K1057">
        <v>20300000</v>
      </c>
      <c r="L1057">
        <v>5500000</v>
      </c>
      <c r="M1057" t="s">
        <v>35</v>
      </c>
      <c r="N1057">
        <f t="shared" si="97"/>
        <v>0</v>
      </c>
      <c r="O1057" t="str">
        <f t="shared" si="96"/>
        <v>Low</v>
      </c>
      <c r="P1057" t="str">
        <f t="shared" si="98"/>
        <v>High</v>
      </c>
      <c r="Q1057" t="str">
        <f t="shared" si="99"/>
        <v>Low Loan</v>
      </c>
      <c r="R1057">
        <f t="shared" si="100"/>
        <v>44400000</v>
      </c>
      <c r="S1057" t="str">
        <f t="shared" si="101"/>
        <v>Strong</v>
      </c>
    </row>
    <row r="1058" spans="1:19" x14ac:dyDescent="0.25">
      <c r="A1058">
        <v>1057</v>
      </c>
      <c r="B1058">
        <v>5</v>
      </c>
      <c r="C1058" t="s">
        <v>31</v>
      </c>
      <c r="D1058" t="s">
        <v>33</v>
      </c>
      <c r="E1058">
        <v>6500000</v>
      </c>
      <c r="F1058">
        <v>15800000</v>
      </c>
      <c r="G1058">
        <v>16</v>
      </c>
      <c r="H1058">
        <v>301</v>
      </c>
      <c r="I1058">
        <v>9200000</v>
      </c>
      <c r="J1058">
        <v>9900000</v>
      </c>
      <c r="K1058">
        <v>17400000</v>
      </c>
      <c r="L1058">
        <v>7100000</v>
      </c>
      <c r="M1058" t="s">
        <v>35</v>
      </c>
      <c r="N1058">
        <f t="shared" si="97"/>
        <v>0</v>
      </c>
      <c r="O1058" t="str">
        <f t="shared" si="96"/>
        <v>Low</v>
      </c>
      <c r="P1058" t="str">
        <f t="shared" si="98"/>
        <v>High</v>
      </c>
      <c r="Q1058" t="str">
        <f t="shared" si="99"/>
        <v>Low Loan</v>
      </c>
      <c r="R1058">
        <f t="shared" si="100"/>
        <v>43600000</v>
      </c>
      <c r="S1058" t="str">
        <f t="shared" si="101"/>
        <v>Strong</v>
      </c>
    </row>
    <row r="1059" spans="1:19" x14ac:dyDescent="0.25">
      <c r="A1059">
        <v>1058</v>
      </c>
      <c r="B1059">
        <v>0</v>
      </c>
      <c r="C1059" t="s">
        <v>30</v>
      </c>
      <c r="D1059" t="s">
        <v>33</v>
      </c>
      <c r="E1059">
        <v>3800000</v>
      </c>
      <c r="F1059">
        <v>11200000</v>
      </c>
      <c r="G1059">
        <v>20</v>
      </c>
      <c r="H1059">
        <v>479</v>
      </c>
      <c r="I1059">
        <v>1100000</v>
      </c>
      <c r="J1059">
        <v>6400000</v>
      </c>
      <c r="K1059">
        <v>12000000</v>
      </c>
      <c r="L1059">
        <v>5400000</v>
      </c>
      <c r="M1059" t="s">
        <v>35</v>
      </c>
      <c r="N1059">
        <f t="shared" si="97"/>
        <v>0</v>
      </c>
      <c r="O1059" t="str">
        <f t="shared" si="96"/>
        <v>Low</v>
      </c>
      <c r="P1059" t="str">
        <f t="shared" si="98"/>
        <v>High</v>
      </c>
      <c r="Q1059" t="str">
        <f t="shared" si="99"/>
        <v>Low Loan</v>
      </c>
      <c r="R1059">
        <f t="shared" si="100"/>
        <v>24900000</v>
      </c>
      <c r="S1059" t="str">
        <f t="shared" si="101"/>
        <v>Strong</v>
      </c>
    </row>
    <row r="1060" spans="1:19" x14ac:dyDescent="0.25">
      <c r="A1060">
        <v>1059</v>
      </c>
      <c r="B1060">
        <v>3</v>
      </c>
      <c r="C1060" t="s">
        <v>31</v>
      </c>
      <c r="D1060" t="s">
        <v>33</v>
      </c>
      <c r="E1060">
        <v>3000000</v>
      </c>
      <c r="F1060">
        <v>11400000</v>
      </c>
      <c r="G1060">
        <v>10</v>
      </c>
      <c r="H1060">
        <v>424</v>
      </c>
      <c r="I1060">
        <v>1800000</v>
      </c>
      <c r="J1060">
        <v>4200000</v>
      </c>
      <c r="K1060">
        <v>10900000</v>
      </c>
      <c r="L1060">
        <v>1500000</v>
      </c>
      <c r="M1060" t="s">
        <v>35</v>
      </c>
      <c r="N1060">
        <f t="shared" si="97"/>
        <v>0</v>
      </c>
      <c r="O1060" t="str">
        <f t="shared" si="96"/>
        <v>Low</v>
      </c>
      <c r="P1060" t="str">
        <f t="shared" si="98"/>
        <v>High</v>
      </c>
      <c r="Q1060" t="str">
        <f t="shared" si="99"/>
        <v>Low Loan</v>
      </c>
      <c r="R1060">
        <f t="shared" si="100"/>
        <v>18400000</v>
      </c>
      <c r="S1060" t="str">
        <f t="shared" si="101"/>
        <v>Strong</v>
      </c>
    </row>
    <row r="1061" spans="1:19" x14ac:dyDescent="0.25">
      <c r="A1061">
        <v>1060</v>
      </c>
      <c r="B1061">
        <v>0</v>
      </c>
      <c r="C1061" t="s">
        <v>30</v>
      </c>
      <c r="D1061" t="s">
        <v>32</v>
      </c>
      <c r="E1061">
        <v>4300000</v>
      </c>
      <c r="F1061">
        <v>16900000</v>
      </c>
      <c r="G1061">
        <v>18</v>
      </c>
      <c r="H1061">
        <v>469</v>
      </c>
      <c r="I1061">
        <v>200000</v>
      </c>
      <c r="J1061">
        <v>5800000</v>
      </c>
      <c r="K1061">
        <v>12000000</v>
      </c>
      <c r="L1061">
        <v>6200000</v>
      </c>
      <c r="M1061" t="s">
        <v>35</v>
      </c>
      <c r="N1061">
        <f t="shared" si="97"/>
        <v>0</v>
      </c>
      <c r="O1061" t="str">
        <f t="shared" si="96"/>
        <v>Low</v>
      </c>
      <c r="P1061" t="str">
        <f t="shared" si="98"/>
        <v>High</v>
      </c>
      <c r="Q1061" t="str">
        <f t="shared" si="99"/>
        <v>Low Loan</v>
      </c>
      <c r="R1061">
        <f t="shared" si="100"/>
        <v>24200000</v>
      </c>
      <c r="S1061" t="str">
        <f t="shared" si="101"/>
        <v>Strong</v>
      </c>
    </row>
    <row r="1062" spans="1:19" x14ac:dyDescent="0.25">
      <c r="A1062">
        <v>1061</v>
      </c>
      <c r="B1062">
        <v>4</v>
      </c>
      <c r="C1062" t="s">
        <v>31</v>
      </c>
      <c r="D1062" t="s">
        <v>33</v>
      </c>
      <c r="E1062">
        <v>3500000</v>
      </c>
      <c r="F1062">
        <v>8300000</v>
      </c>
      <c r="G1062">
        <v>2</v>
      </c>
      <c r="H1062">
        <v>897</v>
      </c>
      <c r="I1062">
        <v>7900000</v>
      </c>
      <c r="J1062">
        <v>5500000</v>
      </c>
      <c r="K1062">
        <v>12600000</v>
      </c>
      <c r="L1062">
        <v>1800000</v>
      </c>
      <c r="M1062" t="s">
        <v>34</v>
      </c>
      <c r="N1062">
        <f t="shared" si="97"/>
        <v>1</v>
      </c>
      <c r="O1062" t="str">
        <f t="shared" si="96"/>
        <v>Excellent</v>
      </c>
      <c r="P1062" t="str">
        <f t="shared" si="98"/>
        <v>High</v>
      </c>
      <c r="Q1062" t="str">
        <f t="shared" si="99"/>
        <v>Low Loan</v>
      </c>
      <c r="R1062">
        <f t="shared" si="100"/>
        <v>27800000</v>
      </c>
      <c r="S1062" t="str">
        <f t="shared" si="101"/>
        <v>Strong</v>
      </c>
    </row>
    <row r="1063" spans="1:19" x14ac:dyDescent="0.25">
      <c r="A1063">
        <v>1062</v>
      </c>
      <c r="B1063">
        <v>3</v>
      </c>
      <c r="C1063" t="s">
        <v>31</v>
      </c>
      <c r="D1063" t="s">
        <v>32</v>
      </c>
      <c r="E1063">
        <v>300000</v>
      </c>
      <c r="F1063">
        <v>500000</v>
      </c>
      <c r="G1063">
        <v>2</v>
      </c>
      <c r="H1063">
        <v>477</v>
      </c>
      <c r="I1063">
        <v>700000</v>
      </c>
      <c r="J1063">
        <v>200000</v>
      </c>
      <c r="K1063">
        <v>800000</v>
      </c>
      <c r="L1063">
        <v>400000</v>
      </c>
      <c r="M1063" t="s">
        <v>35</v>
      </c>
      <c r="N1063">
        <f t="shared" si="97"/>
        <v>0</v>
      </c>
      <c r="O1063" t="str">
        <f t="shared" si="96"/>
        <v>Low</v>
      </c>
      <c r="P1063" t="str">
        <f t="shared" si="98"/>
        <v>Middle</v>
      </c>
      <c r="Q1063" t="str">
        <f t="shared" si="99"/>
        <v>Low Loan</v>
      </c>
      <c r="R1063">
        <f t="shared" si="100"/>
        <v>2100000</v>
      </c>
      <c r="S1063" t="str">
        <f t="shared" si="101"/>
        <v>Weak</v>
      </c>
    </row>
    <row r="1064" spans="1:19" x14ac:dyDescent="0.25">
      <c r="A1064">
        <v>1063</v>
      </c>
      <c r="B1064">
        <v>3</v>
      </c>
      <c r="C1064" t="s">
        <v>31</v>
      </c>
      <c r="D1064" t="s">
        <v>33</v>
      </c>
      <c r="E1064">
        <v>600000</v>
      </c>
      <c r="F1064">
        <v>1400000</v>
      </c>
      <c r="G1064">
        <v>16</v>
      </c>
      <c r="H1064">
        <v>509</v>
      </c>
      <c r="I1064">
        <v>600000</v>
      </c>
      <c r="J1064">
        <v>300000</v>
      </c>
      <c r="K1064">
        <v>2400000</v>
      </c>
      <c r="L1064">
        <v>900000</v>
      </c>
      <c r="M1064" t="s">
        <v>35</v>
      </c>
      <c r="N1064">
        <f t="shared" si="97"/>
        <v>0</v>
      </c>
      <c r="O1064" t="str">
        <f t="shared" si="96"/>
        <v>Low</v>
      </c>
      <c r="P1064" t="str">
        <f t="shared" si="98"/>
        <v>Middle</v>
      </c>
      <c r="Q1064" t="str">
        <f t="shared" si="99"/>
        <v>Low Loan</v>
      </c>
      <c r="R1064">
        <f t="shared" si="100"/>
        <v>4200000</v>
      </c>
      <c r="S1064" t="str">
        <f t="shared" si="101"/>
        <v>Weak</v>
      </c>
    </row>
    <row r="1065" spans="1:19" x14ac:dyDescent="0.25">
      <c r="A1065">
        <v>1064</v>
      </c>
      <c r="B1065">
        <v>0</v>
      </c>
      <c r="C1065" t="s">
        <v>30</v>
      </c>
      <c r="D1065" t="s">
        <v>33</v>
      </c>
      <c r="E1065">
        <v>800000</v>
      </c>
      <c r="F1065">
        <v>1700000</v>
      </c>
      <c r="G1065">
        <v>4</v>
      </c>
      <c r="H1065">
        <v>752</v>
      </c>
      <c r="I1065">
        <v>2300000</v>
      </c>
      <c r="J1065">
        <v>1100000</v>
      </c>
      <c r="K1065">
        <v>3200000</v>
      </c>
      <c r="L1065">
        <v>400000</v>
      </c>
      <c r="M1065" t="s">
        <v>34</v>
      </c>
      <c r="N1065">
        <f t="shared" si="97"/>
        <v>1</v>
      </c>
      <c r="O1065" t="str">
        <f t="shared" si="96"/>
        <v>Excellent</v>
      </c>
      <c r="P1065" t="str">
        <f t="shared" si="98"/>
        <v>High</v>
      </c>
      <c r="Q1065" t="str">
        <f t="shared" si="99"/>
        <v>Low Loan</v>
      </c>
      <c r="R1065">
        <f t="shared" si="100"/>
        <v>7000000</v>
      </c>
      <c r="S1065" t="str">
        <f t="shared" si="101"/>
        <v>Moderate</v>
      </c>
    </row>
    <row r="1066" spans="1:19" x14ac:dyDescent="0.25">
      <c r="A1066">
        <v>1065</v>
      </c>
      <c r="B1066">
        <v>0</v>
      </c>
      <c r="C1066" t="s">
        <v>31</v>
      </c>
      <c r="D1066" t="s">
        <v>33</v>
      </c>
      <c r="E1066">
        <v>5600000</v>
      </c>
      <c r="F1066">
        <v>19100000</v>
      </c>
      <c r="G1066">
        <v>14</v>
      </c>
      <c r="H1066">
        <v>875</v>
      </c>
      <c r="I1066">
        <v>16700000</v>
      </c>
      <c r="J1066">
        <v>4700000</v>
      </c>
      <c r="K1066">
        <v>15100000</v>
      </c>
      <c r="L1066">
        <v>7700000</v>
      </c>
      <c r="M1066" t="s">
        <v>34</v>
      </c>
      <c r="N1066">
        <f t="shared" si="97"/>
        <v>1</v>
      </c>
      <c r="O1066" t="str">
        <f t="shared" si="96"/>
        <v>Excellent</v>
      </c>
      <c r="P1066" t="str">
        <f t="shared" si="98"/>
        <v>High</v>
      </c>
      <c r="Q1066" t="str">
        <f t="shared" si="99"/>
        <v>Low Loan</v>
      </c>
      <c r="R1066">
        <f t="shared" si="100"/>
        <v>44200000</v>
      </c>
      <c r="S1066" t="str">
        <f t="shared" si="101"/>
        <v>Strong</v>
      </c>
    </row>
    <row r="1067" spans="1:19" x14ac:dyDescent="0.25">
      <c r="A1067">
        <v>1066</v>
      </c>
      <c r="B1067">
        <v>2</v>
      </c>
      <c r="C1067" t="s">
        <v>31</v>
      </c>
      <c r="D1067" t="s">
        <v>33</v>
      </c>
      <c r="E1067">
        <v>1800000</v>
      </c>
      <c r="F1067">
        <v>3600000</v>
      </c>
      <c r="G1067">
        <v>4</v>
      </c>
      <c r="H1067">
        <v>343</v>
      </c>
      <c r="I1067">
        <v>3400000</v>
      </c>
      <c r="J1067">
        <v>1100000</v>
      </c>
      <c r="K1067">
        <v>6200000</v>
      </c>
      <c r="L1067">
        <v>1500000</v>
      </c>
      <c r="M1067" t="s">
        <v>35</v>
      </c>
      <c r="N1067">
        <f t="shared" si="97"/>
        <v>0</v>
      </c>
      <c r="O1067" t="str">
        <f t="shared" si="96"/>
        <v>Low</v>
      </c>
      <c r="P1067" t="str">
        <f t="shared" si="98"/>
        <v>High</v>
      </c>
      <c r="Q1067" t="str">
        <f t="shared" si="99"/>
        <v>Low Loan</v>
      </c>
      <c r="R1067">
        <f t="shared" si="100"/>
        <v>12200000</v>
      </c>
      <c r="S1067" t="str">
        <f t="shared" si="101"/>
        <v>Strong</v>
      </c>
    </row>
    <row r="1068" spans="1:19" x14ac:dyDescent="0.25">
      <c r="A1068">
        <v>1067</v>
      </c>
      <c r="B1068">
        <v>0</v>
      </c>
      <c r="C1068" t="s">
        <v>30</v>
      </c>
      <c r="D1068" t="s">
        <v>32</v>
      </c>
      <c r="E1068">
        <v>6800000</v>
      </c>
      <c r="F1068">
        <v>20800000</v>
      </c>
      <c r="G1068">
        <v>20</v>
      </c>
      <c r="H1068">
        <v>819</v>
      </c>
      <c r="I1068">
        <v>16500000</v>
      </c>
      <c r="J1068">
        <v>11900000</v>
      </c>
      <c r="K1068">
        <v>26700000</v>
      </c>
      <c r="L1068">
        <v>8000000</v>
      </c>
      <c r="M1068" t="s">
        <v>34</v>
      </c>
      <c r="N1068">
        <f t="shared" si="97"/>
        <v>1</v>
      </c>
      <c r="O1068" t="str">
        <f t="shared" si="96"/>
        <v>Excellent</v>
      </c>
      <c r="P1068" t="str">
        <f t="shared" si="98"/>
        <v>High</v>
      </c>
      <c r="Q1068" t="str">
        <f t="shared" si="99"/>
        <v>High Loan</v>
      </c>
      <c r="R1068">
        <f t="shared" si="100"/>
        <v>63100000</v>
      </c>
      <c r="S1068" t="str">
        <f t="shared" si="101"/>
        <v>Strong</v>
      </c>
    </row>
    <row r="1069" spans="1:19" x14ac:dyDescent="0.25">
      <c r="A1069">
        <v>1068</v>
      </c>
      <c r="B1069">
        <v>2</v>
      </c>
      <c r="C1069" t="s">
        <v>30</v>
      </c>
      <c r="D1069" t="s">
        <v>33</v>
      </c>
      <c r="E1069">
        <v>4200000</v>
      </c>
      <c r="F1069">
        <v>16800000</v>
      </c>
      <c r="G1069">
        <v>2</v>
      </c>
      <c r="H1069">
        <v>433</v>
      </c>
      <c r="I1069">
        <v>3300000</v>
      </c>
      <c r="J1069">
        <v>0</v>
      </c>
      <c r="K1069">
        <v>14100000</v>
      </c>
      <c r="L1069">
        <v>3700000</v>
      </c>
      <c r="M1069" t="s">
        <v>34</v>
      </c>
      <c r="N1069">
        <f t="shared" si="97"/>
        <v>1</v>
      </c>
      <c r="O1069" t="str">
        <f t="shared" si="96"/>
        <v>Low</v>
      </c>
      <c r="P1069" t="str">
        <f t="shared" si="98"/>
        <v>High</v>
      </c>
      <c r="Q1069" t="str">
        <f t="shared" si="99"/>
        <v>Low Loan</v>
      </c>
      <c r="R1069">
        <f t="shared" si="100"/>
        <v>21100000</v>
      </c>
      <c r="S1069" t="str">
        <f t="shared" si="101"/>
        <v>Strong</v>
      </c>
    </row>
    <row r="1070" spans="1:19" x14ac:dyDescent="0.25">
      <c r="A1070">
        <v>1069</v>
      </c>
      <c r="B1070">
        <v>1</v>
      </c>
      <c r="C1070" t="s">
        <v>31</v>
      </c>
      <c r="D1070" t="s">
        <v>33</v>
      </c>
      <c r="E1070">
        <v>200000</v>
      </c>
      <c r="F1070">
        <v>400000</v>
      </c>
      <c r="G1070">
        <v>6</v>
      </c>
      <c r="H1070">
        <v>768</v>
      </c>
      <c r="I1070">
        <v>300000</v>
      </c>
      <c r="J1070">
        <v>100000</v>
      </c>
      <c r="K1070">
        <v>600000</v>
      </c>
      <c r="L1070">
        <v>0</v>
      </c>
      <c r="M1070" t="s">
        <v>34</v>
      </c>
      <c r="N1070">
        <f t="shared" si="97"/>
        <v>1</v>
      </c>
      <c r="O1070" t="str">
        <f t="shared" si="96"/>
        <v>Excellent</v>
      </c>
      <c r="P1070" t="str">
        <f t="shared" si="98"/>
        <v>Low</v>
      </c>
      <c r="Q1070" t="str">
        <f t="shared" si="99"/>
        <v>Low Loan</v>
      </c>
      <c r="R1070">
        <f t="shared" si="100"/>
        <v>1000000</v>
      </c>
      <c r="S1070" t="str">
        <f t="shared" si="101"/>
        <v>Weak</v>
      </c>
    </row>
    <row r="1071" spans="1:19" x14ac:dyDescent="0.25">
      <c r="A1071">
        <v>1070</v>
      </c>
      <c r="B1071">
        <v>2</v>
      </c>
      <c r="C1071" t="s">
        <v>30</v>
      </c>
      <c r="D1071" t="s">
        <v>33</v>
      </c>
      <c r="E1071">
        <v>8500000</v>
      </c>
      <c r="F1071">
        <v>31800000</v>
      </c>
      <c r="G1071">
        <v>6</v>
      </c>
      <c r="H1071">
        <v>714</v>
      </c>
      <c r="I1071">
        <v>17000000</v>
      </c>
      <c r="J1071">
        <v>900000</v>
      </c>
      <c r="K1071">
        <v>26600000</v>
      </c>
      <c r="L1071">
        <v>5600000</v>
      </c>
      <c r="M1071" t="s">
        <v>34</v>
      </c>
      <c r="N1071">
        <f t="shared" si="97"/>
        <v>1</v>
      </c>
      <c r="O1071" t="str">
        <f t="shared" si="96"/>
        <v>Good</v>
      </c>
      <c r="P1071" t="str">
        <f t="shared" si="98"/>
        <v>High</v>
      </c>
      <c r="Q1071" t="str">
        <f t="shared" si="99"/>
        <v>High Loan</v>
      </c>
      <c r="R1071">
        <f t="shared" si="100"/>
        <v>50100000</v>
      </c>
      <c r="S1071" t="str">
        <f t="shared" si="101"/>
        <v>Strong</v>
      </c>
    </row>
    <row r="1072" spans="1:19" x14ac:dyDescent="0.25">
      <c r="A1072">
        <v>1071</v>
      </c>
      <c r="B1072">
        <v>2</v>
      </c>
      <c r="C1072" t="s">
        <v>31</v>
      </c>
      <c r="D1072" t="s">
        <v>33</v>
      </c>
      <c r="E1072">
        <v>2800000</v>
      </c>
      <c r="F1072">
        <v>10100000</v>
      </c>
      <c r="G1072">
        <v>16</v>
      </c>
      <c r="H1072">
        <v>531</v>
      </c>
      <c r="I1072">
        <v>2900000</v>
      </c>
      <c r="J1072">
        <v>2900000</v>
      </c>
      <c r="K1072">
        <v>7200000</v>
      </c>
      <c r="L1072">
        <v>4100000</v>
      </c>
      <c r="M1072" t="s">
        <v>35</v>
      </c>
      <c r="N1072">
        <f t="shared" si="97"/>
        <v>0</v>
      </c>
      <c r="O1072" t="str">
        <f t="shared" si="96"/>
        <v>Low</v>
      </c>
      <c r="P1072" t="str">
        <f t="shared" si="98"/>
        <v>High</v>
      </c>
      <c r="Q1072" t="str">
        <f t="shared" si="99"/>
        <v>Low Loan</v>
      </c>
      <c r="R1072">
        <f t="shared" si="100"/>
        <v>17100000</v>
      </c>
      <c r="S1072" t="str">
        <f t="shared" si="101"/>
        <v>Strong</v>
      </c>
    </row>
    <row r="1073" spans="1:19" x14ac:dyDescent="0.25">
      <c r="A1073">
        <v>1072</v>
      </c>
      <c r="B1073">
        <v>0</v>
      </c>
      <c r="C1073" t="s">
        <v>30</v>
      </c>
      <c r="D1073" t="s">
        <v>33</v>
      </c>
      <c r="E1073">
        <v>3600000</v>
      </c>
      <c r="F1073">
        <v>8600000</v>
      </c>
      <c r="G1073">
        <v>6</v>
      </c>
      <c r="H1073">
        <v>529</v>
      </c>
      <c r="I1073">
        <v>3500000</v>
      </c>
      <c r="J1073">
        <v>3300000</v>
      </c>
      <c r="K1073">
        <v>11300000</v>
      </c>
      <c r="L1073">
        <v>5200000</v>
      </c>
      <c r="M1073" t="s">
        <v>35</v>
      </c>
      <c r="N1073">
        <f t="shared" si="97"/>
        <v>0</v>
      </c>
      <c r="O1073" t="str">
        <f t="shared" si="96"/>
        <v>Low</v>
      </c>
      <c r="P1073" t="str">
        <f t="shared" si="98"/>
        <v>High</v>
      </c>
      <c r="Q1073" t="str">
        <f t="shared" si="99"/>
        <v>Low Loan</v>
      </c>
      <c r="R1073">
        <f t="shared" si="100"/>
        <v>23300000</v>
      </c>
      <c r="S1073" t="str">
        <f t="shared" si="101"/>
        <v>Strong</v>
      </c>
    </row>
    <row r="1074" spans="1:19" x14ac:dyDescent="0.25">
      <c r="A1074">
        <v>1073</v>
      </c>
      <c r="B1074">
        <v>1</v>
      </c>
      <c r="C1074" t="s">
        <v>31</v>
      </c>
      <c r="D1074" t="s">
        <v>32</v>
      </c>
      <c r="E1074">
        <v>6200000</v>
      </c>
      <c r="F1074">
        <v>19500000</v>
      </c>
      <c r="G1074">
        <v>20</v>
      </c>
      <c r="H1074">
        <v>448</v>
      </c>
      <c r="I1074">
        <v>3300000</v>
      </c>
      <c r="J1074">
        <v>7100000</v>
      </c>
      <c r="K1074">
        <v>22400000</v>
      </c>
      <c r="L1074">
        <v>8000000</v>
      </c>
      <c r="M1074" t="s">
        <v>35</v>
      </c>
      <c r="N1074">
        <f t="shared" si="97"/>
        <v>0</v>
      </c>
      <c r="O1074" t="str">
        <f t="shared" si="96"/>
        <v>Low</v>
      </c>
      <c r="P1074" t="str">
        <f t="shared" si="98"/>
        <v>High</v>
      </c>
      <c r="Q1074" t="str">
        <f t="shared" si="99"/>
        <v>Low Loan</v>
      </c>
      <c r="R1074">
        <f t="shared" si="100"/>
        <v>40800000</v>
      </c>
      <c r="S1074" t="str">
        <f t="shared" si="101"/>
        <v>Strong</v>
      </c>
    </row>
    <row r="1075" spans="1:19" x14ac:dyDescent="0.25">
      <c r="A1075">
        <v>1074</v>
      </c>
      <c r="B1075">
        <v>1</v>
      </c>
      <c r="C1075" t="s">
        <v>30</v>
      </c>
      <c r="D1075" t="s">
        <v>32</v>
      </c>
      <c r="E1075">
        <v>2700000</v>
      </c>
      <c r="F1075">
        <v>10000000</v>
      </c>
      <c r="G1075">
        <v>2</v>
      </c>
      <c r="H1075">
        <v>584</v>
      </c>
      <c r="I1075">
        <v>6500000</v>
      </c>
      <c r="J1075">
        <v>2700000</v>
      </c>
      <c r="K1075">
        <v>7700000</v>
      </c>
      <c r="L1075">
        <v>3400000</v>
      </c>
      <c r="M1075" t="s">
        <v>34</v>
      </c>
      <c r="N1075">
        <f t="shared" si="97"/>
        <v>1</v>
      </c>
      <c r="O1075" t="str">
        <f t="shared" si="96"/>
        <v>Low</v>
      </c>
      <c r="P1075" t="str">
        <f t="shared" si="98"/>
        <v>High</v>
      </c>
      <c r="Q1075" t="str">
        <f t="shared" si="99"/>
        <v>Low Loan</v>
      </c>
      <c r="R1075">
        <f t="shared" si="100"/>
        <v>20300000</v>
      </c>
      <c r="S1075" t="str">
        <f t="shared" si="101"/>
        <v>Strong</v>
      </c>
    </row>
    <row r="1076" spans="1:19" x14ac:dyDescent="0.25">
      <c r="A1076">
        <v>1075</v>
      </c>
      <c r="B1076">
        <v>1</v>
      </c>
      <c r="C1076" t="s">
        <v>30</v>
      </c>
      <c r="D1076" t="s">
        <v>32</v>
      </c>
      <c r="E1076">
        <v>6800000</v>
      </c>
      <c r="F1076">
        <v>22900000</v>
      </c>
      <c r="G1076">
        <v>4</v>
      </c>
      <c r="H1076">
        <v>501</v>
      </c>
      <c r="I1076">
        <v>3900000</v>
      </c>
      <c r="J1076">
        <v>9400000</v>
      </c>
      <c r="K1076">
        <v>17300000</v>
      </c>
      <c r="L1076">
        <v>4400000</v>
      </c>
      <c r="M1076" t="s">
        <v>34</v>
      </c>
      <c r="N1076">
        <f t="shared" si="97"/>
        <v>1</v>
      </c>
      <c r="O1076" t="str">
        <f t="shared" si="96"/>
        <v>Low</v>
      </c>
      <c r="P1076" t="str">
        <f t="shared" si="98"/>
        <v>High</v>
      </c>
      <c r="Q1076" t="str">
        <f t="shared" si="99"/>
        <v>High Loan</v>
      </c>
      <c r="R1076">
        <f t="shared" si="100"/>
        <v>35000000</v>
      </c>
      <c r="S1076" t="str">
        <f t="shared" si="101"/>
        <v>Strong</v>
      </c>
    </row>
    <row r="1077" spans="1:19" x14ac:dyDescent="0.25">
      <c r="A1077">
        <v>1076</v>
      </c>
      <c r="B1077">
        <v>2</v>
      </c>
      <c r="C1077" t="s">
        <v>31</v>
      </c>
      <c r="D1077" t="s">
        <v>32</v>
      </c>
      <c r="E1077">
        <v>6300000</v>
      </c>
      <c r="F1077">
        <v>24500000</v>
      </c>
      <c r="G1077">
        <v>18</v>
      </c>
      <c r="H1077">
        <v>848</v>
      </c>
      <c r="I1077">
        <v>10200000</v>
      </c>
      <c r="J1077">
        <v>3500000</v>
      </c>
      <c r="K1077">
        <v>18200000</v>
      </c>
      <c r="L1077">
        <v>8200000</v>
      </c>
      <c r="M1077" t="s">
        <v>34</v>
      </c>
      <c r="N1077">
        <f t="shared" si="97"/>
        <v>1</v>
      </c>
      <c r="O1077" t="str">
        <f t="shared" si="96"/>
        <v>Excellent</v>
      </c>
      <c r="P1077" t="str">
        <f t="shared" si="98"/>
        <v>High</v>
      </c>
      <c r="Q1077" t="str">
        <f t="shared" si="99"/>
        <v>High Loan</v>
      </c>
      <c r="R1077">
        <f t="shared" si="100"/>
        <v>40100000</v>
      </c>
      <c r="S1077" t="str">
        <f t="shared" si="101"/>
        <v>Strong</v>
      </c>
    </row>
    <row r="1078" spans="1:19" x14ac:dyDescent="0.25">
      <c r="A1078">
        <v>1077</v>
      </c>
      <c r="B1078">
        <v>4</v>
      </c>
      <c r="C1078" t="s">
        <v>31</v>
      </c>
      <c r="D1078" t="s">
        <v>32</v>
      </c>
      <c r="E1078">
        <v>8800000</v>
      </c>
      <c r="F1078">
        <v>19100000</v>
      </c>
      <c r="G1078">
        <v>6</v>
      </c>
      <c r="H1078">
        <v>586</v>
      </c>
      <c r="I1078">
        <v>17600000</v>
      </c>
      <c r="J1078">
        <v>8800000</v>
      </c>
      <c r="K1078">
        <v>20600000</v>
      </c>
      <c r="L1078">
        <v>12400000</v>
      </c>
      <c r="M1078" t="s">
        <v>34</v>
      </c>
      <c r="N1078">
        <f t="shared" si="97"/>
        <v>1</v>
      </c>
      <c r="O1078" t="str">
        <f t="shared" si="96"/>
        <v>Low</v>
      </c>
      <c r="P1078" t="str">
        <f t="shared" si="98"/>
        <v>High</v>
      </c>
      <c r="Q1078" t="str">
        <f t="shared" si="99"/>
        <v>Low Loan</v>
      </c>
      <c r="R1078">
        <f t="shared" si="100"/>
        <v>59400000</v>
      </c>
      <c r="S1078" t="str">
        <f t="shared" si="101"/>
        <v>Strong</v>
      </c>
    </row>
    <row r="1079" spans="1:19" x14ac:dyDescent="0.25">
      <c r="A1079">
        <v>1078</v>
      </c>
      <c r="B1079">
        <v>1</v>
      </c>
      <c r="C1079" t="s">
        <v>30</v>
      </c>
      <c r="D1079" t="s">
        <v>32</v>
      </c>
      <c r="E1079">
        <v>5900000</v>
      </c>
      <c r="F1079">
        <v>13000000</v>
      </c>
      <c r="G1079">
        <v>2</v>
      </c>
      <c r="H1079">
        <v>386</v>
      </c>
      <c r="I1079">
        <v>16300000</v>
      </c>
      <c r="J1079">
        <v>5000000</v>
      </c>
      <c r="K1079">
        <v>12000000</v>
      </c>
      <c r="L1079">
        <v>3800000</v>
      </c>
      <c r="M1079" t="s">
        <v>35</v>
      </c>
      <c r="N1079">
        <f t="shared" si="97"/>
        <v>0</v>
      </c>
      <c r="O1079" t="str">
        <f t="shared" si="96"/>
        <v>Low</v>
      </c>
      <c r="P1079" t="str">
        <f t="shared" si="98"/>
        <v>High</v>
      </c>
      <c r="Q1079" t="str">
        <f t="shared" si="99"/>
        <v>Low Loan</v>
      </c>
      <c r="R1079">
        <f t="shared" si="100"/>
        <v>37100000</v>
      </c>
      <c r="S1079" t="str">
        <f t="shared" si="101"/>
        <v>Strong</v>
      </c>
    </row>
    <row r="1080" spans="1:19" x14ac:dyDescent="0.25">
      <c r="A1080">
        <v>1079</v>
      </c>
      <c r="B1080">
        <v>5</v>
      </c>
      <c r="C1080" t="s">
        <v>31</v>
      </c>
      <c r="D1080" t="s">
        <v>33</v>
      </c>
      <c r="E1080">
        <v>9800000</v>
      </c>
      <c r="F1080">
        <v>37900000</v>
      </c>
      <c r="G1080">
        <v>18</v>
      </c>
      <c r="H1080">
        <v>301</v>
      </c>
      <c r="I1080">
        <v>6700000</v>
      </c>
      <c r="J1080">
        <v>4900000</v>
      </c>
      <c r="K1080">
        <v>34300000</v>
      </c>
      <c r="L1080">
        <v>6200000</v>
      </c>
      <c r="M1080" t="s">
        <v>35</v>
      </c>
      <c r="N1080">
        <f t="shared" si="97"/>
        <v>0</v>
      </c>
      <c r="O1080" t="str">
        <f t="shared" si="96"/>
        <v>Low</v>
      </c>
      <c r="P1080" t="str">
        <f t="shared" si="98"/>
        <v>High</v>
      </c>
      <c r="Q1080" t="str">
        <f t="shared" si="99"/>
        <v>High Loan</v>
      </c>
      <c r="R1080">
        <f t="shared" si="100"/>
        <v>52100000</v>
      </c>
      <c r="S1080" t="str">
        <f t="shared" si="101"/>
        <v>Strong</v>
      </c>
    </row>
    <row r="1081" spans="1:19" x14ac:dyDescent="0.25">
      <c r="A1081">
        <v>1080</v>
      </c>
      <c r="B1081">
        <v>2</v>
      </c>
      <c r="C1081" t="s">
        <v>30</v>
      </c>
      <c r="D1081" t="s">
        <v>32</v>
      </c>
      <c r="E1081">
        <v>3300000</v>
      </c>
      <c r="F1081">
        <v>8300000</v>
      </c>
      <c r="G1081">
        <v>6</v>
      </c>
      <c r="H1081">
        <v>653</v>
      </c>
      <c r="I1081">
        <v>4700000</v>
      </c>
      <c r="J1081">
        <v>3100000</v>
      </c>
      <c r="K1081">
        <v>8300000</v>
      </c>
      <c r="L1081">
        <v>4600000</v>
      </c>
      <c r="M1081" t="s">
        <v>34</v>
      </c>
      <c r="N1081">
        <f t="shared" si="97"/>
        <v>1</v>
      </c>
      <c r="O1081" t="str">
        <f t="shared" si="96"/>
        <v>Medium</v>
      </c>
      <c r="P1081" t="str">
        <f t="shared" si="98"/>
        <v>High</v>
      </c>
      <c r="Q1081" t="str">
        <f t="shared" si="99"/>
        <v>Low Loan</v>
      </c>
      <c r="R1081">
        <f t="shared" si="100"/>
        <v>20700000</v>
      </c>
      <c r="S1081" t="str">
        <f t="shared" si="101"/>
        <v>Strong</v>
      </c>
    </row>
    <row r="1082" spans="1:19" x14ac:dyDescent="0.25">
      <c r="A1082">
        <v>1081</v>
      </c>
      <c r="B1082">
        <v>4</v>
      </c>
      <c r="C1082" t="s">
        <v>30</v>
      </c>
      <c r="D1082" t="s">
        <v>33</v>
      </c>
      <c r="E1082">
        <v>300000</v>
      </c>
      <c r="F1082">
        <v>500000</v>
      </c>
      <c r="G1082">
        <v>14</v>
      </c>
      <c r="H1082">
        <v>448</v>
      </c>
      <c r="I1082">
        <v>700000</v>
      </c>
      <c r="J1082">
        <v>100000</v>
      </c>
      <c r="K1082">
        <v>800000</v>
      </c>
      <c r="L1082">
        <v>100000</v>
      </c>
      <c r="M1082" t="s">
        <v>35</v>
      </c>
      <c r="N1082">
        <f t="shared" si="97"/>
        <v>0</v>
      </c>
      <c r="O1082" t="str">
        <f t="shared" si="96"/>
        <v>Low</v>
      </c>
      <c r="P1082" t="str">
        <f t="shared" si="98"/>
        <v>Middle</v>
      </c>
      <c r="Q1082" t="str">
        <f t="shared" si="99"/>
        <v>Low Loan</v>
      </c>
      <c r="R1082">
        <f t="shared" si="100"/>
        <v>1700000</v>
      </c>
      <c r="S1082" t="str">
        <f t="shared" si="101"/>
        <v>Weak</v>
      </c>
    </row>
    <row r="1083" spans="1:19" x14ac:dyDescent="0.25">
      <c r="A1083">
        <v>1082</v>
      </c>
      <c r="B1083">
        <v>1</v>
      </c>
      <c r="C1083" t="s">
        <v>31</v>
      </c>
      <c r="D1083" t="s">
        <v>33</v>
      </c>
      <c r="E1083">
        <v>4800000</v>
      </c>
      <c r="F1083">
        <v>11600000</v>
      </c>
      <c r="G1083">
        <v>16</v>
      </c>
      <c r="H1083">
        <v>696</v>
      </c>
      <c r="I1083">
        <v>1400000</v>
      </c>
      <c r="J1083">
        <v>9400000</v>
      </c>
      <c r="K1083">
        <v>11800000</v>
      </c>
      <c r="L1083">
        <v>6500000</v>
      </c>
      <c r="M1083" t="s">
        <v>34</v>
      </c>
      <c r="N1083">
        <f t="shared" si="97"/>
        <v>1</v>
      </c>
      <c r="O1083" t="str">
        <f t="shared" si="96"/>
        <v>Medium</v>
      </c>
      <c r="P1083" t="str">
        <f t="shared" si="98"/>
        <v>High</v>
      </c>
      <c r="Q1083" t="str">
        <f t="shared" si="99"/>
        <v>Low Loan</v>
      </c>
      <c r="R1083">
        <f t="shared" si="100"/>
        <v>29100000</v>
      </c>
      <c r="S1083" t="str">
        <f t="shared" si="101"/>
        <v>Strong</v>
      </c>
    </row>
    <row r="1084" spans="1:19" x14ac:dyDescent="0.25">
      <c r="A1084">
        <v>1083</v>
      </c>
      <c r="B1084">
        <v>1</v>
      </c>
      <c r="C1084" t="s">
        <v>30</v>
      </c>
      <c r="D1084" t="s">
        <v>32</v>
      </c>
      <c r="E1084">
        <v>7500000</v>
      </c>
      <c r="F1084">
        <v>28300000</v>
      </c>
      <c r="G1084">
        <v>16</v>
      </c>
      <c r="H1084">
        <v>707</v>
      </c>
      <c r="I1084">
        <v>9700000</v>
      </c>
      <c r="J1084">
        <v>1100000</v>
      </c>
      <c r="K1084">
        <v>16300000</v>
      </c>
      <c r="L1084">
        <v>6700000</v>
      </c>
      <c r="M1084" t="s">
        <v>34</v>
      </c>
      <c r="N1084">
        <f t="shared" si="97"/>
        <v>1</v>
      </c>
      <c r="O1084" t="str">
        <f t="shared" si="96"/>
        <v>Good</v>
      </c>
      <c r="P1084" t="str">
        <f t="shared" si="98"/>
        <v>High</v>
      </c>
      <c r="Q1084" t="str">
        <f t="shared" si="99"/>
        <v>High Loan</v>
      </c>
      <c r="R1084">
        <f t="shared" si="100"/>
        <v>33800000</v>
      </c>
      <c r="S1084" t="str">
        <f t="shared" si="101"/>
        <v>Strong</v>
      </c>
    </row>
    <row r="1085" spans="1:19" x14ac:dyDescent="0.25">
      <c r="A1085">
        <v>1084</v>
      </c>
      <c r="B1085">
        <v>2</v>
      </c>
      <c r="C1085" t="s">
        <v>31</v>
      </c>
      <c r="D1085" t="s">
        <v>32</v>
      </c>
      <c r="E1085">
        <v>8600000</v>
      </c>
      <c r="F1085">
        <v>21700000</v>
      </c>
      <c r="G1085">
        <v>4</v>
      </c>
      <c r="H1085">
        <v>429</v>
      </c>
      <c r="I1085">
        <v>5500000</v>
      </c>
      <c r="J1085">
        <v>10800000</v>
      </c>
      <c r="K1085">
        <v>30900000</v>
      </c>
      <c r="L1085">
        <v>6000000</v>
      </c>
      <c r="M1085" t="s">
        <v>35</v>
      </c>
      <c r="N1085">
        <f t="shared" si="97"/>
        <v>0</v>
      </c>
      <c r="O1085" t="str">
        <f t="shared" si="96"/>
        <v>Low</v>
      </c>
      <c r="P1085" t="str">
        <f t="shared" si="98"/>
        <v>High</v>
      </c>
      <c r="Q1085" t="str">
        <f t="shared" si="99"/>
        <v>High Loan</v>
      </c>
      <c r="R1085">
        <f t="shared" si="100"/>
        <v>53200000</v>
      </c>
      <c r="S1085" t="str">
        <f t="shared" si="101"/>
        <v>Strong</v>
      </c>
    </row>
    <row r="1086" spans="1:19" x14ac:dyDescent="0.25">
      <c r="A1086">
        <v>1085</v>
      </c>
      <c r="B1086">
        <v>4</v>
      </c>
      <c r="C1086" t="s">
        <v>31</v>
      </c>
      <c r="D1086" t="s">
        <v>32</v>
      </c>
      <c r="E1086">
        <v>8900000</v>
      </c>
      <c r="F1086">
        <v>21100000</v>
      </c>
      <c r="G1086">
        <v>6</v>
      </c>
      <c r="H1086">
        <v>631</v>
      </c>
      <c r="I1086">
        <v>4200000</v>
      </c>
      <c r="J1086">
        <v>200000</v>
      </c>
      <c r="K1086">
        <v>25800000</v>
      </c>
      <c r="L1086">
        <v>6200000</v>
      </c>
      <c r="M1086" t="s">
        <v>34</v>
      </c>
      <c r="N1086">
        <f t="shared" si="97"/>
        <v>1</v>
      </c>
      <c r="O1086" t="str">
        <f t="shared" si="96"/>
        <v>Low</v>
      </c>
      <c r="P1086" t="str">
        <f t="shared" si="98"/>
        <v>High</v>
      </c>
      <c r="Q1086" t="str">
        <f t="shared" si="99"/>
        <v>High Loan</v>
      </c>
      <c r="R1086">
        <f t="shared" si="100"/>
        <v>36400000</v>
      </c>
      <c r="S1086" t="str">
        <f t="shared" si="101"/>
        <v>Strong</v>
      </c>
    </row>
    <row r="1087" spans="1:19" x14ac:dyDescent="0.25">
      <c r="A1087">
        <v>1086</v>
      </c>
      <c r="B1087">
        <v>5</v>
      </c>
      <c r="C1087" t="s">
        <v>31</v>
      </c>
      <c r="D1087" t="s">
        <v>33</v>
      </c>
      <c r="E1087">
        <v>9600000</v>
      </c>
      <c r="F1087">
        <v>29600000</v>
      </c>
      <c r="G1087">
        <v>4</v>
      </c>
      <c r="H1087">
        <v>446</v>
      </c>
      <c r="I1087">
        <v>22900000</v>
      </c>
      <c r="J1087">
        <v>3500000</v>
      </c>
      <c r="K1087">
        <v>36600000</v>
      </c>
      <c r="L1087">
        <v>13200000</v>
      </c>
      <c r="M1087" t="s">
        <v>34</v>
      </c>
      <c r="N1087">
        <f t="shared" si="97"/>
        <v>1</v>
      </c>
      <c r="O1087" t="str">
        <f t="shared" si="96"/>
        <v>Low</v>
      </c>
      <c r="P1087" t="str">
        <f t="shared" si="98"/>
        <v>High</v>
      </c>
      <c r="Q1087" t="str">
        <f t="shared" si="99"/>
        <v>High Loan</v>
      </c>
      <c r="R1087">
        <f t="shared" si="100"/>
        <v>76200000</v>
      </c>
      <c r="S1087" t="str">
        <f t="shared" si="101"/>
        <v>Strong</v>
      </c>
    </row>
    <row r="1088" spans="1:19" x14ac:dyDescent="0.25">
      <c r="A1088">
        <v>1087</v>
      </c>
      <c r="B1088">
        <v>0</v>
      </c>
      <c r="C1088" t="s">
        <v>30</v>
      </c>
      <c r="D1088" t="s">
        <v>33</v>
      </c>
      <c r="E1088">
        <v>7700000</v>
      </c>
      <c r="F1088">
        <v>18100000</v>
      </c>
      <c r="G1088">
        <v>18</v>
      </c>
      <c r="H1088">
        <v>705</v>
      </c>
      <c r="I1088">
        <v>6100000</v>
      </c>
      <c r="J1088">
        <v>5100000</v>
      </c>
      <c r="K1088">
        <v>23800000</v>
      </c>
      <c r="L1088">
        <v>6300000</v>
      </c>
      <c r="M1088" t="s">
        <v>34</v>
      </c>
      <c r="N1088">
        <f t="shared" si="97"/>
        <v>1</v>
      </c>
      <c r="O1088" t="str">
        <f t="shared" si="96"/>
        <v>Good</v>
      </c>
      <c r="P1088" t="str">
        <f t="shared" si="98"/>
        <v>High</v>
      </c>
      <c r="Q1088" t="str">
        <f t="shared" si="99"/>
        <v>Low Loan</v>
      </c>
      <c r="R1088">
        <f t="shared" si="100"/>
        <v>41300000</v>
      </c>
      <c r="S1088" t="str">
        <f t="shared" si="101"/>
        <v>Strong</v>
      </c>
    </row>
    <row r="1089" spans="1:19" x14ac:dyDescent="0.25">
      <c r="A1089">
        <v>1088</v>
      </c>
      <c r="B1089">
        <v>3</v>
      </c>
      <c r="C1089" t="s">
        <v>31</v>
      </c>
      <c r="D1089" t="s">
        <v>33</v>
      </c>
      <c r="E1089">
        <v>7000000</v>
      </c>
      <c r="F1089">
        <v>15200000</v>
      </c>
      <c r="G1089">
        <v>2</v>
      </c>
      <c r="H1089">
        <v>709</v>
      </c>
      <c r="I1089">
        <v>10300000</v>
      </c>
      <c r="J1089">
        <v>12500000</v>
      </c>
      <c r="K1089">
        <v>20700000</v>
      </c>
      <c r="L1089">
        <v>4000000</v>
      </c>
      <c r="M1089" t="s">
        <v>34</v>
      </c>
      <c r="N1089">
        <f t="shared" si="97"/>
        <v>1</v>
      </c>
      <c r="O1089" t="str">
        <f t="shared" si="96"/>
        <v>Good</v>
      </c>
      <c r="P1089" t="str">
        <f t="shared" si="98"/>
        <v>High</v>
      </c>
      <c r="Q1089" t="str">
        <f t="shared" si="99"/>
        <v>Low Loan</v>
      </c>
      <c r="R1089">
        <f t="shared" si="100"/>
        <v>47500000</v>
      </c>
      <c r="S1089" t="str">
        <f t="shared" si="101"/>
        <v>Strong</v>
      </c>
    </row>
    <row r="1090" spans="1:19" x14ac:dyDescent="0.25">
      <c r="A1090">
        <v>1089</v>
      </c>
      <c r="B1090">
        <v>4</v>
      </c>
      <c r="C1090" t="s">
        <v>31</v>
      </c>
      <c r="D1090" t="s">
        <v>33</v>
      </c>
      <c r="E1090">
        <v>7800000</v>
      </c>
      <c r="F1090">
        <v>19500000</v>
      </c>
      <c r="G1090">
        <v>14</v>
      </c>
      <c r="H1090">
        <v>739</v>
      </c>
      <c r="I1090">
        <v>1900000</v>
      </c>
      <c r="J1090">
        <v>9000000</v>
      </c>
      <c r="K1090">
        <v>20400000</v>
      </c>
      <c r="L1090">
        <v>4400000</v>
      </c>
      <c r="M1090" t="s">
        <v>34</v>
      </c>
      <c r="N1090">
        <f t="shared" si="97"/>
        <v>1</v>
      </c>
      <c r="O1090" t="str">
        <f t="shared" ref="O1090:O1153" si="102">IF(H1090&lt;650,"Low",
 IF(H1090&lt;700,"Medium",
 IF(H1090&lt;750,"Good","Excellent")))</f>
        <v>Good</v>
      </c>
      <c r="P1090" t="str">
        <f t="shared" si="98"/>
        <v>High</v>
      </c>
      <c r="Q1090" t="str">
        <f t="shared" si="99"/>
        <v>Low Loan</v>
      </c>
      <c r="R1090">
        <f t="shared" si="100"/>
        <v>35700000</v>
      </c>
      <c r="S1090" t="str">
        <f t="shared" si="101"/>
        <v>Strong</v>
      </c>
    </row>
    <row r="1091" spans="1:19" x14ac:dyDescent="0.25">
      <c r="A1091">
        <v>1090</v>
      </c>
      <c r="B1091">
        <v>3</v>
      </c>
      <c r="C1091" t="s">
        <v>30</v>
      </c>
      <c r="D1091" t="s">
        <v>32</v>
      </c>
      <c r="E1091">
        <v>5100000</v>
      </c>
      <c r="F1091">
        <v>11000000</v>
      </c>
      <c r="G1091">
        <v>6</v>
      </c>
      <c r="H1091">
        <v>336</v>
      </c>
      <c r="I1091">
        <v>-100000</v>
      </c>
      <c r="J1091">
        <v>5800000</v>
      </c>
      <c r="K1091">
        <v>11600000</v>
      </c>
      <c r="L1091">
        <v>7500000</v>
      </c>
      <c r="M1091" t="s">
        <v>35</v>
      </c>
      <c r="N1091">
        <f t="shared" ref="N1091:N1154" si="103">IF(TRIM(CLEAN(M1091))="Approved",1,0)</f>
        <v>0</v>
      </c>
      <c r="O1091" t="str">
        <f t="shared" si="102"/>
        <v>Low</v>
      </c>
      <c r="P1091" t="str">
        <f t="shared" ref="P1091:P1154" si="104">IF(E1091&lt;300000,"Low",
 IF(E1091&lt;700000,"Middle","High"))</f>
        <v>High</v>
      </c>
      <c r="Q1091" t="str">
        <f t="shared" ref="Q1091:Q1154" si="105">IF(F1091&lt;20000000,"Low Loan","High Loan")</f>
        <v>Low Loan</v>
      </c>
      <c r="R1091">
        <f t="shared" ref="R1091:R1154" si="106">I1091+J1091+K1091+L1091</f>
        <v>24800000</v>
      </c>
      <c r="S1091" t="str">
        <f t="shared" ref="S1091:S1154" si="107">IF(R1091&lt;5000000,"Weak",
 IF(R1091&lt;10000000,"Moderate","Strong"))</f>
        <v>Strong</v>
      </c>
    </row>
    <row r="1092" spans="1:19" x14ac:dyDescent="0.25">
      <c r="A1092">
        <v>1091</v>
      </c>
      <c r="B1092">
        <v>4</v>
      </c>
      <c r="C1092" t="s">
        <v>30</v>
      </c>
      <c r="D1092" t="s">
        <v>32</v>
      </c>
      <c r="E1092">
        <v>9400000</v>
      </c>
      <c r="F1092">
        <v>32600000</v>
      </c>
      <c r="G1092">
        <v>4</v>
      </c>
      <c r="H1092">
        <v>898</v>
      </c>
      <c r="I1092">
        <v>18200000</v>
      </c>
      <c r="J1092">
        <v>4000000</v>
      </c>
      <c r="K1092">
        <v>22000000</v>
      </c>
      <c r="L1092">
        <v>10200000</v>
      </c>
      <c r="M1092" t="s">
        <v>34</v>
      </c>
      <c r="N1092">
        <f t="shared" si="103"/>
        <v>1</v>
      </c>
      <c r="O1092" t="str">
        <f t="shared" si="102"/>
        <v>Excellent</v>
      </c>
      <c r="P1092" t="str">
        <f t="shared" si="104"/>
        <v>High</v>
      </c>
      <c r="Q1092" t="str">
        <f t="shared" si="105"/>
        <v>High Loan</v>
      </c>
      <c r="R1092">
        <f t="shared" si="106"/>
        <v>54400000</v>
      </c>
      <c r="S1092" t="str">
        <f t="shared" si="107"/>
        <v>Strong</v>
      </c>
    </row>
    <row r="1093" spans="1:19" x14ac:dyDescent="0.25">
      <c r="A1093">
        <v>1092</v>
      </c>
      <c r="B1093">
        <v>4</v>
      </c>
      <c r="C1093" t="s">
        <v>31</v>
      </c>
      <c r="D1093" t="s">
        <v>33</v>
      </c>
      <c r="E1093">
        <v>600000</v>
      </c>
      <c r="F1093">
        <v>2100000</v>
      </c>
      <c r="G1093">
        <v>6</v>
      </c>
      <c r="H1093">
        <v>558</v>
      </c>
      <c r="I1093">
        <v>1300000</v>
      </c>
      <c r="J1093">
        <v>1000000</v>
      </c>
      <c r="K1093">
        <v>2200000</v>
      </c>
      <c r="L1093">
        <v>300000</v>
      </c>
      <c r="M1093" t="s">
        <v>34</v>
      </c>
      <c r="N1093">
        <f t="shared" si="103"/>
        <v>1</v>
      </c>
      <c r="O1093" t="str">
        <f t="shared" si="102"/>
        <v>Low</v>
      </c>
      <c r="P1093" t="str">
        <f t="shared" si="104"/>
        <v>Middle</v>
      </c>
      <c r="Q1093" t="str">
        <f t="shared" si="105"/>
        <v>Low Loan</v>
      </c>
      <c r="R1093">
        <f t="shared" si="106"/>
        <v>4800000</v>
      </c>
      <c r="S1093" t="str">
        <f t="shared" si="107"/>
        <v>Weak</v>
      </c>
    </row>
    <row r="1094" spans="1:19" x14ac:dyDescent="0.25">
      <c r="A1094">
        <v>1093</v>
      </c>
      <c r="B1094">
        <v>3</v>
      </c>
      <c r="C1094" t="s">
        <v>30</v>
      </c>
      <c r="D1094" t="s">
        <v>32</v>
      </c>
      <c r="E1094">
        <v>5100000</v>
      </c>
      <c r="F1094">
        <v>13300000</v>
      </c>
      <c r="G1094">
        <v>4</v>
      </c>
      <c r="H1094">
        <v>589</v>
      </c>
      <c r="I1094">
        <v>11200000</v>
      </c>
      <c r="J1094">
        <v>2700000</v>
      </c>
      <c r="K1094">
        <v>20200000</v>
      </c>
      <c r="L1094">
        <v>6100000</v>
      </c>
      <c r="M1094" t="s">
        <v>34</v>
      </c>
      <c r="N1094">
        <f t="shared" si="103"/>
        <v>1</v>
      </c>
      <c r="O1094" t="str">
        <f t="shared" si="102"/>
        <v>Low</v>
      </c>
      <c r="P1094" t="str">
        <f t="shared" si="104"/>
        <v>High</v>
      </c>
      <c r="Q1094" t="str">
        <f t="shared" si="105"/>
        <v>Low Loan</v>
      </c>
      <c r="R1094">
        <f t="shared" si="106"/>
        <v>40200000</v>
      </c>
      <c r="S1094" t="str">
        <f t="shared" si="107"/>
        <v>Strong</v>
      </c>
    </row>
    <row r="1095" spans="1:19" x14ac:dyDescent="0.25">
      <c r="A1095">
        <v>1094</v>
      </c>
      <c r="B1095">
        <v>2</v>
      </c>
      <c r="C1095" t="s">
        <v>30</v>
      </c>
      <c r="D1095" t="s">
        <v>33</v>
      </c>
      <c r="E1095">
        <v>3800000</v>
      </c>
      <c r="F1095">
        <v>14400000</v>
      </c>
      <c r="G1095">
        <v>2</v>
      </c>
      <c r="H1095">
        <v>301</v>
      </c>
      <c r="I1095">
        <v>2300000</v>
      </c>
      <c r="J1095">
        <v>1400000</v>
      </c>
      <c r="K1095">
        <v>7600000</v>
      </c>
      <c r="L1095">
        <v>2400000</v>
      </c>
      <c r="M1095" t="s">
        <v>35</v>
      </c>
      <c r="N1095">
        <f t="shared" si="103"/>
        <v>0</v>
      </c>
      <c r="O1095" t="str">
        <f t="shared" si="102"/>
        <v>Low</v>
      </c>
      <c r="P1095" t="str">
        <f t="shared" si="104"/>
        <v>High</v>
      </c>
      <c r="Q1095" t="str">
        <f t="shared" si="105"/>
        <v>Low Loan</v>
      </c>
      <c r="R1095">
        <f t="shared" si="106"/>
        <v>13700000</v>
      </c>
      <c r="S1095" t="str">
        <f t="shared" si="107"/>
        <v>Strong</v>
      </c>
    </row>
    <row r="1096" spans="1:19" x14ac:dyDescent="0.25">
      <c r="A1096">
        <v>1095</v>
      </c>
      <c r="B1096">
        <v>2</v>
      </c>
      <c r="C1096" t="s">
        <v>31</v>
      </c>
      <c r="D1096" t="s">
        <v>33</v>
      </c>
      <c r="E1096">
        <v>5300000</v>
      </c>
      <c r="F1096">
        <v>21200000</v>
      </c>
      <c r="G1096">
        <v>14</v>
      </c>
      <c r="H1096">
        <v>516</v>
      </c>
      <c r="I1096">
        <v>2200000</v>
      </c>
      <c r="J1096">
        <v>5000000</v>
      </c>
      <c r="K1096">
        <v>20900000</v>
      </c>
      <c r="L1096">
        <v>7700000</v>
      </c>
      <c r="M1096" t="s">
        <v>35</v>
      </c>
      <c r="N1096">
        <f t="shared" si="103"/>
        <v>0</v>
      </c>
      <c r="O1096" t="str">
        <f t="shared" si="102"/>
        <v>Low</v>
      </c>
      <c r="P1096" t="str">
        <f t="shared" si="104"/>
        <v>High</v>
      </c>
      <c r="Q1096" t="str">
        <f t="shared" si="105"/>
        <v>High Loan</v>
      </c>
      <c r="R1096">
        <f t="shared" si="106"/>
        <v>35800000</v>
      </c>
      <c r="S1096" t="str">
        <f t="shared" si="107"/>
        <v>Strong</v>
      </c>
    </row>
    <row r="1097" spans="1:19" x14ac:dyDescent="0.25">
      <c r="A1097">
        <v>1096</v>
      </c>
      <c r="B1097">
        <v>5</v>
      </c>
      <c r="C1097" t="s">
        <v>31</v>
      </c>
      <c r="D1097" t="s">
        <v>32</v>
      </c>
      <c r="E1097">
        <v>1100000</v>
      </c>
      <c r="F1097">
        <v>3600000</v>
      </c>
      <c r="G1097">
        <v>12</v>
      </c>
      <c r="H1097">
        <v>315</v>
      </c>
      <c r="I1097">
        <v>1300000</v>
      </c>
      <c r="J1097">
        <v>700000</v>
      </c>
      <c r="K1097">
        <v>3100000</v>
      </c>
      <c r="L1097">
        <v>1400000</v>
      </c>
      <c r="M1097" t="s">
        <v>35</v>
      </c>
      <c r="N1097">
        <f t="shared" si="103"/>
        <v>0</v>
      </c>
      <c r="O1097" t="str">
        <f t="shared" si="102"/>
        <v>Low</v>
      </c>
      <c r="P1097" t="str">
        <f t="shared" si="104"/>
        <v>High</v>
      </c>
      <c r="Q1097" t="str">
        <f t="shared" si="105"/>
        <v>Low Loan</v>
      </c>
      <c r="R1097">
        <f t="shared" si="106"/>
        <v>6500000</v>
      </c>
      <c r="S1097" t="str">
        <f t="shared" si="107"/>
        <v>Moderate</v>
      </c>
    </row>
    <row r="1098" spans="1:19" x14ac:dyDescent="0.25">
      <c r="A1098">
        <v>1097</v>
      </c>
      <c r="B1098">
        <v>3</v>
      </c>
      <c r="C1098" t="s">
        <v>31</v>
      </c>
      <c r="D1098" t="s">
        <v>32</v>
      </c>
      <c r="E1098">
        <v>6400000</v>
      </c>
      <c r="F1098">
        <v>14400000</v>
      </c>
      <c r="G1098">
        <v>10</v>
      </c>
      <c r="H1098">
        <v>546</v>
      </c>
      <c r="I1098">
        <v>10600000</v>
      </c>
      <c r="J1098">
        <v>10000000</v>
      </c>
      <c r="K1098">
        <v>21200000</v>
      </c>
      <c r="L1098">
        <v>5100000</v>
      </c>
      <c r="M1098" t="s">
        <v>35</v>
      </c>
      <c r="N1098">
        <f t="shared" si="103"/>
        <v>0</v>
      </c>
      <c r="O1098" t="str">
        <f t="shared" si="102"/>
        <v>Low</v>
      </c>
      <c r="P1098" t="str">
        <f t="shared" si="104"/>
        <v>High</v>
      </c>
      <c r="Q1098" t="str">
        <f t="shared" si="105"/>
        <v>Low Loan</v>
      </c>
      <c r="R1098">
        <f t="shared" si="106"/>
        <v>46900000</v>
      </c>
      <c r="S1098" t="str">
        <f t="shared" si="107"/>
        <v>Strong</v>
      </c>
    </row>
    <row r="1099" spans="1:19" x14ac:dyDescent="0.25">
      <c r="A1099">
        <v>1098</v>
      </c>
      <c r="B1099">
        <v>0</v>
      </c>
      <c r="C1099" t="s">
        <v>31</v>
      </c>
      <c r="D1099" t="s">
        <v>33</v>
      </c>
      <c r="E1099">
        <v>5100000</v>
      </c>
      <c r="F1099">
        <v>14500000</v>
      </c>
      <c r="G1099">
        <v>14</v>
      </c>
      <c r="H1099">
        <v>559</v>
      </c>
      <c r="I1099">
        <v>11000000</v>
      </c>
      <c r="J1099">
        <v>1100000</v>
      </c>
      <c r="K1099">
        <v>12300000</v>
      </c>
      <c r="L1099">
        <v>6000000</v>
      </c>
      <c r="M1099" t="s">
        <v>34</v>
      </c>
      <c r="N1099">
        <f t="shared" si="103"/>
        <v>1</v>
      </c>
      <c r="O1099" t="str">
        <f t="shared" si="102"/>
        <v>Low</v>
      </c>
      <c r="P1099" t="str">
        <f t="shared" si="104"/>
        <v>High</v>
      </c>
      <c r="Q1099" t="str">
        <f t="shared" si="105"/>
        <v>Low Loan</v>
      </c>
      <c r="R1099">
        <f t="shared" si="106"/>
        <v>30400000</v>
      </c>
      <c r="S1099" t="str">
        <f t="shared" si="107"/>
        <v>Strong</v>
      </c>
    </row>
    <row r="1100" spans="1:19" x14ac:dyDescent="0.25">
      <c r="A1100">
        <v>1099</v>
      </c>
      <c r="B1100">
        <v>3</v>
      </c>
      <c r="C1100" t="s">
        <v>30</v>
      </c>
      <c r="D1100" t="s">
        <v>33</v>
      </c>
      <c r="E1100">
        <v>5300000</v>
      </c>
      <c r="F1100">
        <v>16900000</v>
      </c>
      <c r="G1100">
        <v>2</v>
      </c>
      <c r="H1100">
        <v>350</v>
      </c>
      <c r="I1100">
        <v>15800000</v>
      </c>
      <c r="J1100">
        <v>3100000</v>
      </c>
      <c r="K1100">
        <v>14300000</v>
      </c>
      <c r="L1100">
        <v>6800000</v>
      </c>
      <c r="M1100" t="s">
        <v>34</v>
      </c>
      <c r="N1100">
        <f t="shared" si="103"/>
        <v>1</v>
      </c>
      <c r="O1100" t="str">
        <f t="shared" si="102"/>
        <v>Low</v>
      </c>
      <c r="P1100" t="str">
        <f t="shared" si="104"/>
        <v>High</v>
      </c>
      <c r="Q1100" t="str">
        <f t="shared" si="105"/>
        <v>Low Loan</v>
      </c>
      <c r="R1100">
        <f t="shared" si="106"/>
        <v>40000000</v>
      </c>
      <c r="S1100" t="str">
        <f t="shared" si="107"/>
        <v>Strong</v>
      </c>
    </row>
    <row r="1101" spans="1:19" x14ac:dyDescent="0.25">
      <c r="A1101">
        <v>1100</v>
      </c>
      <c r="B1101">
        <v>1</v>
      </c>
      <c r="C1101" t="s">
        <v>30</v>
      </c>
      <c r="D1101" t="s">
        <v>32</v>
      </c>
      <c r="E1101">
        <v>6700000</v>
      </c>
      <c r="F1101">
        <v>18700000</v>
      </c>
      <c r="G1101">
        <v>8</v>
      </c>
      <c r="H1101">
        <v>583</v>
      </c>
      <c r="I1101">
        <v>9300000</v>
      </c>
      <c r="J1101">
        <v>4100000</v>
      </c>
      <c r="K1101">
        <v>17100000</v>
      </c>
      <c r="L1101">
        <v>6900000</v>
      </c>
      <c r="M1101" t="s">
        <v>34</v>
      </c>
      <c r="N1101">
        <f t="shared" si="103"/>
        <v>1</v>
      </c>
      <c r="O1101" t="str">
        <f t="shared" si="102"/>
        <v>Low</v>
      </c>
      <c r="P1101" t="str">
        <f t="shared" si="104"/>
        <v>High</v>
      </c>
      <c r="Q1101" t="str">
        <f t="shared" si="105"/>
        <v>Low Loan</v>
      </c>
      <c r="R1101">
        <f t="shared" si="106"/>
        <v>37400000</v>
      </c>
      <c r="S1101" t="str">
        <f t="shared" si="107"/>
        <v>Strong</v>
      </c>
    </row>
    <row r="1102" spans="1:19" x14ac:dyDescent="0.25">
      <c r="A1102">
        <v>1101</v>
      </c>
      <c r="B1102">
        <v>2</v>
      </c>
      <c r="C1102" t="s">
        <v>31</v>
      </c>
      <c r="D1102" t="s">
        <v>32</v>
      </c>
      <c r="E1102">
        <v>4000000</v>
      </c>
      <c r="F1102">
        <v>9400000</v>
      </c>
      <c r="G1102">
        <v>8</v>
      </c>
      <c r="H1102">
        <v>874</v>
      </c>
      <c r="I1102">
        <v>4400000</v>
      </c>
      <c r="J1102">
        <v>3700000</v>
      </c>
      <c r="K1102">
        <v>10200000</v>
      </c>
      <c r="L1102">
        <v>4800000</v>
      </c>
      <c r="M1102" t="s">
        <v>34</v>
      </c>
      <c r="N1102">
        <f t="shared" si="103"/>
        <v>1</v>
      </c>
      <c r="O1102" t="str">
        <f t="shared" si="102"/>
        <v>Excellent</v>
      </c>
      <c r="P1102" t="str">
        <f t="shared" si="104"/>
        <v>High</v>
      </c>
      <c r="Q1102" t="str">
        <f t="shared" si="105"/>
        <v>Low Loan</v>
      </c>
      <c r="R1102">
        <f t="shared" si="106"/>
        <v>23100000</v>
      </c>
      <c r="S1102" t="str">
        <f t="shared" si="107"/>
        <v>Strong</v>
      </c>
    </row>
    <row r="1103" spans="1:19" x14ac:dyDescent="0.25">
      <c r="A1103">
        <v>1102</v>
      </c>
      <c r="B1103">
        <v>2</v>
      </c>
      <c r="C1103" t="s">
        <v>31</v>
      </c>
      <c r="D1103" t="s">
        <v>33</v>
      </c>
      <c r="E1103">
        <v>3900000</v>
      </c>
      <c r="F1103">
        <v>11600000</v>
      </c>
      <c r="G1103">
        <v>8</v>
      </c>
      <c r="H1103">
        <v>808</v>
      </c>
      <c r="I1103">
        <v>5800000</v>
      </c>
      <c r="J1103">
        <v>3100000</v>
      </c>
      <c r="K1103">
        <v>12900000</v>
      </c>
      <c r="L1103">
        <v>5000000</v>
      </c>
      <c r="M1103" t="s">
        <v>34</v>
      </c>
      <c r="N1103">
        <f t="shared" si="103"/>
        <v>1</v>
      </c>
      <c r="O1103" t="str">
        <f t="shared" si="102"/>
        <v>Excellent</v>
      </c>
      <c r="P1103" t="str">
        <f t="shared" si="104"/>
        <v>High</v>
      </c>
      <c r="Q1103" t="str">
        <f t="shared" si="105"/>
        <v>Low Loan</v>
      </c>
      <c r="R1103">
        <f t="shared" si="106"/>
        <v>26800000</v>
      </c>
      <c r="S1103" t="str">
        <f t="shared" si="107"/>
        <v>Strong</v>
      </c>
    </row>
    <row r="1104" spans="1:19" x14ac:dyDescent="0.25">
      <c r="A1104">
        <v>1103</v>
      </c>
      <c r="B1104">
        <v>1</v>
      </c>
      <c r="C1104" t="s">
        <v>30</v>
      </c>
      <c r="D1104" t="s">
        <v>33</v>
      </c>
      <c r="E1104">
        <v>1600000</v>
      </c>
      <c r="F1104">
        <v>4900000</v>
      </c>
      <c r="G1104">
        <v>16</v>
      </c>
      <c r="H1104">
        <v>487</v>
      </c>
      <c r="I1104">
        <v>4300000</v>
      </c>
      <c r="J1104">
        <v>1100000</v>
      </c>
      <c r="K1104">
        <v>3900000</v>
      </c>
      <c r="L1104">
        <v>2000000</v>
      </c>
      <c r="M1104" t="s">
        <v>35</v>
      </c>
      <c r="N1104">
        <f t="shared" si="103"/>
        <v>0</v>
      </c>
      <c r="O1104" t="str">
        <f t="shared" si="102"/>
        <v>Low</v>
      </c>
      <c r="P1104" t="str">
        <f t="shared" si="104"/>
        <v>High</v>
      </c>
      <c r="Q1104" t="str">
        <f t="shared" si="105"/>
        <v>Low Loan</v>
      </c>
      <c r="R1104">
        <f t="shared" si="106"/>
        <v>11300000</v>
      </c>
      <c r="S1104" t="str">
        <f t="shared" si="107"/>
        <v>Strong</v>
      </c>
    </row>
    <row r="1105" spans="1:19" x14ac:dyDescent="0.25">
      <c r="A1105">
        <v>1104</v>
      </c>
      <c r="B1105">
        <v>3</v>
      </c>
      <c r="C1105" t="s">
        <v>30</v>
      </c>
      <c r="D1105" t="s">
        <v>32</v>
      </c>
      <c r="E1105">
        <v>2700000</v>
      </c>
      <c r="F1105">
        <v>7800000</v>
      </c>
      <c r="G1105">
        <v>14</v>
      </c>
      <c r="H1105">
        <v>870</v>
      </c>
      <c r="I1105">
        <v>5400000</v>
      </c>
      <c r="J1105">
        <v>5300000</v>
      </c>
      <c r="K1105">
        <v>5700000</v>
      </c>
      <c r="L1105">
        <v>2100000</v>
      </c>
      <c r="M1105" t="s">
        <v>34</v>
      </c>
      <c r="N1105">
        <f t="shared" si="103"/>
        <v>1</v>
      </c>
      <c r="O1105" t="str">
        <f t="shared" si="102"/>
        <v>Excellent</v>
      </c>
      <c r="P1105" t="str">
        <f t="shared" si="104"/>
        <v>High</v>
      </c>
      <c r="Q1105" t="str">
        <f t="shared" si="105"/>
        <v>Low Loan</v>
      </c>
      <c r="R1105">
        <f t="shared" si="106"/>
        <v>18500000</v>
      </c>
      <c r="S1105" t="str">
        <f t="shared" si="107"/>
        <v>Strong</v>
      </c>
    </row>
    <row r="1106" spans="1:19" x14ac:dyDescent="0.25">
      <c r="A1106">
        <v>1105</v>
      </c>
      <c r="B1106">
        <v>3</v>
      </c>
      <c r="C1106" t="s">
        <v>30</v>
      </c>
      <c r="D1106" t="s">
        <v>32</v>
      </c>
      <c r="E1106">
        <v>1400000</v>
      </c>
      <c r="F1106">
        <v>3800000</v>
      </c>
      <c r="G1106">
        <v>8</v>
      </c>
      <c r="H1106">
        <v>840</v>
      </c>
      <c r="I1106">
        <v>1700000</v>
      </c>
      <c r="J1106">
        <v>200000</v>
      </c>
      <c r="K1106">
        <v>5300000</v>
      </c>
      <c r="L1106">
        <v>1500000</v>
      </c>
      <c r="M1106" t="s">
        <v>34</v>
      </c>
      <c r="N1106">
        <f t="shared" si="103"/>
        <v>1</v>
      </c>
      <c r="O1106" t="str">
        <f t="shared" si="102"/>
        <v>Excellent</v>
      </c>
      <c r="P1106" t="str">
        <f t="shared" si="104"/>
        <v>High</v>
      </c>
      <c r="Q1106" t="str">
        <f t="shared" si="105"/>
        <v>Low Loan</v>
      </c>
      <c r="R1106">
        <f t="shared" si="106"/>
        <v>8700000</v>
      </c>
      <c r="S1106" t="str">
        <f t="shared" si="107"/>
        <v>Moderate</v>
      </c>
    </row>
    <row r="1107" spans="1:19" x14ac:dyDescent="0.25">
      <c r="A1107">
        <v>1106</v>
      </c>
      <c r="B1107">
        <v>4</v>
      </c>
      <c r="C1107" t="s">
        <v>31</v>
      </c>
      <c r="D1107" t="s">
        <v>33</v>
      </c>
      <c r="E1107">
        <v>8000000</v>
      </c>
      <c r="F1107">
        <v>19200000</v>
      </c>
      <c r="G1107">
        <v>18</v>
      </c>
      <c r="H1107">
        <v>682</v>
      </c>
      <c r="I1107">
        <v>2500000</v>
      </c>
      <c r="J1107">
        <v>8900000</v>
      </c>
      <c r="K1107">
        <v>19000000</v>
      </c>
      <c r="L1107">
        <v>5300000</v>
      </c>
      <c r="M1107" t="s">
        <v>34</v>
      </c>
      <c r="N1107">
        <f t="shared" si="103"/>
        <v>1</v>
      </c>
      <c r="O1107" t="str">
        <f t="shared" si="102"/>
        <v>Medium</v>
      </c>
      <c r="P1107" t="str">
        <f t="shared" si="104"/>
        <v>High</v>
      </c>
      <c r="Q1107" t="str">
        <f t="shared" si="105"/>
        <v>Low Loan</v>
      </c>
      <c r="R1107">
        <f t="shared" si="106"/>
        <v>35700000</v>
      </c>
      <c r="S1107" t="str">
        <f t="shared" si="107"/>
        <v>Strong</v>
      </c>
    </row>
    <row r="1108" spans="1:19" x14ac:dyDescent="0.25">
      <c r="A1108">
        <v>1107</v>
      </c>
      <c r="B1108">
        <v>3</v>
      </c>
      <c r="C1108" t="s">
        <v>30</v>
      </c>
      <c r="D1108" t="s">
        <v>33</v>
      </c>
      <c r="E1108">
        <v>8200000</v>
      </c>
      <c r="F1108">
        <v>28900000</v>
      </c>
      <c r="G1108">
        <v>10</v>
      </c>
      <c r="H1108">
        <v>668</v>
      </c>
      <c r="I1108">
        <v>23800000</v>
      </c>
      <c r="J1108">
        <v>4500000</v>
      </c>
      <c r="K1108">
        <v>28700000</v>
      </c>
      <c r="L1108">
        <v>10900000</v>
      </c>
      <c r="M1108" t="s">
        <v>34</v>
      </c>
      <c r="N1108">
        <f t="shared" si="103"/>
        <v>1</v>
      </c>
      <c r="O1108" t="str">
        <f t="shared" si="102"/>
        <v>Medium</v>
      </c>
      <c r="P1108" t="str">
        <f t="shared" si="104"/>
        <v>High</v>
      </c>
      <c r="Q1108" t="str">
        <f t="shared" si="105"/>
        <v>High Loan</v>
      </c>
      <c r="R1108">
        <f t="shared" si="106"/>
        <v>67900000</v>
      </c>
      <c r="S1108" t="str">
        <f t="shared" si="107"/>
        <v>Strong</v>
      </c>
    </row>
    <row r="1109" spans="1:19" x14ac:dyDescent="0.25">
      <c r="A1109">
        <v>1108</v>
      </c>
      <c r="B1109">
        <v>5</v>
      </c>
      <c r="C1109" t="s">
        <v>30</v>
      </c>
      <c r="D1109" t="s">
        <v>33</v>
      </c>
      <c r="E1109">
        <v>4800000</v>
      </c>
      <c r="F1109">
        <v>10300000</v>
      </c>
      <c r="G1109">
        <v>8</v>
      </c>
      <c r="H1109">
        <v>781</v>
      </c>
      <c r="I1109">
        <v>4800000</v>
      </c>
      <c r="J1109">
        <v>6800000</v>
      </c>
      <c r="K1109">
        <v>11100000</v>
      </c>
      <c r="L1109">
        <v>4300000</v>
      </c>
      <c r="M1109" t="s">
        <v>34</v>
      </c>
      <c r="N1109">
        <f t="shared" si="103"/>
        <v>1</v>
      </c>
      <c r="O1109" t="str">
        <f t="shared" si="102"/>
        <v>Excellent</v>
      </c>
      <c r="P1109" t="str">
        <f t="shared" si="104"/>
        <v>High</v>
      </c>
      <c r="Q1109" t="str">
        <f t="shared" si="105"/>
        <v>Low Loan</v>
      </c>
      <c r="R1109">
        <f t="shared" si="106"/>
        <v>27000000</v>
      </c>
      <c r="S1109" t="str">
        <f t="shared" si="107"/>
        <v>Strong</v>
      </c>
    </row>
    <row r="1110" spans="1:19" x14ac:dyDescent="0.25">
      <c r="A1110">
        <v>1109</v>
      </c>
      <c r="B1110">
        <v>4</v>
      </c>
      <c r="C1110" t="s">
        <v>30</v>
      </c>
      <c r="D1110" t="s">
        <v>32</v>
      </c>
      <c r="E1110">
        <v>8100000</v>
      </c>
      <c r="F1110">
        <v>19000000</v>
      </c>
      <c r="G1110">
        <v>6</v>
      </c>
      <c r="H1110">
        <v>375</v>
      </c>
      <c r="I1110">
        <v>4100000</v>
      </c>
      <c r="J1110">
        <v>14500000</v>
      </c>
      <c r="K1110">
        <v>19100000</v>
      </c>
      <c r="L1110">
        <v>11900000</v>
      </c>
      <c r="M1110" t="s">
        <v>35</v>
      </c>
      <c r="N1110">
        <f t="shared" si="103"/>
        <v>0</v>
      </c>
      <c r="O1110" t="str">
        <f t="shared" si="102"/>
        <v>Low</v>
      </c>
      <c r="P1110" t="str">
        <f t="shared" si="104"/>
        <v>High</v>
      </c>
      <c r="Q1110" t="str">
        <f t="shared" si="105"/>
        <v>Low Loan</v>
      </c>
      <c r="R1110">
        <f t="shared" si="106"/>
        <v>49600000</v>
      </c>
      <c r="S1110" t="str">
        <f t="shared" si="107"/>
        <v>Strong</v>
      </c>
    </row>
    <row r="1111" spans="1:19" x14ac:dyDescent="0.25">
      <c r="A1111">
        <v>1110</v>
      </c>
      <c r="B1111">
        <v>4</v>
      </c>
      <c r="C1111" t="s">
        <v>31</v>
      </c>
      <c r="D1111" t="s">
        <v>32</v>
      </c>
      <c r="E1111">
        <v>5900000</v>
      </c>
      <c r="F1111">
        <v>14900000</v>
      </c>
      <c r="G1111">
        <v>14</v>
      </c>
      <c r="H1111">
        <v>857</v>
      </c>
      <c r="I1111">
        <v>2600000</v>
      </c>
      <c r="J1111">
        <v>9500000</v>
      </c>
      <c r="K1111">
        <v>16000000</v>
      </c>
      <c r="L1111">
        <v>3500000</v>
      </c>
      <c r="M1111" t="s">
        <v>34</v>
      </c>
      <c r="N1111">
        <f t="shared" si="103"/>
        <v>1</v>
      </c>
      <c r="O1111" t="str">
        <f t="shared" si="102"/>
        <v>Excellent</v>
      </c>
      <c r="P1111" t="str">
        <f t="shared" si="104"/>
        <v>High</v>
      </c>
      <c r="Q1111" t="str">
        <f t="shared" si="105"/>
        <v>Low Loan</v>
      </c>
      <c r="R1111">
        <f t="shared" si="106"/>
        <v>31600000</v>
      </c>
      <c r="S1111" t="str">
        <f t="shared" si="107"/>
        <v>Strong</v>
      </c>
    </row>
    <row r="1112" spans="1:19" x14ac:dyDescent="0.25">
      <c r="A1112">
        <v>1111</v>
      </c>
      <c r="B1112">
        <v>5</v>
      </c>
      <c r="C1112" t="s">
        <v>30</v>
      </c>
      <c r="D1112" t="s">
        <v>33</v>
      </c>
      <c r="E1112">
        <v>8100000</v>
      </c>
      <c r="F1112">
        <v>32100000</v>
      </c>
      <c r="G1112">
        <v>6</v>
      </c>
      <c r="H1112">
        <v>823</v>
      </c>
      <c r="I1112">
        <v>18200000</v>
      </c>
      <c r="J1112">
        <v>1800000</v>
      </c>
      <c r="K1112">
        <v>24100000</v>
      </c>
      <c r="L1112">
        <v>6500000</v>
      </c>
      <c r="M1112" t="s">
        <v>34</v>
      </c>
      <c r="N1112">
        <f t="shared" si="103"/>
        <v>1</v>
      </c>
      <c r="O1112" t="str">
        <f t="shared" si="102"/>
        <v>Excellent</v>
      </c>
      <c r="P1112" t="str">
        <f t="shared" si="104"/>
        <v>High</v>
      </c>
      <c r="Q1112" t="str">
        <f t="shared" si="105"/>
        <v>High Loan</v>
      </c>
      <c r="R1112">
        <f t="shared" si="106"/>
        <v>50600000</v>
      </c>
      <c r="S1112" t="str">
        <f t="shared" si="107"/>
        <v>Strong</v>
      </c>
    </row>
    <row r="1113" spans="1:19" x14ac:dyDescent="0.25">
      <c r="A1113">
        <v>1112</v>
      </c>
      <c r="B1113">
        <v>0</v>
      </c>
      <c r="C1113" t="s">
        <v>30</v>
      </c>
      <c r="D1113" t="s">
        <v>32</v>
      </c>
      <c r="E1113">
        <v>1400000</v>
      </c>
      <c r="F1113">
        <v>5000000</v>
      </c>
      <c r="G1113">
        <v>8</v>
      </c>
      <c r="H1113">
        <v>686</v>
      </c>
      <c r="I1113">
        <v>1800000</v>
      </c>
      <c r="J1113">
        <v>1900000</v>
      </c>
      <c r="K1113">
        <v>3200000</v>
      </c>
      <c r="L1113">
        <v>1500000</v>
      </c>
      <c r="M1113" t="s">
        <v>34</v>
      </c>
      <c r="N1113">
        <f t="shared" si="103"/>
        <v>1</v>
      </c>
      <c r="O1113" t="str">
        <f t="shared" si="102"/>
        <v>Medium</v>
      </c>
      <c r="P1113" t="str">
        <f t="shared" si="104"/>
        <v>High</v>
      </c>
      <c r="Q1113" t="str">
        <f t="shared" si="105"/>
        <v>Low Loan</v>
      </c>
      <c r="R1113">
        <f t="shared" si="106"/>
        <v>8400000</v>
      </c>
      <c r="S1113" t="str">
        <f t="shared" si="107"/>
        <v>Moderate</v>
      </c>
    </row>
    <row r="1114" spans="1:19" x14ac:dyDescent="0.25">
      <c r="A1114">
        <v>1113</v>
      </c>
      <c r="B1114">
        <v>1</v>
      </c>
      <c r="C1114" t="s">
        <v>30</v>
      </c>
      <c r="D1114" t="s">
        <v>32</v>
      </c>
      <c r="E1114">
        <v>1600000</v>
      </c>
      <c r="F1114">
        <v>6300000</v>
      </c>
      <c r="G1114">
        <v>2</v>
      </c>
      <c r="H1114">
        <v>721</v>
      </c>
      <c r="I1114">
        <v>3000000</v>
      </c>
      <c r="J1114">
        <v>600000</v>
      </c>
      <c r="K1114">
        <v>5200000</v>
      </c>
      <c r="L1114">
        <v>900000</v>
      </c>
      <c r="M1114" t="s">
        <v>34</v>
      </c>
      <c r="N1114">
        <f t="shared" si="103"/>
        <v>1</v>
      </c>
      <c r="O1114" t="str">
        <f t="shared" si="102"/>
        <v>Good</v>
      </c>
      <c r="P1114" t="str">
        <f t="shared" si="104"/>
        <v>High</v>
      </c>
      <c r="Q1114" t="str">
        <f t="shared" si="105"/>
        <v>Low Loan</v>
      </c>
      <c r="R1114">
        <f t="shared" si="106"/>
        <v>9700000</v>
      </c>
      <c r="S1114" t="str">
        <f t="shared" si="107"/>
        <v>Moderate</v>
      </c>
    </row>
    <row r="1115" spans="1:19" x14ac:dyDescent="0.25">
      <c r="A1115">
        <v>1114</v>
      </c>
      <c r="B1115">
        <v>4</v>
      </c>
      <c r="C1115" t="s">
        <v>30</v>
      </c>
      <c r="D1115" t="s">
        <v>32</v>
      </c>
      <c r="E1115">
        <v>4600000</v>
      </c>
      <c r="F1115">
        <v>9400000</v>
      </c>
      <c r="G1115">
        <v>18</v>
      </c>
      <c r="H1115">
        <v>545</v>
      </c>
      <c r="I1115">
        <v>800000</v>
      </c>
      <c r="J1115">
        <v>2400000</v>
      </c>
      <c r="K1115">
        <v>11500000</v>
      </c>
      <c r="L1115">
        <v>6300000</v>
      </c>
      <c r="M1115" t="s">
        <v>35</v>
      </c>
      <c r="N1115">
        <f t="shared" si="103"/>
        <v>0</v>
      </c>
      <c r="O1115" t="str">
        <f t="shared" si="102"/>
        <v>Low</v>
      </c>
      <c r="P1115" t="str">
        <f t="shared" si="104"/>
        <v>High</v>
      </c>
      <c r="Q1115" t="str">
        <f t="shared" si="105"/>
        <v>Low Loan</v>
      </c>
      <c r="R1115">
        <f t="shared" si="106"/>
        <v>21000000</v>
      </c>
      <c r="S1115" t="str">
        <f t="shared" si="107"/>
        <v>Strong</v>
      </c>
    </row>
    <row r="1116" spans="1:19" x14ac:dyDescent="0.25">
      <c r="A1116">
        <v>1115</v>
      </c>
      <c r="B1116">
        <v>1</v>
      </c>
      <c r="C1116" t="s">
        <v>31</v>
      </c>
      <c r="D1116" t="s">
        <v>32</v>
      </c>
      <c r="E1116">
        <v>2900000</v>
      </c>
      <c r="F1116">
        <v>8900000</v>
      </c>
      <c r="G1116">
        <v>6</v>
      </c>
      <c r="H1116">
        <v>523</v>
      </c>
      <c r="I1116">
        <v>900000</v>
      </c>
      <c r="J1116">
        <v>5600000</v>
      </c>
      <c r="K1116">
        <v>9700000</v>
      </c>
      <c r="L1116">
        <v>1800000</v>
      </c>
      <c r="M1116" t="s">
        <v>35</v>
      </c>
      <c r="N1116">
        <f t="shared" si="103"/>
        <v>0</v>
      </c>
      <c r="O1116" t="str">
        <f t="shared" si="102"/>
        <v>Low</v>
      </c>
      <c r="P1116" t="str">
        <f t="shared" si="104"/>
        <v>High</v>
      </c>
      <c r="Q1116" t="str">
        <f t="shared" si="105"/>
        <v>Low Loan</v>
      </c>
      <c r="R1116">
        <f t="shared" si="106"/>
        <v>18000000</v>
      </c>
      <c r="S1116" t="str">
        <f t="shared" si="107"/>
        <v>Strong</v>
      </c>
    </row>
    <row r="1117" spans="1:19" x14ac:dyDescent="0.25">
      <c r="A1117">
        <v>1116</v>
      </c>
      <c r="B1117">
        <v>2</v>
      </c>
      <c r="C1117" t="s">
        <v>30</v>
      </c>
      <c r="D1117" t="s">
        <v>33</v>
      </c>
      <c r="E1117">
        <v>8600000</v>
      </c>
      <c r="F1117">
        <v>24900000</v>
      </c>
      <c r="G1117">
        <v>20</v>
      </c>
      <c r="H1117">
        <v>607</v>
      </c>
      <c r="I1117">
        <v>13600000</v>
      </c>
      <c r="J1117">
        <v>7600000</v>
      </c>
      <c r="K1117">
        <v>31800000</v>
      </c>
      <c r="L1117">
        <v>5400000</v>
      </c>
      <c r="M1117" t="s">
        <v>34</v>
      </c>
      <c r="N1117">
        <f t="shared" si="103"/>
        <v>1</v>
      </c>
      <c r="O1117" t="str">
        <f t="shared" si="102"/>
        <v>Low</v>
      </c>
      <c r="P1117" t="str">
        <f t="shared" si="104"/>
        <v>High</v>
      </c>
      <c r="Q1117" t="str">
        <f t="shared" si="105"/>
        <v>High Loan</v>
      </c>
      <c r="R1117">
        <f t="shared" si="106"/>
        <v>58400000</v>
      </c>
      <c r="S1117" t="str">
        <f t="shared" si="107"/>
        <v>Strong</v>
      </c>
    </row>
    <row r="1118" spans="1:19" x14ac:dyDescent="0.25">
      <c r="A1118">
        <v>1117</v>
      </c>
      <c r="B1118">
        <v>4</v>
      </c>
      <c r="C1118" t="s">
        <v>31</v>
      </c>
      <c r="D1118" t="s">
        <v>32</v>
      </c>
      <c r="E1118">
        <v>3800000</v>
      </c>
      <c r="F1118">
        <v>14900000</v>
      </c>
      <c r="G1118">
        <v>20</v>
      </c>
      <c r="H1118">
        <v>428</v>
      </c>
      <c r="I1118">
        <v>6500000</v>
      </c>
      <c r="J1118">
        <v>3500000</v>
      </c>
      <c r="K1118">
        <v>12200000</v>
      </c>
      <c r="L1118">
        <v>2500000</v>
      </c>
      <c r="M1118" t="s">
        <v>35</v>
      </c>
      <c r="N1118">
        <f t="shared" si="103"/>
        <v>0</v>
      </c>
      <c r="O1118" t="str">
        <f t="shared" si="102"/>
        <v>Low</v>
      </c>
      <c r="P1118" t="str">
        <f t="shared" si="104"/>
        <v>High</v>
      </c>
      <c r="Q1118" t="str">
        <f t="shared" si="105"/>
        <v>Low Loan</v>
      </c>
      <c r="R1118">
        <f t="shared" si="106"/>
        <v>24700000</v>
      </c>
      <c r="S1118" t="str">
        <f t="shared" si="107"/>
        <v>Strong</v>
      </c>
    </row>
    <row r="1119" spans="1:19" x14ac:dyDescent="0.25">
      <c r="A1119">
        <v>1118</v>
      </c>
      <c r="B1119">
        <v>0</v>
      </c>
      <c r="C1119" t="s">
        <v>31</v>
      </c>
      <c r="D1119" t="s">
        <v>32</v>
      </c>
      <c r="E1119">
        <v>8200000</v>
      </c>
      <c r="F1119">
        <v>20300000</v>
      </c>
      <c r="G1119">
        <v>4</v>
      </c>
      <c r="H1119">
        <v>666</v>
      </c>
      <c r="I1119">
        <v>13100000</v>
      </c>
      <c r="J1119">
        <v>10200000</v>
      </c>
      <c r="K1119">
        <v>25900000</v>
      </c>
      <c r="L1119">
        <v>7800000</v>
      </c>
      <c r="M1119" t="s">
        <v>34</v>
      </c>
      <c r="N1119">
        <f t="shared" si="103"/>
        <v>1</v>
      </c>
      <c r="O1119" t="str">
        <f t="shared" si="102"/>
        <v>Medium</v>
      </c>
      <c r="P1119" t="str">
        <f t="shared" si="104"/>
        <v>High</v>
      </c>
      <c r="Q1119" t="str">
        <f t="shared" si="105"/>
        <v>High Loan</v>
      </c>
      <c r="R1119">
        <f t="shared" si="106"/>
        <v>57000000</v>
      </c>
      <c r="S1119" t="str">
        <f t="shared" si="107"/>
        <v>Strong</v>
      </c>
    </row>
    <row r="1120" spans="1:19" x14ac:dyDescent="0.25">
      <c r="A1120">
        <v>1119</v>
      </c>
      <c r="B1120">
        <v>3</v>
      </c>
      <c r="C1120" t="s">
        <v>30</v>
      </c>
      <c r="D1120" t="s">
        <v>32</v>
      </c>
      <c r="E1120">
        <v>3200000</v>
      </c>
      <c r="F1120">
        <v>10100000</v>
      </c>
      <c r="G1120">
        <v>20</v>
      </c>
      <c r="H1120">
        <v>704</v>
      </c>
      <c r="I1120">
        <v>3400000</v>
      </c>
      <c r="J1120">
        <v>4800000</v>
      </c>
      <c r="K1120">
        <v>9000000</v>
      </c>
      <c r="L1120">
        <v>3900000</v>
      </c>
      <c r="M1120" t="s">
        <v>34</v>
      </c>
      <c r="N1120">
        <f t="shared" si="103"/>
        <v>1</v>
      </c>
      <c r="O1120" t="str">
        <f t="shared" si="102"/>
        <v>Good</v>
      </c>
      <c r="P1120" t="str">
        <f t="shared" si="104"/>
        <v>High</v>
      </c>
      <c r="Q1120" t="str">
        <f t="shared" si="105"/>
        <v>Low Loan</v>
      </c>
      <c r="R1120">
        <f t="shared" si="106"/>
        <v>21100000</v>
      </c>
      <c r="S1120" t="str">
        <f t="shared" si="107"/>
        <v>Strong</v>
      </c>
    </row>
    <row r="1121" spans="1:19" x14ac:dyDescent="0.25">
      <c r="A1121">
        <v>1120</v>
      </c>
      <c r="B1121">
        <v>0</v>
      </c>
      <c r="C1121" t="s">
        <v>31</v>
      </c>
      <c r="D1121" t="s">
        <v>33</v>
      </c>
      <c r="E1121">
        <v>8100000</v>
      </c>
      <c r="F1121">
        <v>23800000</v>
      </c>
      <c r="G1121">
        <v>10</v>
      </c>
      <c r="H1121">
        <v>794</v>
      </c>
      <c r="I1121">
        <v>5400000</v>
      </c>
      <c r="J1121">
        <v>15500000</v>
      </c>
      <c r="K1121">
        <v>20700000</v>
      </c>
      <c r="L1121">
        <v>8800000</v>
      </c>
      <c r="M1121" t="s">
        <v>34</v>
      </c>
      <c r="N1121">
        <f t="shared" si="103"/>
        <v>1</v>
      </c>
      <c r="O1121" t="str">
        <f t="shared" si="102"/>
        <v>Excellent</v>
      </c>
      <c r="P1121" t="str">
        <f t="shared" si="104"/>
        <v>High</v>
      </c>
      <c r="Q1121" t="str">
        <f t="shared" si="105"/>
        <v>High Loan</v>
      </c>
      <c r="R1121">
        <f t="shared" si="106"/>
        <v>50400000</v>
      </c>
      <c r="S1121" t="str">
        <f t="shared" si="107"/>
        <v>Strong</v>
      </c>
    </row>
    <row r="1122" spans="1:19" x14ac:dyDescent="0.25">
      <c r="A1122">
        <v>1121</v>
      </c>
      <c r="B1122">
        <v>1</v>
      </c>
      <c r="C1122" t="s">
        <v>30</v>
      </c>
      <c r="D1122" t="s">
        <v>33</v>
      </c>
      <c r="E1122">
        <v>9800000</v>
      </c>
      <c r="F1122">
        <v>23300000</v>
      </c>
      <c r="G1122">
        <v>12</v>
      </c>
      <c r="H1122">
        <v>430</v>
      </c>
      <c r="I1122">
        <v>3200000</v>
      </c>
      <c r="J1122">
        <v>12600000</v>
      </c>
      <c r="K1122">
        <v>30500000</v>
      </c>
      <c r="L1122">
        <v>13900000</v>
      </c>
      <c r="M1122" t="s">
        <v>35</v>
      </c>
      <c r="N1122">
        <f t="shared" si="103"/>
        <v>0</v>
      </c>
      <c r="O1122" t="str">
        <f t="shared" si="102"/>
        <v>Low</v>
      </c>
      <c r="P1122" t="str">
        <f t="shared" si="104"/>
        <v>High</v>
      </c>
      <c r="Q1122" t="str">
        <f t="shared" si="105"/>
        <v>High Loan</v>
      </c>
      <c r="R1122">
        <f t="shared" si="106"/>
        <v>60200000</v>
      </c>
      <c r="S1122" t="str">
        <f t="shared" si="107"/>
        <v>Strong</v>
      </c>
    </row>
    <row r="1123" spans="1:19" x14ac:dyDescent="0.25">
      <c r="A1123">
        <v>1122</v>
      </c>
      <c r="B1123">
        <v>0</v>
      </c>
      <c r="C1123" t="s">
        <v>31</v>
      </c>
      <c r="D1123" t="s">
        <v>32</v>
      </c>
      <c r="E1123">
        <v>200000</v>
      </c>
      <c r="F1123">
        <v>500000</v>
      </c>
      <c r="G1123">
        <v>20</v>
      </c>
      <c r="H1123">
        <v>615</v>
      </c>
      <c r="I1123">
        <v>500000</v>
      </c>
      <c r="J1123">
        <v>200000</v>
      </c>
      <c r="K1123">
        <v>600000</v>
      </c>
      <c r="L1123">
        <v>200000</v>
      </c>
      <c r="M1123" t="s">
        <v>34</v>
      </c>
      <c r="N1123">
        <f t="shared" si="103"/>
        <v>1</v>
      </c>
      <c r="O1123" t="str">
        <f t="shared" si="102"/>
        <v>Low</v>
      </c>
      <c r="P1123" t="str">
        <f t="shared" si="104"/>
        <v>Low</v>
      </c>
      <c r="Q1123" t="str">
        <f t="shared" si="105"/>
        <v>Low Loan</v>
      </c>
      <c r="R1123">
        <f t="shared" si="106"/>
        <v>1500000</v>
      </c>
      <c r="S1123" t="str">
        <f t="shared" si="107"/>
        <v>Weak</v>
      </c>
    </row>
    <row r="1124" spans="1:19" x14ac:dyDescent="0.25">
      <c r="A1124">
        <v>1123</v>
      </c>
      <c r="B1124">
        <v>0</v>
      </c>
      <c r="C1124" t="s">
        <v>31</v>
      </c>
      <c r="D1124" t="s">
        <v>32</v>
      </c>
      <c r="E1124">
        <v>6600000</v>
      </c>
      <c r="F1124">
        <v>14100000</v>
      </c>
      <c r="G1124">
        <v>20</v>
      </c>
      <c r="H1124">
        <v>360</v>
      </c>
      <c r="I1124">
        <v>6800000</v>
      </c>
      <c r="J1124">
        <v>5100000</v>
      </c>
      <c r="K1124">
        <v>25400000</v>
      </c>
      <c r="L1124">
        <v>7800000</v>
      </c>
      <c r="M1124" t="s">
        <v>35</v>
      </c>
      <c r="N1124">
        <f t="shared" si="103"/>
        <v>0</v>
      </c>
      <c r="O1124" t="str">
        <f t="shared" si="102"/>
        <v>Low</v>
      </c>
      <c r="P1124" t="str">
        <f t="shared" si="104"/>
        <v>High</v>
      </c>
      <c r="Q1124" t="str">
        <f t="shared" si="105"/>
        <v>Low Loan</v>
      </c>
      <c r="R1124">
        <f t="shared" si="106"/>
        <v>45100000</v>
      </c>
      <c r="S1124" t="str">
        <f t="shared" si="107"/>
        <v>Strong</v>
      </c>
    </row>
    <row r="1125" spans="1:19" x14ac:dyDescent="0.25">
      <c r="A1125">
        <v>1124</v>
      </c>
      <c r="B1125">
        <v>0</v>
      </c>
      <c r="C1125" t="s">
        <v>31</v>
      </c>
      <c r="D1125" t="s">
        <v>32</v>
      </c>
      <c r="E1125">
        <v>9100000</v>
      </c>
      <c r="F1125">
        <v>18300000</v>
      </c>
      <c r="G1125">
        <v>14</v>
      </c>
      <c r="H1125">
        <v>458</v>
      </c>
      <c r="I1125">
        <v>6100000</v>
      </c>
      <c r="J1125">
        <v>9200000</v>
      </c>
      <c r="K1125">
        <v>34100000</v>
      </c>
      <c r="L1125">
        <v>10000000</v>
      </c>
      <c r="M1125" t="s">
        <v>35</v>
      </c>
      <c r="N1125">
        <f t="shared" si="103"/>
        <v>0</v>
      </c>
      <c r="O1125" t="str">
        <f t="shared" si="102"/>
        <v>Low</v>
      </c>
      <c r="P1125" t="str">
        <f t="shared" si="104"/>
        <v>High</v>
      </c>
      <c r="Q1125" t="str">
        <f t="shared" si="105"/>
        <v>Low Loan</v>
      </c>
      <c r="R1125">
        <f t="shared" si="106"/>
        <v>59400000</v>
      </c>
      <c r="S1125" t="str">
        <f t="shared" si="107"/>
        <v>Strong</v>
      </c>
    </row>
    <row r="1126" spans="1:19" x14ac:dyDescent="0.25">
      <c r="A1126">
        <v>1125</v>
      </c>
      <c r="B1126">
        <v>2</v>
      </c>
      <c r="C1126" t="s">
        <v>31</v>
      </c>
      <c r="D1126" t="s">
        <v>32</v>
      </c>
      <c r="E1126">
        <v>5500000</v>
      </c>
      <c r="F1126">
        <v>20400000</v>
      </c>
      <c r="G1126">
        <v>12</v>
      </c>
      <c r="H1126">
        <v>887</v>
      </c>
      <c r="I1126">
        <v>8800000</v>
      </c>
      <c r="J1126">
        <v>9400000</v>
      </c>
      <c r="K1126">
        <v>12300000</v>
      </c>
      <c r="L1126">
        <v>3300000</v>
      </c>
      <c r="M1126" t="s">
        <v>34</v>
      </c>
      <c r="N1126">
        <f t="shared" si="103"/>
        <v>1</v>
      </c>
      <c r="O1126" t="str">
        <f t="shared" si="102"/>
        <v>Excellent</v>
      </c>
      <c r="P1126" t="str">
        <f t="shared" si="104"/>
        <v>High</v>
      </c>
      <c r="Q1126" t="str">
        <f t="shared" si="105"/>
        <v>High Loan</v>
      </c>
      <c r="R1126">
        <f t="shared" si="106"/>
        <v>33800000</v>
      </c>
      <c r="S1126" t="str">
        <f t="shared" si="107"/>
        <v>Strong</v>
      </c>
    </row>
    <row r="1127" spans="1:19" x14ac:dyDescent="0.25">
      <c r="A1127">
        <v>1126</v>
      </c>
      <c r="B1127">
        <v>4</v>
      </c>
      <c r="C1127" t="s">
        <v>31</v>
      </c>
      <c r="D1127" t="s">
        <v>32</v>
      </c>
      <c r="E1127">
        <v>7200000</v>
      </c>
      <c r="F1127">
        <v>27400000</v>
      </c>
      <c r="G1127">
        <v>8</v>
      </c>
      <c r="H1127">
        <v>735</v>
      </c>
      <c r="I1127">
        <v>14100000</v>
      </c>
      <c r="J1127">
        <v>14200000</v>
      </c>
      <c r="K1127">
        <v>19400000</v>
      </c>
      <c r="L1127">
        <v>9500000</v>
      </c>
      <c r="M1127" t="s">
        <v>34</v>
      </c>
      <c r="N1127">
        <f t="shared" si="103"/>
        <v>1</v>
      </c>
      <c r="O1127" t="str">
        <f t="shared" si="102"/>
        <v>Good</v>
      </c>
      <c r="P1127" t="str">
        <f t="shared" si="104"/>
        <v>High</v>
      </c>
      <c r="Q1127" t="str">
        <f t="shared" si="105"/>
        <v>High Loan</v>
      </c>
      <c r="R1127">
        <f t="shared" si="106"/>
        <v>57200000</v>
      </c>
      <c r="S1127" t="str">
        <f t="shared" si="107"/>
        <v>Strong</v>
      </c>
    </row>
    <row r="1128" spans="1:19" x14ac:dyDescent="0.25">
      <c r="A1128">
        <v>1127</v>
      </c>
      <c r="B1128">
        <v>1</v>
      </c>
      <c r="C1128" t="s">
        <v>31</v>
      </c>
      <c r="D1128" t="s">
        <v>32</v>
      </c>
      <c r="E1128">
        <v>2400000</v>
      </c>
      <c r="F1128">
        <v>5600000</v>
      </c>
      <c r="G1128">
        <v>16</v>
      </c>
      <c r="H1128">
        <v>379</v>
      </c>
      <c r="I1128">
        <v>3700000</v>
      </c>
      <c r="J1128">
        <v>600000</v>
      </c>
      <c r="K1128">
        <v>7200000</v>
      </c>
      <c r="L1128">
        <v>3400000</v>
      </c>
      <c r="M1128" t="s">
        <v>35</v>
      </c>
      <c r="N1128">
        <f t="shared" si="103"/>
        <v>0</v>
      </c>
      <c r="O1128" t="str">
        <f t="shared" si="102"/>
        <v>Low</v>
      </c>
      <c r="P1128" t="str">
        <f t="shared" si="104"/>
        <v>High</v>
      </c>
      <c r="Q1128" t="str">
        <f t="shared" si="105"/>
        <v>Low Loan</v>
      </c>
      <c r="R1128">
        <f t="shared" si="106"/>
        <v>14900000</v>
      </c>
      <c r="S1128" t="str">
        <f t="shared" si="107"/>
        <v>Strong</v>
      </c>
    </row>
    <row r="1129" spans="1:19" x14ac:dyDescent="0.25">
      <c r="A1129">
        <v>1128</v>
      </c>
      <c r="B1129">
        <v>4</v>
      </c>
      <c r="C1129" t="s">
        <v>30</v>
      </c>
      <c r="D1129" t="s">
        <v>32</v>
      </c>
      <c r="E1129">
        <v>9600000</v>
      </c>
      <c r="F1129">
        <v>25500000</v>
      </c>
      <c r="G1129">
        <v>20</v>
      </c>
      <c r="H1129">
        <v>544</v>
      </c>
      <c r="I1129">
        <v>4000000</v>
      </c>
      <c r="J1129">
        <v>11400000</v>
      </c>
      <c r="K1129">
        <v>23800000</v>
      </c>
      <c r="L1129">
        <v>11100000</v>
      </c>
      <c r="M1129" t="s">
        <v>35</v>
      </c>
      <c r="N1129">
        <f t="shared" si="103"/>
        <v>0</v>
      </c>
      <c r="O1129" t="str">
        <f t="shared" si="102"/>
        <v>Low</v>
      </c>
      <c r="P1129" t="str">
        <f t="shared" si="104"/>
        <v>High</v>
      </c>
      <c r="Q1129" t="str">
        <f t="shared" si="105"/>
        <v>High Loan</v>
      </c>
      <c r="R1129">
        <f t="shared" si="106"/>
        <v>50300000</v>
      </c>
      <c r="S1129" t="str">
        <f t="shared" si="107"/>
        <v>Strong</v>
      </c>
    </row>
    <row r="1130" spans="1:19" x14ac:dyDescent="0.25">
      <c r="A1130">
        <v>1129</v>
      </c>
      <c r="B1130">
        <v>1</v>
      </c>
      <c r="C1130" t="s">
        <v>30</v>
      </c>
      <c r="D1130" t="s">
        <v>33</v>
      </c>
      <c r="E1130">
        <v>5800000</v>
      </c>
      <c r="F1130">
        <v>16700000</v>
      </c>
      <c r="G1130">
        <v>12</v>
      </c>
      <c r="H1130">
        <v>721</v>
      </c>
      <c r="I1130">
        <v>1100000</v>
      </c>
      <c r="J1130">
        <v>9700000</v>
      </c>
      <c r="K1130">
        <v>17200000</v>
      </c>
      <c r="L1130">
        <v>7500000</v>
      </c>
      <c r="M1130" t="s">
        <v>34</v>
      </c>
      <c r="N1130">
        <f t="shared" si="103"/>
        <v>1</v>
      </c>
      <c r="O1130" t="str">
        <f t="shared" si="102"/>
        <v>Good</v>
      </c>
      <c r="P1130" t="str">
        <f t="shared" si="104"/>
        <v>High</v>
      </c>
      <c r="Q1130" t="str">
        <f t="shared" si="105"/>
        <v>Low Loan</v>
      </c>
      <c r="R1130">
        <f t="shared" si="106"/>
        <v>35500000</v>
      </c>
      <c r="S1130" t="str">
        <f t="shared" si="107"/>
        <v>Strong</v>
      </c>
    </row>
    <row r="1131" spans="1:19" x14ac:dyDescent="0.25">
      <c r="A1131">
        <v>1130</v>
      </c>
      <c r="B1131">
        <v>4</v>
      </c>
      <c r="C1131" t="s">
        <v>31</v>
      </c>
      <c r="D1131" t="s">
        <v>32</v>
      </c>
      <c r="E1131">
        <v>2300000</v>
      </c>
      <c r="F1131">
        <v>6000000</v>
      </c>
      <c r="G1131">
        <v>8</v>
      </c>
      <c r="H1131">
        <v>676</v>
      </c>
      <c r="I1131">
        <v>6000000</v>
      </c>
      <c r="J1131">
        <v>400000</v>
      </c>
      <c r="K1131">
        <v>4800000</v>
      </c>
      <c r="L1131">
        <v>2200000</v>
      </c>
      <c r="M1131" t="s">
        <v>34</v>
      </c>
      <c r="N1131">
        <f t="shared" si="103"/>
        <v>1</v>
      </c>
      <c r="O1131" t="str">
        <f t="shared" si="102"/>
        <v>Medium</v>
      </c>
      <c r="P1131" t="str">
        <f t="shared" si="104"/>
        <v>High</v>
      </c>
      <c r="Q1131" t="str">
        <f t="shared" si="105"/>
        <v>Low Loan</v>
      </c>
      <c r="R1131">
        <f t="shared" si="106"/>
        <v>13400000</v>
      </c>
      <c r="S1131" t="str">
        <f t="shared" si="107"/>
        <v>Strong</v>
      </c>
    </row>
    <row r="1132" spans="1:19" x14ac:dyDescent="0.25">
      <c r="A1132">
        <v>1131</v>
      </c>
      <c r="B1132">
        <v>1</v>
      </c>
      <c r="C1132" t="s">
        <v>31</v>
      </c>
      <c r="D1132" t="s">
        <v>32</v>
      </c>
      <c r="E1132">
        <v>300000</v>
      </c>
      <c r="F1132">
        <v>1200000</v>
      </c>
      <c r="G1132">
        <v>4</v>
      </c>
      <c r="H1132">
        <v>342</v>
      </c>
      <c r="I1132">
        <v>800000</v>
      </c>
      <c r="J1132">
        <v>100000</v>
      </c>
      <c r="K1132">
        <v>1100000</v>
      </c>
      <c r="L1132">
        <v>200000</v>
      </c>
      <c r="M1132" t="s">
        <v>34</v>
      </c>
      <c r="N1132">
        <f t="shared" si="103"/>
        <v>1</v>
      </c>
      <c r="O1132" t="str">
        <f t="shared" si="102"/>
        <v>Low</v>
      </c>
      <c r="P1132" t="str">
        <f t="shared" si="104"/>
        <v>Middle</v>
      </c>
      <c r="Q1132" t="str">
        <f t="shared" si="105"/>
        <v>Low Loan</v>
      </c>
      <c r="R1132">
        <f t="shared" si="106"/>
        <v>2200000</v>
      </c>
      <c r="S1132" t="str">
        <f t="shared" si="107"/>
        <v>Weak</v>
      </c>
    </row>
    <row r="1133" spans="1:19" x14ac:dyDescent="0.25">
      <c r="A1133">
        <v>1132</v>
      </c>
      <c r="B1133">
        <v>0</v>
      </c>
      <c r="C1133" t="s">
        <v>31</v>
      </c>
      <c r="D1133" t="s">
        <v>32</v>
      </c>
      <c r="E1133">
        <v>9900000</v>
      </c>
      <c r="F1133">
        <v>27000000</v>
      </c>
      <c r="G1133">
        <v>16</v>
      </c>
      <c r="H1133">
        <v>566</v>
      </c>
      <c r="I1133">
        <v>3500000</v>
      </c>
      <c r="J1133">
        <v>17300000</v>
      </c>
      <c r="K1133">
        <v>36900000</v>
      </c>
      <c r="L1133">
        <v>11500000</v>
      </c>
      <c r="M1133" t="s">
        <v>34</v>
      </c>
      <c r="N1133">
        <f t="shared" si="103"/>
        <v>1</v>
      </c>
      <c r="O1133" t="str">
        <f t="shared" si="102"/>
        <v>Low</v>
      </c>
      <c r="P1133" t="str">
        <f t="shared" si="104"/>
        <v>High</v>
      </c>
      <c r="Q1133" t="str">
        <f t="shared" si="105"/>
        <v>High Loan</v>
      </c>
      <c r="R1133">
        <f t="shared" si="106"/>
        <v>69200000</v>
      </c>
      <c r="S1133" t="str">
        <f t="shared" si="107"/>
        <v>Strong</v>
      </c>
    </row>
    <row r="1134" spans="1:19" x14ac:dyDescent="0.25">
      <c r="A1134">
        <v>1133</v>
      </c>
      <c r="B1134">
        <v>2</v>
      </c>
      <c r="C1134" t="s">
        <v>31</v>
      </c>
      <c r="D1134" t="s">
        <v>32</v>
      </c>
      <c r="E1134">
        <v>3500000</v>
      </c>
      <c r="F1134">
        <v>14000000</v>
      </c>
      <c r="G1134">
        <v>2</v>
      </c>
      <c r="H1134">
        <v>355</v>
      </c>
      <c r="I1134">
        <v>8700000</v>
      </c>
      <c r="J1134">
        <v>1600000</v>
      </c>
      <c r="K1134">
        <v>11800000</v>
      </c>
      <c r="L1134">
        <v>2900000</v>
      </c>
      <c r="M1134" t="s">
        <v>34</v>
      </c>
      <c r="N1134">
        <f t="shared" si="103"/>
        <v>1</v>
      </c>
      <c r="O1134" t="str">
        <f t="shared" si="102"/>
        <v>Low</v>
      </c>
      <c r="P1134" t="str">
        <f t="shared" si="104"/>
        <v>High</v>
      </c>
      <c r="Q1134" t="str">
        <f t="shared" si="105"/>
        <v>Low Loan</v>
      </c>
      <c r="R1134">
        <f t="shared" si="106"/>
        <v>25000000</v>
      </c>
      <c r="S1134" t="str">
        <f t="shared" si="107"/>
        <v>Strong</v>
      </c>
    </row>
    <row r="1135" spans="1:19" x14ac:dyDescent="0.25">
      <c r="A1135">
        <v>1134</v>
      </c>
      <c r="B1135">
        <v>2</v>
      </c>
      <c r="C1135" t="s">
        <v>30</v>
      </c>
      <c r="D1135" t="s">
        <v>32</v>
      </c>
      <c r="E1135">
        <v>4800000</v>
      </c>
      <c r="F1135">
        <v>18500000</v>
      </c>
      <c r="G1135">
        <v>20</v>
      </c>
      <c r="H1135">
        <v>605</v>
      </c>
      <c r="I1135">
        <v>5700000</v>
      </c>
      <c r="J1135">
        <v>5500000</v>
      </c>
      <c r="K1135">
        <v>14700000</v>
      </c>
      <c r="L1135">
        <v>5800000</v>
      </c>
      <c r="M1135" t="s">
        <v>34</v>
      </c>
      <c r="N1135">
        <f t="shared" si="103"/>
        <v>1</v>
      </c>
      <c r="O1135" t="str">
        <f t="shared" si="102"/>
        <v>Low</v>
      </c>
      <c r="P1135" t="str">
        <f t="shared" si="104"/>
        <v>High</v>
      </c>
      <c r="Q1135" t="str">
        <f t="shared" si="105"/>
        <v>Low Loan</v>
      </c>
      <c r="R1135">
        <f t="shared" si="106"/>
        <v>31700000</v>
      </c>
      <c r="S1135" t="str">
        <f t="shared" si="107"/>
        <v>Strong</v>
      </c>
    </row>
    <row r="1136" spans="1:19" x14ac:dyDescent="0.25">
      <c r="A1136">
        <v>1135</v>
      </c>
      <c r="B1136">
        <v>2</v>
      </c>
      <c r="C1136" t="s">
        <v>31</v>
      </c>
      <c r="D1136" t="s">
        <v>32</v>
      </c>
      <c r="E1136">
        <v>1600000</v>
      </c>
      <c r="F1136">
        <v>5200000</v>
      </c>
      <c r="G1136">
        <v>16</v>
      </c>
      <c r="H1136">
        <v>525</v>
      </c>
      <c r="I1136">
        <v>300000</v>
      </c>
      <c r="J1136">
        <v>2900000</v>
      </c>
      <c r="K1136">
        <v>5600000</v>
      </c>
      <c r="L1136">
        <v>1600000</v>
      </c>
      <c r="M1136" t="s">
        <v>35</v>
      </c>
      <c r="N1136">
        <f t="shared" si="103"/>
        <v>0</v>
      </c>
      <c r="O1136" t="str">
        <f t="shared" si="102"/>
        <v>Low</v>
      </c>
      <c r="P1136" t="str">
        <f t="shared" si="104"/>
        <v>High</v>
      </c>
      <c r="Q1136" t="str">
        <f t="shared" si="105"/>
        <v>Low Loan</v>
      </c>
      <c r="R1136">
        <f t="shared" si="106"/>
        <v>10400000</v>
      </c>
      <c r="S1136" t="str">
        <f t="shared" si="107"/>
        <v>Strong</v>
      </c>
    </row>
    <row r="1137" spans="1:19" x14ac:dyDescent="0.25">
      <c r="A1137">
        <v>1136</v>
      </c>
      <c r="B1137">
        <v>5</v>
      </c>
      <c r="C1137" t="s">
        <v>30</v>
      </c>
      <c r="D1137" t="s">
        <v>33</v>
      </c>
      <c r="E1137">
        <v>800000</v>
      </c>
      <c r="F1137">
        <v>2500000</v>
      </c>
      <c r="G1137">
        <v>12</v>
      </c>
      <c r="H1137">
        <v>403</v>
      </c>
      <c r="I1137">
        <v>500000</v>
      </c>
      <c r="J1137">
        <v>0</v>
      </c>
      <c r="K1137">
        <v>3200000</v>
      </c>
      <c r="L1137">
        <v>800000</v>
      </c>
      <c r="M1137" t="s">
        <v>35</v>
      </c>
      <c r="N1137">
        <f t="shared" si="103"/>
        <v>0</v>
      </c>
      <c r="O1137" t="str">
        <f t="shared" si="102"/>
        <v>Low</v>
      </c>
      <c r="P1137" t="str">
        <f t="shared" si="104"/>
        <v>High</v>
      </c>
      <c r="Q1137" t="str">
        <f t="shared" si="105"/>
        <v>Low Loan</v>
      </c>
      <c r="R1137">
        <f t="shared" si="106"/>
        <v>4500000</v>
      </c>
      <c r="S1137" t="str">
        <f t="shared" si="107"/>
        <v>Weak</v>
      </c>
    </row>
    <row r="1138" spans="1:19" x14ac:dyDescent="0.25">
      <c r="A1138">
        <v>1137</v>
      </c>
      <c r="B1138">
        <v>1</v>
      </c>
      <c r="C1138" t="s">
        <v>30</v>
      </c>
      <c r="D1138" t="s">
        <v>33</v>
      </c>
      <c r="E1138">
        <v>9000000</v>
      </c>
      <c r="F1138">
        <v>33500000</v>
      </c>
      <c r="G1138">
        <v>18</v>
      </c>
      <c r="H1138">
        <v>727</v>
      </c>
      <c r="I1138">
        <v>18800000</v>
      </c>
      <c r="J1138">
        <v>10500000</v>
      </c>
      <c r="K1138">
        <v>28100000</v>
      </c>
      <c r="L1138">
        <v>5300000</v>
      </c>
      <c r="M1138" t="s">
        <v>34</v>
      </c>
      <c r="N1138">
        <f t="shared" si="103"/>
        <v>1</v>
      </c>
      <c r="O1138" t="str">
        <f t="shared" si="102"/>
        <v>Good</v>
      </c>
      <c r="P1138" t="str">
        <f t="shared" si="104"/>
        <v>High</v>
      </c>
      <c r="Q1138" t="str">
        <f t="shared" si="105"/>
        <v>High Loan</v>
      </c>
      <c r="R1138">
        <f t="shared" si="106"/>
        <v>62700000</v>
      </c>
      <c r="S1138" t="str">
        <f t="shared" si="107"/>
        <v>Strong</v>
      </c>
    </row>
    <row r="1139" spans="1:19" x14ac:dyDescent="0.25">
      <c r="A1139">
        <v>1138</v>
      </c>
      <c r="B1139">
        <v>1</v>
      </c>
      <c r="C1139" t="s">
        <v>30</v>
      </c>
      <c r="D1139" t="s">
        <v>32</v>
      </c>
      <c r="E1139">
        <v>8300000</v>
      </c>
      <c r="F1139">
        <v>28900000</v>
      </c>
      <c r="G1139">
        <v>12</v>
      </c>
      <c r="H1139">
        <v>529</v>
      </c>
      <c r="I1139">
        <v>18300000</v>
      </c>
      <c r="J1139">
        <v>3900000</v>
      </c>
      <c r="K1139">
        <v>32500000</v>
      </c>
      <c r="L1139">
        <v>5800000</v>
      </c>
      <c r="M1139" t="s">
        <v>35</v>
      </c>
      <c r="N1139">
        <f t="shared" si="103"/>
        <v>0</v>
      </c>
      <c r="O1139" t="str">
        <f t="shared" si="102"/>
        <v>Low</v>
      </c>
      <c r="P1139" t="str">
        <f t="shared" si="104"/>
        <v>High</v>
      </c>
      <c r="Q1139" t="str">
        <f t="shared" si="105"/>
        <v>High Loan</v>
      </c>
      <c r="R1139">
        <f t="shared" si="106"/>
        <v>60500000</v>
      </c>
      <c r="S1139" t="str">
        <f t="shared" si="107"/>
        <v>Strong</v>
      </c>
    </row>
    <row r="1140" spans="1:19" x14ac:dyDescent="0.25">
      <c r="A1140">
        <v>1139</v>
      </c>
      <c r="B1140">
        <v>4</v>
      </c>
      <c r="C1140" t="s">
        <v>30</v>
      </c>
      <c r="D1140" t="s">
        <v>32</v>
      </c>
      <c r="E1140">
        <v>2800000</v>
      </c>
      <c r="F1140">
        <v>6100000</v>
      </c>
      <c r="G1140">
        <v>18</v>
      </c>
      <c r="H1140">
        <v>415</v>
      </c>
      <c r="I1140">
        <v>2200000</v>
      </c>
      <c r="J1140">
        <v>4200000</v>
      </c>
      <c r="K1140">
        <v>8400000</v>
      </c>
      <c r="L1140">
        <v>2000000</v>
      </c>
      <c r="M1140" t="s">
        <v>35</v>
      </c>
      <c r="N1140">
        <f t="shared" si="103"/>
        <v>0</v>
      </c>
      <c r="O1140" t="str">
        <f t="shared" si="102"/>
        <v>Low</v>
      </c>
      <c r="P1140" t="str">
        <f t="shared" si="104"/>
        <v>High</v>
      </c>
      <c r="Q1140" t="str">
        <f t="shared" si="105"/>
        <v>Low Loan</v>
      </c>
      <c r="R1140">
        <f t="shared" si="106"/>
        <v>16800000</v>
      </c>
      <c r="S1140" t="str">
        <f t="shared" si="107"/>
        <v>Strong</v>
      </c>
    </row>
    <row r="1141" spans="1:19" x14ac:dyDescent="0.25">
      <c r="A1141">
        <v>1140</v>
      </c>
      <c r="B1141">
        <v>1</v>
      </c>
      <c r="C1141" t="s">
        <v>30</v>
      </c>
      <c r="D1141" t="s">
        <v>33</v>
      </c>
      <c r="E1141">
        <v>6400000</v>
      </c>
      <c r="F1141">
        <v>17300000</v>
      </c>
      <c r="G1141">
        <v>10</v>
      </c>
      <c r="H1141">
        <v>879</v>
      </c>
      <c r="I1141">
        <v>10000000</v>
      </c>
      <c r="J1141">
        <v>1100000</v>
      </c>
      <c r="K1141">
        <v>15400000</v>
      </c>
      <c r="L1141">
        <v>8200000</v>
      </c>
      <c r="M1141" t="s">
        <v>34</v>
      </c>
      <c r="N1141">
        <f t="shared" si="103"/>
        <v>1</v>
      </c>
      <c r="O1141" t="str">
        <f t="shared" si="102"/>
        <v>Excellent</v>
      </c>
      <c r="P1141" t="str">
        <f t="shared" si="104"/>
        <v>High</v>
      </c>
      <c r="Q1141" t="str">
        <f t="shared" si="105"/>
        <v>Low Loan</v>
      </c>
      <c r="R1141">
        <f t="shared" si="106"/>
        <v>34700000</v>
      </c>
      <c r="S1141" t="str">
        <f t="shared" si="107"/>
        <v>Strong</v>
      </c>
    </row>
    <row r="1142" spans="1:19" x14ac:dyDescent="0.25">
      <c r="A1142">
        <v>1141</v>
      </c>
      <c r="B1142">
        <v>2</v>
      </c>
      <c r="C1142" t="s">
        <v>31</v>
      </c>
      <c r="D1142" t="s">
        <v>33</v>
      </c>
      <c r="E1142">
        <v>6000000</v>
      </c>
      <c r="F1142">
        <v>12600000</v>
      </c>
      <c r="G1142">
        <v>16</v>
      </c>
      <c r="H1142">
        <v>649</v>
      </c>
      <c r="I1142">
        <v>4800000</v>
      </c>
      <c r="J1142">
        <v>5300000</v>
      </c>
      <c r="K1142">
        <v>23900000</v>
      </c>
      <c r="L1142">
        <v>5100000</v>
      </c>
      <c r="M1142" t="s">
        <v>34</v>
      </c>
      <c r="N1142">
        <f t="shared" si="103"/>
        <v>1</v>
      </c>
      <c r="O1142" t="str">
        <f t="shared" si="102"/>
        <v>Low</v>
      </c>
      <c r="P1142" t="str">
        <f t="shared" si="104"/>
        <v>High</v>
      </c>
      <c r="Q1142" t="str">
        <f t="shared" si="105"/>
        <v>Low Loan</v>
      </c>
      <c r="R1142">
        <f t="shared" si="106"/>
        <v>39100000</v>
      </c>
      <c r="S1142" t="str">
        <f t="shared" si="107"/>
        <v>Strong</v>
      </c>
    </row>
    <row r="1143" spans="1:19" x14ac:dyDescent="0.25">
      <c r="A1143">
        <v>1142</v>
      </c>
      <c r="B1143">
        <v>0</v>
      </c>
      <c r="C1143" t="s">
        <v>30</v>
      </c>
      <c r="D1143" t="s">
        <v>32</v>
      </c>
      <c r="E1143">
        <v>2900000</v>
      </c>
      <c r="F1143">
        <v>9800000</v>
      </c>
      <c r="G1143">
        <v>16</v>
      </c>
      <c r="H1143">
        <v>395</v>
      </c>
      <c r="I1143">
        <v>5400000</v>
      </c>
      <c r="J1143">
        <v>4300000</v>
      </c>
      <c r="K1143">
        <v>8600000</v>
      </c>
      <c r="L1143">
        <v>2400000</v>
      </c>
      <c r="M1143" t="s">
        <v>35</v>
      </c>
      <c r="N1143">
        <f t="shared" si="103"/>
        <v>0</v>
      </c>
      <c r="O1143" t="str">
        <f t="shared" si="102"/>
        <v>Low</v>
      </c>
      <c r="P1143" t="str">
        <f t="shared" si="104"/>
        <v>High</v>
      </c>
      <c r="Q1143" t="str">
        <f t="shared" si="105"/>
        <v>Low Loan</v>
      </c>
      <c r="R1143">
        <f t="shared" si="106"/>
        <v>20700000</v>
      </c>
      <c r="S1143" t="str">
        <f t="shared" si="107"/>
        <v>Strong</v>
      </c>
    </row>
    <row r="1144" spans="1:19" x14ac:dyDescent="0.25">
      <c r="A1144">
        <v>1143</v>
      </c>
      <c r="B1144">
        <v>0</v>
      </c>
      <c r="C1144" t="s">
        <v>30</v>
      </c>
      <c r="D1144" t="s">
        <v>32</v>
      </c>
      <c r="E1144">
        <v>6500000</v>
      </c>
      <c r="F1144">
        <v>24100000</v>
      </c>
      <c r="G1144">
        <v>20</v>
      </c>
      <c r="H1144">
        <v>488</v>
      </c>
      <c r="I1144">
        <v>3300000</v>
      </c>
      <c r="J1144">
        <v>6000000</v>
      </c>
      <c r="K1144">
        <v>22900000</v>
      </c>
      <c r="L1144">
        <v>9700000</v>
      </c>
      <c r="M1144" t="s">
        <v>35</v>
      </c>
      <c r="N1144">
        <f t="shared" si="103"/>
        <v>0</v>
      </c>
      <c r="O1144" t="str">
        <f t="shared" si="102"/>
        <v>Low</v>
      </c>
      <c r="P1144" t="str">
        <f t="shared" si="104"/>
        <v>High</v>
      </c>
      <c r="Q1144" t="str">
        <f t="shared" si="105"/>
        <v>High Loan</v>
      </c>
      <c r="R1144">
        <f t="shared" si="106"/>
        <v>41900000</v>
      </c>
      <c r="S1144" t="str">
        <f t="shared" si="107"/>
        <v>Strong</v>
      </c>
    </row>
    <row r="1145" spans="1:19" x14ac:dyDescent="0.25">
      <c r="A1145">
        <v>1144</v>
      </c>
      <c r="B1145">
        <v>1</v>
      </c>
      <c r="C1145" t="s">
        <v>30</v>
      </c>
      <c r="D1145" t="s">
        <v>33</v>
      </c>
      <c r="E1145">
        <v>200000</v>
      </c>
      <c r="F1145">
        <v>400000</v>
      </c>
      <c r="G1145">
        <v>8</v>
      </c>
      <c r="H1145">
        <v>569</v>
      </c>
      <c r="I1145">
        <v>200000</v>
      </c>
      <c r="J1145">
        <v>200000</v>
      </c>
      <c r="K1145">
        <v>700000</v>
      </c>
      <c r="L1145">
        <v>300000</v>
      </c>
      <c r="M1145" t="s">
        <v>34</v>
      </c>
      <c r="N1145">
        <f t="shared" si="103"/>
        <v>1</v>
      </c>
      <c r="O1145" t="str">
        <f t="shared" si="102"/>
        <v>Low</v>
      </c>
      <c r="P1145" t="str">
        <f t="shared" si="104"/>
        <v>Low</v>
      </c>
      <c r="Q1145" t="str">
        <f t="shared" si="105"/>
        <v>Low Loan</v>
      </c>
      <c r="R1145">
        <f t="shared" si="106"/>
        <v>1400000</v>
      </c>
      <c r="S1145" t="str">
        <f t="shared" si="107"/>
        <v>Weak</v>
      </c>
    </row>
    <row r="1146" spans="1:19" x14ac:dyDescent="0.25">
      <c r="A1146">
        <v>1145</v>
      </c>
      <c r="B1146">
        <v>1</v>
      </c>
      <c r="C1146" t="s">
        <v>31</v>
      </c>
      <c r="D1146" t="s">
        <v>32</v>
      </c>
      <c r="E1146">
        <v>8400000</v>
      </c>
      <c r="F1146">
        <v>24600000</v>
      </c>
      <c r="G1146">
        <v>14</v>
      </c>
      <c r="H1146">
        <v>817</v>
      </c>
      <c r="I1146">
        <v>1800000</v>
      </c>
      <c r="J1146">
        <v>13100000</v>
      </c>
      <c r="K1146">
        <v>31300000</v>
      </c>
      <c r="L1146">
        <v>8200000</v>
      </c>
      <c r="M1146" t="s">
        <v>34</v>
      </c>
      <c r="N1146">
        <f t="shared" si="103"/>
        <v>1</v>
      </c>
      <c r="O1146" t="str">
        <f t="shared" si="102"/>
        <v>Excellent</v>
      </c>
      <c r="P1146" t="str">
        <f t="shared" si="104"/>
        <v>High</v>
      </c>
      <c r="Q1146" t="str">
        <f t="shared" si="105"/>
        <v>High Loan</v>
      </c>
      <c r="R1146">
        <f t="shared" si="106"/>
        <v>54400000</v>
      </c>
      <c r="S1146" t="str">
        <f t="shared" si="107"/>
        <v>Strong</v>
      </c>
    </row>
    <row r="1147" spans="1:19" x14ac:dyDescent="0.25">
      <c r="A1147">
        <v>1146</v>
      </c>
      <c r="B1147">
        <v>1</v>
      </c>
      <c r="C1147" t="s">
        <v>30</v>
      </c>
      <c r="D1147" t="s">
        <v>33</v>
      </c>
      <c r="E1147">
        <v>6100000</v>
      </c>
      <c r="F1147">
        <v>17800000</v>
      </c>
      <c r="G1147">
        <v>20</v>
      </c>
      <c r="H1147">
        <v>706</v>
      </c>
      <c r="I1147">
        <v>16000000</v>
      </c>
      <c r="J1147">
        <v>10900000</v>
      </c>
      <c r="K1147">
        <v>16900000</v>
      </c>
      <c r="L1147">
        <v>4300000</v>
      </c>
      <c r="M1147" t="s">
        <v>34</v>
      </c>
      <c r="N1147">
        <f t="shared" si="103"/>
        <v>1</v>
      </c>
      <c r="O1147" t="str">
        <f t="shared" si="102"/>
        <v>Good</v>
      </c>
      <c r="P1147" t="str">
        <f t="shared" si="104"/>
        <v>High</v>
      </c>
      <c r="Q1147" t="str">
        <f t="shared" si="105"/>
        <v>Low Loan</v>
      </c>
      <c r="R1147">
        <f t="shared" si="106"/>
        <v>48100000</v>
      </c>
      <c r="S1147" t="str">
        <f t="shared" si="107"/>
        <v>Strong</v>
      </c>
    </row>
    <row r="1148" spans="1:19" x14ac:dyDescent="0.25">
      <c r="A1148">
        <v>1147</v>
      </c>
      <c r="B1148">
        <v>2</v>
      </c>
      <c r="C1148" t="s">
        <v>30</v>
      </c>
      <c r="D1148" t="s">
        <v>33</v>
      </c>
      <c r="E1148">
        <v>8000000</v>
      </c>
      <c r="F1148">
        <v>31200000</v>
      </c>
      <c r="G1148">
        <v>8</v>
      </c>
      <c r="H1148">
        <v>553</v>
      </c>
      <c r="I1148">
        <v>6800000</v>
      </c>
      <c r="J1148">
        <v>3500000</v>
      </c>
      <c r="K1148">
        <v>21000000</v>
      </c>
      <c r="L1148">
        <v>10300000</v>
      </c>
      <c r="M1148" t="s">
        <v>34</v>
      </c>
      <c r="N1148">
        <f t="shared" si="103"/>
        <v>1</v>
      </c>
      <c r="O1148" t="str">
        <f t="shared" si="102"/>
        <v>Low</v>
      </c>
      <c r="P1148" t="str">
        <f t="shared" si="104"/>
        <v>High</v>
      </c>
      <c r="Q1148" t="str">
        <f t="shared" si="105"/>
        <v>High Loan</v>
      </c>
      <c r="R1148">
        <f t="shared" si="106"/>
        <v>41600000</v>
      </c>
      <c r="S1148" t="str">
        <f t="shared" si="107"/>
        <v>Strong</v>
      </c>
    </row>
    <row r="1149" spans="1:19" x14ac:dyDescent="0.25">
      <c r="A1149">
        <v>1148</v>
      </c>
      <c r="B1149">
        <v>5</v>
      </c>
      <c r="C1149" t="s">
        <v>31</v>
      </c>
      <c r="D1149" t="s">
        <v>33</v>
      </c>
      <c r="E1149">
        <v>900000</v>
      </c>
      <c r="F1149">
        <v>1800000</v>
      </c>
      <c r="G1149">
        <v>14</v>
      </c>
      <c r="H1149">
        <v>464</v>
      </c>
      <c r="I1149">
        <v>2300000</v>
      </c>
      <c r="J1149">
        <v>300000</v>
      </c>
      <c r="K1149">
        <v>1800000</v>
      </c>
      <c r="L1149">
        <v>700000</v>
      </c>
      <c r="M1149" t="s">
        <v>35</v>
      </c>
      <c r="N1149">
        <f t="shared" si="103"/>
        <v>0</v>
      </c>
      <c r="O1149" t="str">
        <f t="shared" si="102"/>
        <v>Low</v>
      </c>
      <c r="P1149" t="str">
        <f t="shared" si="104"/>
        <v>High</v>
      </c>
      <c r="Q1149" t="str">
        <f t="shared" si="105"/>
        <v>Low Loan</v>
      </c>
      <c r="R1149">
        <f t="shared" si="106"/>
        <v>5100000</v>
      </c>
      <c r="S1149" t="str">
        <f t="shared" si="107"/>
        <v>Moderate</v>
      </c>
    </row>
    <row r="1150" spans="1:19" x14ac:dyDescent="0.25">
      <c r="A1150">
        <v>1149</v>
      </c>
      <c r="B1150">
        <v>2</v>
      </c>
      <c r="C1150" t="s">
        <v>30</v>
      </c>
      <c r="D1150" t="s">
        <v>32</v>
      </c>
      <c r="E1150">
        <v>7300000</v>
      </c>
      <c r="F1150">
        <v>20000000</v>
      </c>
      <c r="G1150">
        <v>6</v>
      </c>
      <c r="H1150">
        <v>729</v>
      </c>
      <c r="I1150">
        <v>13100000</v>
      </c>
      <c r="J1150">
        <v>10700000</v>
      </c>
      <c r="K1150">
        <v>17900000</v>
      </c>
      <c r="L1150">
        <v>9100000</v>
      </c>
      <c r="M1150" t="s">
        <v>34</v>
      </c>
      <c r="N1150">
        <f t="shared" si="103"/>
        <v>1</v>
      </c>
      <c r="O1150" t="str">
        <f t="shared" si="102"/>
        <v>Good</v>
      </c>
      <c r="P1150" t="str">
        <f t="shared" si="104"/>
        <v>High</v>
      </c>
      <c r="Q1150" t="str">
        <f t="shared" si="105"/>
        <v>High Loan</v>
      </c>
      <c r="R1150">
        <f t="shared" si="106"/>
        <v>50800000</v>
      </c>
      <c r="S1150" t="str">
        <f t="shared" si="107"/>
        <v>Strong</v>
      </c>
    </row>
    <row r="1151" spans="1:19" x14ac:dyDescent="0.25">
      <c r="A1151">
        <v>1150</v>
      </c>
      <c r="B1151">
        <v>4</v>
      </c>
      <c r="C1151" t="s">
        <v>31</v>
      </c>
      <c r="D1151" t="s">
        <v>33</v>
      </c>
      <c r="E1151">
        <v>3700000</v>
      </c>
      <c r="F1151">
        <v>7400000</v>
      </c>
      <c r="G1151">
        <v>12</v>
      </c>
      <c r="H1151">
        <v>363</v>
      </c>
      <c r="I1151">
        <v>4800000</v>
      </c>
      <c r="J1151">
        <v>6800000</v>
      </c>
      <c r="K1151">
        <v>10500000</v>
      </c>
      <c r="L1151">
        <v>4400000</v>
      </c>
      <c r="M1151" t="s">
        <v>35</v>
      </c>
      <c r="N1151">
        <f t="shared" si="103"/>
        <v>0</v>
      </c>
      <c r="O1151" t="str">
        <f t="shared" si="102"/>
        <v>Low</v>
      </c>
      <c r="P1151" t="str">
        <f t="shared" si="104"/>
        <v>High</v>
      </c>
      <c r="Q1151" t="str">
        <f t="shared" si="105"/>
        <v>Low Loan</v>
      </c>
      <c r="R1151">
        <f t="shared" si="106"/>
        <v>26500000</v>
      </c>
      <c r="S1151" t="str">
        <f t="shared" si="107"/>
        <v>Strong</v>
      </c>
    </row>
    <row r="1152" spans="1:19" x14ac:dyDescent="0.25">
      <c r="A1152">
        <v>1151</v>
      </c>
      <c r="B1152">
        <v>2</v>
      </c>
      <c r="C1152" t="s">
        <v>30</v>
      </c>
      <c r="D1152" t="s">
        <v>32</v>
      </c>
      <c r="E1152">
        <v>5200000</v>
      </c>
      <c r="F1152">
        <v>17200000</v>
      </c>
      <c r="G1152">
        <v>12</v>
      </c>
      <c r="H1152">
        <v>565</v>
      </c>
      <c r="I1152">
        <v>3500000</v>
      </c>
      <c r="J1152">
        <v>1300000</v>
      </c>
      <c r="K1152">
        <v>20000000</v>
      </c>
      <c r="L1152">
        <v>6300000</v>
      </c>
      <c r="M1152" t="s">
        <v>34</v>
      </c>
      <c r="N1152">
        <f t="shared" si="103"/>
        <v>1</v>
      </c>
      <c r="O1152" t="str">
        <f t="shared" si="102"/>
        <v>Low</v>
      </c>
      <c r="P1152" t="str">
        <f t="shared" si="104"/>
        <v>High</v>
      </c>
      <c r="Q1152" t="str">
        <f t="shared" si="105"/>
        <v>Low Loan</v>
      </c>
      <c r="R1152">
        <f t="shared" si="106"/>
        <v>31100000</v>
      </c>
      <c r="S1152" t="str">
        <f t="shared" si="107"/>
        <v>Strong</v>
      </c>
    </row>
    <row r="1153" spans="1:19" x14ac:dyDescent="0.25">
      <c r="A1153">
        <v>1152</v>
      </c>
      <c r="B1153">
        <v>1</v>
      </c>
      <c r="C1153" t="s">
        <v>30</v>
      </c>
      <c r="D1153" t="s">
        <v>32</v>
      </c>
      <c r="E1153">
        <v>7200000</v>
      </c>
      <c r="F1153">
        <v>21000000</v>
      </c>
      <c r="G1153">
        <v>14</v>
      </c>
      <c r="H1153">
        <v>421</v>
      </c>
      <c r="I1153">
        <v>3500000</v>
      </c>
      <c r="J1153">
        <v>11600000</v>
      </c>
      <c r="K1153">
        <v>21800000</v>
      </c>
      <c r="L1153">
        <v>4600000</v>
      </c>
      <c r="M1153" t="s">
        <v>35</v>
      </c>
      <c r="N1153">
        <f t="shared" si="103"/>
        <v>0</v>
      </c>
      <c r="O1153" t="str">
        <f t="shared" si="102"/>
        <v>Low</v>
      </c>
      <c r="P1153" t="str">
        <f t="shared" si="104"/>
        <v>High</v>
      </c>
      <c r="Q1153" t="str">
        <f t="shared" si="105"/>
        <v>High Loan</v>
      </c>
      <c r="R1153">
        <f t="shared" si="106"/>
        <v>41500000</v>
      </c>
      <c r="S1153" t="str">
        <f t="shared" si="107"/>
        <v>Strong</v>
      </c>
    </row>
    <row r="1154" spans="1:19" x14ac:dyDescent="0.25">
      <c r="A1154">
        <v>1153</v>
      </c>
      <c r="B1154">
        <v>0</v>
      </c>
      <c r="C1154" t="s">
        <v>31</v>
      </c>
      <c r="D1154" t="s">
        <v>33</v>
      </c>
      <c r="E1154">
        <v>9400000</v>
      </c>
      <c r="F1154">
        <v>34200000</v>
      </c>
      <c r="G1154">
        <v>10</v>
      </c>
      <c r="H1154">
        <v>512</v>
      </c>
      <c r="I1154">
        <v>13100000</v>
      </c>
      <c r="J1154">
        <v>15600000</v>
      </c>
      <c r="K1154">
        <v>32600000</v>
      </c>
      <c r="L1154">
        <v>6300000</v>
      </c>
      <c r="M1154" t="s">
        <v>35</v>
      </c>
      <c r="N1154">
        <f t="shared" si="103"/>
        <v>0</v>
      </c>
      <c r="O1154" t="str">
        <f t="shared" ref="O1154:O1217" si="108">IF(H1154&lt;650,"Low",
 IF(H1154&lt;700,"Medium",
 IF(H1154&lt;750,"Good","Excellent")))</f>
        <v>Low</v>
      </c>
      <c r="P1154" t="str">
        <f t="shared" si="104"/>
        <v>High</v>
      </c>
      <c r="Q1154" t="str">
        <f t="shared" si="105"/>
        <v>High Loan</v>
      </c>
      <c r="R1154">
        <f t="shared" si="106"/>
        <v>67600000</v>
      </c>
      <c r="S1154" t="str">
        <f t="shared" si="107"/>
        <v>Strong</v>
      </c>
    </row>
    <row r="1155" spans="1:19" x14ac:dyDescent="0.25">
      <c r="A1155">
        <v>1154</v>
      </c>
      <c r="B1155">
        <v>3</v>
      </c>
      <c r="C1155" t="s">
        <v>31</v>
      </c>
      <c r="D1155" t="s">
        <v>33</v>
      </c>
      <c r="E1155">
        <v>3400000</v>
      </c>
      <c r="F1155">
        <v>12400000</v>
      </c>
      <c r="G1155">
        <v>2</v>
      </c>
      <c r="H1155">
        <v>730</v>
      </c>
      <c r="I1155">
        <v>2500000</v>
      </c>
      <c r="J1155">
        <v>3900000</v>
      </c>
      <c r="K1155">
        <v>12200000</v>
      </c>
      <c r="L1155">
        <v>4600000</v>
      </c>
      <c r="M1155" t="s">
        <v>34</v>
      </c>
      <c r="N1155">
        <f t="shared" ref="N1155:N1218" si="109">IF(TRIM(CLEAN(M1155))="Approved",1,0)</f>
        <v>1</v>
      </c>
      <c r="O1155" t="str">
        <f t="shared" si="108"/>
        <v>Good</v>
      </c>
      <c r="P1155" t="str">
        <f t="shared" ref="P1155:P1218" si="110">IF(E1155&lt;300000,"Low",
 IF(E1155&lt;700000,"Middle","High"))</f>
        <v>High</v>
      </c>
      <c r="Q1155" t="str">
        <f t="shared" ref="Q1155:Q1218" si="111">IF(F1155&lt;20000000,"Low Loan","High Loan")</f>
        <v>Low Loan</v>
      </c>
      <c r="R1155">
        <f t="shared" ref="R1155:R1218" si="112">I1155+J1155+K1155+L1155</f>
        <v>23200000</v>
      </c>
      <c r="S1155" t="str">
        <f t="shared" ref="S1155:S1218" si="113">IF(R1155&lt;5000000,"Weak",
 IF(R1155&lt;10000000,"Moderate","Strong"))</f>
        <v>Strong</v>
      </c>
    </row>
    <row r="1156" spans="1:19" x14ac:dyDescent="0.25">
      <c r="A1156">
        <v>1155</v>
      </c>
      <c r="B1156">
        <v>0</v>
      </c>
      <c r="C1156" t="s">
        <v>30</v>
      </c>
      <c r="D1156" t="s">
        <v>32</v>
      </c>
      <c r="E1156">
        <v>600000</v>
      </c>
      <c r="F1156">
        <v>2300000</v>
      </c>
      <c r="G1156">
        <v>8</v>
      </c>
      <c r="H1156">
        <v>627</v>
      </c>
      <c r="I1156">
        <v>1800000</v>
      </c>
      <c r="J1156">
        <v>500000</v>
      </c>
      <c r="K1156">
        <v>2200000</v>
      </c>
      <c r="L1156">
        <v>300000</v>
      </c>
      <c r="M1156" t="s">
        <v>34</v>
      </c>
      <c r="N1156">
        <f t="shared" si="109"/>
        <v>1</v>
      </c>
      <c r="O1156" t="str">
        <f t="shared" si="108"/>
        <v>Low</v>
      </c>
      <c r="P1156" t="str">
        <f t="shared" si="110"/>
        <v>Middle</v>
      </c>
      <c r="Q1156" t="str">
        <f t="shared" si="111"/>
        <v>Low Loan</v>
      </c>
      <c r="R1156">
        <f t="shared" si="112"/>
        <v>4800000</v>
      </c>
      <c r="S1156" t="str">
        <f t="shared" si="113"/>
        <v>Weak</v>
      </c>
    </row>
    <row r="1157" spans="1:19" x14ac:dyDescent="0.25">
      <c r="A1157">
        <v>1156</v>
      </c>
      <c r="B1157">
        <v>0</v>
      </c>
      <c r="C1157" t="s">
        <v>31</v>
      </c>
      <c r="D1157" t="s">
        <v>33</v>
      </c>
      <c r="E1157">
        <v>3300000</v>
      </c>
      <c r="F1157">
        <v>10000000</v>
      </c>
      <c r="G1157">
        <v>16</v>
      </c>
      <c r="H1157">
        <v>434</v>
      </c>
      <c r="I1157">
        <v>3000000</v>
      </c>
      <c r="J1157">
        <v>4100000</v>
      </c>
      <c r="K1157">
        <v>12900000</v>
      </c>
      <c r="L1157">
        <v>4100000</v>
      </c>
      <c r="M1157" t="s">
        <v>35</v>
      </c>
      <c r="N1157">
        <f t="shared" si="109"/>
        <v>0</v>
      </c>
      <c r="O1157" t="str">
        <f t="shared" si="108"/>
        <v>Low</v>
      </c>
      <c r="P1157" t="str">
        <f t="shared" si="110"/>
        <v>High</v>
      </c>
      <c r="Q1157" t="str">
        <f t="shared" si="111"/>
        <v>Low Loan</v>
      </c>
      <c r="R1157">
        <f t="shared" si="112"/>
        <v>24100000</v>
      </c>
      <c r="S1157" t="str">
        <f t="shared" si="113"/>
        <v>Strong</v>
      </c>
    </row>
    <row r="1158" spans="1:19" x14ac:dyDescent="0.25">
      <c r="A1158">
        <v>1157</v>
      </c>
      <c r="B1158">
        <v>2</v>
      </c>
      <c r="C1158" t="s">
        <v>30</v>
      </c>
      <c r="D1158" t="s">
        <v>33</v>
      </c>
      <c r="E1158">
        <v>5900000</v>
      </c>
      <c r="F1158">
        <v>14300000</v>
      </c>
      <c r="G1158">
        <v>2</v>
      </c>
      <c r="H1158">
        <v>410</v>
      </c>
      <c r="I1158">
        <v>11900000</v>
      </c>
      <c r="J1158">
        <v>4400000</v>
      </c>
      <c r="K1158">
        <v>16900000</v>
      </c>
      <c r="L1158">
        <v>4100000</v>
      </c>
      <c r="M1158" t="s">
        <v>35</v>
      </c>
      <c r="N1158">
        <f t="shared" si="109"/>
        <v>0</v>
      </c>
      <c r="O1158" t="str">
        <f t="shared" si="108"/>
        <v>Low</v>
      </c>
      <c r="P1158" t="str">
        <f t="shared" si="110"/>
        <v>High</v>
      </c>
      <c r="Q1158" t="str">
        <f t="shared" si="111"/>
        <v>Low Loan</v>
      </c>
      <c r="R1158">
        <f t="shared" si="112"/>
        <v>37300000</v>
      </c>
      <c r="S1158" t="str">
        <f t="shared" si="113"/>
        <v>Strong</v>
      </c>
    </row>
    <row r="1159" spans="1:19" x14ac:dyDescent="0.25">
      <c r="A1159">
        <v>1158</v>
      </c>
      <c r="B1159">
        <v>3</v>
      </c>
      <c r="C1159" t="s">
        <v>31</v>
      </c>
      <c r="D1159" t="s">
        <v>32</v>
      </c>
      <c r="E1159">
        <v>1300000</v>
      </c>
      <c r="F1159">
        <v>3600000</v>
      </c>
      <c r="G1159">
        <v>16</v>
      </c>
      <c r="H1159">
        <v>624</v>
      </c>
      <c r="I1159">
        <v>2400000</v>
      </c>
      <c r="J1159">
        <v>2300000</v>
      </c>
      <c r="K1159">
        <v>3300000</v>
      </c>
      <c r="L1159">
        <v>1900000</v>
      </c>
      <c r="M1159" t="s">
        <v>34</v>
      </c>
      <c r="N1159">
        <f t="shared" si="109"/>
        <v>1</v>
      </c>
      <c r="O1159" t="str">
        <f t="shared" si="108"/>
        <v>Low</v>
      </c>
      <c r="P1159" t="str">
        <f t="shared" si="110"/>
        <v>High</v>
      </c>
      <c r="Q1159" t="str">
        <f t="shared" si="111"/>
        <v>Low Loan</v>
      </c>
      <c r="R1159">
        <f t="shared" si="112"/>
        <v>9900000</v>
      </c>
      <c r="S1159" t="str">
        <f t="shared" si="113"/>
        <v>Moderate</v>
      </c>
    </row>
    <row r="1160" spans="1:19" x14ac:dyDescent="0.25">
      <c r="A1160">
        <v>1159</v>
      </c>
      <c r="B1160">
        <v>4</v>
      </c>
      <c r="C1160" t="s">
        <v>30</v>
      </c>
      <c r="D1160" t="s">
        <v>33</v>
      </c>
      <c r="E1160">
        <v>5700000</v>
      </c>
      <c r="F1160">
        <v>16900000</v>
      </c>
      <c r="G1160">
        <v>4</v>
      </c>
      <c r="H1160">
        <v>656</v>
      </c>
      <c r="I1160">
        <v>13000000</v>
      </c>
      <c r="J1160">
        <v>7400000</v>
      </c>
      <c r="K1160">
        <v>22000000</v>
      </c>
      <c r="L1160">
        <v>8400000</v>
      </c>
      <c r="M1160" t="s">
        <v>34</v>
      </c>
      <c r="N1160">
        <f t="shared" si="109"/>
        <v>1</v>
      </c>
      <c r="O1160" t="str">
        <f t="shared" si="108"/>
        <v>Medium</v>
      </c>
      <c r="P1160" t="str">
        <f t="shared" si="110"/>
        <v>High</v>
      </c>
      <c r="Q1160" t="str">
        <f t="shared" si="111"/>
        <v>Low Loan</v>
      </c>
      <c r="R1160">
        <f t="shared" si="112"/>
        <v>50800000</v>
      </c>
      <c r="S1160" t="str">
        <f t="shared" si="113"/>
        <v>Strong</v>
      </c>
    </row>
    <row r="1161" spans="1:19" x14ac:dyDescent="0.25">
      <c r="A1161">
        <v>1160</v>
      </c>
      <c r="B1161">
        <v>2</v>
      </c>
      <c r="C1161" t="s">
        <v>31</v>
      </c>
      <c r="D1161" t="s">
        <v>32</v>
      </c>
      <c r="E1161">
        <v>7700000</v>
      </c>
      <c r="F1161">
        <v>27300000</v>
      </c>
      <c r="G1161">
        <v>16</v>
      </c>
      <c r="H1161">
        <v>758</v>
      </c>
      <c r="I1161">
        <v>7300000</v>
      </c>
      <c r="J1161">
        <v>4600000</v>
      </c>
      <c r="K1161">
        <v>24800000</v>
      </c>
      <c r="L1161">
        <v>9100000</v>
      </c>
      <c r="M1161" t="s">
        <v>34</v>
      </c>
      <c r="N1161">
        <f t="shared" si="109"/>
        <v>1</v>
      </c>
      <c r="O1161" t="str">
        <f t="shared" si="108"/>
        <v>Excellent</v>
      </c>
      <c r="P1161" t="str">
        <f t="shared" si="110"/>
        <v>High</v>
      </c>
      <c r="Q1161" t="str">
        <f t="shared" si="111"/>
        <v>High Loan</v>
      </c>
      <c r="R1161">
        <f t="shared" si="112"/>
        <v>45800000</v>
      </c>
      <c r="S1161" t="str">
        <f t="shared" si="113"/>
        <v>Strong</v>
      </c>
    </row>
    <row r="1162" spans="1:19" x14ac:dyDescent="0.25">
      <c r="A1162">
        <v>1161</v>
      </c>
      <c r="B1162">
        <v>4</v>
      </c>
      <c r="C1162" t="s">
        <v>31</v>
      </c>
      <c r="D1162" t="s">
        <v>33</v>
      </c>
      <c r="E1162">
        <v>7000000</v>
      </c>
      <c r="F1162">
        <v>23500000</v>
      </c>
      <c r="G1162">
        <v>18</v>
      </c>
      <c r="H1162">
        <v>336</v>
      </c>
      <c r="I1162">
        <v>15000000</v>
      </c>
      <c r="J1162">
        <v>9500000</v>
      </c>
      <c r="K1162">
        <v>19700000</v>
      </c>
      <c r="L1162">
        <v>7800000</v>
      </c>
      <c r="M1162" t="s">
        <v>35</v>
      </c>
      <c r="N1162">
        <f t="shared" si="109"/>
        <v>0</v>
      </c>
      <c r="O1162" t="str">
        <f t="shared" si="108"/>
        <v>Low</v>
      </c>
      <c r="P1162" t="str">
        <f t="shared" si="110"/>
        <v>High</v>
      </c>
      <c r="Q1162" t="str">
        <f t="shared" si="111"/>
        <v>High Loan</v>
      </c>
      <c r="R1162">
        <f t="shared" si="112"/>
        <v>52000000</v>
      </c>
      <c r="S1162" t="str">
        <f t="shared" si="113"/>
        <v>Strong</v>
      </c>
    </row>
    <row r="1163" spans="1:19" x14ac:dyDescent="0.25">
      <c r="A1163">
        <v>1162</v>
      </c>
      <c r="B1163">
        <v>5</v>
      </c>
      <c r="C1163" t="s">
        <v>30</v>
      </c>
      <c r="D1163" t="s">
        <v>32</v>
      </c>
      <c r="E1163">
        <v>8100000</v>
      </c>
      <c r="F1163">
        <v>21900000</v>
      </c>
      <c r="G1163">
        <v>18</v>
      </c>
      <c r="H1163">
        <v>378</v>
      </c>
      <c r="I1163">
        <v>5200000</v>
      </c>
      <c r="J1163">
        <v>3400000</v>
      </c>
      <c r="K1163">
        <v>16200000</v>
      </c>
      <c r="L1163">
        <v>9600000</v>
      </c>
      <c r="M1163" t="s">
        <v>35</v>
      </c>
      <c r="N1163">
        <f t="shared" si="109"/>
        <v>0</v>
      </c>
      <c r="O1163" t="str">
        <f t="shared" si="108"/>
        <v>Low</v>
      </c>
      <c r="P1163" t="str">
        <f t="shared" si="110"/>
        <v>High</v>
      </c>
      <c r="Q1163" t="str">
        <f t="shared" si="111"/>
        <v>High Loan</v>
      </c>
      <c r="R1163">
        <f t="shared" si="112"/>
        <v>34400000</v>
      </c>
      <c r="S1163" t="str">
        <f t="shared" si="113"/>
        <v>Strong</v>
      </c>
    </row>
    <row r="1164" spans="1:19" x14ac:dyDescent="0.25">
      <c r="A1164">
        <v>1163</v>
      </c>
      <c r="B1164">
        <v>1</v>
      </c>
      <c r="C1164" t="s">
        <v>30</v>
      </c>
      <c r="D1164" t="s">
        <v>33</v>
      </c>
      <c r="E1164">
        <v>1900000</v>
      </c>
      <c r="F1164">
        <v>4200000</v>
      </c>
      <c r="G1164">
        <v>4</v>
      </c>
      <c r="H1164">
        <v>620</v>
      </c>
      <c r="I1164">
        <v>4700000</v>
      </c>
      <c r="J1164">
        <v>2800000</v>
      </c>
      <c r="K1164">
        <v>7500000</v>
      </c>
      <c r="L1164">
        <v>900000</v>
      </c>
      <c r="M1164" t="s">
        <v>34</v>
      </c>
      <c r="N1164">
        <f t="shared" si="109"/>
        <v>1</v>
      </c>
      <c r="O1164" t="str">
        <f t="shared" si="108"/>
        <v>Low</v>
      </c>
      <c r="P1164" t="str">
        <f t="shared" si="110"/>
        <v>High</v>
      </c>
      <c r="Q1164" t="str">
        <f t="shared" si="111"/>
        <v>Low Loan</v>
      </c>
      <c r="R1164">
        <f t="shared" si="112"/>
        <v>15900000</v>
      </c>
      <c r="S1164" t="str">
        <f t="shared" si="113"/>
        <v>Strong</v>
      </c>
    </row>
    <row r="1165" spans="1:19" x14ac:dyDescent="0.25">
      <c r="A1165">
        <v>1164</v>
      </c>
      <c r="B1165">
        <v>2</v>
      </c>
      <c r="C1165" t="s">
        <v>30</v>
      </c>
      <c r="D1165" t="s">
        <v>32</v>
      </c>
      <c r="E1165">
        <v>4500000</v>
      </c>
      <c r="F1165">
        <v>9100000</v>
      </c>
      <c r="G1165">
        <v>18</v>
      </c>
      <c r="H1165">
        <v>593</v>
      </c>
      <c r="I1165">
        <v>-100000</v>
      </c>
      <c r="J1165">
        <v>600000</v>
      </c>
      <c r="K1165">
        <v>12400000</v>
      </c>
      <c r="L1165">
        <v>2500000</v>
      </c>
      <c r="M1165" t="s">
        <v>34</v>
      </c>
      <c r="N1165">
        <f t="shared" si="109"/>
        <v>1</v>
      </c>
      <c r="O1165" t="str">
        <f t="shared" si="108"/>
        <v>Low</v>
      </c>
      <c r="P1165" t="str">
        <f t="shared" si="110"/>
        <v>High</v>
      </c>
      <c r="Q1165" t="str">
        <f t="shared" si="111"/>
        <v>Low Loan</v>
      </c>
      <c r="R1165">
        <f t="shared" si="112"/>
        <v>15400000</v>
      </c>
      <c r="S1165" t="str">
        <f t="shared" si="113"/>
        <v>Strong</v>
      </c>
    </row>
    <row r="1166" spans="1:19" x14ac:dyDescent="0.25">
      <c r="A1166">
        <v>1165</v>
      </c>
      <c r="B1166">
        <v>0</v>
      </c>
      <c r="C1166" t="s">
        <v>31</v>
      </c>
      <c r="D1166" t="s">
        <v>33</v>
      </c>
      <c r="E1166">
        <v>9600000</v>
      </c>
      <c r="F1166">
        <v>34000000</v>
      </c>
      <c r="G1166">
        <v>12</v>
      </c>
      <c r="H1166">
        <v>710</v>
      </c>
      <c r="I1166">
        <v>23800000</v>
      </c>
      <c r="J1166">
        <v>10300000</v>
      </c>
      <c r="K1166">
        <v>38100000</v>
      </c>
      <c r="L1166">
        <v>7800000</v>
      </c>
      <c r="M1166" t="s">
        <v>34</v>
      </c>
      <c r="N1166">
        <f t="shared" si="109"/>
        <v>1</v>
      </c>
      <c r="O1166" t="str">
        <f t="shared" si="108"/>
        <v>Good</v>
      </c>
      <c r="P1166" t="str">
        <f t="shared" si="110"/>
        <v>High</v>
      </c>
      <c r="Q1166" t="str">
        <f t="shared" si="111"/>
        <v>High Loan</v>
      </c>
      <c r="R1166">
        <f t="shared" si="112"/>
        <v>80000000</v>
      </c>
      <c r="S1166" t="str">
        <f t="shared" si="113"/>
        <v>Strong</v>
      </c>
    </row>
    <row r="1167" spans="1:19" x14ac:dyDescent="0.25">
      <c r="A1167">
        <v>1166</v>
      </c>
      <c r="B1167">
        <v>1</v>
      </c>
      <c r="C1167" t="s">
        <v>31</v>
      </c>
      <c r="D1167" t="s">
        <v>33</v>
      </c>
      <c r="E1167">
        <v>5400000</v>
      </c>
      <c r="F1167">
        <v>20700000</v>
      </c>
      <c r="G1167">
        <v>8</v>
      </c>
      <c r="H1167">
        <v>753</v>
      </c>
      <c r="I1167">
        <v>1900000</v>
      </c>
      <c r="J1167">
        <v>800000</v>
      </c>
      <c r="K1167">
        <v>19000000</v>
      </c>
      <c r="L1167">
        <v>3600000</v>
      </c>
      <c r="M1167" t="s">
        <v>34</v>
      </c>
      <c r="N1167">
        <f t="shared" si="109"/>
        <v>1</v>
      </c>
      <c r="O1167" t="str">
        <f t="shared" si="108"/>
        <v>Excellent</v>
      </c>
      <c r="P1167" t="str">
        <f t="shared" si="110"/>
        <v>High</v>
      </c>
      <c r="Q1167" t="str">
        <f t="shared" si="111"/>
        <v>High Loan</v>
      </c>
      <c r="R1167">
        <f t="shared" si="112"/>
        <v>25300000</v>
      </c>
      <c r="S1167" t="str">
        <f t="shared" si="113"/>
        <v>Strong</v>
      </c>
    </row>
    <row r="1168" spans="1:19" x14ac:dyDescent="0.25">
      <c r="A1168">
        <v>1167</v>
      </c>
      <c r="B1168">
        <v>1</v>
      </c>
      <c r="C1168" t="s">
        <v>31</v>
      </c>
      <c r="D1168" t="s">
        <v>33</v>
      </c>
      <c r="E1168">
        <v>7800000</v>
      </c>
      <c r="F1168">
        <v>27200000</v>
      </c>
      <c r="G1168">
        <v>16</v>
      </c>
      <c r="H1168">
        <v>454</v>
      </c>
      <c r="I1168">
        <v>16100000</v>
      </c>
      <c r="J1168">
        <v>3400000</v>
      </c>
      <c r="K1168">
        <v>17100000</v>
      </c>
      <c r="L1168">
        <v>11400000</v>
      </c>
      <c r="M1168" t="s">
        <v>35</v>
      </c>
      <c r="N1168">
        <f t="shared" si="109"/>
        <v>0</v>
      </c>
      <c r="O1168" t="str">
        <f t="shared" si="108"/>
        <v>Low</v>
      </c>
      <c r="P1168" t="str">
        <f t="shared" si="110"/>
        <v>High</v>
      </c>
      <c r="Q1168" t="str">
        <f t="shared" si="111"/>
        <v>High Loan</v>
      </c>
      <c r="R1168">
        <f t="shared" si="112"/>
        <v>48000000</v>
      </c>
      <c r="S1168" t="str">
        <f t="shared" si="113"/>
        <v>Strong</v>
      </c>
    </row>
    <row r="1169" spans="1:19" x14ac:dyDescent="0.25">
      <c r="A1169">
        <v>1168</v>
      </c>
      <c r="B1169">
        <v>1</v>
      </c>
      <c r="C1169" t="s">
        <v>30</v>
      </c>
      <c r="D1169" t="s">
        <v>33</v>
      </c>
      <c r="E1169">
        <v>8200000</v>
      </c>
      <c r="F1169">
        <v>19100000</v>
      </c>
      <c r="G1169">
        <v>8</v>
      </c>
      <c r="H1169">
        <v>619</v>
      </c>
      <c r="I1169">
        <v>17200000</v>
      </c>
      <c r="J1169">
        <v>12200000</v>
      </c>
      <c r="K1169">
        <v>31500000</v>
      </c>
      <c r="L1169">
        <v>6600000</v>
      </c>
      <c r="M1169" t="s">
        <v>34</v>
      </c>
      <c r="N1169">
        <f t="shared" si="109"/>
        <v>1</v>
      </c>
      <c r="O1169" t="str">
        <f t="shared" si="108"/>
        <v>Low</v>
      </c>
      <c r="P1169" t="str">
        <f t="shared" si="110"/>
        <v>High</v>
      </c>
      <c r="Q1169" t="str">
        <f t="shared" si="111"/>
        <v>Low Loan</v>
      </c>
      <c r="R1169">
        <f t="shared" si="112"/>
        <v>67500000</v>
      </c>
      <c r="S1169" t="str">
        <f t="shared" si="113"/>
        <v>Strong</v>
      </c>
    </row>
    <row r="1170" spans="1:19" x14ac:dyDescent="0.25">
      <c r="A1170">
        <v>1169</v>
      </c>
      <c r="B1170">
        <v>2</v>
      </c>
      <c r="C1170" t="s">
        <v>30</v>
      </c>
      <c r="D1170" t="s">
        <v>32</v>
      </c>
      <c r="E1170">
        <v>8900000</v>
      </c>
      <c r="F1170">
        <v>28500000</v>
      </c>
      <c r="G1170">
        <v>6</v>
      </c>
      <c r="H1170">
        <v>367</v>
      </c>
      <c r="I1170">
        <v>22200000</v>
      </c>
      <c r="J1170">
        <v>16600000</v>
      </c>
      <c r="K1170">
        <v>21500000</v>
      </c>
      <c r="L1170">
        <v>9300000</v>
      </c>
      <c r="M1170" t="s">
        <v>35</v>
      </c>
      <c r="N1170">
        <f t="shared" si="109"/>
        <v>0</v>
      </c>
      <c r="O1170" t="str">
        <f t="shared" si="108"/>
        <v>Low</v>
      </c>
      <c r="P1170" t="str">
        <f t="shared" si="110"/>
        <v>High</v>
      </c>
      <c r="Q1170" t="str">
        <f t="shared" si="111"/>
        <v>High Loan</v>
      </c>
      <c r="R1170">
        <f t="shared" si="112"/>
        <v>69600000</v>
      </c>
      <c r="S1170" t="str">
        <f t="shared" si="113"/>
        <v>Strong</v>
      </c>
    </row>
    <row r="1171" spans="1:19" x14ac:dyDescent="0.25">
      <c r="A1171">
        <v>1170</v>
      </c>
      <c r="B1171">
        <v>1</v>
      </c>
      <c r="C1171" t="s">
        <v>30</v>
      </c>
      <c r="D1171" t="s">
        <v>32</v>
      </c>
      <c r="E1171">
        <v>1400000</v>
      </c>
      <c r="F1171">
        <v>3100000</v>
      </c>
      <c r="G1171">
        <v>20</v>
      </c>
      <c r="H1171">
        <v>384</v>
      </c>
      <c r="I1171">
        <v>200000</v>
      </c>
      <c r="J1171">
        <v>1200000</v>
      </c>
      <c r="K1171">
        <v>4200000</v>
      </c>
      <c r="L1171">
        <v>1800000</v>
      </c>
      <c r="M1171" t="s">
        <v>35</v>
      </c>
      <c r="N1171">
        <f t="shared" si="109"/>
        <v>0</v>
      </c>
      <c r="O1171" t="str">
        <f t="shared" si="108"/>
        <v>Low</v>
      </c>
      <c r="P1171" t="str">
        <f t="shared" si="110"/>
        <v>High</v>
      </c>
      <c r="Q1171" t="str">
        <f t="shared" si="111"/>
        <v>Low Loan</v>
      </c>
      <c r="R1171">
        <f t="shared" si="112"/>
        <v>7400000</v>
      </c>
      <c r="S1171" t="str">
        <f t="shared" si="113"/>
        <v>Moderate</v>
      </c>
    </row>
    <row r="1172" spans="1:19" x14ac:dyDescent="0.25">
      <c r="A1172">
        <v>1171</v>
      </c>
      <c r="B1172">
        <v>2</v>
      </c>
      <c r="C1172" t="s">
        <v>30</v>
      </c>
      <c r="D1172" t="s">
        <v>32</v>
      </c>
      <c r="E1172">
        <v>1700000</v>
      </c>
      <c r="F1172">
        <v>5900000</v>
      </c>
      <c r="G1172">
        <v>16</v>
      </c>
      <c r="H1172">
        <v>610</v>
      </c>
      <c r="I1172">
        <v>3100000</v>
      </c>
      <c r="J1172">
        <v>300000</v>
      </c>
      <c r="K1172">
        <v>3700000</v>
      </c>
      <c r="L1172">
        <v>1300000</v>
      </c>
      <c r="M1172" t="s">
        <v>34</v>
      </c>
      <c r="N1172">
        <f t="shared" si="109"/>
        <v>1</v>
      </c>
      <c r="O1172" t="str">
        <f t="shared" si="108"/>
        <v>Low</v>
      </c>
      <c r="P1172" t="str">
        <f t="shared" si="110"/>
        <v>High</v>
      </c>
      <c r="Q1172" t="str">
        <f t="shared" si="111"/>
        <v>Low Loan</v>
      </c>
      <c r="R1172">
        <f t="shared" si="112"/>
        <v>8400000</v>
      </c>
      <c r="S1172" t="str">
        <f t="shared" si="113"/>
        <v>Moderate</v>
      </c>
    </row>
    <row r="1173" spans="1:19" x14ac:dyDescent="0.25">
      <c r="A1173">
        <v>1172</v>
      </c>
      <c r="B1173">
        <v>0</v>
      </c>
      <c r="C1173" t="s">
        <v>30</v>
      </c>
      <c r="D1173" t="s">
        <v>32</v>
      </c>
      <c r="E1173">
        <v>5300000</v>
      </c>
      <c r="F1173">
        <v>19500000</v>
      </c>
      <c r="G1173">
        <v>12</v>
      </c>
      <c r="H1173">
        <v>802</v>
      </c>
      <c r="I1173">
        <v>9800000</v>
      </c>
      <c r="J1173">
        <v>3300000</v>
      </c>
      <c r="K1173">
        <v>15200000</v>
      </c>
      <c r="L1173">
        <v>3200000</v>
      </c>
      <c r="M1173" t="s">
        <v>34</v>
      </c>
      <c r="N1173">
        <f t="shared" si="109"/>
        <v>1</v>
      </c>
      <c r="O1173" t="str">
        <f t="shared" si="108"/>
        <v>Excellent</v>
      </c>
      <c r="P1173" t="str">
        <f t="shared" si="110"/>
        <v>High</v>
      </c>
      <c r="Q1173" t="str">
        <f t="shared" si="111"/>
        <v>Low Loan</v>
      </c>
      <c r="R1173">
        <f t="shared" si="112"/>
        <v>31500000</v>
      </c>
      <c r="S1173" t="str">
        <f t="shared" si="113"/>
        <v>Strong</v>
      </c>
    </row>
    <row r="1174" spans="1:19" x14ac:dyDescent="0.25">
      <c r="A1174">
        <v>1173</v>
      </c>
      <c r="B1174">
        <v>3</v>
      </c>
      <c r="C1174" t="s">
        <v>30</v>
      </c>
      <c r="D1174" t="s">
        <v>32</v>
      </c>
      <c r="E1174">
        <v>6500000</v>
      </c>
      <c r="F1174">
        <v>25200000</v>
      </c>
      <c r="G1174">
        <v>10</v>
      </c>
      <c r="H1174">
        <v>858</v>
      </c>
      <c r="I1174">
        <v>15400000</v>
      </c>
      <c r="J1174">
        <v>10900000</v>
      </c>
      <c r="K1174">
        <v>14000000</v>
      </c>
      <c r="L1174">
        <v>8100000</v>
      </c>
      <c r="M1174" t="s">
        <v>34</v>
      </c>
      <c r="N1174">
        <f t="shared" si="109"/>
        <v>1</v>
      </c>
      <c r="O1174" t="str">
        <f t="shared" si="108"/>
        <v>Excellent</v>
      </c>
      <c r="P1174" t="str">
        <f t="shared" si="110"/>
        <v>High</v>
      </c>
      <c r="Q1174" t="str">
        <f t="shared" si="111"/>
        <v>High Loan</v>
      </c>
      <c r="R1174">
        <f t="shared" si="112"/>
        <v>48400000</v>
      </c>
      <c r="S1174" t="str">
        <f t="shared" si="113"/>
        <v>Strong</v>
      </c>
    </row>
    <row r="1175" spans="1:19" x14ac:dyDescent="0.25">
      <c r="A1175">
        <v>1174</v>
      </c>
      <c r="B1175">
        <v>2</v>
      </c>
      <c r="C1175" t="s">
        <v>30</v>
      </c>
      <c r="D1175" t="s">
        <v>32</v>
      </c>
      <c r="E1175">
        <v>5900000</v>
      </c>
      <c r="F1175">
        <v>14000000</v>
      </c>
      <c r="G1175">
        <v>8</v>
      </c>
      <c r="H1175">
        <v>599</v>
      </c>
      <c r="I1175">
        <v>4700000</v>
      </c>
      <c r="J1175">
        <v>9500000</v>
      </c>
      <c r="K1175">
        <v>17800000</v>
      </c>
      <c r="L1175">
        <v>6700000</v>
      </c>
      <c r="M1175" t="s">
        <v>34</v>
      </c>
      <c r="N1175">
        <f t="shared" si="109"/>
        <v>1</v>
      </c>
      <c r="O1175" t="str">
        <f t="shared" si="108"/>
        <v>Low</v>
      </c>
      <c r="P1175" t="str">
        <f t="shared" si="110"/>
        <v>High</v>
      </c>
      <c r="Q1175" t="str">
        <f t="shared" si="111"/>
        <v>Low Loan</v>
      </c>
      <c r="R1175">
        <f t="shared" si="112"/>
        <v>38700000</v>
      </c>
      <c r="S1175" t="str">
        <f t="shared" si="113"/>
        <v>Strong</v>
      </c>
    </row>
    <row r="1176" spans="1:19" x14ac:dyDescent="0.25">
      <c r="A1176">
        <v>1175</v>
      </c>
      <c r="B1176">
        <v>4</v>
      </c>
      <c r="C1176" t="s">
        <v>30</v>
      </c>
      <c r="D1176" t="s">
        <v>33</v>
      </c>
      <c r="E1176">
        <v>9800000</v>
      </c>
      <c r="F1176">
        <v>27000000</v>
      </c>
      <c r="G1176">
        <v>2</v>
      </c>
      <c r="H1176">
        <v>395</v>
      </c>
      <c r="I1176">
        <v>18700000</v>
      </c>
      <c r="J1176">
        <v>3000000</v>
      </c>
      <c r="K1176">
        <v>23000000</v>
      </c>
      <c r="L1176">
        <v>9700000</v>
      </c>
      <c r="M1176" t="s">
        <v>35</v>
      </c>
      <c r="N1176">
        <f t="shared" si="109"/>
        <v>0</v>
      </c>
      <c r="O1176" t="str">
        <f t="shared" si="108"/>
        <v>Low</v>
      </c>
      <c r="P1176" t="str">
        <f t="shared" si="110"/>
        <v>High</v>
      </c>
      <c r="Q1176" t="str">
        <f t="shared" si="111"/>
        <v>High Loan</v>
      </c>
      <c r="R1176">
        <f t="shared" si="112"/>
        <v>54400000</v>
      </c>
      <c r="S1176" t="str">
        <f t="shared" si="113"/>
        <v>Strong</v>
      </c>
    </row>
    <row r="1177" spans="1:19" x14ac:dyDescent="0.25">
      <c r="A1177">
        <v>1176</v>
      </c>
      <c r="B1177">
        <v>3</v>
      </c>
      <c r="C1177" t="s">
        <v>30</v>
      </c>
      <c r="D1177" t="s">
        <v>33</v>
      </c>
      <c r="E1177">
        <v>7700000</v>
      </c>
      <c r="F1177">
        <v>16200000</v>
      </c>
      <c r="G1177">
        <v>6</v>
      </c>
      <c r="H1177">
        <v>380</v>
      </c>
      <c r="I1177">
        <v>11500000</v>
      </c>
      <c r="J1177">
        <v>15100000</v>
      </c>
      <c r="K1177">
        <v>22500000</v>
      </c>
      <c r="L1177">
        <v>6400000</v>
      </c>
      <c r="M1177" t="s">
        <v>35</v>
      </c>
      <c r="N1177">
        <f t="shared" si="109"/>
        <v>0</v>
      </c>
      <c r="O1177" t="str">
        <f t="shared" si="108"/>
        <v>Low</v>
      </c>
      <c r="P1177" t="str">
        <f t="shared" si="110"/>
        <v>High</v>
      </c>
      <c r="Q1177" t="str">
        <f t="shared" si="111"/>
        <v>Low Loan</v>
      </c>
      <c r="R1177">
        <f t="shared" si="112"/>
        <v>55500000</v>
      </c>
      <c r="S1177" t="str">
        <f t="shared" si="113"/>
        <v>Strong</v>
      </c>
    </row>
    <row r="1178" spans="1:19" x14ac:dyDescent="0.25">
      <c r="A1178">
        <v>1177</v>
      </c>
      <c r="B1178">
        <v>1</v>
      </c>
      <c r="C1178" t="s">
        <v>30</v>
      </c>
      <c r="D1178" t="s">
        <v>32</v>
      </c>
      <c r="E1178">
        <v>7900000</v>
      </c>
      <c r="F1178">
        <v>27100000</v>
      </c>
      <c r="G1178">
        <v>10</v>
      </c>
      <c r="H1178">
        <v>803</v>
      </c>
      <c r="I1178">
        <v>20000000</v>
      </c>
      <c r="J1178">
        <v>9800000</v>
      </c>
      <c r="K1178">
        <v>22200000</v>
      </c>
      <c r="L1178">
        <v>6600000</v>
      </c>
      <c r="M1178" t="s">
        <v>34</v>
      </c>
      <c r="N1178">
        <f t="shared" si="109"/>
        <v>1</v>
      </c>
      <c r="O1178" t="str">
        <f t="shared" si="108"/>
        <v>Excellent</v>
      </c>
      <c r="P1178" t="str">
        <f t="shared" si="110"/>
        <v>High</v>
      </c>
      <c r="Q1178" t="str">
        <f t="shared" si="111"/>
        <v>High Loan</v>
      </c>
      <c r="R1178">
        <f t="shared" si="112"/>
        <v>58600000</v>
      </c>
      <c r="S1178" t="str">
        <f t="shared" si="113"/>
        <v>Strong</v>
      </c>
    </row>
    <row r="1179" spans="1:19" x14ac:dyDescent="0.25">
      <c r="A1179">
        <v>1178</v>
      </c>
      <c r="B1179">
        <v>4</v>
      </c>
      <c r="C1179" t="s">
        <v>30</v>
      </c>
      <c r="D1179" t="s">
        <v>32</v>
      </c>
      <c r="E1179">
        <v>3500000</v>
      </c>
      <c r="F1179">
        <v>8900000</v>
      </c>
      <c r="G1179">
        <v>20</v>
      </c>
      <c r="H1179">
        <v>809</v>
      </c>
      <c r="I1179">
        <v>7100000</v>
      </c>
      <c r="J1179">
        <v>1500000</v>
      </c>
      <c r="K1179">
        <v>13700000</v>
      </c>
      <c r="L1179">
        <v>3200000</v>
      </c>
      <c r="M1179" t="s">
        <v>34</v>
      </c>
      <c r="N1179">
        <f t="shared" si="109"/>
        <v>1</v>
      </c>
      <c r="O1179" t="str">
        <f t="shared" si="108"/>
        <v>Excellent</v>
      </c>
      <c r="P1179" t="str">
        <f t="shared" si="110"/>
        <v>High</v>
      </c>
      <c r="Q1179" t="str">
        <f t="shared" si="111"/>
        <v>Low Loan</v>
      </c>
      <c r="R1179">
        <f t="shared" si="112"/>
        <v>25500000</v>
      </c>
      <c r="S1179" t="str">
        <f t="shared" si="113"/>
        <v>Strong</v>
      </c>
    </row>
    <row r="1180" spans="1:19" x14ac:dyDescent="0.25">
      <c r="A1180">
        <v>1179</v>
      </c>
      <c r="B1180">
        <v>4</v>
      </c>
      <c r="C1180" t="s">
        <v>31</v>
      </c>
      <c r="D1180" t="s">
        <v>32</v>
      </c>
      <c r="E1180">
        <v>2400000</v>
      </c>
      <c r="F1180">
        <v>6600000</v>
      </c>
      <c r="G1180">
        <v>2</v>
      </c>
      <c r="H1180">
        <v>722</v>
      </c>
      <c r="I1180">
        <v>6100000</v>
      </c>
      <c r="J1180">
        <v>3300000</v>
      </c>
      <c r="K1180">
        <v>5600000</v>
      </c>
      <c r="L1180">
        <v>3000000</v>
      </c>
      <c r="M1180" t="s">
        <v>34</v>
      </c>
      <c r="N1180">
        <f t="shared" si="109"/>
        <v>1</v>
      </c>
      <c r="O1180" t="str">
        <f t="shared" si="108"/>
        <v>Good</v>
      </c>
      <c r="P1180" t="str">
        <f t="shared" si="110"/>
        <v>High</v>
      </c>
      <c r="Q1180" t="str">
        <f t="shared" si="111"/>
        <v>Low Loan</v>
      </c>
      <c r="R1180">
        <f t="shared" si="112"/>
        <v>18000000</v>
      </c>
      <c r="S1180" t="str">
        <f t="shared" si="113"/>
        <v>Strong</v>
      </c>
    </row>
    <row r="1181" spans="1:19" x14ac:dyDescent="0.25">
      <c r="A1181">
        <v>1180</v>
      </c>
      <c r="B1181">
        <v>5</v>
      </c>
      <c r="C1181" t="s">
        <v>30</v>
      </c>
      <c r="D1181" t="s">
        <v>32</v>
      </c>
      <c r="E1181">
        <v>9900000</v>
      </c>
      <c r="F1181">
        <v>35700000</v>
      </c>
      <c r="G1181">
        <v>10</v>
      </c>
      <c r="H1181">
        <v>392</v>
      </c>
      <c r="I1181">
        <v>7900000</v>
      </c>
      <c r="J1181">
        <v>4300000</v>
      </c>
      <c r="K1181">
        <v>39200000</v>
      </c>
      <c r="L1181">
        <v>13000000</v>
      </c>
      <c r="M1181" t="s">
        <v>35</v>
      </c>
      <c r="N1181">
        <f t="shared" si="109"/>
        <v>0</v>
      </c>
      <c r="O1181" t="str">
        <f t="shared" si="108"/>
        <v>Low</v>
      </c>
      <c r="P1181" t="str">
        <f t="shared" si="110"/>
        <v>High</v>
      </c>
      <c r="Q1181" t="str">
        <f t="shared" si="111"/>
        <v>High Loan</v>
      </c>
      <c r="R1181">
        <f t="shared" si="112"/>
        <v>64400000</v>
      </c>
      <c r="S1181" t="str">
        <f t="shared" si="113"/>
        <v>Strong</v>
      </c>
    </row>
    <row r="1182" spans="1:19" x14ac:dyDescent="0.25">
      <c r="A1182">
        <v>1181</v>
      </c>
      <c r="B1182">
        <v>0</v>
      </c>
      <c r="C1182" t="s">
        <v>30</v>
      </c>
      <c r="D1182" t="s">
        <v>32</v>
      </c>
      <c r="E1182">
        <v>3900000</v>
      </c>
      <c r="F1182">
        <v>14500000</v>
      </c>
      <c r="G1182">
        <v>8</v>
      </c>
      <c r="H1182">
        <v>545</v>
      </c>
      <c r="I1182">
        <v>5900000</v>
      </c>
      <c r="J1182">
        <v>3000000</v>
      </c>
      <c r="K1182">
        <v>10300000</v>
      </c>
      <c r="L1182">
        <v>3400000</v>
      </c>
      <c r="M1182" t="s">
        <v>35</v>
      </c>
      <c r="N1182">
        <f t="shared" si="109"/>
        <v>0</v>
      </c>
      <c r="O1182" t="str">
        <f t="shared" si="108"/>
        <v>Low</v>
      </c>
      <c r="P1182" t="str">
        <f t="shared" si="110"/>
        <v>High</v>
      </c>
      <c r="Q1182" t="str">
        <f t="shared" si="111"/>
        <v>Low Loan</v>
      </c>
      <c r="R1182">
        <f t="shared" si="112"/>
        <v>22600000</v>
      </c>
      <c r="S1182" t="str">
        <f t="shared" si="113"/>
        <v>Strong</v>
      </c>
    </row>
    <row r="1183" spans="1:19" x14ac:dyDescent="0.25">
      <c r="A1183">
        <v>1182</v>
      </c>
      <c r="B1183">
        <v>2</v>
      </c>
      <c r="C1183" t="s">
        <v>31</v>
      </c>
      <c r="D1183" t="s">
        <v>33</v>
      </c>
      <c r="E1183">
        <v>7300000</v>
      </c>
      <c r="F1183">
        <v>28500000</v>
      </c>
      <c r="G1183">
        <v>10</v>
      </c>
      <c r="H1183">
        <v>799</v>
      </c>
      <c r="I1183">
        <v>21500000</v>
      </c>
      <c r="J1183">
        <v>3100000</v>
      </c>
      <c r="K1183">
        <v>15800000</v>
      </c>
      <c r="L1183">
        <v>4300000</v>
      </c>
      <c r="M1183" t="s">
        <v>34</v>
      </c>
      <c r="N1183">
        <f t="shared" si="109"/>
        <v>1</v>
      </c>
      <c r="O1183" t="str">
        <f t="shared" si="108"/>
        <v>Excellent</v>
      </c>
      <c r="P1183" t="str">
        <f t="shared" si="110"/>
        <v>High</v>
      </c>
      <c r="Q1183" t="str">
        <f t="shared" si="111"/>
        <v>High Loan</v>
      </c>
      <c r="R1183">
        <f t="shared" si="112"/>
        <v>44700000</v>
      </c>
      <c r="S1183" t="str">
        <f t="shared" si="113"/>
        <v>Strong</v>
      </c>
    </row>
    <row r="1184" spans="1:19" x14ac:dyDescent="0.25">
      <c r="A1184">
        <v>1183</v>
      </c>
      <c r="B1184">
        <v>0</v>
      </c>
      <c r="C1184" t="s">
        <v>30</v>
      </c>
      <c r="D1184" t="s">
        <v>33</v>
      </c>
      <c r="E1184">
        <v>6400000</v>
      </c>
      <c r="F1184">
        <v>21900000</v>
      </c>
      <c r="G1184">
        <v>12</v>
      </c>
      <c r="H1184">
        <v>727</v>
      </c>
      <c r="I1184">
        <v>15400000</v>
      </c>
      <c r="J1184">
        <v>10100000</v>
      </c>
      <c r="K1184">
        <v>24000000</v>
      </c>
      <c r="L1184">
        <v>5300000</v>
      </c>
      <c r="M1184" t="s">
        <v>34</v>
      </c>
      <c r="N1184">
        <f t="shared" si="109"/>
        <v>1</v>
      </c>
      <c r="O1184" t="str">
        <f t="shared" si="108"/>
        <v>Good</v>
      </c>
      <c r="P1184" t="str">
        <f t="shared" si="110"/>
        <v>High</v>
      </c>
      <c r="Q1184" t="str">
        <f t="shared" si="111"/>
        <v>High Loan</v>
      </c>
      <c r="R1184">
        <f t="shared" si="112"/>
        <v>54800000</v>
      </c>
      <c r="S1184" t="str">
        <f t="shared" si="113"/>
        <v>Strong</v>
      </c>
    </row>
    <row r="1185" spans="1:19" x14ac:dyDescent="0.25">
      <c r="A1185">
        <v>1184</v>
      </c>
      <c r="B1185">
        <v>4</v>
      </c>
      <c r="C1185" t="s">
        <v>30</v>
      </c>
      <c r="D1185" t="s">
        <v>32</v>
      </c>
      <c r="E1185">
        <v>7100000</v>
      </c>
      <c r="F1185">
        <v>19800000</v>
      </c>
      <c r="G1185">
        <v>18</v>
      </c>
      <c r="H1185">
        <v>530</v>
      </c>
      <c r="I1185">
        <v>7100000</v>
      </c>
      <c r="J1185">
        <v>3400000</v>
      </c>
      <c r="K1185">
        <v>20900000</v>
      </c>
      <c r="L1185">
        <v>7100000</v>
      </c>
      <c r="M1185" t="s">
        <v>35</v>
      </c>
      <c r="N1185">
        <f t="shared" si="109"/>
        <v>0</v>
      </c>
      <c r="O1185" t="str">
        <f t="shared" si="108"/>
        <v>Low</v>
      </c>
      <c r="P1185" t="str">
        <f t="shared" si="110"/>
        <v>High</v>
      </c>
      <c r="Q1185" t="str">
        <f t="shared" si="111"/>
        <v>Low Loan</v>
      </c>
      <c r="R1185">
        <f t="shared" si="112"/>
        <v>38500000</v>
      </c>
      <c r="S1185" t="str">
        <f t="shared" si="113"/>
        <v>Strong</v>
      </c>
    </row>
    <row r="1186" spans="1:19" x14ac:dyDescent="0.25">
      <c r="A1186">
        <v>1185</v>
      </c>
      <c r="B1186">
        <v>2</v>
      </c>
      <c r="C1186" t="s">
        <v>31</v>
      </c>
      <c r="D1186" t="s">
        <v>32</v>
      </c>
      <c r="E1186">
        <v>8800000</v>
      </c>
      <c r="F1186">
        <v>19000000</v>
      </c>
      <c r="G1186">
        <v>14</v>
      </c>
      <c r="H1186">
        <v>637</v>
      </c>
      <c r="I1186">
        <v>13700000</v>
      </c>
      <c r="J1186">
        <v>13900000</v>
      </c>
      <c r="K1186">
        <v>27100000</v>
      </c>
      <c r="L1186">
        <v>6100000</v>
      </c>
      <c r="M1186" t="s">
        <v>34</v>
      </c>
      <c r="N1186">
        <f t="shared" si="109"/>
        <v>1</v>
      </c>
      <c r="O1186" t="str">
        <f t="shared" si="108"/>
        <v>Low</v>
      </c>
      <c r="P1186" t="str">
        <f t="shared" si="110"/>
        <v>High</v>
      </c>
      <c r="Q1186" t="str">
        <f t="shared" si="111"/>
        <v>Low Loan</v>
      </c>
      <c r="R1186">
        <f t="shared" si="112"/>
        <v>60800000</v>
      </c>
      <c r="S1186" t="str">
        <f t="shared" si="113"/>
        <v>Strong</v>
      </c>
    </row>
    <row r="1187" spans="1:19" x14ac:dyDescent="0.25">
      <c r="A1187">
        <v>1186</v>
      </c>
      <c r="B1187">
        <v>5</v>
      </c>
      <c r="C1187" t="s">
        <v>30</v>
      </c>
      <c r="D1187" t="s">
        <v>32</v>
      </c>
      <c r="E1187">
        <v>7400000</v>
      </c>
      <c r="F1187">
        <v>21000000</v>
      </c>
      <c r="G1187">
        <v>4</v>
      </c>
      <c r="H1187">
        <v>561</v>
      </c>
      <c r="I1187">
        <v>21300000</v>
      </c>
      <c r="J1187">
        <v>3800000</v>
      </c>
      <c r="K1187">
        <v>26400000</v>
      </c>
      <c r="L1187">
        <v>3900000</v>
      </c>
      <c r="M1187" t="s">
        <v>34</v>
      </c>
      <c r="N1187">
        <f t="shared" si="109"/>
        <v>1</v>
      </c>
      <c r="O1187" t="str">
        <f t="shared" si="108"/>
        <v>Low</v>
      </c>
      <c r="P1187" t="str">
        <f t="shared" si="110"/>
        <v>High</v>
      </c>
      <c r="Q1187" t="str">
        <f t="shared" si="111"/>
        <v>High Loan</v>
      </c>
      <c r="R1187">
        <f t="shared" si="112"/>
        <v>55400000</v>
      </c>
      <c r="S1187" t="str">
        <f t="shared" si="113"/>
        <v>Strong</v>
      </c>
    </row>
    <row r="1188" spans="1:19" x14ac:dyDescent="0.25">
      <c r="A1188">
        <v>1187</v>
      </c>
      <c r="B1188">
        <v>2</v>
      </c>
      <c r="C1188" t="s">
        <v>31</v>
      </c>
      <c r="D1188" t="s">
        <v>32</v>
      </c>
      <c r="E1188">
        <v>4400000</v>
      </c>
      <c r="F1188">
        <v>12000000</v>
      </c>
      <c r="G1188">
        <v>20</v>
      </c>
      <c r="H1188">
        <v>421</v>
      </c>
      <c r="I1188">
        <v>9300000</v>
      </c>
      <c r="J1188">
        <v>2700000</v>
      </c>
      <c r="K1188">
        <v>15700000</v>
      </c>
      <c r="L1188">
        <v>3400000</v>
      </c>
      <c r="M1188" t="s">
        <v>35</v>
      </c>
      <c r="N1188">
        <f t="shared" si="109"/>
        <v>0</v>
      </c>
      <c r="O1188" t="str">
        <f t="shared" si="108"/>
        <v>Low</v>
      </c>
      <c r="P1188" t="str">
        <f t="shared" si="110"/>
        <v>High</v>
      </c>
      <c r="Q1188" t="str">
        <f t="shared" si="111"/>
        <v>Low Loan</v>
      </c>
      <c r="R1188">
        <f t="shared" si="112"/>
        <v>31100000</v>
      </c>
      <c r="S1188" t="str">
        <f t="shared" si="113"/>
        <v>Strong</v>
      </c>
    </row>
    <row r="1189" spans="1:19" x14ac:dyDescent="0.25">
      <c r="A1189">
        <v>1188</v>
      </c>
      <c r="B1189">
        <v>3</v>
      </c>
      <c r="C1189" t="s">
        <v>30</v>
      </c>
      <c r="D1189" t="s">
        <v>33</v>
      </c>
      <c r="E1189">
        <v>8600000</v>
      </c>
      <c r="F1189">
        <v>30300000</v>
      </c>
      <c r="G1189">
        <v>14</v>
      </c>
      <c r="H1189">
        <v>459</v>
      </c>
      <c r="I1189">
        <v>12000000</v>
      </c>
      <c r="J1189">
        <v>4100000</v>
      </c>
      <c r="K1189">
        <v>23800000</v>
      </c>
      <c r="L1189">
        <v>9100000</v>
      </c>
      <c r="M1189" t="s">
        <v>35</v>
      </c>
      <c r="N1189">
        <f t="shared" si="109"/>
        <v>0</v>
      </c>
      <c r="O1189" t="str">
        <f t="shared" si="108"/>
        <v>Low</v>
      </c>
      <c r="P1189" t="str">
        <f t="shared" si="110"/>
        <v>High</v>
      </c>
      <c r="Q1189" t="str">
        <f t="shared" si="111"/>
        <v>High Loan</v>
      </c>
      <c r="R1189">
        <f t="shared" si="112"/>
        <v>49000000</v>
      </c>
      <c r="S1189" t="str">
        <f t="shared" si="113"/>
        <v>Strong</v>
      </c>
    </row>
    <row r="1190" spans="1:19" x14ac:dyDescent="0.25">
      <c r="A1190">
        <v>1189</v>
      </c>
      <c r="B1190">
        <v>3</v>
      </c>
      <c r="C1190" t="s">
        <v>31</v>
      </c>
      <c r="D1190" t="s">
        <v>32</v>
      </c>
      <c r="E1190">
        <v>6900000</v>
      </c>
      <c r="F1190">
        <v>26000000</v>
      </c>
      <c r="G1190">
        <v>14</v>
      </c>
      <c r="H1190">
        <v>828</v>
      </c>
      <c r="I1190">
        <v>14800000</v>
      </c>
      <c r="J1190">
        <v>4200000</v>
      </c>
      <c r="K1190">
        <v>18500000</v>
      </c>
      <c r="L1190">
        <v>3600000</v>
      </c>
      <c r="M1190" t="s">
        <v>34</v>
      </c>
      <c r="N1190">
        <f t="shared" si="109"/>
        <v>1</v>
      </c>
      <c r="O1190" t="str">
        <f t="shared" si="108"/>
        <v>Excellent</v>
      </c>
      <c r="P1190" t="str">
        <f t="shared" si="110"/>
        <v>High</v>
      </c>
      <c r="Q1190" t="str">
        <f t="shared" si="111"/>
        <v>High Loan</v>
      </c>
      <c r="R1190">
        <f t="shared" si="112"/>
        <v>41100000</v>
      </c>
      <c r="S1190" t="str">
        <f t="shared" si="113"/>
        <v>Strong</v>
      </c>
    </row>
    <row r="1191" spans="1:19" x14ac:dyDescent="0.25">
      <c r="A1191">
        <v>1190</v>
      </c>
      <c r="B1191">
        <v>4</v>
      </c>
      <c r="C1191" t="s">
        <v>30</v>
      </c>
      <c r="D1191" t="s">
        <v>32</v>
      </c>
      <c r="E1191">
        <v>9600000</v>
      </c>
      <c r="F1191">
        <v>27500000</v>
      </c>
      <c r="G1191">
        <v>20</v>
      </c>
      <c r="H1191">
        <v>679</v>
      </c>
      <c r="I1191">
        <v>23400000</v>
      </c>
      <c r="J1191">
        <v>7500000</v>
      </c>
      <c r="K1191">
        <v>37800000</v>
      </c>
      <c r="L1191">
        <v>6300000</v>
      </c>
      <c r="M1191" t="s">
        <v>34</v>
      </c>
      <c r="N1191">
        <f t="shared" si="109"/>
        <v>1</v>
      </c>
      <c r="O1191" t="str">
        <f t="shared" si="108"/>
        <v>Medium</v>
      </c>
      <c r="P1191" t="str">
        <f t="shared" si="110"/>
        <v>High</v>
      </c>
      <c r="Q1191" t="str">
        <f t="shared" si="111"/>
        <v>High Loan</v>
      </c>
      <c r="R1191">
        <f t="shared" si="112"/>
        <v>75000000</v>
      </c>
      <c r="S1191" t="str">
        <f t="shared" si="113"/>
        <v>Strong</v>
      </c>
    </row>
    <row r="1192" spans="1:19" x14ac:dyDescent="0.25">
      <c r="A1192">
        <v>1191</v>
      </c>
      <c r="B1192">
        <v>2</v>
      </c>
      <c r="C1192" t="s">
        <v>30</v>
      </c>
      <c r="D1192" t="s">
        <v>33</v>
      </c>
      <c r="E1192">
        <v>8100000</v>
      </c>
      <c r="F1192">
        <v>25700000</v>
      </c>
      <c r="G1192">
        <v>8</v>
      </c>
      <c r="H1192">
        <v>455</v>
      </c>
      <c r="I1192">
        <v>22300000</v>
      </c>
      <c r="J1192">
        <v>11500000</v>
      </c>
      <c r="K1192">
        <v>19800000</v>
      </c>
      <c r="L1192">
        <v>9500000</v>
      </c>
      <c r="M1192" t="s">
        <v>35</v>
      </c>
      <c r="N1192">
        <f t="shared" si="109"/>
        <v>0</v>
      </c>
      <c r="O1192" t="str">
        <f t="shared" si="108"/>
        <v>Low</v>
      </c>
      <c r="P1192" t="str">
        <f t="shared" si="110"/>
        <v>High</v>
      </c>
      <c r="Q1192" t="str">
        <f t="shared" si="111"/>
        <v>High Loan</v>
      </c>
      <c r="R1192">
        <f t="shared" si="112"/>
        <v>63100000</v>
      </c>
      <c r="S1192" t="str">
        <f t="shared" si="113"/>
        <v>Strong</v>
      </c>
    </row>
    <row r="1193" spans="1:19" x14ac:dyDescent="0.25">
      <c r="A1193">
        <v>1192</v>
      </c>
      <c r="B1193">
        <v>0</v>
      </c>
      <c r="C1193" t="s">
        <v>31</v>
      </c>
      <c r="D1193" t="s">
        <v>32</v>
      </c>
      <c r="E1193">
        <v>2600000</v>
      </c>
      <c r="F1193">
        <v>9400000</v>
      </c>
      <c r="G1193">
        <v>18</v>
      </c>
      <c r="H1193">
        <v>879</v>
      </c>
      <c r="I1193">
        <v>2800000</v>
      </c>
      <c r="J1193">
        <v>1400000</v>
      </c>
      <c r="K1193">
        <v>5100000</v>
      </c>
      <c r="L1193">
        <v>2300000</v>
      </c>
      <c r="M1193" t="s">
        <v>34</v>
      </c>
      <c r="N1193">
        <f t="shared" si="109"/>
        <v>1</v>
      </c>
      <c r="O1193" t="str">
        <f t="shared" si="108"/>
        <v>Excellent</v>
      </c>
      <c r="P1193" t="str">
        <f t="shared" si="110"/>
        <v>High</v>
      </c>
      <c r="Q1193" t="str">
        <f t="shared" si="111"/>
        <v>Low Loan</v>
      </c>
      <c r="R1193">
        <f t="shared" si="112"/>
        <v>11600000</v>
      </c>
      <c r="S1193" t="str">
        <f t="shared" si="113"/>
        <v>Strong</v>
      </c>
    </row>
    <row r="1194" spans="1:19" x14ac:dyDescent="0.25">
      <c r="A1194">
        <v>1193</v>
      </c>
      <c r="B1194">
        <v>3</v>
      </c>
      <c r="C1194" t="s">
        <v>30</v>
      </c>
      <c r="D1194" t="s">
        <v>33</v>
      </c>
      <c r="E1194">
        <v>9300000</v>
      </c>
      <c r="F1194">
        <v>26100000</v>
      </c>
      <c r="G1194">
        <v>14</v>
      </c>
      <c r="H1194">
        <v>636</v>
      </c>
      <c r="I1194">
        <v>4700000</v>
      </c>
      <c r="J1194">
        <v>16100000</v>
      </c>
      <c r="K1194">
        <v>34500000</v>
      </c>
      <c r="L1194">
        <v>11600000</v>
      </c>
      <c r="M1194" t="s">
        <v>34</v>
      </c>
      <c r="N1194">
        <f t="shared" si="109"/>
        <v>1</v>
      </c>
      <c r="O1194" t="str">
        <f t="shared" si="108"/>
        <v>Low</v>
      </c>
      <c r="P1194" t="str">
        <f t="shared" si="110"/>
        <v>High</v>
      </c>
      <c r="Q1194" t="str">
        <f t="shared" si="111"/>
        <v>High Loan</v>
      </c>
      <c r="R1194">
        <f t="shared" si="112"/>
        <v>66900000</v>
      </c>
      <c r="S1194" t="str">
        <f t="shared" si="113"/>
        <v>Strong</v>
      </c>
    </row>
    <row r="1195" spans="1:19" x14ac:dyDescent="0.25">
      <c r="A1195">
        <v>1194</v>
      </c>
      <c r="B1195">
        <v>2</v>
      </c>
      <c r="C1195" t="s">
        <v>31</v>
      </c>
      <c r="D1195" t="s">
        <v>33</v>
      </c>
      <c r="E1195">
        <v>2100000</v>
      </c>
      <c r="F1195">
        <v>5600000</v>
      </c>
      <c r="G1195">
        <v>16</v>
      </c>
      <c r="H1195">
        <v>426</v>
      </c>
      <c r="I1195">
        <v>400000</v>
      </c>
      <c r="J1195">
        <v>300000</v>
      </c>
      <c r="K1195">
        <v>7100000</v>
      </c>
      <c r="L1195">
        <v>1200000</v>
      </c>
      <c r="M1195" t="s">
        <v>35</v>
      </c>
      <c r="N1195">
        <f t="shared" si="109"/>
        <v>0</v>
      </c>
      <c r="O1195" t="str">
        <f t="shared" si="108"/>
        <v>Low</v>
      </c>
      <c r="P1195" t="str">
        <f t="shared" si="110"/>
        <v>High</v>
      </c>
      <c r="Q1195" t="str">
        <f t="shared" si="111"/>
        <v>Low Loan</v>
      </c>
      <c r="R1195">
        <f t="shared" si="112"/>
        <v>9000000</v>
      </c>
      <c r="S1195" t="str">
        <f t="shared" si="113"/>
        <v>Moderate</v>
      </c>
    </row>
    <row r="1196" spans="1:19" x14ac:dyDescent="0.25">
      <c r="A1196">
        <v>1195</v>
      </c>
      <c r="B1196">
        <v>4</v>
      </c>
      <c r="C1196" t="s">
        <v>31</v>
      </c>
      <c r="D1196" t="s">
        <v>33</v>
      </c>
      <c r="E1196">
        <v>9000000</v>
      </c>
      <c r="F1196">
        <v>21500000</v>
      </c>
      <c r="G1196">
        <v>14</v>
      </c>
      <c r="H1196">
        <v>508</v>
      </c>
      <c r="I1196">
        <v>16600000</v>
      </c>
      <c r="J1196">
        <v>17300000</v>
      </c>
      <c r="K1196">
        <v>24300000</v>
      </c>
      <c r="L1196">
        <v>13100000</v>
      </c>
      <c r="M1196" t="s">
        <v>35</v>
      </c>
      <c r="N1196">
        <f t="shared" si="109"/>
        <v>0</v>
      </c>
      <c r="O1196" t="str">
        <f t="shared" si="108"/>
        <v>Low</v>
      </c>
      <c r="P1196" t="str">
        <f t="shared" si="110"/>
        <v>High</v>
      </c>
      <c r="Q1196" t="str">
        <f t="shared" si="111"/>
        <v>High Loan</v>
      </c>
      <c r="R1196">
        <f t="shared" si="112"/>
        <v>71300000</v>
      </c>
      <c r="S1196" t="str">
        <f t="shared" si="113"/>
        <v>Strong</v>
      </c>
    </row>
    <row r="1197" spans="1:19" x14ac:dyDescent="0.25">
      <c r="A1197">
        <v>1196</v>
      </c>
      <c r="B1197">
        <v>3</v>
      </c>
      <c r="C1197" t="s">
        <v>31</v>
      </c>
      <c r="D1197" t="s">
        <v>33</v>
      </c>
      <c r="E1197">
        <v>7000000</v>
      </c>
      <c r="F1197">
        <v>19200000</v>
      </c>
      <c r="G1197">
        <v>4</v>
      </c>
      <c r="H1197">
        <v>768</v>
      </c>
      <c r="I1197">
        <v>8600000</v>
      </c>
      <c r="J1197">
        <v>13700000</v>
      </c>
      <c r="K1197">
        <v>19200000</v>
      </c>
      <c r="L1197">
        <v>7700000</v>
      </c>
      <c r="M1197" t="s">
        <v>34</v>
      </c>
      <c r="N1197">
        <f t="shared" si="109"/>
        <v>1</v>
      </c>
      <c r="O1197" t="str">
        <f t="shared" si="108"/>
        <v>Excellent</v>
      </c>
      <c r="P1197" t="str">
        <f t="shared" si="110"/>
        <v>High</v>
      </c>
      <c r="Q1197" t="str">
        <f t="shared" si="111"/>
        <v>Low Loan</v>
      </c>
      <c r="R1197">
        <f t="shared" si="112"/>
        <v>49200000</v>
      </c>
      <c r="S1197" t="str">
        <f t="shared" si="113"/>
        <v>Strong</v>
      </c>
    </row>
    <row r="1198" spans="1:19" x14ac:dyDescent="0.25">
      <c r="A1198">
        <v>1197</v>
      </c>
      <c r="B1198">
        <v>3</v>
      </c>
      <c r="C1198" t="s">
        <v>31</v>
      </c>
      <c r="D1198" t="s">
        <v>32</v>
      </c>
      <c r="E1198">
        <v>2200000</v>
      </c>
      <c r="F1198">
        <v>6400000</v>
      </c>
      <c r="G1198">
        <v>20</v>
      </c>
      <c r="H1198">
        <v>667</v>
      </c>
      <c r="I1198">
        <v>6300000</v>
      </c>
      <c r="J1198">
        <v>3900000</v>
      </c>
      <c r="K1198">
        <v>8300000</v>
      </c>
      <c r="L1198">
        <v>2900000</v>
      </c>
      <c r="M1198" t="s">
        <v>34</v>
      </c>
      <c r="N1198">
        <f t="shared" si="109"/>
        <v>1</v>
      </c>
      <c r="O1198" t="str">
        <f t="shared" si="108"/>
        <v>Medium</v>
      </c>
      <c r="P1198" t="str">
        <f t="shared" si="110"/>
        <v>High</v>
      </c>
      <c r="Q1198" t="str">
        <f t="shared" si="111"/>
        <v>Low Loan</v>
      </c>
      <c r="R1198">
        <f t="shared" si="112"/>
        <v>21400000</v>
      </c>
      <c r="S1198" t="str">
        <f t="shared" si="113"/>
        <v>Strong</v>
      </c>
    </row>
    <row r="1199" spans="1:19" x14ac:dyDescent="0.25">
      <c r="A1199">
        <v>1198</v>
      </c>
      <c r="B1199">
        <v>5</v>
      </c>
      <c r="C1199" t="s">
        <v>30</v>
      </c>
      <c r="D1199" t="s">
        <v>33</v>
      </c>
      <c r="E1199">
        <v>7500000</v>
      </c>
      <c r="F1199">
        <v>28200000</v>
      </c>
      <c r="G1199">
        <v>2</v>
      </c>
      <c r="H1199">
        <v>440</v>
      </c>
      <c r="I1199">
        <v>8200000</v>
      </c>
      <c r="J1199">
        <v>5800000</v>
      </c>
      <c r="K1199">
        <v>24400000</v>
      </c>
      <c r="L1199">
        <v>6000000</v>
      </c>
      <c r="M1199" t="s">
        <v>34</v>
      </c>
      <c r="N1199">
        <f t="shared" si="109"/>
        <v>1</v>
      </c>
      <c r="O1199" t="str">
        <f t="shared" si="108"/>
        <v>Low</v>
      </c>
      <c r="P1199" t="str">
        <f t="shared" si="110"/>
        <v>High</v>
      </c>
      <c r="Q1199" t="str">
        <f t="shared" si="111"/>
        <v>High Loan</v>
      </c>
      <c r="R1199">
        <f t="shared" si="112"/>
        <v>44400000</v>
      </c>
      <c r="S1199" t="str">
        <f t="shared" si="113"/>
        <v>Strong</v>
      </c>
    </row>
    <row r="1200" spans="1:19" x14ac:dyDescent="0.25">
      <c r="A1200">
        <v>1199</v>
      </c>
      <c r="B1200">
        <v>1</v>
      </c>
      <c r="C1200" t="s">
        <v>30</v>
      </c>
      <c r="D1200" t="s">
        <v>33</v>
      </c>
      <c r="E1200">
        <v>8300000</v>
      </c>
      <c r="F1200">
        <v>16800000</v>
      </c>
      <c r="G1200">
        <v>2</v>
      </c>
      <c r="H1200">
        <v>366</v>
      </c>
      <c r="I1200">
        <v>22000000</v>
      </c>
      <c r="J1200">
        <v>6600000</v>
      </c>
      <c r="K1200">
        <v>27300000</v>
      </c>
      <c r="L1200">
        <v>4500000</v>
      </c>
      <c r="M1200" t="s">
        <v>35</v>
      </c>
      <c r="N1200">
        <f t="shared" si="109"/>
        <v>0</v>
      </c>
      <c r="O1200" t="str">
        <f t="shared" si="108"/>
        <v>Low</v>
      </c>
      <c r="P1200" t="str">
        <f t="shared" si="110"/>
        <v>High</v>
      </c>
      <c r="Q1200" t="str">
        <f t="shared" si="111"/>
        <v>Low Loan</v>
      </c>
      <c r="R1200">
        <f t="shared" si="112"/>
        <v>60400000</v>
      </c>
      <c r="S1200" t="str">
        <f t="shared" si="113"/>
        <v>Strong</v>
      </c>
    </row>
    <row r="1201" spans="1:19" x14ac:dyDescent="0.25">
      <c r="A1201">
        <v>1200</v>
      </c>
      <c r="B1201">
        <v>2</v>
      </c>
      <c r="C1201" t="s">
        <v>31</v>
      </c>
      <c r="D1201" t="s">
        <v>32</v>
      </c>
      <c r="E1201">
        <v>300000</v>
      </c>
      <c r="F1201">
        <v>600000</v>
      </c>
      <c r="G1201">
        <v>2</v>
      </c>
      <c r="H1201">
        <v>383</v>
      </c>
      <c r="I1201">
        <v>600000</v>
      </c>
      <c r="J1201">
        <v>300000</v>
      </c>
      <c r="K1201">
        <v>1100000</v>
      </c>
      <c r="L1201">
        <v>400000</v>
      </c>
      <c r="M1201" t="s">
        <v>35</v>
      </c>
      <c r="N1201">
        <f t="shared" si="109"/>
        <v>0</v>
      </c>
      <c r="O1201" t="str">
        <f t="shared" si="108"/>
        <v>Low</v>
      </c>
      <c r="P1201" t="str">
        <f t="shared" si="110"/>
        <v>Middle</v>
      </c>
      <c r="Q1201" t="str">
        <f t="shared" si="111"/>
        <v>Low Loan</v>
      </c>
      <c r="R1201">
        <f t="shared" si="112"/>
        <v>2400000</v>
      </c>
      <c r="S1201" t="str">
        <f t="shared" si="113"/>
        <v>Weak</v>
      </c>
    </row>
    <row r="1202" spans="1:19" x14ac:dyDescent="0.25">
      <c r="A1202">
        <v>1201</v>
      </c>
      <c r="B1202">
        <v>0</v>
      </c>
      <c r="C1202" t="s">
        <v>31</v>
      </c>
      <c r="D1202" t="s">
        <v>33</v>
      </c>
      <c r="E1202">
        <v>300000</v>
      </c>
      <c r="F1202">
        <v>800000</v>
      </c>
      <c r="G1202">
        <v>4</v>
      </c>
      <c r="H1202">
        <v>603</v>
      </c>
      <c r="I1202">
        <v>800000</v>
      </c>
      <c r="J1202">
        <v>200000</v>
      </c>
      <c r="K1202">
        <v>600000</v>
      </c>
      <c r="L1202">
        <v>200000</v>
      </c>
      <c r="M1202" t="s">
        <v>34</v>
      </c>
      <c r="N1202">
        <f t="shared" si="109"/>
        <v>1</v>
      </c>
      <c r="O1202" t="str">
        <f t="shared" si="108"/>
        <v>Low</v>
      </c>
      <c r="P1202" t="str">
        <f t="shared" si="110"/>
        <v>Middle</v>
      </c>
      <c r="Q1202" t="str">
        <f t="shared" si="111"/>
        <v>Low Loan</v>
      </c>
      <c r="R1202">
        <f t="shared" si="112"/>
        <v>1800000</v>
      </c>
      <c r="S1202" t="str">
        <f t="shared" si="113"/>
        <v>Weak</v>
      </c>
    </row>
    <row r="1203" spans="1:19" x14ac:dyDescent="0.25">
      <c r="A1203">
        <v>1202</v>
      </c>
      <c r="B1203">
        <v>3</v>
      </c>
      <c r="C1203" t="s">
        <v>30</v>
      </c>
      <c r="D1203" t="s">
        <v>32</v>
      </c>
      <c r="E1203">
        <v>3900000</v>
      </c>
      <c r="F1203">
        <v>14900000</v>
      </c>
      <c r="G1203">
        <v>4</v>
      </c>
      <c r="H1203">
        <v>728</v>
      </c>
      <c r="I1203">
        <v>4700000</v>
      </c>
      <c r="J1203">
        <v>4000000</v>
      </c>
      <c r="K1203">
        <v>14900000</v>
      </c>
      <c r="L1203">
        <v>5500000</v>
      </c>
      <c r="M1203" t="s">
        <v>34</v>
      </c>
      <c r="N1203">
        <f t="shared" si="109"/>
        <v>1</v>
      </c>
      <c r="O1203" t="str">
        <f t="shared" si="108"/>
        <v>Good</v>
      </c>
      <c r="P1203" t="str">
        <f t="shared" si="110"/>
        <v>High</v>
      </c>
      <c r="Q1203" t="str">
        <f t="shared" si="111"/>
        <v>Low Loan</v>
      </c>
      <c r="R1203">
        <f t="shared" si="112"/>
        <v>29100000</v>
      </c>
      <c r="S1203" t="str">
        <f t="shared" si="113"/>
        <v>Strong</v>
      </c>
    </row>
    <row r="1204" spans="1:19" x14ac:dyDescent="0.25">
      <c r="A1204">
        <v>1203</v>
      </c>
      <c r="B1204">
        <v>0</v>
      </c>
      <c r="C1204" t="s">
        <v>31</v>
      </c>
      <c r="D1204" t="s">
        <v>32</v>
      </c>
      <c r="E1204">
        <v>6600000</v>
      </c>
      <c r="F1204">
        <v>20300000</v>
      </c>
      <c r="G1204">
        <v>6</v>
      </c>
      <c r="H1204">
        <v>549</v>
      </c>
      <c r="I1204">
        <v>10800000</v>
      </c>
      <c r="J1204">
        <v>900000</v>
      </c>
      <c r="K1204">
        <v>23100000</v>
      </c>
      <c r="L1204">
        <v>9800000</v>
      </c>
      <c r="M1204" t="s">
        <v>35</v>
      </c>
      <c r="N1204">
        <f t="shared" si="109"/>
        <v>0</v>
      </c>
      <c r="O1204" t="str">
        <f t="shared" si="108"/>
        <v>Low</v>
      </c>
      <c r="P1204" t="str">
        <f t="shared" si="110"/>
        <v>High</v>
      </c>
      <c r="Q1204" t="str">
        <f t="shared" si="111"/>
        <v>High Loan</v>
      </c>
      <c r="R1204">
        <f t="shared" si="112"/>
        <v>44600000</v>
      </c>
      <c r="S1204" t="str">
        <f t="shared" si="113"/>
        <v>Strong</v>
      </c>
    </row>
    <row r="1205" spans="1:19" x14ac:dyDescent="0.25">
      <c r="A1205">
        <v>1204</v>
      </c>
      <c r="B1205">
        <v>0</v>
      </c>
      <c r="C1205" t="s">
        <v>30</v>
      </c>
      <c r="D1205" t="s">
        <v>32</v>
      </c>
      <c r="E1205">
        <v>4100000</v>
      </c>
      <c r="F1205">
        <v>10700000</v>
      </c>
      <c r="G1205">
        <v>8</v>
      </c>
      <c r="H1205">
        <v>855</v>
      </c>
      <c r="I1205">
        <v>11500000</v>
      </c>
      <c r="J1205">
        <v>700000</v>
      </c>
      <c r="K1205">
        <v>11200000</v>
      </c>
      <c r="L1205">
        <v>3100000</v>
      </c>
      <c r="M1205" t="s">
        <v>34</v>
      </c>
      <c r="N1205">
        <f t="shared" si="109"/>
        <v>1</v>
      </c>
      <c r="O1205" t="str">
        <f t="shared" si="108"/>
        <v>Excellent</v>
      </c>
      <c r="P1205" t="str">
        <f t="shared" si="110"/>
        <v>High</v>
      </c>
      <c r="Q1205" t="str">
        <f t="shared" si="111"/>
        <v>Low Loan</v>
      </c>
      <c r="R1205">
        <f t="shared" si="112"/>
        <v>26500000</v>
      </c>
      <c r="S1205" t="str">
        <f t="shared" si="113"/>
        <v>Strong</v>
      </c>
    </row>
    <row r="1206" spans="1:19" x14ac:dyDescent="0.25">
      <c r="A1206">
        <v>1205</v>
      </c>
      <c r="B1206">
        <v>5</v>
      </c>
      <c r="C1206" t="s">
        <v>30</v>
      </c>
      <c r="D1206" t="s">
        <v>33</v>
      </c>
      <c r="E1206">
        <v>1800000</v>
      </c>
      <c r="F1206">
        <v>5300000</v>
      </c>
      <c r="G1206">
        <v>12</v>
      </c>
      <c r="H1206">
        <v>461</v>
      </c>
      <c r="I1206">
        <v>2800000</v>
      </c>
      <c r="J1206">
        <v>2000000</v>
      </c>
      <c r="K1206">
        <v>4700000</v>
      </c>
      <c r="L1206">
        <v>2000000</v>
      </c>
      <c r="M1206" t="s">
        <v>35</v>
      </c>
      <c r="N1206">
        <f t="shared" si="109"/>
        <v>0</v>
      </c>
      <c r="O1206" t="str">
        <f t="shared" si="108"/>
        <v>Low</v>
      </c>
      <c r="P1206" t="str">
        <f t="shared" si="110"/>
        <v>High</v>
      </c>
      <c r="Q1206" t="str">
        <f t="shared" si="111"/>
        <v>Low Loan</v>
      </c>
      <c r="R1206">
        <f t="shared" si="112"/>
        <v>11500000</v>
      </c>
      <c r="S1206" t="str">
        <f t="shared" si="113"/>
        <v>Strong</v>
      </c>
    </row>
    <row r="1207" spans="1:19" x14ac:dyDescent="0.25">
      <c r="A1207">
        <v>1206</v>
      </c>
      <c r="B1207">
        <v>3</v>
      </c>
      <c r="C1207" t="s">
        <v>31</v>
      </c>
      <c r="D1207" t="s">
        <v>33</v>
      </c>
      <c r="E1207">
        <v>7000000</v>
      </c>
      <c r="F1207">
        <v>16100000</v>
      </c>
      <c r="G1207">
        <v>16</v>
      </c>
      <c r="H1207">
        <v>379</v>
      </c>
      <c r="I1207">
        <v>2000000</v>
      </c>
      <c r="J1207">
        <v>5200000</v>
      </c>
      <c r="K1207">
        <v>23000000</v>
      </c>
      <c r="L1207">
        <v>10000000</v>
      </c>
      <c r="M1207" t="s">
        <v>35</v>
      </c>
      <c r="N1207">
        <f t="shared" si="109"/>
        <v>0</v>
      </c>
      <c r="O1207" t="str">
        <f t="shared" si="108"/>
        <v>Low</v>
      </c>
      <c r="P1207" t="str">
        <f t="shared" si="110"/>
        <v>High</v>
      </c>
      <c r="Q1207" t="str">
        <f t="shared" si="111"/>
        <v>Low Loan</v>
      </c>
      <c r="R1207">
        <f t="shared" si="112"/>
        <v>40200000</v>
      </c>
      <c r="S1207" t="str">
        <f t="shared" si="113"/>
        <v>Strong</v>
      </c>
    </row>
    <row r="1208" spans="1:19" x14ac:dyDescent="0.25">
      <c r="A1208">
        <v>1207</v>
      </c>
      <c r="B1208">
        <v>2</v>
      </c>
      <c r="C1208" t="s">
        <v>31</v>
      </c>
      <c r="D1208" t="s">
        <v>33</v>
      </c>
      <c r="E1208">
        <v>5100000</v>
      </c>
      <c r="F1208">
        <v>13700000</v>
      </c>
      <c r="G1208">
        <v>6</v>
      </c>
      <c r="H1208">
        <v>559</v>
      </c>
      <c r="I1208">
        <v>7800000</v>
      </c>
      <c r="J1208">
        <v>9800000</v>
      </c>
      <c r="K1208">
        <v>12700000</v>
      </c>
      <c r="L1208">
        <v>5100000</v>
      </c>
      <c r="M1208" t="s">
        <v>34</v>
      </c>
      <c r="N1208">
        <f t="shared" si="109"/>
        <v>1</v>
      </c>
      <c r="O1208" t="str">
        <f t="shared" si="108"/>
        <v>Low</v>
      </c>
      <c r="P1208" t="str">
        <f t="shared" si="110"/>
        <v>High</v>
      </c>
      <c r="Q1208" t="str">
        <f t="shared" si="111"/>
        <v>Low Loan</v>
      </c>
      <c r="R1208">
        <f t="shared" si="112"/>
        <v>35400000</v>
      </c>
      <c r="S1208" t="str">
        <f t="shared" si="113"/>
        <v>Strong</v>
      </c>
    </row>
    <row r="1209" spans="1:19" x14ac:dyDescent="0.25">
      <c r="A1209">
        <v>1208</v>
      </c>
      <c r="B1209">
        <v>1</v>
      </c>
      <c r="C1209" t="s">
        <v>31</v>
      </c>
      <c r="D1209" t="s">
        <v>33</v>
      </c>
      <c r="E1209">
        <v>300000</v>
      </c>
      <c r="F1209">
        <v>600000</v>
      </c>
      <c r="G1209">
        <v>8</v>
      </c>
      <c r="H1209">
        <v>816</v>
      </c>
      <c r="I1209">
        <v>600000</v>
      </c>
      <c r="J1209">
        <v>300000</v>
      </c>
      <c r="K1209">
        <v>1100000</v>
      </c>
      <c r="L1209">
        <v>200000</v>
      </c>
      <c r="M1209" t="s">
        <v>34</v>
      </c>
      <c r="N1209">
        <f t="shared" si="109"/>
        <v>1</v>
      </c>
      <c r="O1209" t="str">
        <f t="shared" si="108"/>
        <v>Excellent</v>
      </c>
      <c r="P1209" t="str">
        <f t="shared" si="110"/>
        <v>Middle</v>
      </c>
      <c r="Q1209" t="str">
        <f t="shared" si="111"/>
        <v>Low Loan</v>
      </c>
      <c r="R1209">
        <f t="shared" si="112"/>
        <v>2200000</v>
      </c>
      <c r="S1209" t="str">
        <f t="shared" si="113"/>
        <v>Weak</v>
      </c>
    </row>
    <row r="1210" spans="1:19" x14ac:dyDescent="0.25">
      <c r="A1210">
        <v>1209</v>
      </c>
      <c r="B1210">
        <v>4</v>
      </c>
      <c r="C1210" t="s">
        <v>31</v>
      </c>
      <c r="D1210" t="s">
        <v>33</v>
      </c>
      <c r="E1210">
        <v>4300000</v>
      </c>
      <c r="F1210">
        <v>11400000</v>
      </c>
      <c r="G1210">
        <v>2</v>
      </c>
      <c r="H1210">
        <v>560</v>
      </c>
      <c r="I1210">
        <v>10000000</v>
      </c>
      <c r="J1210">
        <v>3900000</v>
      </c>
      <c r="K1210">
        <v>8900000</v>
      </c>
      <c r="L1210">
        <v>3300000</v>
      </c>
      <c r="M1210" t="s">
        <v>34</v>
      </c>
      <c r="N1210">
        <f t="shared" si="109"/>
        <v>1</v>
      </c>
      <c r="O1210" t="str">
        <f t="shared" si="108"/>
        <v>Low</v>
      </c>
      <c r="P1210" t="str">
        <f t="shared" si="110"/>
        <v>High</v>
      </c>
      <c r="Q1210" t="str">
        <f t="shared" si="111"/>
        <v>Low Loan</v>
      </c>
      <c r="R1210">
        <f t="shared" si="112"/>
        <v>26100000</v>
      </c>
      <c r="S1210" t="str">
        <f t="shared" si="113"/>
        <v>Strong</v>
      </c>
    </row>
    <row r="1211" spans="1:19" x14ac:dyDescent="0.25">
      <c r="A1211">
        <v>1210</v>
      </c>
      <c r="B1211">
        <v>0</v>
      </c>
      <c r="C1211" t="s">
        <v>30</v>
      </c>
      <c r="D1211" t="s">
        <v>33</v>
      </c>
      <c r="E1211">
        <v>3200000</v>
      </c>
      <c r="F1211">
        <v>12000000</v>
      </c>
      <c r="G1211">
        <v>14</v>
      </c>
      <c r="H1211">
        <v>645</v>
      </c>
      <c r="I1211">
        <v>5200000</v>
      </c>
      <c r="J1211">
        <v>1400000</v>
      </c>
      <c r="K1211">
        <v>12100000</v>
      </c>
      <c r="L1211">
        <v>3400000</v>
      </c>
      <c r="M1211" t="s">
        <v>34</v>
      </c>
      <c r="N1211">
        <f t="shared" si="109"/>
        <v>1</v>
      </c>
      <c r="O1211" t="str">
        <f t="shared" si="108"/>
        <v>Low</v>
      </c>
      <c r="P1211" t="str">
        <f t="shared" si="110"/>
        <v>High</v>
      </c>
      <c r="Q1211" t="str">
        <f t="shared" si="111"/>
        <v>Low Loan</v>
      </c>
      <c r="R1211">
        <f t="shared" si="112"/>
        <v>22100000</v>
      </c>
      <c r="S1211" t="str">
        <f t="shared" si="113"/>
        <v>Strong</v>
      </c>
    </row>
    <row r="1212" spans="1:19" x14ac:dyDescent="0.25">
      <c r="A1212">
        <v>1211</v>
      </c>
      <c r="B1212">
        <v>4</v>
      </c>
      <c r="C1212" t="s">
        <v>31</v>
      </c>
      <c r="D1212" t="s">
        <v>33</v>
      </c>
      <c r="E1212">
        <v>4200000</v>
      </c>
      <c r="F1212">
        <v>11500000</v>
      </c>
      <c r="G1212">
        <v>6</v>
      </c>
      <c r="H1212">
        <v>551</v>
      </c>
      <c r="I1212">
        <v>10600000</v>
      </c>
      <c r="J1212">
        <v>7600000</v>
      </c>
      <c r="K1212">
        <v>11300000</v>
      </c>
      <c r="L1212">
        <v>5000000</v>
      </c>
      <c r="M1212" t="s">
        <v>34</v>
      </c>
      <c r="N1212">
        <f t="shared" si="109"/>
        <v>1</v>
      </c>
      <c r="O1212" t="str">
        <f t="shared" si="108"/>
        <v>Low</v>
      </c>
      <c r="P1212" t="str">
        <f t="shared" si="110"/>
        <v>High</v>
      </c>
      <c r="Q1212" t="str">
        <f t="shared" si="111"/>
        <v>Low Loan</v>
      </c>
      <c r="R1212">
        <f t="shared" si="112"/>
        <v>34500000</v>
      </c>
      <c r="S1212" t="str">
        <f t="shared" si="113"/>
        <v>Strong</v>
      </c>
    </row>
    <row r="1213" spans="1:19" x14ac:dyDescent="0.25">
      <c r="A1213">
        <v>1212</v>
      </c>
      <c r="B1213">
        <v>0</v>
      </c>
      <c r="C1213" t="s">
        <v>31</v>
      </c>
      <c r="D1213" t="s">
        <v>33</v>
      </c>
      <c r="E1213">
        <v>9600000</v>
      </c>
      <c r="F1213">
        <v>22900000</v>
      </c>
      <c r="G1213">
        <v>8</v>
      </c>
      <c r="H1213">
        <v>515</v>
      </c>
      <c r="I1213">
        <v>4300000</v>
      </c>
      <c r="J1213">
        <v>14700000</v>
      </c>
      <c r="K1213">
        <v>33300000</v>
      </c>
      <c r="L1213">
        <v>7800000</v>
      </c>
      <c r="M1213" t="s">
        <v>35</v>
      </c>
      <c r="N1213">
        <f t="shared" si="109"/>
        <v>0</v>
      </c>
      <c r="O1213" t="str">
        <f t="shared" si="108"/>
        <v>Low</v>
      </c>
      <c r="P1213" t="str">
        <f t="shared" si="110"/>
        <v>High</v>
      </c>
      <c r="Q1213" t="str">
        <f t="shared" si="111"/>
        <v>High Loan</v>
      </c>
      <c r="R1213">
        <f t="shared" si="112"/>
        <v>60100000</v>
      </c>
      <c r="S1213" t="str">
        <f t="shared" si="113"/>
        <v>Strong</v>
      </c>
    </row>
    <row r="1214" spans="1:19" x14ac:dyDescent="0.25">
      <c r="A1214">
        <v>1213</v>
      </c>
      <c r="B1214">
        <v>4</v>
      </c>
      <c r="C1214" t="s">
        <v>30</v>
      </c>
      <c r="D1214" t="s">
        <v>32</v>
      </c>
      <c r="E1214">
        <v>1300000</v>
      </c>
      <c r="F1214">
        <v>3600000</v>
      </c>
      <c r="G1214">
        <v>10</v>
      </c>
      <c r="H1214">
        <v>657</v>
      </c>
      <c r="I1214">
        <v>3200000</v>
      </c>
      <c r="J1214">
        <v>1900000</v>
      </c>
      <c r="K1214">
        <v>2900000</v>
      </c>
      <c r="L1214">
        <v>1100000</v>
      </c>
      <c r="M1214" t="s">
        <v>34</v>
      </c>
      <c r="N1214">
        <f t="shared" si="109"/>
        <v>1</v>
      </c>
      <c r="O1214" t="str">
        <f t="shared" si="108"/>
        <v>Medium</v>
      </c>
      <c r="P1214" t="str">
        <f t="shared" si="110"/>
        <v>High</v>
      </c>
      <c r="Q1214" t="str">
        <f t="shared" si="111"/>
        <v>Low Loan</v>
      </c>
      <c r="R1214">
        <f t="shared" si="112"/>
        <v>9100000</v>
      </c>
      <c r="S1214" t="str">
        <f t="shared" si="113"/>
        <v>Moderate</v>
      </c>
    </row>
    <row r="1215" spans="1:19" x14ac:dyDescent="0.25">
      <c r="A1215">
        <v>1214</v>
      </c>
      <c r="B1215">
        <v>3</v>
      </c>
      <c r="C1215" t="s">
        <v>31</v>
      </c>
      <c r="D1215" t="s">
        <v>32</v>
      </c>
      <c r="E1215">
        <v>2400000</v>
      </c>
      <c r="F1215">
        <v>9300000</v>
      </c>
      <c r="G1215">
        <v>2</v>
      </c>
      <c r="H1215">
        <v>682</v>
      </c>
      <c r="I1215">
        <v>3100000</v>
      </c>
      <c r="J1215">
        <v>4400000</v>
      </c>
      <c r="K1215">
        <v>5200000</v>
      </c>
      <c r="L1215">
        <v>1500000</v>
      </c>
      <c r="M1215" t="s">
        <v>34</v>
      </c>
      <c r="N1215">
        <f t="shared" si="109"/>
        <v>1</v>
      </c>
      <c r="O1215" t="str">
        <f t="shared" si="108"/>
        <v>Medium</v>
      </c>
      <c r="P1215" t="str">
        <f t="shared" si="110"/>
        <v>High</v>
      </c>
      <c r="Q1215" t="str">
        <f t="shared" si="111"/>
        <v>Low Loan</v>
      </c>
      <c r="R1215">
        <f t="shared" si="112"/>
        <v>14200000</v>
      </c>
      <c r="S1215" t="str">
        <f t="shared" si="113"/>
        <v>Strong</v>
      </c>
    </row>
    <row r="1216" spans="1:19" x14ac:dyDescent="0.25">
      <c r="A1216">
        <v>1215</v>
      </c>
      <c r="B1216">
        <v>0</v>
      </c>
      <c r="C1216" t="s">
        <v>30</v>
      </c>
      <c r="D1216" t="s">
        <v>32</v>
      </c>
      <c r="E1216">
        <v>600000</v>
      </c>
      <c r="F1216">
        <v>1600000</v>
      </c>
      <c r="G1216">
        <v>10</v>
      </c>
      <c r="H1216">
        <v>588</v>
      </c>
      <c r="I1216">
        <v>1600000</v>
      </c>
      <c r="J1216">
        <v>100000</v>
      </c>
      <c r="K1216">
        <v>1100000</v>
      </c>
      <c r="L1216">
        <v>300000</v>
      </c>
      <c r="M1216" t="s">
        <v>34</v>
      </c>
      <c r="N1216">
        <f t="shared" si="109"/>
        <v>1</v>
      </c>
      <c r="O1216" t="str">
        <f t="shared" si="108"/>
        <v>Low</v>
      </c>
      <c r="P1216" t="str">
        <f t="shared" si="110"/>
        <v>Middle</v>
      </c>
      <c r="Q1216" t="str">
        <f t="shared" si="111"/>
        <v>Low Loan</v>
      </c>
      <c r="R1216">
        <f t="shared" si="112"/>
        <v>3100000</v>
      </c>
      <c r="S1216" t="str">
        <f t="shared" si="113"/>
        <v>Weak</v>
      </c>
    </row>
    <row r="1217" spans="1:19" x14ac:dyDescent="0.25">
      <c r="A1217">
        <v>1216</v>
      </c>
      <c r="B1217">
        <v>5</v>
      </c>
      <c r="C1217" t="s">
        <v>30</v>
      </c>
      <c r="D1217" t="s">
        <v>33</v>
      </c>
      <c r="E1217">
        <v>9600000</v>
      </c>
      <c r="F1217">
        <v>38000000</v>
      </c>
      <c r="G1217">
        <v>10</v>
      </c>
      <c r="H1217">
        <v>359</v>
      </c>
      <c r="I1217">
        <v>2100000</v>
      </c>
      <c r="J1217">
        <v>13600000</v>
      </c>
      <c r="K1217">
        <v>38200000</v>
      </c>
      <c r="L1217">
        <v>9400000</v>
      </c>
      <c r="M1217" t="s">
        <v>35</v>
      </c>
      <c r="N1217">
        <f t="shared" si="109"/>
        <v>0</v>
      </c>
      <c r="O1217" t="str">
        <f t="shared" si="108"/>
        <v>Low</v>
      </c>
      <c r="P1217" t="str">
        <f t="shared" si="110"/>
        <v>High</v>
      </c>
      <c r="Q1217" t="str">
        <f t="shared" si="111"/>
        <v>High Loan</v>
      </c>
      <c r="R1217">
        <f t="shared" si="112"/>
        <v>63300000</v>
      </c>
      <c r="S1217" t="str">
        <f t="shared" si="113"/>
        <v>Strong</v>
      </c>
    </row>
    <row r="1218" spans="1:19" x14ac:dyDescent="0.25">
      <c r="A1218">
        <v>1217</v>
      </c>
      <c r="B1218">
        <v>0</v>
      </c>
      <c r="C1218" t="s">
        <v>30</v>
      </c>
      <c r="D1218" t="s">
        <v>32</v>
      </c>
      <c r="E1218">
        <v>400000</v>
      </c>
      <c r="F1218">
        <v>1200000</v>
      </c>
      <c r="G1218">
        <v>4</v>
      </c>
      <c r="H1218">
        <v>766</v>
      </c>
      <c r="I1218">
        <v>900000</v>
      </c>
      <c r="J1218">
        <v>300000</v>
      </c>
      <c r="K1218">
        <v>1200000</v>
      </c>
      <c r="L1218">
        <v>300000</v>
      </c>
      <c r="M1218" t="s">
        <v>34</v>
      </c>
      <c r="N1218">
        <f t="shared" si="109"/>
        <v>1</v>
      </c>
      <c r="O1218" t="str">
        <f t="shared" ref="O1218:O1281" si="114">IF(H1218&lt;650,"Low",
 IF(H1218&lt;700,"Medium",
 IF(H1218&lt;750,"Good","Excellent")))</f>
        <v>Excellent</v>
      </c>
      <c r="P1218" t="str">
        <f t="shared" si="110"/>
        <v>Middle</v>
      </c>
      <c r="Q1218" t="str">
        <f t="shared" si="111"/>
        <v>Low Loan</v>
      </c>
      <c r="R1218">
        <f t="shared" si="112"/>
        <v>2700000</v>
      </c>
      <c r="S1218" t="str">
        <f t="shared" si="113"/>
        <v>Weak</v>
      </c>
    </row>
    <row r="1219" spans="1:19" x14ac:dyDescent="0.25">
      <c r="A1219">
        <v>1218</v>
      </c>
      <c r="B1219">
        <v>4</v>
      </c>
      <c r="C1219" t="s">
        <v>30</v>
      </c>
      <c r="D1219" t="s">
        <v>32</v>
      </c>
      <c r="E1219">
        <v>5900000</v>
      </c>
      <c r="F1219">
        <v>19900000</v>
      </c>
      <c r="G1219">
        <v>14</v>
      </c>
      <c r="H1219">
        <v>469</v>
      </c>
      <c r="I1219">
        <v>14200000</v>
      </c>
      <c r="J1219">
        <v>6800000</v>
      </c>
      <c r="K1219">
        <v>22100000</v>
      </c>
      <c r="L1219">
        <v>3200000</v>
      </c>
      <c r="M1219" t="s">
        <v>35</v>
      </c>
      <c r="N1219">
        <f t="shared" ref="N1219:N1282" si="115">IF(TRIM(CLEAN(M1219))="Approved",1,0)</f>
        <v>0</v>
      </c>
      <c r="O1219" t="str">
        <f t="shared" si="114"/>
        <v>Low</v>
      </c>
      <c r="P1219" t="str">
        <f t="shared" ref="P1219:P1282" si="116">IF(E1219&lt;300000,"Low",
 IF(E1219&lt;700000,"Middle","High"))</f>
        <v>High</v>
      </c>
      <c r="Q1219" t="str">
        <f t="shared" ref="Q1219:Q1282" si="117">IF(F1219&lt;20000000,"Low Loan","High Loan")</f>
        <v>Low Loan</v>
      </c>
      <c r="R1219">
        <f t="shared" ref="R1219:R1282" si="118">I1219+J1219+K1219+L1219</f>
        <v>46300000</v>
      </c>
      <c r="S1219" t="str">
        <f t="shared" ref="S1219:S1282" si="119">IF(R1219&lt;5000000,"Weak",
 IF(R1219&lt;10000000,"Moderate","Strong"))</f>
        <v>Strong</v>
      </c>
    </row>
    <row r="1220" spans="1:19" x14ac:dyDescent="0.25">
      <c r="A1220">
        <v>1219</v>
      </c>
      <c r="B1220">
        <v>0</v>
      </c>
      <c r="C1220" t="s">
        <v>30</v>
      </c>
      <c r="D1220" t="s">
        <v>33</v>
      </c>
      <c r="E1220">
        <v>700000</v>
      </c>
      <c r="F1220">
        <v>1400000</v>
      </c>
      <c r="G1220">
        <v>10</v>
      </c>
      <c r="H1220">
        <v>618</v>
      </c>
      <c r="I1220">
        <v>1300000</v>
      </c>
      <c r="J1220">
        <v>200000</v>
      </c>
      <c r="K1220">
        <v>1700000</v>
      </c>
      <c r="L1220">
        <v>500000</v>
      </c>
      <c r="M1220" t="s">
        <v>34</v>
      </c>
      <c r="N1220">
        <f t="shared" si="115"/>
        <v>1</v>
      </c>
      <c r="O1220" t="str">
        <f t="shared" si="114"/>
        <v>Low</v>
      </c>
      <c r="P1220" t="str">
        <f t="shared" si="116"/>
        <v>High</v>
      </c>
      <c r="Q1220" t="str">
        <f t="shared" si="117"/>
        <v>Low Loan</v>
      </c>
      <c r="R1220">
        <f t="shared" si="118"/>
        <v>3700000</v>
      </c>
      <c r="S1220" t="str">
        <f t="shared" si="119"/>
        <v>Weak</v>
      </c>
    </row>
    <row r="1221" spans="1:19" x14ac:dyDescent="0.25">
      <c r="A1221">
        <v>1220</v>
      </c>
      <c r="B1221">
        <v>0</v>
      </c>
      <c r="C1221" t="s">
        <v>31</v>
      </c>
      <c r="D1221" t="s">
        <v>33</v>
      </c>
      <c r="E1221">
        <v>8600000</v>
      </c>
      <c r="F1221">
        <v>17700000</v>
      </c>
      <c r="G1221">
        <v>20</v>
      </c>
      <c r="H1221">
        <v>711</v>
      </c>
      <c r="I1221">
        <v>22000000</v>
      </c>
      <c r="J1221">
        <v>0</v>
      </c>
      <c r="K1221">
        <v>30800000</v>
      </c>
      <c r="L1221">
        <v>7400000</v>
      </c>
      <c r="M1221" t="s">
        <v>34</v>
      </c>
      <c r="N1221">
        <f t="shared" si="115"/>
        <v>1</v>
      </c>
      <c r="O1221" t="str">
        <f t="shared" si="114"/>
        <v>Good</v>
      </c>
      <c r="P1221" t="str">
        <f t="shared" si="116"/>
        <v>High</v>
      </c>
      <c r="Q1221" t="str">
        <f t="shared" si="117"/>
        <v>Low Loan</v>
      </c>
      <c r="R1221">
        <f t="shared" si="118"/>
        <v>60200000</v>
      </c>
      <c r="S1221" t="str">
        <f t="shared" si="119"/>
        <v>Strong</v>
      </c>
    </row>
    <row r="1222" spans="1:19" x14ac:dyDescent="0.25">
      <c r="A1222">
        <v>1221</v>
      </c>
      <c r="B1222">
        <v>0</v>
      </c>
      <c r="C1222" t="s">
        <v>30</v>
      </c>
      <c r="D1222" t="s">
        <v>33</v>
      </c>
      <c r="E1222">
        <v>9000000</v>
      </c>
      <c r="F1222">
        <v>34000000</v>
      </c>
      <c r="G1222">
        <v>4</v>
      </c>
      <c r="H1222">
        <v>549</v>
      </c>
      <c r="I1222">
        <v>2000000</v>
      </c>
      <c r="J1222">
        <v>8900000</v>
      </c>
      <c r="K1222">
        <v>20000000</v>
      </c>
      <c r="L1222">
        <v>12400000</v>
      </c>
      <c r="M1222" t="s">
        <v>34</v>
      </c>
      <c r="N1222">
        <f t="shared" si="115"/>
        <v>1</v>
      </c>
      <c r="O1222" t="str">
        <f t="shared" si="114"/>
        <v>Low</v>
      </c>
      <c r="P1222" t="str">
        <f t="shared" si="116"/>
        <v>High</v>
      </c>
      <c r="Q1222" t="str">
        <f t="shared" si="117"/>
        <v>High Loan</v>
      </c>
      <c r="R1222">
        <f t="shared" si="118"/>
        <v>43300000</v>
      </c>
      <c r="S1222" t="str">
        <f t="shared" si="119"/>
        <v>Strong</v>
      </c>
    </row>
    <row r="1223" spans="1:19" x14ac:dyDescent="0.25">
      <c r="A1223">
        <v>1222</v>
      </c>
      <c r="B1223">
        <v>3</v>
      </c>
      <c r="C1223" t="s">
        <v>30</v>
      </c>
      <c r="D1223" t="s">
        <v>33</v>
      </c>
      <c r="E1223">
        <v>5100000</v>
      </c>
      <c r="F1223">
        <v>20400000</v>
      </c>
      <c r="G1223">
        <v>6</v>
      </c>
      <c r="H1223">
        <v>754</v>
      </c>
      <c r="I1223">
        <v>1700000</v>
      </c>
      <c r="J1223">
        <v>2600000</v>
      </c>
      <c r="K1223">
        <v>11800000</v>
      </c>
      <c r="L1223">
        <v>7600000</v>
      </c>
      <c r="M1223" t="s">
        <v>34</v>
      </c>
      <c r="N1223">
        <f t="shared" si="115"/>
        <v>1</v>
      </c>
      <c r="O1223" t="str">
        <f t="shared" si="114"/>
        <v>Excellent</v>
      </c>
      <c r="P1223" t="str">
        <f t="shared" si="116"/>
        <v>High</v>
      </c>
      <c r="Q1223" t="str">
        <f t="shared" si="117"/>
        <v>High Loan</v>
      </c>
      <c r="R1223">
        <f t="shared" si="118"/>
        <v>23700000</v>
      </c>
      <c r="S1223" t="str">
        <f t="shared" si="119"/>
        <v>Strong</v>
      </c>
    </row>
    <row r="1224" spans="1:19" x14ac:dyDescent="0.25">
      <c r="A1224">
        <v>1223</v>
      </c>
      <c r="B1224">
        <v>4</v>
      </c>
      <c r="C1224" t="s">
        <v>31</v>
      </c>
      <c r="D1224" t="s">
        <v>33</v>
      </c>
      <c r="E1224">
        <v>500000</v>
      </c>
      <c r="F1224">
        <v>1500000</v>
      </c>
      <c r="G1224">
        <v>6</v>
      </c>
      <c r="H1224">
        <v>461</v>
      </c>
      <c r="I1224">
        <v>1300000</v>
      </c>
      <c r="J1224">
        <v>500000</v>
      </c>
      <c r="K1224">
        <v>1700000</v>
      </c>
      <c r="L1224">
        <v>200000</v>
      </c>
      <c r="M1224" t="s">
        <v>35</v>
      </c>
      <c r="N1224">
        <f t="shared" si="115"/>
        <v>0</v>
      </c>
      <c r="O1224" t="str">
        <f t="shared" si="114"/>
        <v>Low</v>
      </c>
      <c r="P1224" t="str">
        <f t="shared" si="116"/>
        <v>Middle</v>
      </c>
      <c r="Q1224" t="str">
        <f t="shared" si="117"/>
        <v>Low Loan</v>
      </c>
      <c r="R1224">
        <f t="shared" si="118"/>
        <v>3700000</v>
      </c>
      <c r="S1224" t="str">
        <f t="shared" si="119"/>
        <v>Weak</v>
      </c>
    </row>
    <row r="1225" spans="1:19" x14ac:dyDescent="0.25">
      <c r="A1225">
        <v>1224</v>
      </c>
      <c r="B1225">
        <v>2</v>
      </c>
      <c r="C1225" t="s">
        <v>30</v>
      </c>
      <c r="D1225" t="s">
        <v>32</v>
      </c>
      <c r="E1225">
        <v>1600000</v>
      </c>
      <c r="F1225">
        <v>3800000</v>
      </c>
      <c r="G1225">
        <v>10</v>
      </c>
      <c r="H1225">
        <v>837</v>
      </c>
      <c r="I1225">
        <v>3800000</v>
      </c>
      <c r="J1225">
        <v>1100000</v>
      </c>
      <c r="K1225">
        <v>5500000</v>
      </c>
      <c r="L1225">
        <v>1600000</v>
      </c>
      <c r="M1225" t="s">
        <v>34</v>
      </c>
      <c r="N1225">
        <f t="shared" si="115"/>
        <v>1</v>
      </c>
      <c r="O1225" t="str">
        <f t="shared" si="114"/>
        <v>Excellent</v>
      </c>
      <c r="P1225" t="str">
        <f t="shared" si="116"/>
        <v>High</v>
      </c>
      <c r="Q1225" t="str">
        <f t="shared" si="117"/>
        <v>Low Loan</v>
      </c>
      <c r="R1225">
        <f t="shared" si="118"/>
        <v>12000000</v>
      </c>
      <c r="S1225" t="str">
        <f t="shared" si="119"/>
        <v>Strong</v>
      </c>
    </row>
    <row r="1226" spans="1:19" x14ac:dyDescent="0.25">
      <c r="A1226">
        <v>1225</v>
      </c>
      <c r="B1226">
        <v>0</v>
      </c>
      <c r="C1226" t="s">
        <v>30</v>
      </c>
      <c r="D1226" t="s">
        <v>33</v>
      </c>
      <c r="E1226">
        <v>9800000</v>
      </c>
      <c r="F1226">
        <v>23900000</v>
      </c>
      <c r="G1226">
        <v>14</v>
      </c>
      <c r="H1226">
        <v>459</v>
      </c>
      <c r="I1226">
        <v>1000000</v>
      </c>
      <c r="J1226">
        <v>13400000</v>
      </c>
      <c r="K1226">
        <v>21100000</v>
      </c>
      <c r="L1226">
        <v>7200000</v>
      </c>
      <c r="M1226" t="s">
        <v>35</v>
      </c>
      <c r="N1226">
        <f t="shared" si="115"/>
        <v>0</v>
      </c>
      <c r="O1226" t="str">
        <f t="shared" si="114"/>
        <v>Low</v>
      </c>
      <c r="P1226" t="str">
        <f t="shared" si="116"/>
        <v>High</v>
      </c>
      <c r="Q1226" t="str">
        <f t="shared" si="117"/>
        <v>High Loan</v>
      </c>
      <c r="R1226">
        <f t="shared" si="118"/>
        <v>42700000</v>
      </c>
      <c r="S1226" t="str">
        <f t="shared" si="119"/>
        <v>Strong</v>
      </c>
    </row>
    <row r="1227" spans="1:19" x14ac:dyDescent="0.25">
      <c r="A1227">
        <v>1226</v>
      </c>
      <c r="B1227">
        <v>4</v>
      </c>
      <c r="C1227" t="s">
        <v>30</v>
      </c>
      <c r="D1227" t="s">
        <v>32</v>
      </c>
      <c r="E1227">
        <v>7800000</v>
      </c>
      <c r="F1227">
        <v>29700000</v>
      </c>
      <c r="G1227">
        <v>20</v>
      </c>
      <c r="H1227">
        <v>614</v>
      </c>
      <c r="I1227">
        <v>22000000</v>
      </c>
      <c r="J1227">
        <v>700000</v>
      </c>
      <c r="K1227">
        <v>26800000</v>
      </c>
      <c r="L1227">
        <v>6300000</v>
      </c>
      <c r="M1227" t="s">
        <v>34</v>
      </c>
      <c r="N1227">
        <f t="shared" si="115"/>
        <v>1</v>
      </c>
      <c r="O1227" t="str">
        <f t="shared" si="114"/>
        <v>Low</v>
      </c>
      <c r="P1227" t="str">
        <f t="shared" si="116"/>
        <v>High</v>
      </c>
      <c r="Q1227" t="str">
        <f t="shared" si="117"/>
        <v>High Loan</v>
      </c>
      <c r="R1227">
        <f t="shared" si="118"/>
        <v>55800000</v>
      </c>
      <c r="S1227" t="str">
        <f t="shared" si="119"/>
        <v>Strong</v>
      </c>
    </row>
    <row r="1228" spans="1:19" x14ac:dyDescent="0.25">
      <c r="A1228">
        <v>1227</v>
      </c>
      <c r="B1228">
        <v>4</v>
      </c>
      <c r="C1228" t="s">
        <v>31</v>
      </c>
      <c r="D1228" t="s">
        <v>32</v>
      </c>
      <c r="E1228">
        <v>6500000</v>
      </c>
      <c r="F1228">
        <v>24000000</v>
      </c>
      <c r="G1228">
        <v>16</v>
      </c>
      <c r="H1228">
        <v>373</v>
      </c>
      <c r="I1228">
        <v>5600000</v>
      </c>
      <c r="J1228">
        <v>5100000</v>
      </c>
      <c r="K1228">
        <v>15600000</v>
      </c>
      <c r="L1228">
        <v>6700000</v>
      </c>
      <c r="M1228" t="s">
        <v>35</v>
      </c>
      <c r="N1228">
        <f t="shared" si="115"/>
        <v>0</v>
      </c>
      <c r="O1228" t="str">
        <f t="shared" si="114"/>
        <v>Low</v>
      </c>
      <c r="P1228" t="str">
        <f t="shared" si="116"/>
        <v>High</v>
      </c>
      <c r="Q1228" t="str">
        <f t="shared" si="117"/>
        <v>High Loan</v>
      </c>
      <c r="R1228">
        <f t="shared" si="118"/>
        <v>33000000</v>
      </c>
      <c r="S1228" t="str">
        <f t="shared" si="119"/>
        <v>Strong</v>
      </c>
    </row>
    <row r="1229" spans="1:19" x14ac:dyDescent="0.25">
      <c r="A1229">
        <v>1228</v>
      </c>
      <c r="B1229">
        <v>5</v>
      </c>
      <c r="C1229" t="s">
        <v>30</v>
      </c>
      <c r="D1229" t="s">
        <v>33</v>
      </c>
      <c r="E1229">
        <v>7500000</v>
      </c>
      <c r="F1229">
        <v>26500000</v>
      </c>
      <c r="G1229">
        <v>12</v>
      </c>
      <c r="H1229">
        <v>512</v>
      </c>
      <c r="I1229">
        <v>16500000</v>
      </c>
      <c r="J1229">
        <v>2900000</v>
      </c>
      <c r="K1229">
        <v>23700000</v>
      </c>
      <c r="L1229">
        <v>6000000</v>
      </c>
      <c r="M1229" t="s">
        <v>35</v>
      </c>
      <c r="N1229">
        <f t="shared" si="115"/>
        <v>0</v>
      </c>
      <c r="O1229" t="str">
        <f t="shared" si="114"/>
        <v>Low</v>
      </c>
      <c r="P1229" t="str">
        <f t="shared" si="116"/>
        <v>High</v>
      </c>
      <c r="Q1229" t="str">
        <f t="shared" si="117"/>
        <v>High Loan</v>
      </c>
      <c r="R1229">
        <f t="shared" si="118"/>
        <v>49100000</v>
      </c>
      <c r="S1229" t="str">
        <f t="shared" si="119"/>
        <v>Strong</v>
      </c>
    </row>
    <row r="1230" spans="1:19" x14ac:dyDescent="0.25">
      <c r="A1230">
        <v>1229</v>
      </c>
      <c r="B1230">
        <v>4</v>
      </c>
      <c r="C1230" t="s">
        <v>30</v>
      </c>
      <c r="D1230" t="s">
        <v>33</v>
      </c>
      <c r="E1230">
        <v>8900000</v>
      </c>
      <c r="F1230">
        <v>23400000</v>
      </c>
      <c r="G1230">
        <v>18</v>
      </c>
      <c r="H1230">
        <v>781</v>
      </c>
      <c r="I1230">
        <v>16500000</v>
      </c>
      <c r="J1230">
        <v>3100000</v>
      </c>
      <c r="K1230">
        <v>24900000</v>
      </c>
      <c r="L1230">
        <v>5800000</v>
      </c>
      <c r="M1230" t="s">
        <v>34</v>
      </c>
      <c r="N1230">
        <f t="shared" si="115"/>
        <v>1</v>
      </c>
      <c r="O1230" t="str">
        <f t="shared" si="114"/>
        <v>Excellent</v>
      </c>
      <c r="P1230" t="str">
        <f t="shared" si="116"/>
        <v>High</v>
      </c>
      <c r="Q1230" t="str">
        <f t="shared" si="117"/>
        <v>High Loan</v>
      </c>
      <c r="R1230">
        <f t="shared" si="118"/>
        <v>50300000</v>
      </c>
      <c r="S1230" t="str">
        <f t="shared" si="119"/>
        <v>Strong</v>
      </c>
    </row>
    <row r="1231" spans="1:19" x14ac:dyDescent="0.25">
      <c r="A1231">
        <v>1230</v>
      </c>
      <c r="B1231">
        <v>4</v>
      </c>
      <c r="C1231" t="s">
        <v>30</v>
      </c>
      <c r="D1231" t="s">
        <v>33</v>
      </c>
      <c r="E1231">
        <v>1800000</v>
      </c>
      <c r="F1231">
        <v>5800000</v>
      </c>
      <c r="G1231">
        <v>14</v>
      </c>
      <c r="H1231">
        <v>305</v>
      </c>
      <c r="I1231">
        <v>600000</v>
      </c>
      <c r="J1231">
        <v>3300000</v>
      </c>
      <c r="K1231">
        <v>3600000</v>
      </c>
      <c r="L1231">
        <v>2000000</v>
      </c>
      <c r="M1231" t="s">
        <v>35</v>
      </c>
      <c r="N1231">
        <f t="shared" si="115"/>
        <v>0</v>
      </c>
      <c r="O1231" t="str">
        <f t="shared" si="114"/>
        <v>Low</v>
      </c>
      <c r="P1231" t="str">
        <f t="shared" si="116"/>
        <v>High</v>
      </c>
      <c r="Q1231" t="str">
        <f t="shared" si="117"/>
        <v>Low Loan</v>
      </c>
      <c r="R1231">
        <f t="shared" si="118"/>
        <v>9500000</v>
      </c>
      <c r="S1231" t="str">
        <f t="shared" si="119"/>
        <v>Moderate</v>
      </c>
    </row>
    <row r="1232" spans="1:19" x14ac:dyDescent="0.25">
      <c r="A1232">
        <v>1231</v>
      </c>
      <c r="B1232">
        <v>1</v>
      </c>
      <c r="C1232" t="s">
        <v>31</v>
      </c>
      <c r="D1232" t="s">
        <v>33</v>
      </c>
      <c r="E1232">
        <v>7600000</v>
      </c>
      <c r="F1232">
        <v>27800000</v>
      </c>
      <c r="G1232">
        <v>6</v>
      </c>
      <c r="H1232">
        <v>447</v>
      </c>
      <c r="I1232">
        <v>1300000</v>
      </c>
      <c r="J1232">
        <v>700000</v>
      </c>
      <c r="K1232">
        <v>20100000</v>
      </c>
      <c r="L1232">
        <v>10900000</v>
      </c>
      <c r="M1232" t="s">
        <v>35</v>
      </c>
      <c r="N1232">
        <f t="shared" si="115"/>
        <v>0</v>
      </c>
      <c r="O1232" t="str">
        <f t="shared" si="114"/>
        <v>Low</v>
      </c>
      <c r="P1232" t="str">
        <f t="shared" si="116"/>
        <v>High</v>
      </c>
      <c r="Q1232" t="str">
        <f t="shared" si="117"/>
        <v>High Loan</v>
      </c>
      <c r="R1232">
        <f t="shared" si="118"/>
        <v>33000000</v>
      </c>
      <c r="S1232" t="str">
        <f t="shared" si="119"/>
        <v>Strong</v>
      </c>
    </row>
    <row r="1233" spans="1:19" x14ac:dyDescent="0.25">
      <c r="A1233">
        <v>1232</v>
      </c>
      <c r="B1233">
        <v>4</v>
      </c>
      <c r="C1233" t="s">
        <v>30</v>
      </c>
      <c r="D1233" t="s">
        <v>33</v>
      </c>
      <c r="E1233">
        <v>1200000</v>
      </c>
      <c r="F1233">
        <v>4600000</v>
      </c>
      <c r="G1233">
        <v>6</v>
      </c>
      <c r="H1233">
        <v>757</v>
      </c>
      <c r="I1233">
        <v>1900000</v>
      </c>
      <c r="J1233">
        <v>200000</v>
      </c>
      <c r="K1233">
        <v>4800000</v>
      </c>
      <c r="L1233">
        <v>1500000</v>
      </c>
      <c r="M1233" t="s">
        <v>34</v>
      </c>
      <c r="N1233">
        <f t="shared" si="115"/>
        <v>1</v>
      </c>
      <c r="O1233" t="str">
        <f t="shared" si="114"/>
        <v>Excellent</v>
      </c>
      <c r="P1233" t="str">
        <f t="shared" si="116"/>
        <v>High</v>
      </c>
      <c r="Q1233" t="str">
        <f t="shared" si="117"/>
        <v>Low Loan</v>
      </c>
      <c r="R1233">
        <f t="shared" si="118"/>
        <v>8400000</v>
      </c>
      <c r="S1233" t="str">
        <f t="shared" si="119"/>
        <v>Moderate</v>
      </c>
    </row>
    <row r="1234" spans="1:19" x14ac:dyDescent="0.25">
      <c r="A1234">
        <v>1233</v>
      </c>
      <c r="B1234">
        <v>5</v>
      </c>
      <c r="C1234" t="s">
        <v>30</v>
      </c>
      <c r="D1234" t="s">
        <v>33</v>
      </c>
      <c r="E1234">
        <v>2700000</v>
      </c>
      <c r="F1234">
        <v>10400000</v>
      </c>
      <c r="G1234">
        <v>2</v>
      </c>
      <c r="H1234">
        <v>723</v>
      </c>
      <c r="I1234">
        <v>2800000</v>
      </c>
      <c r="J1234">
        <v>700000</v>
      </c>
      <c r="K1234">
        <v>10300000</v>
      </c>
      <c r="L1234">
        <v>1400000</v>
      </c>
      <c r="M1234" t="s">
        <v>34</v>
      </c>
      <c r="N1234">
        <f t="shared" si="115"/>
        <v>1</v>
      </c>
      <c r="O1234" t="str">
        <f t="shared" si="114"/>
        <v>Good</v>
      </c>
      <c r="P1234" t="str">
        <f t="shared" si="116"/>
        <v>High</v>
      </c>
      <c r="Q1234" t="str">
        <f t="shared" si="117"/>
        <v>Low Loan</v>
      </c>
      <c r="R1234">
        <f t="shared" si="118"/>
        <v>15200000</v>
      </c>
      <c r="S1234" t="str">
        <f t="shared" si="119"/>
        <v>Strong</v>
      </c>
    </row>
    <row r="1235" spans="1:19" x14ac:dyDescent="0.25">
      <c r="A1235">
        <v>1234</v>
      </c>
      <c r="B1235">
        <v>1</v>
      </c>
      <c r="C1235" t="s">
        <v>31</v>
      </c>
      <c r="D1235" t="s">
        <v>33</v>
      </c>
      <c r="E1235">
        <v>4600000</v>
      </c>
      <c r="F1235">
        <v>10900000</v>
      </c>
      <c r="G1235">
        <v>12</v>
      </c>
      <c r="H1235">
        <v>463</v>
      </c>
      <c r="I1235">
        <v>1200000</v>
      </c>
      <c r="J1235">
        <v>1200000</v>
      </c>
      <c r="K1235">
        <v>10900000</v>
      </c>
      <c r="L1235">
        <v>6600000</v>
      </c>
      <c r="M1235" t="s">
        <v>35</v>
      </c>
      <c r="N1235">
        <f t="shared" si="115"/>
        <v>0</v>
      </c>
      <c r="O1235" t="str">
        <f t="shared" si="114"/>
        <v>Low</v>
      </c>
      <c r="P1235" t="str">
        <f t="shared" si="116"/>
        <v>High</v>
      </c>
      <c r="Q1235" t="str">
        <f t="shared" si="117"/>
        <v>Low Loan</v>
      </c>
      <c r="R1235">
        <f t="shared" si="118"/>
        <v>19900000</v>
      </c>
      <c r="S1235" t="str">
        <f t="shared" si="119"/>
        <v>Strong</v>
      </c>
    </row>
    <row r="1236" spans="1:19" x14ac:dyDescent="0.25">
      <c r="A1236">
        <v>1235</v>
      </c>
      <c r="B1236">
        <v>2</v>
      </c>
      <c r="C1236" t="s">
        <v>31</v>
      </c>
      <c r="D1236" t="s">
        <v>32</v>
      </c>
      <c r="E1236">
        <v>6900000</v>
      </c>
      <c r="F1236">
        <v>18700000</v>
      </c>
      <c r="G1236">
        <v>10</v>
      </c>
      <c r="H1236">
        <v>699</v>
      </c>
      <c r="I1236">
        <v>12800000</v>
      </c>
      <c r="J1236">
        <v>5700000</v>
      </c>
      <c r="K1236">
        <v>21200000</v>
      </c>
      <c r="L1236">
        <v>5200000</v>
      </c>
      <c r="M1236" t="s">
        <v>34</v>
      </c>
      <c r="N1236">
        <f t="shared" si="115"/>
        <v>1</v>
      </c>
      <c r="O1236" t="str">
        <f t="shared" si="114"/>
        <v>Medium</v>
      </c>
      <c r="P1236" t="str">
        <f t="shared" si="116"/>
        <v>High</v>
      </c>
      <c r="Q1236" t="str">
        <f t="shared" si="117"/>
        <v>Low Loan</v>
      </c>
      <c r="R1236">
        <f t="shared" si="118"/>
        <v>44900000</v>
      </c>
      <c r="S1236" t="str">
        <f t="shared" si="119"/>
        <v>Strong</v>
      </c>
    </row>
    <row r="1237" spans="1:19" x14ac:dyDescent="0.25">
      <c r="A1237">
        <v>1236</v>
      </c>
      <c r="B1237">
        <v>4</v>
      </c>
      <c r="C1237" t="s">
        <v>30</v>
      </c>
      <c r="D1237" t="s">
        <v>33</v>
      </c>
      <c r="E1237">
        <v>8400000</v>
      </c>
      <c r="F1237">
        <v>25200000</v>
      </c>
      <c r="G1237">
        <v>2</v>
      </c>
      <c r="H1237">
        <v>308</v>
      </c>
      <c r="I1237">
        <v>8100000</v>
      </c>
      <c r="J1237">
        <v>9300000</v>
      </c>
      <c r="K1237">
        <v>27700000</v>
      </c>
      <c r="L1237">
        <v>10500000</v>
      </c>
      <c r="M1237" t="s">
        <v>34</v>
      </c>
      <c r="N1237">
        <f t="shared" si="115"/>
        <v>1</v>
      </c>
      <c r="O1237" t="str">
        <f t="shared" si="114"/>
        <v>Low</v>
      </c>
      <c r="P1237" t="str">
        <f t="shared" si="116"/>
        <v>High</v>
      </c>
      <c r="Q1237" t="str">
        <f t="shared" si="117"/>
        <v>High Loan</v>
      </c>
      <c r="R1237">
        <f t="shared" si="118"/>
        <v>55600000</v>
      </c>
      <c r="S1237" t="str">
        <f t="shared" si="119"/>
        <v>Strong</v>
      </c>
    </row>
    <row r="1238" spans="1:19" x14ac:dyDescent="0.25">
      <c r="A1238">
        <v>1237</v>
      </c>
      <c r="B1238">
        <v>0</v>
      </c>
      <c r="C1238" t="s">
        <v>30</v>
      </c>
      <c r="D1238" t="s">
        <v>32</v>
      </c>
      <c r="E1238">
        <v>300000</v>
      </c>
      <c r="F1238">
        <v>500000</v>
      </c>
      <c r="G1238">
        <v>18</v>
      </c>
      <c r="H1238">
        <v>702</v>
      </c>
      <c r="I1238">
        <v>300000</v>
      </c>
      <c r="J1238">
        <v>400000</v>
      </c>
      <c r="K1238">
        <v>1200000</v>
      </c>
      <c r="L1238">
        <v>100000</v>
      </c>
      <c r="M1238" t="s">
        <v>34</v>
      </c>
      <c r="N1238">
        <f t="shared" si="115"/>
        <v>1</v>
      </c>
      <c r="O1238" t="str">
        <f t="shared" si="114"/>
        <v>Good</v>
      </c>
      <c r="P1238" t="str">
        <f t="shared" si="116"/>
        <v>Middle</v>
      </c>
      <c r="Q1238" t="str">
        <f t="shared" si="117"/>
        <v>Low Loan</v>
      </c>
      <c r="R1238">
        <f t="shared" si="118"/>
        <v>2000000</v>
      </c>
      <c r="S1238" t="str">
        <f t="shared" si="119"/>
        <v>Weak</v>
      </c>
    </row>
    <row r="1239" spans="1:19" x14ac:dyDescent="0.25">
      <c r="A1239">
        <v>1238</v>
      </c>
      <c r="B1239">
        <v>2</v>
      </c>
      <c r="C1239" t="s">
        <v>31</v>
      </c>
      <c r="D1239" t="s">
        <v>33</v>
      </c>
      <c r="E1239">
        <v>9500000</v>
      </c>
      <c r="F1239">
        <v>37500000</v>
      </c>
      <c r="G1239">
        <v>4</v>
      </c>
      <c r="H1239">
        <v>456</v>
      </c>
      <c r="I1239">
        <v>10200000</v>
      </c>
      <c r="J1239">
        <v>16800000</v>
      </c>
      <c r="K1239">
        <v>34100000</v>
      </c>
      <c r="L1239">
        <v>12900000</v>
      </c>
      <c r="M1239" t="s">
        <v>34</v>
      </c>
      <c r="N1239">
        <f t="shared" si="115"/>
        <v>1</v>
      </c>
      <c r="O1239" t="str">
        <f t="shared" si="114"/>
        <v>Low</v>
      </c>
      <c r="P1239" t="str">
        <f t="shared" si="116"/>
        <v>High</v>
      </c>
      <c r="Q1239" t="str">
        <f t="shared" si="117"/>
        <v>High Loan</v>
      </c>
      <c r="R1239">
        <f t="shared" si="118"/>
        <v>74000000</v>
      </c>
      <c r="S1239" t="str">
        <f t="shared" si="119"/>
        <v>Strong</v>
      </c>
    </row>
    <row r="1240" spans="1:19" x14ac:dyDescent="0.25">
      <c r="A1240">
        <v>1239</v>
      </c>
      <c r="B1240">
        <v>3</v>
      </c>
      <c r="C1240" t="s">
        <v>30</v>
      </c>
      <c r="D1240" t="s">
        <v>33</v>
      </c>
      <c r="E1240">
        <v>1900000</v>
      </c>
      <c r="F1240">
        <v>5900000</v>
      </c>
      <c r="G1240">
        <v>8</v>
      </c>
      <c r="H1240">
        <v>651</v>
      </c>
      <c r="I1240">
        <v>700000</v>
      </c>
      <c r="J1240">
        <v>2100000</v>
      </c>
      <c r="K1240">
        <v>6200000</v>
      </c>
      <c r="L1240">
        <v>1500000</v>
      </c>
      <c r="M1240" t="s">
        <v>34</v>
      </c>
      <c r="N1240">
        <f t="shared" si="115"/>
        <v>1</v>
      </c>
      <c r="O1240" t="str">
        <f t="shared" si="114"/>
        <v>Medium</v>
      </c>
      <c r="P1240" t="str">
        <f t="shared" si="116"/>
        <v>High</v>
      </c>
      <c r="Q1240" t="str">
        <f t="shared" si="117"/>
        <v>Low Loan</v>
      </c>
      <c r="R1240">
        <f t="shared" si="118"/>
        <v>10500000</v>
      </c>
      <c r="S1240" t="str">
        <f t="shared" si="119"/>
        <v>Strong</v>
      </c>
    </row>
    <row r="1241" spans="1:19" x14ac:dyDescent="0.25">
      <c r="A1241">
        <v>1240</v>
      </c>
      <c r="B1241">
        <v>3</v>
      </c>
      <c r="C1241" t="s">
        <v>31</v>
      </c>
      <c r="D1241" t="s">
        <v>32</v>
      </c>
      <c r="E1241">
        <v>4200000</v>
      </c>
      <c r="F1241">
        <v>14500000</v>
      </c>
      <c r="G1241">
        <v>20</v>
      </c>
      <c r="H1241">
        <v>840</v>
      </c>
      <c r="I1241">
        <v>4500000</v>
      </c>
      <c r="J1241">
        <v>5900000</v>
      </c>
      <c r="K1241">
        <v>8900000</v>
      </c>
      <c r="L1241">
        <v>4600000</v>
      </c>
      <c r="M1241" t="s">
        <v>34</v>
      </c>
      <c r="N1241">
        <f t="shared" si="115"/>
        <v>1</v>
      </c>
      <c r="O1241" t="str">
        <f t="shared" si="114"/>
        <v>Excellent</v>
      </c>
      <c r="P1241" t="str">
        <f t="shared" si="116"/>
        <v>High</v>
      </c>
      <c r="Q1241" t="str">
        <f t="shared" si="117"/>
        <v>Low Loan</v>
      </c>
      <c r="R1241">
        <f t="shared" si="118"/>
        <v>23900000</v>
      </c>
      <c r="S1241" t="str">
        <f t="shared" si="119"/>
        <v>Strong</v>
      </c>
    </row>
    <row r="1242" spans="1:19" x14ac:dyDescent="0.25">
      <c r="A1242">
        <v>1241</v>
      </c>
      <c r="B1242">
        <v>4</v>
      </c>
      <c r="C1242" t="s">
        <v>30</v>
      </c>
      <c r="D1242" t="s">
        <v>33</v>
      </c>
      <c r="E1242">
        <v>2200000</v>
      </c>
      <c r="F1242">
        <v>7900000</v>
      </c>
      <c r="G1242">
        <v>18</v>
      </c>
      <c r="H1242">
        <v>848</v>
      </c>
      <c r="I1242">
        <v>5100000</v>
      </c>
      <c r="J1242">
        <v>1700000</v>
      </c>
      <c r="K1242">
        <v>8500000</v>
      </c>
      <c r="L1242">
        <v>1600000</v>
      </c>
      <c r="M1242" t="s">
        <v>34</v>
      </c>
      <c r="N1242">
        <f t="shared" si="115"/>
        <v>1</v>
      </c>
      <c r="O1242" t="str">
        <f t="shared" si="114"/>
        <v>Excellent</v>
      </c>
      <c r="P1242" t="str">
        <f t="shared" si="116"/>
        <v>High</v>
      </c>
      <c r="Q1242" t="str">
        <f t="shared" si="117"/>
        <v>Low Loan</v>
      </c>
      <c r="R1242">
        <f t="shared" si="118"/>
        <v>16900000</v>
      </c>
      <c r="S1242" t="str">
        <f t="shared" si="119"/>
        <v>Strong</v>
      </c>
    </row>
    <row r="1243" spans="1:19" x14ac:dyDescent="0.25">
      <c r="A1243">
        <v>1242</v>
      </c>
      <c r="B1243">
        <v>5</v>
      </c>
      <c r="C1243" t="s">
        <v>30</v>
      </c>
      <c r="D1243" t="s">
        <v>33</v>
      </c>
      <c r="E1243">
        <v>7100000</v>
      </c>
      <c r="F1243">
        <v>19700000</v>
      </c>
      <c r="G1243">
        <v>4</v>
      </c>
      <c r="H1243">
        <v>727</v>
      </c>
      <c r="I1243">
        <v>7700000</v>
      </c>
      <c r="J1243">
        <v>12900000</v>
      </c>
      <c r="K1243">
        <v>23600000</v>
      </c>
      <c r="L1243">
        <v>5800000</v>
      </c>
      <c r="M1243" t="s">
        <v>34</v>
      </c>
      <c r="N1243">
        <f t="shared" si="115"/>
        <v>1</v>
      </c>
      <c r="O1243" t="str">
        <f t="shared" si="114"/>
        <v>Good</v>
      </c>
      <c r="P1243" t="str">
        <f t="shared" si="116"/>
        <v>High</v>
      </c>
      <c r="Q1243" t="str">
        <f t="shared" si="117"/>
        <v>Low Loan</v>
      </c>
      <c r="R1243">
        <f t="shared" si="118"/>
        <v>50000000</v>
      </c>
      <c r="S1243" t="str">
        <f t="shared" si="119"/>
        <v>Strong</v>
      </c>
    </row>
    <row r="1244" spans="1:19" x14ac:dyDescent="0.25">
      <c r="A1244">
        <v>1243</v>
      </c>
      <c r="B1244">
        <v>4</v>
      </c>
      <c r="C1244" t="s">
        <v>30</v>
      </c>
      <c r="D1244" t="s">
        <v>32</v>
      </c>
      <c r="E1244">
        <v>3500000</v>
      </c>
      <c r="F1244">
        <v>11600000</v>
      </c>
      <c r="G1244">
        <v>10</v>
      </c>
      <c r="H1244">
        <v>335</v>
      </c>
      <c r="I1244">
        <v>6300000</v>
      </c>
      <c r="J1244">
        <v>5200000</v>
      </c>
      <c r="K1244">
        <v>10300000</v>
      </c>
      <c r="L1244">
        <v>2300000</v>
      </c>
      <c r="M1244" t="s">
        <v>35</v>
      </c>
      <c r="N1244">
        <f t="shared" si="115"/>
        <v>0</v>
      </c>
      <c r="O1244" t="str">
        <f t="shared" si="114"/>
        <v>Low</v>
      </c>
      <c r="P1244" t="str">
        <f t="shared" si="116"/>
        <v>High</v>
      </c>
      <c r="Q1244" t="str">
        <f t="shared" si="117"/>
        <v>Low Loan</v>
      </c>
      <c r="R1244">
        <f t="shared" si="118"/>
        <v>24100000</v>
      </c>
      <c r="S1244" t="str">
        <f t="shared" si="119"/>
        <v>Strong</v>
      </c>
    </row>
    <row r="1245" spans="1:19" x14ac:dyDescent="0.25">
      <c r="A1245">
        <v>1244</v>
      </c>
      <c r="B1245">
        <v>5</v>
      </c>
      <c r="C1245" t="s">
        <v>31</v>
      </c>
      <c r="D1245" t="s">
        <v>32</v>
      </c>
      <c r="E1245">
        <v>400000</v>
      </c>
      <c r="F1245">
        <v>800000</v>
      </c>
      <c r="G1245">
        <v>18</v>
      </c>
      <c r="H1245">
        <v>304</v>
      </c>
      <c r="I1245">
        <v>900000</v>
      </c>
      <c r="J1245">
        <v>500000</v>
      </c>
      <c r="K1245">
        <v>1400000</v>
      </c>
      <c r="L1245">
        <v>400000</v>
      </c>
      <c r="M1245" t="s">
        <v>35</v>
      </c>
      <c r="N1245">
        <f t="shared" si="115"/>
        <v>0</v>
      </c>
      <c r="O1245" t="str">
        <f t="shared" si="114"/>
        <v>Low</v>
      </c>
      <c r="P1245" t="str">
        <f t="shared" si="116"/>
        <v>Middle</v>
      </c>
      <c r="Q1245" t="str">
        <f t="shared" si="117"/>
        <v>Low Loan</v>
      </c>
      <c r="R1245">
        <f t="shared" si="118"/>
        <v>3200000</v>
      </c>
      <c r="S1245" t="str">
        <f t="shared" si="119"/>
        <v>Weak</v>
      </c>
    </row>
    <row r="1246" spans="1:19" x14ac:dyDescent="0.25">
      <c r="A1246">
        <v>1245</v>
      </c>
      <c r="B1246">
        <v>2</v>
      </c>
      <c r="C1246" t="s">
        <v>30</v>
      </c>
      <c r="D1246" t="s">
        <v>33</v>
      </c>
      <c r="E1246">
        <v>8800000</v>
      </c>
      <c r="F1246">
        <v>34400000</v>
      </c>
      <c r="G1246">
        <v>2</v>
      </c>
      <c r="H1246">
        <v>712</v>
      </c>
      <c r="I1246">
        <v>10500000</v>
      </c>
      <c r="J1246">
        <v>12500000</v>
      </c>
      <c r="K1246">
        <v>29300000</v>
      </c>
      <c r="L1246">
        <v>5900000</v>
      </c>
      <c r="M1246" t="s">
        <v>34</v>
      </c>
      <c r="N1246">
        <f t="shared" si="115"/>
        <v>1</v>
      </c>
      <c r="O1246" t="str">
        <f t="shared" si="114"/>
        <v>Good</v>
      </c>
      <c r="P1246" t="str">
        <f t="shared" si="116"/>
        <v>High</v>
      </c>
      <c r="Q1246" t="str">
        <f t="shared" si="117"/>
        <v>High Loan</v>
      </c>
      <c r="R1246">
        <f t="shared" si="118"/>
        <v>58200000</v>
      </c>
      <c r="S1246" t="str">
        <f t="shared" si="119"/>
        <v>Strong</v>
      </c>
    </row>
    <row r="1247" spans="1:19" x14ac:dyDescent="0.25">
      <c r="A1247">
        <v>1246</v>
      </c>
      <c r="B1247">
        <v>0</v>
      </c>
      <c r="C1247" t="s">
        <v>31</v>
      </c>
      <c r="D1247" t="s">
        <v>32</v>
      </c>
      <c r="E1247">
        <v>1800000</v>
      </c>
      <c r="F1247">
        <v>6600000</v>
      </c>
      <c r="G1247">
        <v>10</v>
      </c>
      <c r="H1247">
        <v>737</v>
      </c>
      <c r="I1247">
        <v>5000000</v>
      </c>
      <c r="J1247">
        <v>2000000</v>
      </c>
      <c r="K1247">
        <v>6000000</v>
      </c>
      <c r="L1247">
        <v>1500000</v>
      </c>
      <c r="M1247" t="s">
        <v>34</v>
      </c>
      <c r="N1247">
        <f t="shared" si="115"/>
        <v>1</v>
      </c>
      <c r="O1247" t="str">
        <f t="shared" si="114"/>
        <v>Good</v>
      </c>
      <c r="P1247" t="str">
        <f t="shared" si="116"/>
        <v>High</v>
      </c>
      <c r="Q1247" t="str">
        <f t="shared" si="117"/>
        <v>Low Loan</v>
      </c>
      <c r="R1247">
        <f t="shared" si="118"/>
        <v>14500000</v>
      </c>
      <c r="S1247" t="str">
        <f t="shared" si="119"/>
        <v>Strong</v>
      </c>
    </row>
    <row r="1248" spans="1:19" x14ac:dyDescent="0.25">
      <c r="A1248">
        <v>1247</v>
      </c>
      <c r="B1248">
        <v>1</v>
      </c>
      <c r="C1248" t="s">
        <v>30</v>
      </c>
      <c r="D1248" t="s">
        <v>33</v>
      </c>
      <c r="E1248">
        <v>7600000</v>
      </c>
      <c r="F1248">
        <v>29300000</v>
      </c>
      <c r="G1248">
        <v>14</v>
      </c>
      <c r="H1248">
        <v>690</v>
      </c>
      <c r="I1248">
        <v>13900000</v>
      </c>
      <c r="J1248">
        <v>4000000</v>
      </c>
      <c r="K1248">
        <v>30000000</v>
      </c>
      <c r="L1248">
        <v>9100000</v>
      </c>
      <c r="M1248" t="s">
        <v>34</v>
      </c>
      <c r="N1248">
        <f t="shared" si="115"/>
        <v>1</v>
      </c>
      <c r="O1248" t="str">
        <f t="shared" si="114"/>
        <v>Medium</v>
      </c>
      <c r="P1248" t="str">
        <f t="shared" si="116"/>
        <v>High</v>
      </c>
      <c r="Q1248" t="str">
        <f t="shared" si="117"/>
        <v>High Loan</v>
      </c>
      <c r="R1248">
        <f t="shared" si="118"/>
        <v>57000000</v>
      </c>
      <c r="S1248" t="str">
        <f t="shared" si="119"/>
        <v>Strong</v>
      </c>
    </row>
    <row r="1249" spans="1:19" x14ac:dyDescent="0.25">
      <c r="A1249">
        <v>1248</v>
      </c>
      <c r="B1249">
        <v>1</v>
      </c>
      <c r="C1249" t="s">
        <v>30</v>
      </c>
      <c r="D1249" t="s">
        <v>33</v>
      </c>
      <c r="E1249">
        <v>1000000</v>
      </c>
      <c r="F1249">
        <v>3200000</v>
      </c>
      <c r="G1249">
        <v>4</v>
      </c>
      <c r="H1249">
        <v>888</v>
      </c>
      <c r="I1249">
        <v>2000000</v>
      </c>
      <c r="J1249">
        <v>1500000</v>
      </c>
      <c r="K1249">
        <v>2200000</v>
      </c>
      <c r="L1249">
        <v>1300000</v>
      </c>
      <c r="M1249" t="s">
        <v>34</v>
      </c>
      <c r="N1249">
        <f t="shared" si="115"/>
        <v>1</v>
      </c>
      <c r="O1249" t="str">
        <f t="shared" si="114"/>
        <v>Excellent</v>
      </c>
      <c r="P1249" t="str">
        <f t="shared" si="116"/>
        <v>High</v>
      </c>
      <c r="Q1249" t="str">
        <f t="shared" si="117"/>
        <v>Low Loan</v>
      </c>
      <c r="R1249">
        <f t="shared" si="118"/>
        <v>7000000</v>
      </c>
      <c r="S1249" t="str">
        <f t="shared" si="119"/>
        <v>Moderate</v>
      </c>
    </row>
    <row r="1250" spans="1:19" x14ac:dyDescent="0.25">
      <c r="A1250">
        <v>1249</v>
      </c>
      <c r="B1250">
        <v>2</v>
      </c>
      <c r="C1250" t="s">
        <v>31</v>
      </c>
      <c r="D1250" t="s">
        <v>33</v>
      </c>
      <c r="E1250">
        <v>8200000</v>
      </c>
      <c r="F1250">
        <v>27200000</v>
      </c>
      <c r="G1250">
        <v>10</v>
      </c>
      <c r="H1250">
        <v>839</v>
      </c>
      <c r="I1250">
        <v>9200000</v>
      </c>
      <c r="J1250">
        <v>6400000</v>
      </c>
      <c r="K1250">
        <v>25500000</v>
      </c>
      <c r="L1250">
        <v>6000000</v>
      </c>
      <c r="M1250" t="s">
        <v>34</v>
      </c>
      <c r="N1250">
        <f t="shared" si="115"/>
        <v>1</v>
      </c>
      <c r="O1250" t="str">
        <f t="shared" si="114"/>
        <v>Excellent</v>
      </c>
      <c r="P1250" t="str">
        <f t="shared" si="116"/>
        <v>High</v>
      </c>
      <c r="Q1250" t="str">
        <f t="shared" si="117"/>
        <v>High Loan</v>
      </c>
      <c r="R1250">
        <f t="shared" si="118"/>
        <v>47100000</v>
      </c>
      <c r="S1250" t="str">
        <f t="shared" si="119"/>
        <v>Strong</v>
      </c>
    </row>
    <row r="1251" spans="1:19" x14ac:dyDescent="0.25">
      <c r="A1251">
        <v>1250</v>
      </c>
      <c r="B1251">
        <v>5</v>
      </c>
      <c r="C1251" t="s">
        <v>31</v>
      </c>
      <c r="D1251" t="s">
        <v>33</v>
      </c>
      <c r="E1251">
        <v>3600000</v>
      </c>
      <c r="F1251">
        <v>12400000</v>
      </c>
      <c r="G1251">
        <v>8</v>
      </c>
      <c r="H1251">
        <v>333</v>
      </c>
      <c r="I1251">
        <v>8800000</v>
      </c>
      <c r="J1251">
        <v>1000000</v>
      </c>
      <c r="K1251">
        <v>10700000</v>
      </c>
      <c r="L1251">
        <v>4000000</v>
      </c>
      <c r="M1251" t="s">
        <v>35</v>
      </c>
      <c r="N1251">
        <f t="shared" si="115"/>
        <v>0</v>
      </c>
      <c r="O1251" t="str">
        <f t="shared" si="114"/>
        <v>Low</v>
      </c>
      <c r="P1251" t="str">
        <f t="shared" si="116"/>
        <v>High</v>
      </c>
      <c r="Q1251" t="str">
        <f t="shared" si="117"/>
        <v>Low Loan</v>
      </c>
      <c r="R1251">
        <f t="shared" si="118"/>
        <v>24500000</v>
      </c>
      <c r="S1251" t="str">
        <f t="shared" si="119"/>
        <v>Strong</v>
      </c>
    </row>
    <row r="1252" spans="1:19" x14ac:dyDescent="0.25">
      <c r="A1252">
        <v>1251</v>
      </c>
      <c r="B1252">
        <v>5</v>
      </c>
      <c r="C1252" t="s">
        <v>30</v>
      </c>
      <c r="D1252" t="s">
        <v>32</v>
      </c>
      <c r="E1252">
        <v>9400000</v>
      </c>
      <c r="F1252">
        <v>23700000</v>
      </c>
      <c r="G1252">
        <v>18</v>
      </c>
      <c r="H1252">
        <v>862</v>
      </c>
      <c r="I1252">
        <v>21500000</v>
      </c>
      <c r="J1252">
        <v>3500000</v>
      </c>
      <c r="K1252">
        <v>22400000</v>
      </c>
      <c r="L1252">
        <v>5600000</v>
      </c>
      <c r="M1252" t="s">
        <v>34</v>
      </c>
      <c r="N1252">
        <f t="shared" si="115"/>
        <v>1</v>
      </c>
      <c r="O1252" t="str">
        <f t="shared" si="114"/>
        <v>Excellent</v>
      </c>
      <c r="P1252" t="str">
        <f t="shared" si="116"/>
        <v>High</v>
      </c>
      <c r="Q1252" t="str">
        <f t="shared" si="117"/>
        <v>High Loan</v>
      </c>
      <c r="R1252">
        <f t="shared" si="118"/>
        <v>53000000</v>
      </c>
      <c r="S1252" t="str">
        <f t="shared" si="119"/>
        <v>Strong</v>
      </c>
    </row>
    <row r="1253" spans="1:19" x14ac:dyDescent="0.25">
      <c r="A1253">
        <v>1252</v>
      </c>
      <c r="B1253">
        <v>5</v>
      </c>
      <c r="C1253" t="s">
        <v>31</v>
      </c>
      <c r="D1253" t="s">
        <v>32</v>
      </c>
      <c r="E1253">
        <v>2600000</v>
      </c>
      <c r="F1253">
        <v>9100000</v>
      </c>
      <c r="G1253">
        <v>4</v>
      </c>
      <c r="H1253">
        <v>309</v>
      </c>
      <c r="I1253">
        <v>6400000</v>
      </c>
      <c r="J1253">
        <v>1400000</v>
      </c>
      <c r="K1253">
        <v>5900000</v>
      </c>
      <c r="L1253">
        <v>3400000</v>
      </c>
      <c r="M1253" t="s">
        <v>34</v>
      </c>
      <c r="N1253">
        <f t="shared" si="115"/>
        <v>1</v>
      </c>
      <c r="O1253" t="str">
        <f t="shared" si="114"/>
        <v>Low</v>
      </c>
      <c r="P1253" t="str">
        <f t="shared" si="116"/>
        <v>High</v>
      </c>
      <c r="Q1253" t="str">
        <f t="shared" si="117"/>
        <v>Low Loan</v>
      </c>
      <c r="R1253">
        <f t="shared" si="118"/>
        <v>17100000</v>
      </c>
      <c r="S1253" t="str">
        <f t="shared" si="119"/>
        <v>Strong</v>
      </c>
    </row>
    <row r="1254" spans="1:19" x14ac:dyDescent="0.25">
      <c r="A1254">
        <v>1253</v>
      </c>
      <c r="B1254">
        <v>5</v>
      </c>
      <c r="C1254" t="s">
        <v>31</v>
      </c>
      <c r="D1254" t="s">
        <v>32</v>
      </c>
      <c r="E1254">
        <v>9500000</v>
      </c>
      <c r="F1254">
        <v>30700000</v>
      </c>
      <c r="G1254">
        <v>10</v>
      </c>
      <c r="H1254">
        <v>823</v>
      </c>
      <c r="I1254">
        <v>16300000</v>
      </c>
      <c r="J1254">
        <v>3700000</v>
      </c>
      <c r="K1254">
        <v>30300000</v>
      </c>
      <c r="L1254">
        <v>13100000</v>
      </c>
      <c r="M1254" t="s">
        <v>34</v>
      </c>
      <c r="N1254">
        <f t="shared" si="115"/>
        <v>1</v>
      </c>
      <c r="O1254" t="str">
        <f t="shared" si="114"/>
        <v>Excellent</v>
      </c>
      <c r="P1254" t="str">
        <f t="shared" si="116"/>
        <v>High</v>
      </c>
      <c r="Q1254" t="str">
        <f t="shared" si="117"/>
        <v>High Loan</v>
      </c>
      <c r="R1254">
        <f t="shared" si="118"/>
        <v>63400000</v>
      </c>
      <c r="S1254" t="str">
        <f t="shared" si="119"/>
        <v>Strong</v>
      </c>
    </row>
    <row r="1255" spans="1:19" x14ac:dyDescent="0.25">
      <c r="A1255">
        <v>1254</v>
      </c>
      <c r="B1255">
        <v>0</v>
      </c>
      <c r="C1255" t="s">
        <v>30</v>
      </c>
      <c r="D1255" t="s">
        <v>33</v>
      </c>
      <c r="E1255">
        <v>3500000</v>
      </c>
      <c r="F1255">
        <v>11700000</v>
      </c>
      <c r="G1255">
        <v>14</v>
      </c>
      <c r="H1255">
        <v>649</v>
      </c>
      <c r="I1255">
        <v>2700000</v>
      </c>
      <c r="J1255">
        <v>700000</v>
      </c>
      <c r="K1255">
        <v>11400000</v>
      </c>
      <c r="L1255">
        <v>4800000</v>
      </c>
      <c r="M1255" t="s">
        <v>34</v>
      </c>
      <c r="N1255">
        <f t="shared" si="115"/>
        <v>1</v>
      </c>
      <c r="O1255" t="str">
        <f t="shared" si="114"/>
        <v>Low</v>
      </c>
      <c r="P1255" t="str">
        <f t="shared" si="116"/>
        <v>High</v>
      </c>
      <c r="Q1255" t="str">
        <f t="shared" si="117"/>
        <v>Low Loan</v>
      </c>
      <c r="R1255">
        <f t="shared" si="118"/>
        <v>19600000</v>
      </c>
      <c r="S1255" t="str">
        <f t="shared" si="119"/>
        <v>Strong</v>
      </c>
    </row>
    <row r="1256" spans="1:19" x14ac:dyDescent="0.25">
      <c r="A1256">
        <v>1255</v>
      </c>
      <c r="B1256">
        <v>5</v>
      </c>
      <c r="C1256" t="s">
        <v>31</v>
      </c>
      <c r="D1256" t="s">
        <v>33</v>
      </c>
      <c r="E1256">
        <v>9800000</v>
      </c>
      <c r="F1256">
        <v>35700000</v>
      </c>
      <c r="G1256">
        <v>10</v>
      </c>
      <c r="H1256">
        <v>726</v>
      </c>
      <c r="I1256">
        <v>9400000</v>
      </c>
      <c r="J1256">
        <v>18900000</v>
      </c>
      <c r="K1256">
        <v>31200000</v>
      </c>
      <c r="L1256">
        <v>12000000</v>
      </c>
      <c r="M1256" t="s">
        <v>34</v>
      </c>
      <c r="N1256">
        <f t="shared" si="115"/>
        <v>1</v>
      </c>
      <c r="O1256" t="str">
        <f t="shared" si="114"/>
        <v>Good</v>
      </c>
      <c r="P1256" t="str">
        <f t="shared" si="116"/>
        <v>High</v>
      </c>
      <c r="Q1256" t="str">
        <f t="shared" si="117"/>
        <v>High Loan</v>
      </c>
      <c r="R1256">
        <f t="shared" si="118"/>
        <v>71500000</v>
      </c>
      <c r="S1256" t="str">
        <f t="shared" si="119"/>
        <v>Strong</v>
      </c>
    </row>
    <row r="1257" spans="1:19" x14ac:dyDescent="0.25">
      <c r="A1257">
        <v>1256</v>
      </c>
      <c r="B1257">
        <v>4</v>
      </c>
      <c r="C1257" t="s">
        <v>30</v>
      </c>
      <c r="D1257" t="s">
        <v>32</v>
      </c>
      <c r="E1257">
        <v>800000</v>
      </c>
      <c r="F1257">
        <v>3100000</v>
      </c>
      <c r="G1257">
        <v>18</v>
      </c>
      <c r="H1257">
        <v>712</v>
      </c>
      <c r="I1257">
        <v>400000</v>
      </c>
      <c r="J1257">
        <v>700000</v>
      </c>
      <c r="K1257">
        <v>1900000</v>
      </c>
      <c r="L1257">
        <v>1100000</v>
      </c>
      <c r="M1257" t="s">
        <v>34</v>
      </c>
      <c r="N1257">
        <f t="shared" si="115"/>
        <v>1</v>
      </c>
      <c r="O1257" t="str">
        <f t="shared" si="114"/>
        <v>Good</v>
      </c>
      <c r="P1257" t="str">
        <f t="shared" si="116"/>
        <v>High</v>
      </c>
      <c r="Q1257" t="str">
        <f t="shared" si="117"/>
        <v>Low Loan</v>
      </c>
      <c r="R1257">
        <f t="shared" si="118"/>
        <v>4100000</v>
      </c>
      <c r="S1257" t="str">
        <f t="shared" si="119"/>
        <v>Weak</v>
      </c>
    </row>
    <row r="1258" spans="1:19" x14ac:dyDescent="0.25">
      <c r="A1258">
        <v>1257</v>
      </c>
      <c r="B1258">
        <v>0</v>
      </c>
      <c r="C1258" t="s">
        <v>31</v>
      </c>
      <c r="D1258" t="s">
        <v>32</v>
      </c>
      <c r="E1258">
        <v>9700000</v>
      </c>
      <c r="F1258">
        <v>37300000</v>
      </c>
      <c r="G1258">
        <v>20</v>
      </c>
      <c r="H1258">
        <v>701</v>
      </c>
      <c r="I1258">
        <v>12100000</v>
      </c>
      <c r="J1258">
        <v>16200000</v>
      </c>
      <c r="K1258">
        <v>24100000</v>
      </c>
      <c r="L1258">
        <v>10500000</v>
      </c>
      <c r="M1258" t="s">
        <v>34</v>
      </c>
      <c r="N1258">
        <f t="shared" si="115"/>
        <v>1</v>
      </c>
      <c r="O1258" t="str">
        <f t="shared" si="114"/>
        <v>Good</v>
      </c>
      <c r="P1258" t="str">
        <f t="shared" si="116"/>
        <v>High</v>
      </c>
      <c r="Q1258" t="str">
        <f t="shared" si="117"/>
        <v>High Loan</v>
      </c>
      <c r="R1258">
        <f t="shared" si="118"/>
        <v>62900000</v>
      </c>
      <c r="S1258" t="str">
        <f t="shared" si="119"/>
        <v>Strong</v>
      </c>
    </row>
    <row r="1259" spans="1:19" x14ac:dyDescent="0.25">
      <c r="A1259">
        <v>1258</v>
      </c>
      <c r="B1259">
        <v>3</v>
      </c>
      <c r="C1259" t="s">
        <v>30</v>
      </c>
      <c r="D1259" t="s">
        <v>32</v>
      </c>
      <c r="E1259">
        <v>6200000</v>
      </c>
      <c r="F1259">
        <v>21300000</v>
      </c>
      <c r="G1259">
        <v>12</v>
      </c>
      <c r="H1259">
        <v>655</v>
      </c>
      <c r="I1259">
        <v>6500000</v>
      </c>
      <c r="J1259">
        <v>11600000</v>
      </c>
      <c r="K1259">
        <v>19200000</v>
      </c>
      <c r="L1259">
        <v>5000000</v>
      </c>
      <c r="M1259" t="s">
        <v>34</v>
      </c>
      <c r="N1259">
        <f t="shared" si="115"/>
        <v>1</v>
      </c>
      <c r="O1259" t="str">
        <f t="shared" si="114"/>
        <v>Medium</v>
      </c>
      <c r="P1259" t="str">
        <f t="shared" si="116"/>
        <v>High</v>
      </c>
      <c r="Q1259" t="str">
        <f t="shared" si="117"/>
        <v>High Loan</v>
      </c>
      <c r="R1259">
        <f t="shared" si="118"/>
        <v>42300000</v>
      </c>
      <c r="S1259" t="str">
        <f t="shared" si="119"/>
        <v>Strong</v>
      </c>
    </row>
    <row r="1260" spans="1:19" x14ac:dyDescent="0.25">
      <c r="A1260">
        <v>1259</v>
      </c>
      <c r="B1260">
        <v>1</v>
      </c>
      <c r="C1260" t="s">
        <v>31</v>
      </c>
      <c r="D1260" t="s">
        <v>33</v>
      </c>
      <c r="E1260">
        <v>4400000</v>
      </c>
      <c r="F1260">
        <v>16600000</v>
      </c>
      <c r="G1260">
        <v>18</v>
      </c>
      <c r="H1260">
        <v>385</v>
      </c>
      <c r="I1260">
        <v>800000</v>
      </c>
      <c r="J1260">
        <v>5300000</v>
      </c>
      <c r="K1260">
        <v>13400000</v>
      </c>
      <c r="L1260">
        <v>5100000</v>
      </c>
      <c r="M1260" t="s">
        <v>35</v>
      </c>
      <c r="N1260">
        <f t="shared" si="115"/>
        <v>0</v>
      </c>
      <c r="O1260" t="str">
        <f t="shared" si="114"/>
        <v>Low</v>
      </c>
      <c r="P1260" t="str">
        <f t="shared" si="116"/>
        <v>High</v>
      </c>
      <c r="Q1260" t="str">
        <f t="shared" si="117"/>
        <v>Low Loan</v>
      </c>
      <c r="R1260">
        <f t="shared" si="118"/>
        <v>24600000</v>
      </c>
      <c r="S1260" t="str">
        <f t="shared" si="119"/>
        <v>Strong</v>
      </c>
    </row>
    <row r="1261" spans="1:19" x14ac:dyDescent="0.25">
      <c r="A1261">
        <v>1260</v>
      </c>
      <c r="B1261">
        <v>2</v>
      </c>
      <c r="C1261" t="s">
        <v>30</v>
      </c>
      <c r="D1261" t="s">
        <v>32</v>
      </c>
      <c r="E1261">
        <v>1800000</v>
      </c>
      <c r="F1261">
        <v>3800000</v>
      </c>
      <c r="G1261">
        <v>4</v>
      </c>
      <c r="H1261">
        <v>777</v>
      </c>
      <c r="I1261">
        <v>5100000</v>
      </c>
      <c r="J1261">
        <v>2700000</v>
      </c>
      <c r="K1261">
        <v>4600000</v>
      </c>
      <c r="L1261">
        <v>1400000</v>
      </c>
      <c r="M1261" t="s">
        <v>34</v>
      </c>
      <c r="N1261">
        <f t="shared" si="115"/>
        <v>1</v>
      </c>
      <c r="O1261" t="str">
        <f t="shared" si="114"/>
        <v>Excellent</v>
      </c>
      <c r="P1261" t="str">
        <f t="shared" si="116"/>
        <v>High</v>
      </c>
      <c r="Q1261" t="str">
        <f t="shared" si="117"/>
        <v>Low Loan</v>
      </c>
      <c r="R1261">
        <f t="shared" si="118"/>
        <v>13800000</v>
      </c>
      <c r="S1261" t="str">
        <f t="shared" si="119"/>
        <v>Strong</v>
      </c>
    </row>
    <row r="1262" spans="1:19" x14ac:dyDescent="0.25">
      <c r="A1262">
        <v>1261</v>
      </c>
      <c r="B1262">
        <v>3</v>
      </c>
      <c r="C1262" t="s">
        <v>30</v>
      </c>
      <c r="D1262" t="s">
        <v>32</v>
      </c>
      <c r="E1262">
        <v>1700000</v>
      </c>
      <c r="F1262">
        <v>5300000</v>
      </c>
      <c r="G1262">
        <v>14</v>
      </c>
      <c r="H1262">
        <v>696</v>
      </c>
      <c r="I1262">
        <v>300000</v>
      </c>
      <c r="J1262">
        <v>700000</v>
      </c>
      <c r="K1262">
        <v>4500000</v>
      </c>
      <c r="L1262">
        <v>800000</v>
      </c>
      <c r="M1262" t="s">
        <v>34</v>
      </c>
      <c r="N1262">
        <f t="shared" si="115"/>
        <v>1</v>
      </c>
      <c r="O1262" t="str">
        <f t="shared" si="114"/>
        <v>Medium</v>
      </c>
      <c r="P1262" t="str">
        <f t="shared" si="116"/>
        <v>High</v>
      </c>
      <c r="Q1262" t="str">
        <f t="shared" si="117"/>
        <v>Low Loan</v>
      </c>
      <c r="R1262">
        <f t="shared" si="118"/>
        <v>6300000</v>
      </c>
      <c r="S1262" t="str">
        <f t="shared" si="119"/>
        <v>Moderate</v>
      </c>
    </row>
    <row r="1263" spans="1:19" x14ac:dyDescent="0.25">
      <c r="A1263">
        <v>1262</v>
      </c>
      <c r="B1263">
        <v>3</v>
      </c>
      <c r="C1263" t="s">
        <v>30</v>
      </c>
      <c r="D1263" t="s">
        <v>32</v>
      </c>
      <c r="E1263">
        <v>3900000</v>
      </c>
      <c r="F1263">
        <v>14100000</v>
      </c>
      <c r="G1263">
        <v>16</v>
      </c>
      <c r="H1263">
        <v>496</v>
      </c>
      <c r="I1263">
        <v>2500000</v>
      </c>
      <c r="J1263">
        <v>2200000</v>
      </c>
      <c r="K1263">
        <v>13700000</v>
      </c>
      <c r="L1263">
        <v>2900000</v>
      </c>
      <c r="M1263" t="s">
        <v>35</v>
      </c>
      <c r="N1263">
        <f t="shared" si="115"/>
        <v>0</v>
      </c>
      <c r="O1263" t="str">
        <f t="shared" si="114"/>
        <v>Low</v>
      </c>
      <c r="P1263" t="str">
        <f t="shared" si="116"/>
        <v>High</v>
      </c>
      <c r="Q1263" t="str">
        <f t="shared" si="117"/>
        <v>Low Loan</v>
      </c>
      <c r="R1263">
        <f t="shared" si="118"/>
        <v>21300000</v>
      </c>
      <c r="S1263" t="str">
        <f t="shared" si="119"/>
        <v>Strong</v>
      </c>
    </row>
    <row r="1264" spans="1:19" x14ac:dyDescent="0.25">
      <c r="A1264">
        <v>1263</v>
      </c>
      <c r="B1264">
        <v>2</v>
      </c>
      <c r="C1264" t="s">
        <v>30</v>
      </c>
      <c r="D1264" t="s">
        <v>33</v>
      </c>
      <c r="E1264">
        <v>2200000</v>
      </c>
      <c r="F1264">
        <v>7900000</v>
      </c>
      <c r="G1264">
        <v>6</v>
      </c>
      <c r="H1264">
        <v>659</v>
      </c>
      <c r="I1264">
        <v>3400000</v>
      </c>
      <c r="J1264">
        <v>1800000</v>
      </c>
      <c r="K1264">
        <v>8600000</v>
      </c>
      <c r="L1264">
        <v>2400000</v>
      </c>
      <c r="M1264" t="s">
        <v>34</v>
      </c>
      <c r="N1264">
        <f t="shared" si="115"/>
        <v>1</v>
      </c>
      <c r="O1264" t="str">
        <f t="shared" si="114"/>
        <v>Medium</v>
      </c>
      <c r="P1264" t="str">
        <f t="shared" si="116"/>
        <v>High</v>
      </c>
      <c r="Q1264" t="str">
        <f t="shared" si="117"/>
        <v>Low Loan</v>
      </c>
      <c r="R1264">
        <f t="shared" si="118"/>
        <v>16200000</v>
      </c>
      <c r="S1264" t="str">
        <f t="shared" si="119"/>
        <v>Strong</v>
      </c>
    </row>
    <row r="1265" spans="1:19" x14ac:dyDescent="0.25">
      <c r="A1265">
        <v>1264</v>
      </c>
      <c r="B1265">
        <v>3</v>
      </c>
      <c r="C1265" t="s">
        <v>31</v>
      </c>
      <c r="D1265" t="s">
        <v>33</v>
      </c>
      <c r="E1265">
        <v>6300000</v>
      </c>
      <c r="F1265">
        <v>17700000</v>
      </c>
      <c r="G1265">
        <v>2</v>
      </c>
      <c r="H1265">
        <v>542</v>
      </c>
      <c r="I1265">
        <v>16800000</v>
      </c>
      <c r="J1265">
        <v>900000</v>
      </c>
      <c r="K1265">
        <v>16400000</v>
      </c>
      <c r="L1265">
        <v>5300000</v>
      </c>
      <c r="M1265" t="s">
        <v>35</v>
      </c>
      <c r="N1265">
        <f t="shared" si="115"/>
        <v>0</v>
      </c>
      <c r="O1265" t="str">
        <f t="shared" si="114"/>
        <v>Low</v>
      </c>
      <c r="P1265" t="str">
        <f t="shared" si="116"/>
        <v>High</v>
      </c>
      <c r="Q1265" t="str">
        <f t="shared" si="117"/>
        <v>Low Loan</v>
      </c>
      <c r="R1265">
        <f t="shared" si="118"/>
        <v>39400000</v>
      </c>
      <c r="S1265" t="str">
        <f t="shared" si="119"/>
        <v>Strong</v>
      </c>
    </row>
    <row r="1266" spans="1:19" x14ac:dyDescent="0.25">
      <c r="A1266">
        <v>1265</v>
      </c>
      <c r="B1266">
        <v>2</v>
      </c>
      <c r="C1266" t="s">
        <v>31</v>
      </c>
      <c r="D1266" t="s">
        <v>32</v>
      </c>
      <c r="E1266">
        <v>2200000</v>
      </c>
      <c r="F1266">
        <v>8700000</v>
      </c>
      <c r="G1266">
        <v>18</v>
      </c>
      <c r="H1266">
        <v>729</v>
      </c>
      <c r="I1266">
        <v>3900000</v>
      </c>
      <c r="J1266">
        <v>3300000</v>
      </c>
      <c r="K1266">
        <v>7600000</v>
      </c>
      <c r="L1266">
        <v>1300000</v>
      </c>
      <c r="M1266" t="s">
        <v>34</v>
      </c>
      <c r="N1266">
        <f t="shared" si="115"/>
        <v>1</v>
      </c>
      <c r="O1266" t="str">
        <f t="shared" si="114"/>
        <v>Good</v>
      </c>
      <c r="P1266" t="str">
        <f t="shared" si="116"/>
        <v>High</v>
      </c>
      <c r="Q1266" t="str">
        <f t="shared" si="117"/>
        <v>Low Loan</v>
      </c>
      <c r="R1266">
        <f t="shared" si="118"/>
        <v>16100000</v>
      </c>
      <c r="S1266" t="str">
        <f t="shared" si="119"/>
        <v>Strong</v>
      </c>
    </row>
    <row r="1267" spans="1:19" x14ac:dyDescent="0.25">
      <c r="A1267">
        <v>1266</v>
      </c>
      <c r="B1267">
        <v>1</v>
      </c>
      <c r="C1267" t="s">
        <v>30</v>
      </c>
      <c r="D1267" t="s">
        <v>32</v>
      </c>
      <c r="E1267">
        <v>8100000</v>
      </c>
      <c r="F1267">
        <v>28400000</v>
      </c>
      <c r="G1267">
        <v>6</v>
      </c>
      <c r="H1267">
        <v>744</v>
      </c>
      <c r="I1267">
        <v>20300000</v>
      </c>
      <c r="J1267">
        <v>10500000</v>
      </c>
      <c r="K1267">
        <v>21800000</v>
      </c>
      <c r="L1267">
        <v>7700000</v>
      </c>
      <c r="M1267" t="s">
        <v>34</v>
      </c>
      <c r="N1267">
        <f t="shared" si="115"/>
        <v>1</v>
      </c>
      <c r="O1267" t="str">
        <f t="shared" si="114"/>
        <v>Good</v>
      </c>
      <c r="P1267" t="str">
        <f t="shared" si="116"/>
        <v>High</v>
      </c>
      <c r="Q1267" t="str">
        <f t="shared" si="117"/>
        <v>High Loan</v>
      </c>
      <c r="R1267">
        <f t="shared" si="118"/>
        <v>60300000</v>
      </c>
      <c r="S1267" t="str">
        <f t="shared" si="119"/>
        <v>Strong</v>
      </c>
    </row>
    <row r="1268" spans="1:19" x14ac:dyDescent="0.25">
      <c r="A1268">
        <v>1267</v>
      </c>
      <c r="B1268">
        <v>4</v>
      </c>
      <c r="C1268" t="s">
        <v>31</v>
      </c>
      <c r="D1268" t="s">
        <v>32</v>
      </c>
      <c r="E1268">
        <v>6800000</v>
      </c>
      <c r="F1268">
        <v>17000000</v>
      </c>
      <c r="G1268">
        <v>2</v>
      </c>
      <c r="H1268">
        <v>749</v>
      </c>
      <c r="I1268">
        <v>18000000</v>
      </c>
      <c r="J1268">
        <v>3800000</v>
      </c>
      <c r="K1268">
        <v>27100000</v>
      </c>
      <c r="L1268">
        <v>9400000</v>
      </c>
      <c r="M1268" t="s">
        <v>34</v>
      </c>
      <c r="N1268">
        <f t="shared" si="115"/>
        <v>1</v>
      </c>
      <c r="O1268" t="str">
        <f t="shared" si="114"/>
        <v>Good</v>
      </c>
      <c r="P1268" t="str">
        <f t="shared" si="116"/>
        <v>High</v>
      </c>
      <c r="Q1268" t="str">
        <f t="shared" si="117"/>
        <v>Low Loan</v>
      </c>
      <c r="R1268">
        <f t="shared" si="118"/>
        <v>58300000</v>
      </c>
      <c r="S1268" t="str">
        <f t="shared" si="119"/>
        <v>Strong</v>
      </c>
    </row>
    <row r="1269" spans="1:19" x14ac:dyDescent="0.25">
      <c r="A1269">
        <v>1268</v>
      </c>
      <c r="B1269">
        <v>0</v>
      </c>
      <c r="C1269" t="s">
        <v>30</v>
      </c>
      <c r="D1269" t="s">
        <v>32</v>
      </c>
      <c r="E1269">
        <v>4700000</v>
      </c>
      <c r="F1269">
        <v>14800000</v>
      </c>
      <c r="G1269">
        <v>20</v>
      </c>
      <c r="H1269">
        <v>755</v>
      </c>
      <c r="I1269">
        <v>12300000</v>
      </c>
      <c r="J1269">
        <v>5000000</v>
      </c>
      <c r="K1269">
        <v>15400000</v>
      </c>
      <c r="L1269">
        <v>3700000</v>
      </c>
      <c r="M1269" t="s">
        <v>34</v>
      </c>
      <c r="N1269">
        <f t="shared" si="115"/>
        <v>1</v>
      </c>
      <c r="O1269" t="str">
        <f t="shared" si="114"/>
        <v>Excellent</v>
      </c>
      <c r="P1269" t="str">
        <f t="shared" si="116"/>
        <v>High</v>
      </c>
      <c r="Q1269" t="str">
        <f t="shared" si="117"/>
        <v>Low Loan</v>
      </c>
      <c r="R1269">
        <f t="shared" si="118"/>
        <v>36400000</v>
      </c>
      <c r="S1269" t="str">
        <f t="shared" si="119"/>
        <v>Strong</v>
      </c>
    </row>
    <row r="1270" spans="1:19" x14ac:dyDescent="0.25">
      <c r="A1270">
        <v>1269</v>
      </c>
      <c r="B1270">
        <v>3</v>
      </c>
      <c r="C1270" t="s">
        <v>30</v>
      </c>
      <c r="D1270" t="s">
        <v>33</v>
      </c>
      <c r="E1270">
        <v>2200000</v>
      </c>
      <c r="F1270">
        <v>5300000</v>
      </c>
      <c r="G1270">
        <v>2</v>
      </c>
      <c r="H1270">
        <v>506</v>
      </c>
      <c r="I1270">
        <v>1600000</v>
      </c>
      <c r="J1270">
        <v>1700000</v>
      </c>
      <c r="K1270">
        <v>5800000</v>
      </c>
      <c r="L1270">
        <v>2800000</v>
      </c>
      <c r="M1270" t="s">
        <v>35</v>
      </c>
      <c r="N1270">
        <f t="shared" si="115"/>
        <v>0</v>
      </c>
      <c r="O1270" t="str">
        <f t="shared" si="114"/>
        <v>Low</v>
      </c>
      <c r="P1270" t="str">
        <f t="shared" si="116"/>
        <v>High</v>
      </c>
      <c r="Q1270" t="str">
        <f t="shared" si="117"/>
        <v>Low Loan</v>
      </c>
      <c r="R1270">
        <f t="shared" si="118"/>
        <v>11900000</v>
      </c>
      <c r="S1270" t="str">
        <f t="shared" si="119"/>
        <v>Strong</v>
      </c>
    </row>
    <row r="1271" spans="1:19" x14ac:dyDescent="0.25">
      <c r="A1271">
        <v>1270</v>
      </c>
      <c r="B1271">
        <v>3</v>
      </c>
      <c r="C1271" t="s">
        <v>30</v>
      </c>
      <c r="D1271" t="s">
        <v>33</v>
      </c>
      <c r="E1271">
        <v>3500000</v>
      </c>
      <c r="F1271">
        <v>13000000</v>
      </c>
      <c r="G1271">
        <v>6</v>
      </c>
      <c r="H1271">
        <v>391</v>
      </c>
      <c r="I1271">
        <v>6100000</v>
      </c>
      <c r="J1271">
        <v>3500000</v>
      </c>
      <c r="K1271">
        <v>13300000</v>
      </c>
      <c r="L1271">
        <v>4300000</v>
      </c>
      <c r="M1271" t="s">
        <v>35</v>
      </c>
      <c r="N1271">
        <f t="shared" si="115"/>
        <v>0</v>
      </c>
      <c r="O1271" t="str">
        <f t="shared" si="114"/>
        <v>Low</v>
      </c>
      <c r="P1271" t="str">
        <f t="shared" si="116"/>
        <v>High</v>
      </c>
      <c r="Q1271" t="str">
        <f t="shared" si="117"/>
        <v>Low Loan</v>
      </c>
      <c r="R1271">
        <f t="shared" si="118"/>
        <v>27200000</v>
      </c>
      <c r="S1271" t="str">
        <f t="shared" si="119"/>
        <v>Strong</v>
      </c>
    </row>
    <row r="1272" spans="1:19" x14ac:dyDescent="0.25">
      <c r="A1272">
        <v>1271</v>
      </c>
      <c r="B1272">
        <v>1</v>
      </c>
      <c r="C1272" t="s">
        <v>31</v>
      </c>
      <c r="D1272" t="s">
        <v>33</v>
      </c>
      <c r="E1272">
        <v>3500000</v>
      </c>
      <c r="F1272">
        <v>11600000</v>
      </c>
      <c r="G1272">
        <v>10</v>
      </c>
      <c r="H1272">
        <v>898</v>
      </c>
      <c r="I1272">
        <v>3100000</v>
      </c>
      <c r="J1272">
        <v>2700000</v>
      </c>
      <c r="K1272">
        <v>9000000</v>
      </c>
      <c r="L1272">
        <v>4500000</v>
      </c>
      <c r="M1272" t="s">
        <v>34</v>
      </c>
      <c r="N1272">
        <f t="shared" si="115"/>
        <v>1</v>
      </c>
      <c r="O1272" t="str">
        <f t="shared" si="114"/>
        <v>Excellent</v>
      </c>
      <c r="P1272" t="str">
        <f t="shared" si="116"/>
        <v>High</v>
      </c>
      <c r="Q1272" t="str">
        <f t="shared" si="117"/>
        <v>Low Loan</v>
      </c>
      <c r="R1272">
        <f t="shared" si="118"/>
        <v>19300000</v>
      </c>
      <c r="S1272" t="str">
        <f t="shared" si="119"/>
        <v>Strong</v>
      </c>
    </row>
    <row r="1273" spans="1:19" x14ac:dyDescent="0.25">
      <c r="A1273">
        <v>1272</v>
      </c>
      <c r="B1273">
        <v>5</v>
      </c>
      <c r="C1273" t="s">
        <v>31</v>
      </c>
      <c r="D1273" t="s">
        <v>32</v>
      </c>
      <c r="E1273">
        <v>500000</v>
      </c>
      <c r="F1273">
        <v>1500000</v>
      </c>
      <c r="G1273">
        <v>12</v>
      </c>
      <c r="H1273">
        <v>527</v>
      </c>
      <c r="I1273">
        <v>100000</v>
      </c>
      <c r="J1273">
        <v>600000</v>
      </c>
      <c r="K1273">
        <v>1100000</v>
      </c>
      <c r="L1273">
        <v>200000</v>
      </c>
      <c r="M1273" t="s">
        <v>35</v>
      </c>
      <c r="N1273">
        <f t="shared" si="115"/>
        <v>0</v>
      </c>
      <c r="O1273" t="str">
        <f t="shared" si="114"/>
        <v>Low</v>
      </c>
      <c r="P1273" t="str">
        <f t="shared" si="116"/>
        <v>Middle</v>
      </c>
      <c r="Q1273" t="str">
        <f t="shared" si="117"/>
        <v>Low Loan</v>
      </c>
      <c r="R1273">
        <f t="shared" si="118"/>
        <v>2000000</v>
      </c>
      <c r="S1273" t="str">
        <f t="shared" si="119"/>
        <v>Weak</v>
      </c>
    </row>
    <row r="1274" spans="1:19" x14ac:dyDescent="0.25">
      <c r="A1274">
        <v>1273</v>
      </c>
      <c r="B1274">
        <v>5</v>
      </c>
      <c r="C1274" t="s">
        <v>31</v>
      </c>
      <c r="D1274" t="s">
        <v>32</v>
      </c>
      <c r="E1274">
        <v>9900000</v>
      </c>
      <c r="F1274">
        <v>35800000</v>
      </c>
      <c r="G1274">
        <v>20</v>
      </c>
      <c r="H1274">
        <v>470</v>
      </c>
      <c r="I1274">
        <v>9500000</v>
      </c>
      <c r="J1274">
        <v>18400000</v>
      </c>
      <c r="K1274">
        <v>39100000</v>
      </c>
      <c r="L1274">
        <v>14700000</v>
      </c>
      <c r="M1274" t="s">
        <v>35</v>
      </c>
      <c r="N1274">
        <f t="shared" si="115"/>
        <v>0</v>
      </c>
      <c r="O1274" t="str">
        <f t="shared" si="114"/>
        <v>Low</v>
      </c>
      <c r="P1274" t="str">
        <f t="shared" si="116"/>
        <v>High</v>
      </c>
      <c r="Q1274" t="str">
        <f t="shared" si="117"/>
        <v>High Loan</v>
      </c>
      <c r="R1274">
        <f t="shared" si="118"/>
        <v>81700000</v>
      </c>
      <c r="S1274" t="str">
        <f t="shared" si="119"/>
        <v>Strong</v>
      </c>
    </row>
    <row r="1275" spans="1:19" x14ac:dyDescent="0.25">
      <c r="A1275">
        <v>1274</v>
      </c>
      <c r="B1275">
        <v>1</v>
      </c>
      <c r="C1275" t="s">
        <v>30</v>
      </c>
      <c r="D1275" t="s">
        <v>32</v>
      </c>
      <c r="E1275">
        <v>8400000</v>
      </c>
      <c r="F1275">
        <v>25000000</v>
      </c>
      <c r="G1275">
        <v>12</v>
      </c>
      <c r="H1275">
        <v>694</v>
      </c>
      <c r="I1275">
        <v>5300000</v>
      </c>
      <c r="J1275">
        <v>14900000</v>
      </c>
      <c r="K1275">
        <v>23000000</v>
      </c>
      <c r="L1275">
        <v>7700000</v>
      </c>
      <c r="M1275" t="s">
        <v>34</v>
      </c>
      <c r="N1275">
        <f t="shared" si="115"/>
        <v>1</v>
      </c>
      <c r="O1275" t="str">
        <f t="shared" si="114"/>
        <v>Medium</v>
      </c>
      <c r="P1275" t="str">
        <f t="shared" si="116"/>
        <v>High</v>
      </c>
      <c r="Q1275" t="str">
        <f t="shared" si="117"/>
        <v>High Loan</v>
      </c>
      <c r="R1275">
        <f t="shared" si="118"/>
        <v>50900000</v>
      </c>
      <c r="S1275" t="str">
        <f t="shared" si="119"/>
        <v>Strong</v>
      </c>
    </row>
    <row r="1276" spans="1:19" x14ac:dyDescent="0.25">
      <c r="A1276">
        <v>1275</v>
      </c>
      <c r="B1276">
        <v>1</v>
      </c>
      <c r="C1276" t="s">
        <v>30</v>
      </c>
      <c r="D1276" t="s">
        <v>32</v>
      </c>
      <c r="E1276">
        <v>5000000</v>
      </c>
      <c r="F1276">
        <v>18800000</v>
      </c>
      <c r="G1276">
        <v>14</v>
      </c>
      <c r="H1276">
        <v>325</v>
      </c>
      <c r="I1276">
        <v>13100000</v>
      </c>
      <c r="J1276">
        <v>5700000</v>
      </c>
      <c r="K1276">
        <v>12800000</v>
      </c>
      <c r="L1276">
        <v>4300000</v>
      </c>
      <c r="M1276" t="s">
        <v>35</v>
      </c>
      <c r="N1276">
        <f t="shared" si="115"/>
        <v>0</v>
      </c>
      <c r="O1276" t="str">
        <f t="shared" si="114"/>
        <v>Low</v>
      </c>
      <c r="P1276" t="str">
        <f t="shared" si="116"/>
        <v>High</v>
      </c>
      <c r="Q1276" t="str">
        <f t="shared" si="117"/>
        <v>Low Loan</v>
      </c>
      <c r="R1276">
        <f t="shared" si="118"/>
        <v>35900000</v>
      </c>
      <c r="S1276" t="str">
        <f t="shared" si="119"/>
        <v>Strong</v>
      </c>
    </row>
    <row r="1277" spans="1:19" x14ac:dyDescent="0.25">
      <c r="A1277">
        <v>1276</v>
      </c>
      <c r="B1277">
        <v>4</v>
      </c>
      <c r="C1277" t="s">
        <v>31</v>
      </c>
      <c r="D1277" t="s">
        <v>33</v>
      </c>
      <c r="E1277">
        <v>5500000</v>
      </c>
      <c r="F1277">
        <v>13400000</v>
      </c>
      <c r="G1277">
        <v>10</v>
      </c>
      <c r="H1277">
        <v>880</v>
      </c>
      <c r="I1277">
        <v>300000</v>
      </c>
      <c r="J1277">
        <v>800000</v>
      </c>
      <c r="K1277">
        <v>19900000</v>
      </c>
      <c r="L1277">
        <v>2800000</v>
      </c>
      <c r="M1277" t="s">
        <v>34</v>
      </c>
      <c r="N1277">
        <f t="shared" si="115"/>
        <v>1</v>
      </c>
      <c r="O1277" t="str">
        <f t="shared" si="114"/>
        <v>Excellent</v>
      </c>
      <c r="P1277" t="str">
        <f t="shared" si="116"/>
        <v>High</v>
      </c>
      <c r="Q1277" t="str">
        <f t="shared" si="117"/>
        <v>Low Loan</v>
      </c>
      <c r="R1277">
        <f t="shared" si="118"/>
        <v>23800000</v>
      </c>
      <c r="S1277" t="str">
        <f t="shared" si="119"/>
        <v>Strong</v>
      </c>
    </row>
    <row r="1278" spans="1:19" x14ac:dyDescent="0.25">
      <c r="A1278">
        <v>1277</v>
      </c>
      <c r="B1278">
        <v>5</v>
      </c>
      <c r="C1278" t="s">
        <v>30</v>
      </c>
      <c r="D1278" t="s">
        <v>33</v>
      </c>
      <c r="E1278">
        <v>3000000</v>
      </c>
      <c r="F1278">
        <v>11900000</v>
      </c>
      <c r="G1278">
        <v>14</v>
      </c>
      <c r="H1278">
        <v>459</v>
      </c>
      <c r="I1278">
        <v>6000000</v>
      </c>
      <c r="J1278">
        <v>4800000</v>
      </c>
      <c r="K1278">
        <v>11700000</v>
      </c>
      <c r="L1278">
        <v>4200000</v>
      </c>
      <c r="M1278" t="s">
        <v>35</v>
      </c>
      <c r="N1278">
        <f t="shared" si="115"/>
        <v>0</v>
      </c>
      <c r="O1278" t="str">
        <f t="shared" si="114"/>
        <v>Low</v>
      </c>
      <c r="P1278" t="str">
        <f t="shared" si="116"/>
        <v>High</v>
      </c>
      <c r="Q1278" t="str">
        <f t="shared" si="117"/>
        <v>Low Loan</v>
      </c>
      <c r="R1278">
        <f t="shared" si="118"/>
        <v>26700000</v>
      </c>
      <c r="S1278" t="str">
        <f t="shared" si="119"/>
        <v>Strong</v>
      </c>
    </row>
    <row r="1279" spans="1:19" x14ac:dyDescent="0.25">
      <c r="A1279">
        <v>1278</v>
      </c>
      <c r="B1279">
        <v>3</v>
      </c>
      <c r="C1279" t="s">
        <v>31</v>
      </c>
      <c r="D1279" t="s">
        <v>33</v>
      </c>
      <c r="E1279">
        <v>9400000</v>
      </c>
      <c r="F1279">
        <v>21400000</v>
      </c>
      <c r="G1279">
        <v>10</v>
      </c>
      <c r="H1279">
        <v>323</v>
      </c>
      <c r="I1279">
        <v>5100000</v>
      </c>
      <c r="J1279">
        <v>15500000</v>
      </c>
      <c r="K1279">
        <v>29600000</v>
      </c>
      <c r="L1279">
        <v>11300000</v>
      </c>
      <c r="M1279" t="s">
        <v>35</v>
      </c>
      <c r="N1279">
        <f t="shared" si="115"/>
        <v>0</v>
      </c>
      <c r="O1279" t="str">
        <f t="shared" si="114"/>
        <v>Low</v>
      </c>
      <c r="P1279" t="str">
        <f t="shared" si="116"/>
        <v>High</v>
      </c>
      <c r="Q1279" t="str">
        <f t="shared" si="117"/>
        <v>High Loan</v>
      </c>
      <c r="R1279">
        <f t="shared" si="118"/>
        <v>61500000</v>
      </c>
      <c r="S1279" t="str">
        <f t="shared" si="119"/>
        <v>Strong</v>
      </c>
    </row>
    <row r="1280" spans="1:19" x14ac:dyDescent="0.25">
      <c r="A1280">
        <v>1279</v>
      </c>
      <c r="B1280">
        <v>4</v>
      </c>
      <c r="C1280" t="s">
        <v>30</v>
      </c>
      <c r="D1280" t="s">
        <v>32</v>
      </c>
      <c r="E1280">
        <v>7600000</v>
      </c>
      <c r="F1280">
        <v>29000000</v>
      </c>
      <c r="G1280">
        <v>8</v>
      </c>
      <c r="H1280">
        <v>739</v>
      </c>
      <c r="I1280">
        <v>22100000</v>
      </c>
      <c r="J1280">
        <v>8100000</v>
      </c>
      <c r="K1280">
        <v>22100000</v>
      </c>
      <c r="L1280">
        <v>8800000</v>
      </c>
      <c r="M1280" t="s">
        <v>34</v>
      </c>
      <c r="N1280">
        <f t="shared" si="115"/>
        <v>1</v>
      </c>
      <c r="O1280" t="str">
        <f t="shared" si="114"/>
        <v>Good</v>
      </c>
      <c r="P1280" t="str">
        <f t="shared" si="116"/>
        <v>High</v>
      </c>
      <c r="Q1280" t="str">
        <f t="shared" si="117"/>
        <v>High Loan</v>
      </c>
      <c r="R1280">
        <f t="shared" si="118"/>
        <v>61100000</v>
      </c>
      <c r="S1280" t="str">
        <f t="shared" si="119"/>
        <v>Strong</v>
      </c>
    </row>
    <row r="1281" spans="1:19" x14ac:dyDescent="0.25">
      <c r="A1281">
        <v>1280</v>
      </c>
      <c r="B1281">
        <v>0</v>
      </c>
      <c r="C1281" t="s">
        <v>31</v>
      </c>
      <c r="D1281" t="s">
        <v>33</v>
      </c>
      <c r="E1281">
        <v>5500000</v>
      </c>
      <c r="F1281">
        <v>16300000</v>
      </c>
      <c r="G1281">
        <v>10</v>
      </c>
      <c r="H1281">
        <v>724</v>
      </c>
      <c r="I1281">
        <v>11900000</v>
      </c>
      <c r="J1281">
        <v>1500000</v>
      </c>
      <c r="K1281">
        <v>11900000</v>
      </c>
      <c r="L1281">
        <v>6200000</v>
      </c>
      <c r="M1281" t="s">
        <v>34</v>
      </c>
      <c r="N1281">
        <f t="shared" si="115"/>
        <v>1</v>
      </c>
      <c r="O1281" t="str">
        <f t="shared" si="114"/>
        <v>Good</v>
      </c>
      <c r="P1281" t="str">
        <f t="shared" si="116"/>
        <v>High</v>
      </c>
      <c r="Q1281" t="str">
        <f t="shared" si="117"/>
        <v>Low Loan</v>
      </c>
      <c r="R1281">
        <f t="shared" si="118"/>
        <v>31500000</v>
      </c>
      <c r="S1281" t="str">
        <f t="shared" si="119"/>
        <v>Strong</v>
      </c>
    </row>
    <row r="1282" spans="1:19" x14ac:dyDescent="0.25">
      <c r="A1282">
        <v>1281</v>
      </c>
      <c r="B1282">
        <v>1</v>
      </c>
      <c r="C1282" t="s">
        <v>30</v>
      </c>
      <c r="D1282" t="s">
        <v>32</v>
      </c>
      <c r="E1282">
        <v>3100000</v>
      </c>
      <c r="F1282">
        <v>7400000</v>
      </c>
      <c r="G1282">
        <v>18</v>
      </c>
      <c r="H1282">
        <v>487</v>
      </c>
      <c r="I1282">
        <v>8400000</v>
      </c>
      <c r="J1282">
        <v>1200000</v>
      </c>
      <c r="K1282">
        <v>9200000</v>
      </c>
      <c r="L1282">
        <v>4500000</v>
      </c>
      <c r="M1282" t="s">
        <v>35</v>
      </c>
      <c r="N1282">
        <f t="shared" si="115"/>
        <v>0</v>
      </c>
      <c r="O1282" t="str">
        <f t="shared" ref="O1282:O1345" si="120">IF(H1282&lt;650,"Low",
 IF(H1282&lt;700,"Medium",
 IF(H1282&lt;750,"Good","Excellent")))</f>
        <v>Low</v>
      </c>
      <c r="P1282" t="str">
        <f t="shared" si="116"/>
        <v>High</v>
      </c>
      <c r="Q1282" t="str">
        <f t="shared" si="117"/>
        <v>Low Loan</v>
      </c>
      <c r="R1282">
        <f t="shared" si="118"/>
        <v>23300000</v>
      </c>
      <c r="S1282" t="str">
        <f t="shared" si="119"/>
        <v>Strong</v>
      </c>
    </row>
    <row r="1283" spans="1:19" x14ac:dyDescent="0.25">
      <c r="A1283">
        <v>1282</v>
      </c>
      <c r="B1283">
        <v>3</v>
      </c>
      <c r="C1283" t="s">
        <v>30</v>
      </c>
      <c r="D1283" t="s">
        <v>32</v>
      </c>
      <c r="E1283">
        <v>7700000</v>
      </c>
      <c r="F1283">
        <v>27700000</v>
      </c>
      <c r="G1283">
        <v>4</v>
      </c>
      <c r="H1283">
        <v>439</v>
      </c>
      <c r="I1283">
        <v>13900000</v>
      </c>
      <c r="J1283">
        <v>7500000</v>
      </c>
      <c r="K1283">
        <v>27100000</v>
      </c>
      <c r="L1283">
        <v>6200000</v>
      </c>
      <c r="M1283" t="s">
        <v>34</v>
      </c>
      <c r="N1283">
        <f t="shared" ref="N1283:N1346" si="121">IF(TRIM(CLEAN(M1283))="Approved",1,0)</f>
        <v>1</v>
      </c>
      <c r="O1283" t="str">
        <f t="shared" si="120"/>
        <v>Low</v>
      </c>
      <c r="P1283" t="str">
        <f t="shared" ref="P1283:P1346" si="122">IF(E1283&lt;300000,"Low",
 IF(E1283&lt;700000,"Middle","High"))</f>
        <v>High</v>
      </c>
      <c r="Q1283" t="str">
        <f t="shared" ref="Q1283:Q1346" si="123">IF(F1283&lt;20000000,"Low Loan","High Loan")</f>
        <v>High Loan</v>
      </c>
      <c r="R1283">
        <f t="shared" ref="R1283:R1346" si="124">I1283+J1283+K1283+L1283</f>
        <v>54700000</v>
      </c>
      <c r="S1283" t="str">
        <f t="shared" ref="S1283:S1346" si="125">IF(R1283&lt;5000000,"Weak",
 IF(R1283&lt;10000000,"Moderate","Strong"))</f>
        <v>Strong</v>
      </c>
    </row>
    <row r="1284" spans="1:19" x14ac:dyDescent="0.25">
      <c r="A1284">
        <v>1283</v>
      </c>
      <c r="B1284">
        <v>2</v>
      </c>
      <c r="C1284" t="s">
        <v>30</v>
      </c>
      <c r="D1284" t="s">
        <v>32</v>
      </c>
      <c r="E1284">
        <v>9800000</v>
      </c>
      <c r="F1284">
        <v>25400000</v>
      </c>
      <c r="G1284">
        <v>2</v>
      </c>
      <c r="H1284">
        <v>655</v>
      </c>
      <c r="I1284">
        <v>19900000</v>
      </c>
      <c r="J1284">
        <v>4600000</v>
      </c>
      <c r="K1284">
        <v>21300000</v>
      </c>
      <c r="L1284">
        <v>7900000</v>
      </c>
      <c r="M1284" t="s">
        <v>34</v>
      </c>
      <c r="N1284">
        <f t="shared" si="121"/>
        <v>1</v>
      </c>
      <c r="O1284" t="str">
        <f t="shared" si="120"/>
        <v>Medium</v>
      </c>
      <c r="P1284" t="str">
        <f t="shared" si="122"/>
        <v>High</v>
      </c>
      <c r="Q1284" t="str">
        <f t="shared" si="123"/>
        <v>High Loan</v>
      </c>
      <c r="R1284">
        <f t="shared" si="124"/>
        <v>53700000</v>
      </c>
      <c r="S1284" t="str">
        <f t="shared" si="125"/>
        <v>Strong</v>
      </c>
    </row>
    <row r="1285" spans="1:19" x14ac:dyDescent="0.25">
      <c r="A1285">
        <v>1284</v>
      </c>
      <c r="B1285">
        <v>3</v>
      </c>
      <c r="C1285" t="s">
        <v>31</v>
      </c>
      <c r="D1285" t="s">
        <v>32</v>
      </c>
      <c r="E1285">
        <v>3200000</v>
      </c>
      <c r="F1285">
        <v>9200000</v>
      </c>
      <c r="G1285">
        <v>14</v>
      </c>
      <c r="H1285">
        <v>443</v>
      </c>
      <c r="I1285">
        <v>3300000</v>
      </c>
      <c r="J1285">
        <v>1100000</v>
      </c>
      <c r="K1285">
        <v>7200000</v>
      </c>
      <c r="L1285">
        <v>4500000</v>
      </c>
      <c r="M1285" t="s">
        <v>35</v>
      </c>
      <c r="N1285">
        <f t="shared" si="121"/>
        <v>0</v>
      </c>
      <c r="O1285" t="str">
        <f t="shared" si="120"/>
        <v>Low</v>
      </c>
      <c r="P1285" t="str">
        <f t="shared" si="122"/>
        <v>High</v>
      </c>
      <c r="Q1285" t="str">
        <f t="shared" si="123"/>
        <v>Low Loan</v>
      </c>
      <c r="R1285">
        <f t="shared" si="124"/>
        <v>16100000</v>
      </c>
      <c r="S1285" t="str">
        <f t="shared" si="125"/>
        <v>Strong</v>
      </c>
    </row>
    <row r="1286" spans="1:19" x14ac:dyDescent="0.25">
      <c r="A1286">
        <v>1285</v>
      </c>
      <c r="B1286">
        <v>2</v>
      </c>
      <c r="C1286" t="s">
        <v>30</v>
      </c>
      <c r="D1286" t="s">
        <v>32</v>
      </c>
      <c r="E1286">
        <v>700000</v>
      </c>
      <c r="F1286">
        <v>2600000</v>
      </c>
      <c r="G1286">
        <v>20</v>
      </c>
      <c r="H1286">
        <v>489</v>
      </c>
      <c r="I1286">
        <v>100000</v>
      </c>
      <c r="J1286">
        <v>200000</v>
      </c>
      <c r="K1286">
        <v>2400000</v>
      </c>
      <c r="L1286">
        <v>900000</v>
      </c>
      <c r="M1286" t="s">
        <v>35</v>
      </c>
      <c r="N1286">
        <f t="shared" si="121"/>
        <v>0</v>
      </c>
      <c r="O1286" t="str">
        <f t="shared" si="120"/>
        <v>Low</v>
      </c>
      <c r="P1286" t="str">
        <f t="shared" si="122"/>
        <v>High</v>
      </c>
      <c r="Q1286" t="str">
        <f t="shared" si="123"/>
        <v>Low Loan</v>
      </c>
      <c r="R1286">
        <f t="shared" si="124"/>
        <v>3600000</v>
      </c>
      <c r="S1286" t="str">
        <f t="shared" si="125"/>
        <v>Weak</v>
      </c>
    </row>
    <row r="1287" spans="1:19" x14ac:dyDescent="0.25">
      <c r="A1287">
        <v>1286</v>
      </c>
      <c r="B1287">
        <v>4</v>
      </c>
      <c r="C1287" t="s">
        <v>31</v>
      </c>
      <c r="D1287" t="s">
        <v>33</v>
      </c>
      <c r="E1287">
        <v>3100000</v>
      </c>
      <c r="F1287">
        <v>8600000</v>
      </c>
      <c r="G1287">
        <v>14</v>
      </c>
      <c r="H1287">
        <v>427</v>
      </c>
      <c r="I1287">
        <v>3100000</v>
      </c>
      <c r="J1287">
        <v>3800000</v>
      </c>
      <c r="K1287">
        <v>9900000</v>
      </c>
      <c r="L1287">
        <v>3700000</v>
      </c>
      <c r="M1287" t="s">
        <v>35</v>
      </c>
      <c r="N1287">
        <f t="shared" si="121"/>
        <v>0</v>
      </c>
      <c r="O1287" t="str">
        <f t="shared" si="120"/>
        <v>Low</v>
      </c>
      <c r="P1287" t="str">
        <f t="shared" si="122"/>
        <v>High</v>
      </c>
      <c r="Q1287" t="str">
        <f t="shared" si="123"/>
        <v>Low Loan</v>
      </c>
      <c r="R1287">
        <f t="shared" si="124"/>
        <v>20500000</v>
      </c>
      <c r="S1287" t="str">
        <f t="shared" si="125"/>
        <v>Strong</v>
      </c>
    </row>
    <row r="1288" spans="1:19" x14ac:dyDescent="0.25">
      <c r="A1288">
        <v>1287</v>
      </c>
      <c r="B1288">
        <v>0</v>
      </c>
      <c r="C1288" t="s">
        <v>30</v>
      </c>
      <c r="D1288" t="s">
        <v>33</v>
      </c>
      <c r="E1288">
        <v>4500000</v>
      </c>
      <c r="F1288">
        <v>10500000</v>
      </c>
      <c r="G1288">
        <v>20</v>
      </c>
      <c r="H1288">
        <v>417</v>
      </c>
      <c r="I1288">
        <v>9800000</v>
      </c>
      <c r="J1288">
        <v>2000000</v>
      </c>
      <c r="K1288">
        <v>9600000</v>
      </c>
      <c r="L1288">
        <v>5800000</v>
      </c>
      <c r="M1288" t="s">
        <v>35</v>
      </c>
      <c r="N1288">
        <f t="shared" si="121"/>
        <v>0</v>
      </c>
      <c r="O1288" t="str">
        <f t="shared" si="120"/>
        <v>Low</v>
      </c>
      <c r="P1288" t="str">
        <f t="shared" si="122"/>
        <v>High</v>
      </c>
      <c r="Q1288" t="str">
        <f t="shared" si="123"/>
        <v>Low Loan</v>
      </c>
      <c r="R1288">
        <f t="shared" si="124"/>
        <v>27200000</v>
      </c>
      <c r="S1288" t="str">
        <f t="shared" si="125"/>
        <v>Strong</v>
      </c>
    </row>
    <row r="1289" spans="1:19" x14ac:dyDescent="0.25">
      <c r="A1289">
        <v>1288</v>
      </c>
      <c r="B1289">
        <v>5</v>
      </c>
      <c r="C1289" t="s">
        <v>31</v>
      </c>
      <c r="D1289" t="s">
        <v>33</v>
      </c>
      <c r="E1289">
        <v>8900000</v>
      </c>
      <c r="F1289">
        <v>24800000</v>
      </c>
      <c r="G1289">
        <v>18</v>
      </c>
      <c r="H1289">
        <v>842</v>
      </c>
      <c r="I1289">
        <v>16200000</v>
      </c>
      <c r="J1289">
        <v>5000000</v>
      </c>
      <c r="K1289">
        <v>20000000</v>
      </c>
      <c r="L1289">
        <v>8100000</v>
      </c>
      <c r="M1289" t="s">
        <v>34</v>
      </c>
      <c r="N1289">
        <f t="shared" si="121"/>
        <v>1</v>
      </c>
      <c r="O1289" t="str">
        <f t="shared" si="120"/>
        <v>Excellent</v>
      </c>
      <c r="P1289" t="str">
        <f t="shared" si="122"/>
        <v>High</v>
      </c>
      <c r="Q1289" t="str">
        <f t="shared" si="123"/>
        <v>High Loan</v>
      </c>
      <c r="R1289">
        <f t="shared" si="124"/>
        <v>49300000</v>
      </c>
      <c r="S1289" t="str">
        <f t="shared" si="125"/>
        <v>Strong</v>
      </c>
    </row>
    <row r="1290" spans="1:19" x14ac:dyDescent="0.25">
      <c r="A1290">
        <v>1289</v>
      </c>
      <c r="B1290">
        <v>3</v>
      </c>
      <c r="C1290" t="s">
        <v>31</v>
      </c>
      <c r="D1290" t="s">
        <v>32</v>
      </c>
      <c r="E1290">
        <v>5900000</v>
      </c>
      <c r="F1290">
        <v>23200000</v>
      </c>
      <c r="G1290">
        <v>2</v>
      </c>
      <c r="H1290">
        <v>307</v>
      </c>
      <c r="I1290">
        <v>15500000</v>
      </c>
      <c r="J1290">
        <v>10000000</v>
      </c>
      <c r="K1290">
        <v>21100000</v>
      </c>
      <c r="L1290">
        <v>6300000</v>
      </c>
      <c r="M1290" t="s">
        <v>34</v>
      </c>
      <c r="N1290">
        <f t="shared" si="121"/>
        <v>1</v>
      </c>
      <c r="O1290" t="str">
        <f t="shared" si="120"/>
        <v>Low</v>
      </c>
      <c r="P1290" t="str">
        <f t="shared" si="122"/>
        <v>High</v>
      </c>
      <c r="Q1290" t="str">
        <f t="shared" si="123"/>
        <v>High Loan</v>
      </c>
      <c r="R1290">
        <f t="shared" si="124"/>
        <v>52900000</v>
      </c>
      <c r="S1290" t="str">
        <f t="shared" si="125"/>
        <v>Strong</v>
      </c>
    </row>
    <row r="1291" spans="1:19" x14ac:dyDescent="0.25">
      <c r="A1291">
        <v>1290</v>
      </c>
      <c r="B1291">
        <v>2</v>
      </c>
      <c r="C1291" t="s">
        <v>31</v>
      </c>
      <c r="D1291" t="s">
        <v>32</v>
      </c>
      <c r="E1291">
        <v>1500000</v>
      </c>
      <c r="F1291">
        <v>4500000</v>
      </c>
      <c r="G1291">
        <v>18</v>
      </c>
      <c r="H1291">
        <v>428</v>
      </c>
      <c r="I1291">
        <v>4500000</v>
      </c>
      <c r="J1291">
        <v>1200000</v>
      </c>
      <c r="K1291">
        <v>5600000</v>
      </c>
      <c r="L1291">
        <v>1100000</v>
      </c>
      <c r="M1291" t="s">
        <v>35</v>
      </c>
      <c r="N1291">
        <f t="shared" si="121"/>
        <v>0</v>
      </c>
      <c r="O1291" t="str">
        <f t="shared" si="120"/>
        <v>Low</v>
      </c>
      <c r="P1291" t="str">
        <f t="shared" si="122"/>
        <v>High</v>
      </c>
      <c r="Q1291" t="str">
        <f t="shared" si="123"/>
        <v>Low Loan</v>
      </c>
      <c r="R1291">
        <f t="shared" si="124"/>
        <v>12400000</v>
      </c>
      <c r="S1291" t="str">
        <f t="shared" si="125"/>
        <v>Strong</v>
      </c>
    </row>
    <row r="1292" spans="1:19" x14ac:dyDescent="0.25">
      <c r="A1292">
        <v>1291</v>
      </c>
      <c r="B1292">
        <v>4</v>
      </c>
      <c r="C1292" t="s">
        <v>31</v>
      </c>
      <c r="D1292" t="s">
        <v>33</v>
      </c>
      <c r="E1292">
        <v>6300000</v>
      </c>
      <c r="F1292">
        <v>15200000</v>
      </c>
      <c r="G1292">
        <v>16</v>
      </c>
      <c r="H1292">
        <v>415</v>
      </c>
      <c r="I1292">
        <v>15500000</v>
      </c>
      <c r="J1292">
        <v>1800000</v>
      </c>
      <c r="K1292">
        <v>20700000</v>
      </c>
      <c r="L1292">
        <v>7900000</v>
      </c>
      <c r="M1292" t="s">
        <v>35</v>
      </c>
      <c r="N1292">
        <f t="shared" si="121"/>
        <v>0</v>
      </c>
      <c r="O1292" t="str">
        <f t="shared" si="120"/>
        <v>Low</v>
      </c>
      <c r="P1292" t="str">
        <f t="shared" si="122"/>
        <v>High</v>
      </c>
      <c r="Q1292" t="str">
        <f t="shared" si="123"/>
        <v>Low Loan</v>
      </c>
      <c r="R1292">
        <f t="shared" si="124"/>
        <v>45900000</v>
      </c>
      <c r="S1292" t="str">
        <f t="shared" si="125"/>
        <v>Strong</v>
      </c>
    </row>
    <row r="1293" spans="1:19" x14ac:dyDescent="0.25">
      <c r="A1293">
        <v>1292</v>
      </c>
      <c r="B1293">
        <v>3</v>
      </c>
      <c r="C1293" t="s">
        <v>31</v>
      </c>
      <c r="D1293" t="s">
        <v>33</v>
      </c>
      <c r="E1293">
        <v>6500000</v>
      </c>
      <c r="F1293">
        <v>18200000</v>
      </c>
      <c r="G1293">
        <v>20</v>
      </c>
      <c r="H1293">
        <v>405</v>
      </c>
      <c r="I1293">
        <v>10400000</v>
      </c>
      <c r="J1293">
        <v>2800000</v>
      </c>
      <c r="K1293">
        <v>21300000</v>
      </c>
      <c r="L1293">
        <v>6700000</v>
      </c>
      <c r="M1293" t="s">
        <v>35</v>
      </c>
      <c r="N1293">
        <f t="shared" si="121"/>
        <v>0</v>
      </c>
      <c r="O1293" t="str">
        <f t="shared" si="120"/>
        <v>Low</v>
      </c>
      <c r="P1293" t="str">
        <f t="shared" si="122"/>
        <v>High</v>
      </c>
      <c r="Q1293" t="str">
        <f t="shared" si="123"/>
        <v>Low Loan</v>
      </c>
      <c r="R1293">
        <f t="shared" si="124"/>
        <v>41200000</v>
      </c>
      <c r="S1293" t="str">
        <f t="shared" si="125"/>
        <v>Strong</v>
      </c>
    </row>
    <row r="1294" spans="1:19" x14ac:dyDescent="0.25">
      <c r="A1294">
        <v>1293</v>
      </c>
      <c r="B1294">
        <v>4</v>
      </c>
      <c r="C1294" t="s">
        <v>30</v>
      </c>
      <c r="D1294" t="s">
        <v>32</v>
      </c>
      <c r="E1294">
        <v>8000000</v>
      </c>
      <c r="F1294">
        <v>31500000</v>
      </c>
      <c r="G1294">
        <v>18</v>
      </c>
      <c r="H1294">
        <v>683</v>
      </c>
      <c r="I1294">
        <v>10300000</v>
      </c>
      <c r="J1294">
        <v>7900000</v>
      </c>
      <c r="K1294">
        <v>30100000</v>
      </c>
      <c r="L1294">
        <v>9600000</v>
      </c>
      <c r="M1294" t="s">
        <v>34</v>
      </c>
      <c r="N1294">
        <f t="shared" si="121"/>
        <v>1</v>
      </c>
      <c r="O1294" t="str">
        <f t="shared" si="120"/>
        <v>Medium</v>
      </c>
      <c r="P1294" t="str">
        <f t="shared" si="122"/>
        <v>High</v>
      </c>
      <c r="Q1294" t="str">
        <f t="shared" si="123"/>
        <v>High Loan</v>
      </c>
      <c r="R1294">
        <f t="shared" si="124"/>
        <v>57900000</v>
      </c>
      <c r="S1294" t="str">
        <f t="shared" si="125"/>
        <v>Strong</v>
      </c>
    </row>
    <row r="1295" spans="1:19" x14ac:dyDescent="0.25">
      <c r="A1295">
        <v>1294</v>
      </c>
      <c r="B1295">
        <v>1</v>
      </c>
      <c r="C1295" t="s">
        <v>30</v>
      </c>
      <c r="D1295" t="s">
        <v>33</v>
      </c>
      <c r="E1295">
        <v>3300000</v>
      </c>
      <c r="F1295">
        <v>10600000</v>
      </c>
      <c r="G1295">
        <v>14</v>
      </c>
      <c r="H1295">
        <v>742</v>
      </c>
      <c r="I1295">
        <v>300000</v>
      </c>
      <c r="J1295">
        <v>600000</v>
      </c>
      <c r="K1295">
        <v>8400000</v>
      </c>
      <c r="L1295">
        <v>4500000</v>
      </c>
      <c r="M1295" t="s">
        <v>34</v>
      </c>
      <c r="N1295">
        <f t="shared" si="121"/>
        <v>1</v>
      </c>
      <c r="O1295" t="str">
        <f t="shared" si="120"/>
        <v>Good</v>
      </c>
      <c r="P1295" t="str">
        <f t="shared" si="122"/>
        <v>High</v>
      </c>
      <c r="Q1295" t="str">
        <f t="shared" si="123"/>
        <v>Low Loan</v>
      </c>
      <c r="R1295">
        <f t="shared" si="124"/>
        <v>13800000</v>
      </c>
      <c r="S1295" t="str">
        <f t="shared" si="125"/>
        <v>Strong</v>
      </c>
    </row>
    <row r="1296" spans="1:19" x14ac:dyDescent="0.25">
      <c r="A1296">
        <v>1295</v>
      </c>
      <c r="B1296">
        <v>4</v>
      </c>
      <c r="C1296" t="s">
        <v>31</v>
      </c>
      <c r="D1296" t="s">
        <v>32</v>
      </c>
      <c r="E1296">
        <v>3900000</v>
      </c>
      <c r="F1296">
        <v>10000000</v>
      </c>
      <c r="G1296">
        <v>10</v>
      </c>
      <c r="H1296">
        <v>530</v>
      </c>
      <c r="I1296">
        <v>10900000</v>
      </c>
      <c r="J1296">
        <v>200000</v>
      </c>
      <c r="K1296">
        <v>12300000</v>
      </c>
      <c r="L1296">
        <v>1900000</v>
      </c>
      <c r="M1296" t="s">
        <v>35</v>
      </c>
      <c r="N1296">
        <f t="shared" si="121"/>
        <v>0</v>
      </c>
      <c r="O1296" t="str">
        <f t="shared" si="120"/>
        <v>Low</v>
      </c>
      <c r="P1296" t="str">
        <f t="shared" si="122"/>
        <v>High</v>
      </c>
      <c r="Q1296" t="str">
        <f t="shared" si="123"/>
        <v>Low Loan</v>
      </c>
      <c r="R1296">
        <f t="shared" si="124"/>
        <v>25300000</v>
      </c>
      <c r="S1296" t="str">
        <f t="shared" si="125"/>
        <v>Strong</v>
      </c>
    </row>
    <row r="1297" spans="1:19" x14ac:dyDescent="0.25">
      <c r="A1297">
        <v>1296</v>
      </c>
      <c r="B1297">
        <v>3</v>
      </c>
      <c r="C1297" t="s">
        <v>30</v>
      </c>
      <c r="D1297" t="s">
        <v>32</v>
      </c>
      <c r="E1297">
        <v>1600000</v>
      </c>
      <c r="F1297">
        <v>3500000</v>
      </c>
      <c r="G1297">
        <v>10</v>
      </c>
      <c r="H1297">
        <v>844</v>
      </c>
      <c r="I1297">
        <v>4500000</v>
      </c>
      <c r="J1297">
        <v>2200000</v>
      </c>
      <c r="K1297">
        <v>5200000</v>
      </c>
      <c r="L1297">
        <v>1600000</v>
      </c>
      <c r="M1297" t="s">
        <v>34</v>
      </c>
      <c r="N1297">
        <f t="shared" si="121"/>
        <v>1</v>
      </c>
      <c r="O1297" t="str">
        <f t="shared" si="120"/>
        <v>Excellent</v>
      </c>
      <c r="P1297" t="str">
        <f t="shared" si="122"/>
        <v>High</v>
      </c>
      <c r="Q1297" t="str">
        <f t="shared" si="123"/>
        <v>Low Loan</v>
      </c>
      <c r="R1297">
        <f t="shared" si="124"/>
        <v>13500000</v>
      </c>
      <c r="S1297" t="str">
        <f t="shared" si="125"/>
        <v>Strong</v>
      </c>
    </row>
    <row r="1298" spans="1:19" x14ac:dyDescent="0.25">
      <c r="A1298">
        <v>1297</v>
      </c>
      <c r="B1298">
        <v>2</v>
      </c>
      <c r="C1298" t="s">
        <v>31</v>
      </c>
      <c r="D1298" t="s">
        <v>33</v>
      </c>
      <c r="E1298">
        <v>3900000</v>
      </c>
      <c r="F1298">
        <v>13900000</v>
      </c>
      <c r="G1298">
        <v>18</v>
      </c>
      <c r="H1298">
        <v>715</v>
      </c>
      <c r="I1298">
        <v>5000000</v>
      </c>
      <c r="J1298">
        <v>5600000</v>
      </c>
      <c r="K1298">
        <v>9900000</v>
      </c>
      <c r="L1298">
        <v>2100000</v>
      </c>
      <c r="M1298" t="s">
        <v>34</v>
      </c>
      <c r="N1298">
        <f t="shared" si="121"/>
        <v>1</v>
      </c>
      <c r="O1298" t="str">
        <f t="shared" si="120"/>
        <v>Good</v>
      </c>
      <c r="P1298" t="str">
        <f t="shared" si="122"/>
        <v>High</v>
      </c>
      <c r="Q1298" t="str">
        <f t="shared" si="123"/>
        <v>Low Loan</v>
      </c>
      <c r="R1298">
        <f t="shared" si="124"/>
        <v>22600000</v>
      </c>
      <c r="S1298" t="str">
        <f t="shared" si="125"/>
        <v>Strong</v>
      </c>
    </row>
    <row r="1299" spans="1:19" x14ac:dyDescent="0.25">
      <c r="A1299">
        <v>1298</v>
      </c>
      <c r="B1299">
        <v>3</v>
      </c>
      <c r="C1299" t="s">
        <v>30</v>
      </c>
      <c r="D1299" t="s">
        <v>33</v>
      </c>
      <c r="E1299">
        <v>8000000</v>
      </c>
      <c r="F1299">
        <v>26300000</v>
      </c>
      <c r="G1299">
        <v>12</v>
      </c>
      <c r="H1299">
        <v>476</v>
      </c>
      <c r="I1299">
        <v>21700000</v>
      </c>
      <c r="J1299">
        <v>6600000</v>
      </c>
      <c r="K1299">
        <v>16400000</v>
      </c>
      <c r="L1299">
        <v>9000000</v>
      </c>
      <c r="M1299" t="s">
        <v>35</v>
      </c>
      <c r="N1299">
        <f t="shared" si="121"/>
        <v>0</v>
      </c>
      <c r="O1299" t="str">
        <f t="shared" si="120"/>
        <v>Low</v>
      </c>
      <c r="P1299" t="str">
        <f t="shared" si="122"/>
        <v>High</v>
      </c>
      <c r="Q1299" t="str">
        <f t="shared" si="123"/>
        <v>High Loan</v>
      </c>
      <c r="R1299">
        <f t="shared" si="124"/>
        <v>53700000</v>
      </c>
      <c r="S1299" t="str">
        <f t="shared" si="125"/>
        <v>Strong</v>
      </c>
    </row>
    <row r="1300" spans="1:19" x14ac:dyDescent="0.25">
      <c r="A1300">
        <v>1299</v>
      </c>
      <c r="B1300">
        <v>2</v>
      </c>
      <c r="C1300" t="s">
        <v>30</v>
      </c>
      <c r="D1300" t="s">
        <v>32</v>
      </c>
      <c r="E1300">
        <v>2200000</v>
      </c>
      <c r="F1300">
        <v>4800000</v>
      </c>
      <c r="G1300">
        <v>6</v>
      </c>
      <c r="H1300">
        <v>721</v>
      </c>
      <c r="I1300">
        <v>1800000</v>
      </c>
      <c r="J1300">
        <v>100000</v>
      </c>
      <c r="K1300">
        <v>6900000</v>
      </c>
      <c r="L1300">
        <v>2200000</v>
      </c>
      <c r="M1300" t="s">
        <v>34</v>
      </c>
      <c r="N1300">
        <f t="shared" si="121"/>
        <v>1</v>
      </c>
      <c r="O1300" t="str">
        <f t="shared" si="120"/>
        <v>Good</v>
      </c>
      <c r="P1300" t="str">
        <f t="shared" si="122"/>
        <v>High</v>
      </c>
      <c r="Q1300" t="str">
        <f t="shared" si="123"/>
        <v>Low Loan</v>
      </c>
      <c r="R1300">
        <f t="shared" si="124"/>
        <v>11000000</v>
      </c>
      <c r="S1300" t="str">
        <f t="shared" si="125"/>
        <v>Strong</v>
      </c>
    </row>
    <row r="1301" spans="1:19" x14ac:dyDescent="0.25">
      <c r="A1301">
        <v>1300</v>
      </c>
      <c r="B1301">
        <v>4</v>
      </c>
      <c r="C1301" t="s">
        <v>31</v>
      </c>
      <c r="D1301" t="s">
        <v>32</v>
      </c>
      <c r="E1301">
        <v>7600000</v>
      </c>
      <c r="F1301">
        <v>30300000</v>
      </c>
      <c r="G1301">
        <v>12</v>
      </c>
      <c r="H1301">
        <v>339</v>
      </c>
      <c r="I1301">
        <v>20400000</v>
      </c>
      <c r="J1301">
        <v>8000000</v>
      </c>
      <c r="K1301">
        <v>22200000</v>
      </c>
      <c r="L1301">
        <v>5800000</v>
      </c>
      <c r="M1301" t="s">
        <v>35</v>
      </c>
      <c r="N1301">
        <f t="shared" si="121"/>
        <v>0</v>
      </c>
      <c r="O1301" t="str">
        <f t="shared" si="120"/>
        <v>Low</v>
      </c>
      <c r="P1301" t="str">
        <f t="shared" si="122"/>
        <v>High</v>
      </c>
      <c r="Q1301" t="str">
        <f t="shared" si="123"/>
        <v>High Loan</v>
      </c>
      <c r="R1301">
        <f t="shared" si="124"/>
        <v>56400000</v>
      </c>
      <c r="S1301" t="str">
        <f t="shared" si="125"/>
        <v>Strong</v>
      </c>
    </row>
    <row r="1302" spans="1:19" x14ac:dyDescent="0.25">
      <c r="A1302">
        <v>1301</v>
      </c>
      <c r="B1302">
        <v>5</v>
      </c>
      <c r="C1302" t="s">
        <v>31</v>
      </c>
      <c r="D1302" t="s">
        <v>33</v>
      </c>
      <c r="E1302">
        <v>2700000</v>
      </c>
      <c r="F1302">
        <v>6800000</v>
      </c>
      <c r="G1302">
        <v>6</v>
      </c>
      <c r="H1302">
        <v>461</v>
      </c>
      <c r="I1302">
        <v>4500000</v>
      </c>
      <c r="J1302">
        <v>2000000</v>
      </c>
      <c r="K1302">
        <v>8200000</v>
      </c>
      <c r="L1302">
        <v>1700000</v>
      </c>
      <c r="M1302" t="s">
        <v>35</v>
      </c>
      <c r="N1302">
        <f t="shared" si="121"/>
        <v>0</v>
      </c>
      <c r="O1302" t="str">
        <f t="shared" si="120"/>
        <v>Low</v>
      </c>
      <c r="P1302" t="str">
        <f t="shared" si="122"/>
        <v>High</v>
      </c>
      <c r="Q1302" t="str">
        <f t="shared" si="123"/>
        <v>Low Loan</v>
      </c>
      <c r="R1302">
        <f t="shared" si="124"/>
        <v>16400000</v>
      </c>
      <c r="S1302" t="str">
        <f t="shared" si="125"/>
        <v>Strong</v>
      </c>
    </row>
    <row r="1303" spans="1:19" x14ac:dyDescent="0.25">
      <c r="A1303">
        <v>1302</v>
      </c>
      <c r="B1303">
        <v>2</v>
      </c>
      <c r="C1303" t="s">
        <v>30</v>
      </c>
      <c r="D1303" t="s">
        <v>33</v>
      </c>
      <c r="E1303">
        <v>6300000</v>
      </c>
      <c r="F1303">
        <v>23200000</v>
      </c>
      <c r="G1303">
        <v>12</v>
      </c>
      <c r="H1303">
        <v>556</v>
      </c>
      <c r="I1303">
        <v>7000000</v>
      </c>
      <c r="J1303">
        <v>8300000</v>
      </c>
      <c r="K1303">
        <v>24200000</v>
      </c>
      <c r="L1303">
        <v>5300000</v>
      </c>
      <c r="M1303" t="s">
        <v>34</v>
      </c>
      <c r="N1303">
        <f t="shared" si="121"/>
        <v>1</v>
      </c>
      <c r="O1303" t="str">
        <f t="shared" si="120"/>
        <v>Low</v>
      </c>
      <c r="P1303" t="str">
        <f t="shared" si="122"/>
        <v>High</v>
      </c>
      <c r="Q1303" t="str">
        <f t="shared" si="123"/>
        <v>High Loan</v>
      </c>
      <c r="R1303">
        <f t="shared" si="124"/>
        <v>44800000</v>
      </c>
      <c r="S1303" t="str">
        <f t="shared" si="125"/>
        <v>Strong</v>
      </c>
    </row>
    <row r="1304" spans="1:19" x14ac:dyDescent="0.25">
      <c r="A1304">
        <v>1303</v>
      </c>
      <c r="B1304">
        <v>3</v>
      </c>
      <c r="C1304" t="s">
        <v>31</v>
      </c>
      <c r="D1304" t="s">
        <v>32</v>
      </c>
      <c r="E1304">
        <v>7700000</v>
      </c>
      <c r="F1304">
        <v>18700000</v>
      </c>
      <c r="G1304">
        <v>8</v>
      </c>
      <c r="H1304">
        <v>483</v>
      </c>
      <c r="I1304">
        <v>15100000</v>
      </c>
      <c r="J1304">
        <v>5600000</v>
      </c>
      <c r="K1304">
        <v>24600000</v>
      </c>
      <c r="L1304">
        <v>10200000</v>
      </c>
      <c r="M1304" t="s">
        <v>35</v>
      </c>
      <c r="N1304">
        <f t="shared" si="121"/>
        <v>0</v>
      </c>
      <c r="O1304" t="str">
        <f t="shared" si="120"/>
        <v>Low</v>
      </c>
      <c r="P1304" t="str">
        <f t="shared" si="122"/>
        <v>High</v>
      </c>
      <c r="Q1304" t="str">
        <f t="shared" si="123"/>
        <v>Low Loan</v>
      </c>
      <c r="R1304">
        <f t="shared" si="124"/>
        <v>55500000</v>
      </c>
      <c r="S1304" t="str">
        <f t="shared" si="125"/>
        <v>Strong</v>
      </c>
    </row>
    <row r="1305" spans="1:19" x14ac:dyDescent="0.25">
      <c r="A1305">
        <v>1304</v>
      </c>
      <c r="B1305">
        <v>2</v>
      </c>
      <c r="C1305" t="s">
        <v>30</v>
      </c>
      <c r="D1305" t="s">
        <v>32</v>
      </c>
      <c r="E1305">
        <v>4500000</v>
      </c>
      <c r="F1305">
        <v>17200000</v>
      </c>
      <c r="G1305">
        <v>18</v>
      </c>
      <c r="H1305">
        <v>406</v>
      </c>
      <c r="I1305">
        <v>4100000</v>
      </c>
      <c r="J1305">
        <v>6300000</v>
      </c>
      <c r="K1305">
        <v>13800000</v>
      </c>
      <c r="L1305">
        <v>3300000</v>
      </c>
      <c r="M1305" t="s">
        <v>35</v>
      </c>
      <c r="N1305">
        <f t="shared" si="121"/>
        <v>0</v>
      </c>
      <c r="O1305" t="str">
        <f t="shared" si="120"/>
        <v>Low</v>
      </c>
      <c r="P1305" t="str">
        <f t="shared" si="122"/>
        <v>High</v>
      </c>
      <c r="Q1305" t="str">
        <f t="shared" si="123"/>
        <v>Low Loan</v>
      </c>
      <c r="R1305">
        <f t="shared" si="124"/>
        <v>27500000</v>
      </c>
      <c r="S1305" t="str">
        <f t="shared" si="125"/>
        <v>Strong</v>
      </c>
    </row>
    <row r="1306" spans="1:19" x14ac:dyDescent="0.25">
      <c r="A1306">
        <v>1305</v>
      </c>
      <c r="B1306">
        <v>2</v>
      </c>
      <c r="C1306" t="s">
        <v>30</v>
      </c>
      <c r="D1306" t="s">
        <v>33</v>
      </c>
      <c r="E1306">
        <v>9400000</v>
      </c>
      <c r="F1306">
        <v>24800000</v>
      </c>
      <c r="G1306">
        <v>14</v>
      </c>
      <c r="H1306">
        <v>513</v>
      </c>
      <c r="I1306">
        <v>24200000</v>
      </c>
      <c r="J1306">
        <v>18200000</v>
      </c>
      <c r="K1306">
        <v>37200000</v>
      </c>
      <c r="L1306">
        <v>7500000</v>
      </c>
      <c r="M1306" t="s">
        <v>35</v>
      </c>
      <c r="N1306">
        <f t="shared" si="121"/>
        <v>0</v>
      </c>
      <c r="O1306" t="str">
        <f t="shared" si="120"/>
        <v>Low</v>
      </c>
      <c r="P1306" t="str">
        <f t="shared" si="122"/>
        <v>High</v>
      </c>
      <c r="Q1306" t="str">
        <f t="shared" si="123"/>
        <v>High Loan</v>
      </c>
      <c r="R1306">
        <f t="shared" si="124"/>
        <v>87100000</v>
      </c>
      <c r="S1306" t="str">
        <f t="shared" si="125"/>
        <v>Strong</v>
      </c>
    </row>
    <row r="1307" spans="1:19" x14ac:dyDescent="0.25">
      <c r="A1307">
        <v>1306</v>
      </c>
      <c r="B1307">
        <v>0</v>
      </c>
      <c r="C1307" t="s">
        <v>31</v>
      </c>
      <c r="D1307" t="s">
        <v>32</v>
      </c>
      <c r="E1307">
        <v>4600000</v>
      </c>
      <c r="F1307">
        <v>12600000</v>
      </c>
      <c r="G1307">
        <v>16</v>
      </c>
      <c r="H1307">
        <v>574</v>
      </c>
      <c r="I1307">
        <v>3400000</v>
      </c>
      <c r="J1307">
        <v>6200000</v>
      </c>
      <c r="K1307">
        <v>15100000</v>
      </c>
      <c r="L1307">
        <v>3600000</v>
      </c>
      <c r="M1307" t="s">
        <v>34</v>
      </c>
      <c r="N1307">
        <f t="shared" si="121"/>
        <v>1</v>
      </c>
      <c r="O1307" t="str">
        <f t="shared" si="120"/>
        <v>Low</v>
      </c>
      <c r="P1307" t="str">
        <f t="shared" si="122"/>
        <v>High</v>
      </c>
      <c r="Q1307" t="str">
        <f t="shared" si="123"/>
        <v>Low Loan</v>
      </c>
      <c r="R1307">
        <f t="shared" si="124"/>
        <v>28300000</v>
      </c>
      <c r="S1307" t="str">
        <f t="shared" si="125"/>
        <v>Strong</v>
      </c>
    </row>
    <row r="1308" spans="1:19" x14ac:dyDescent="0.25">
      <c r="A1308">
        <v>1307</v>
      </c>
      <c r="B1308">
        <v>0</v>
      </c>
      <c r="C1308" t="s">
        <v>30</v>
      </c>
      <c r="D1308" t="s">
        <v>33</v>
      </c>
      <c r="E1308">
        <v>5200000</v>
      </c>
      <c r="F1308">
        <v>15700000</v>
      </c>
      <c r="G1308">
        <v>6</v>
      </c>
      <c r="H1308">
        <v>692</v>
      </c>
      <c r="I1308">
        <v>3800000</v>
      </c>
      <c r="J1308">
        <v>7000000</v>
      </c>
      <c r="K1308">
        <v>12800000</v>
      </c>
      <c r="L1308">
        <v>5500000</v>
      </c>
      <c r="M1308" t="s">
        <v>34</v>
      </c>
      <c r="N1308">
        <f t="shared" si="121"/>
        <v>1</v>
      </c>
      <c r="O1308" t="str">
        <f t="shared" si="120"/>
        <v>Medium</v>
      </c>
      <c r="P1308" t="str">
        <f t="shared" si="122"/>
        <v>High</v>
      </c>
      <c r="Q1308" t="str">
        <f t="shared" si="123"/>
        <v>Low Loan</v>
      </c>
      <c r="R1308">
        <f t="shared" si="124"/>
        <v>29100000</v>
      </c>
      <c r="S1308" t="str">
        <f t="shared" si="125"/>
        <v>Strong</v>
      </c>
    </row>
    <row r="1309" spans="1:19" x14ac:dyDescent="0.25">
      <c r="A1309">
        <v>1308</v>
      </c>
      <c r="B1309">
        <v>5</v>
      </c>
      <c r="C1309" t="s">
        <v>30</v>
      </c>
      <c r="D1309" t="s">
        <v>33</v>
      </c>
      <c r="E1309">
        <v>8000000</v>
      </c>
      <c r="F1309">
        <v>29800000</v>
      </c>
      <c r="G1309">
        <v>18</v>
      </c>
      <c r="H1309">
        <v>867</v>
      </c>
      <c r="I1309">
        <v>17700000</v>
      </c>
      <c r="J1309">
        <v>14100000</v>
      </c>
      <c r="K1309">
        <v>22800000</v>
      </c>
      <c r="L1309">
        <v>9200000</v>
      </c>
      <c r="M1309" t="s">
        <v>34</v>
      </c>
      <c r="N1309">
        <f t="shared" si="121"/>
        <v>1</v>
      </c>
      <c r="O1309" t="str">
        <f t="shared" si="120"/>
        <v>Excellent</v>
      </c>
      <c r="P1309" t="str">
        <f t="shared" si="122"/>
        <v>High</v>
      </c>
      <c r="Q1309" t="str">
        <f t="shared" si="123"/>
        <v>High Loan</v>
      </c>
      <c r="R1309">
        <f t="shared" si="124"/>
        <v>63800000</v>
      </c>
      <c r="S1309" t="str">
        <f t="shared" si="125"/>
        <v>Strong</v>
      </c>
    </row>
    <row r="1310" spans="1:19" x14ac:dyDescent="0.25">
      <c r="A1310">
        <v>1309</v>
      </c>
      <c r="B1310">
        <v>1</v>
      </c>
      <c r="C1310" t="s">
        <v>31</v>
      </c>
      <c r="D1310" t="s">
        <v>33</v>
      </c>
      <c r="E1310">
        <v>9900000</v>
      </c>
      <c r="F1310">
        <v>38500000</v>
      </c>
      <c r="G1310">
        <v>2</v>
      </c>
      <c r="H1310">
        <v>875</v>
      </c>
      <c r="I1310">
        <v>19600000</v>
      </c>
      <c r="J1310">
        <v>2900000</v>
      </c>
      <c r="K1310">
        <v>20200000</v>
      </c>
      <c r="L1310">
        <v>6500000</v>
      </c>
      <c r="M1310" t="s">
        <v>34</v>
      </c>
      <c r="N1310">
        <f t="shared" si="121"/>
        <v>1</v>
      </c>
      <c r="O1310" t="str">
        <f t="shared" si="120"/>
        <v>Excellent</v>
      </c>
      <c r="P1310" t="str">
        <f t="shared" si="122"/>
        <v>High</v>
      </c>
      <c r="Q1310" t="str">
        <f t="shared" si="123"/>
        <v>High Loan</v>
      </c>
      <c r="R1310">
        <f t="shared" si="124"/>
        <v>49200000</v>
      </c>
      <c r="S1310" t="str">
        <f t="shared" si="125"/>
        <v>Strong</v>
      </c>
    </row>
    <row r="1311" spans="1:19" x14ac:dyDescent="0.25">
      <c r="A1311">
        <v>1310</v>
      </c>
      <c r="B1311">
        <v>4</v>
      </c>
      <c r="C1311" t="s">
        <v>30</v>
      </c>
      <c r="D1311" t="s">
        <v>33</v>
      </c>
      <c r="E1311">
        <v>8500000</v>
      </c>
      <c r="F1311">
        <v>18600000</v>
      </c>
      <c r="G1311">
        <v>10</v>
      </c>
      <c r="H1311">
        <v>597</v>
      </c>
      <c r="I1311">
        <v>16600000</v>
      </c>
      <c r="J1311">
        <v>3200000</v>
      </c>
      <c r="K1311">
        <v>21000000</v>
      </c>
      <c r="L1311">
        <v>11600000</v>
      </c>
      <c r="M1311" t="s">
        <v>34</v>
      </c>
      <c r="N1311">
        <f t="shared" si="121"/>
        <v>1</v>
      </c>
      <c r="O1311" t="str">
        <f t="shared" si="120"/>
        <v>Low</v>
      </c>
      <c r="P1311" t="str">
        <f t="shared" si="122"/>
        <v>High</v>
      </c>
      <c r="Q1311" t="str">
        <f t="shared" si="123"/>
        <v>Low Loan</v>
      </c>
      <c r="R1311">
        <f t="shared" si="124"/>
        <v>52400000</v>
      </c>
      <c r="S1311" t="str">
        <f t="shared" si="125"/>
        <v>Strong</v>
      </c>
    </row>
    <row r="1312" spans="1:19" x14ac:dyDescent="0.25">
      <c r="A1312">
        <v>1311</v>
      </c>
      <c r="B1312">
        <v>2</v>
      </c>
      <c r="C1312" t="s">
        <v>30</v>
      </c>
      <c r="D1312" t="s">
        <v>33</v>
      </c>
      <c r="E1312">
        <v>4900000</v>
      </c>
      <c r="F1312">
        <v>12000000</v>
      </c>
      <c r="G1312">
        <v>20</v>
      </c>
      <c r="H1312">
        <v>513</v>
      </c>
      <c r="I1312">
        <v>14200000</v>
      </c>
      <c r="J1312">
        <v>8100000</v>
      </c>
      <c r="K1312">
        <v>18300000</v>
      </c>
      <c r="L1312">
        <v>4800000</v>
      </c>
      <c r="M1312" t="s">
        <v>35</v>
      </c>
      <c r="N1312">
        <f t="shared" si="121"/>
        <v>0</v>
      </c>
      <c r="O1312" t="str">
        <f t="shared" si="120"/>
        <v>Low</v>
      </c>
      <c r="P1312" t="str">
        <f t="shared" si="122"/>
        <v>High</v>
      </c>
      <c r="Q1312" t="str">
        <f t="shared" si="123"/>
        <v>Low Loan</v>
      </c>
      <c r="R1312">
        <f t="shared" si="124"/>
        <v>45400000</v>
      </c>
      <c r="S1312" t="str">
        <f t="shared" si="125"/>
        <v>Strong</v>
      </c>
    </row>
    <row r="1313" spans="1:19" x14ac:dyDescent="0.25">
      <c r="A1313">
        <v>1312</v>
      </c>
      <c r="B1313">
        <v>3</v>
      </c>
      <c r="C1313" t="s">
        <v>30</v>
      </c>
      <c r="D1313" t="s">
        <v>33</v>
      </c>
      <c r="E1313">
        <v>7000000</v>
      </c>
      <c r="F1313">
        <v>24200000</v>
      </c>
      <c r="G1313">
        <v>2</v>
      </c>
      <c r="H1313">
        <v>354</v>
      </c>
      <c r="I1313">
        <v>18200000</v>
      </c>
      <c r="J1313">
        <v>7000000</v>
      </c>
      <c r="K1313">
        <v>15900000</v>
      </c>
      <c r="L1313">
        <v>7900000</v>
      </c>
      <c r="M1313" t="s">
        <v>34</v>
      </c>
      <c r="N1313">
        <f t="shared" si="121"/>
        <v>1</v>
      </c>
      <c r="O1313" t="str">
        <f t="shared" si="120"/>
        <v>Low</v>
      </c>
      <c r="P1313" t="str">
        <f t="shared" si="122"/>
        <v>High</v>
      </c>
      <c r="Q1313" t="str">
        <f t="shared" si="123"/>
        <v>High Loan</v>
      </c>
      <c r="R1313">
        <f t="shared" si="124"/>
        <v>49000000</v>
      </c>
      <c r="S1313" t="str">
        <f t="shared" si="125"/>
        <v>Strong</v>
      </c>
    </row>
    <row r="1314" spans="1:19" x14ac:dyDescent="0.25">
      <c r="A1314">
        <v>1313</v>
      </c>
      <c r="B1314">
        <v>2</v>
      </c>
      <c r="C1314" t="s">
        <v>31</v>
      </c>
      <c r="D1314" t="s">
        <v>32</v>
      </c>
      <c r="E1314">
        <v>9600000</v>
      </c>
      <c r="F1314">
        <v>25900000</v>
      </c>
      <c r="G1314">
        <v>18</v>
      </c>
      <c r="H1314">
        <v>647</v>
      </c>
      <c r="I1314">
        <v>11800000</v>
      </c>
      <c r="J1314">
        <v>9900000</v>
      </c>
      <c r="K1314">
        <v>35600000</v>
      </c>
      <c r="L1314">
        <v>11500000</v>
      </c>
      <c r="M1314" t="s">
        <v>34</v>
      </c>
      <c r="N1314">
        <f t="shared" si="121"/>
        <v>1</v>
      </c>
      <c r="O1314" t="str">
        <f t="shared" si="120"/>
        <v>Low</v>
      </c>
      <c r="P1314" t="str">
        <f t="shared" si="122"/>
        <v>High</v>
      </c>
      <c r="Q1314" t="str">
        <f t="shared" si="123"/>
        <v>High Loan</v>
      </c>
      <c r="R1314">
        <f t="shared" si="124"/>
        <v>68800000</v>
      </c>
      <c r="S1314" t="str">
        <f t="shared" si="125"/>
        <v>Strong</v>
      </c>
    </row>
    <row r="1315" spans="1:19" x14ac:dyDescent="0.25">
      <c r="A1315">
        <v>1314</v>
      </c>
      <c r="B1315">
        <v>1</v>
      </c>
      <c r="C1315" t="s">
        <v>30</v>
      </c>
      <c r="D1315" t="s">
        <v>32</v>
      </c>
      <c r="E1315">
        <v>9700000</v>
      </c>
      <c r="F1315">
        <v>23700000</v>
      </c>
      <c r="G1315">
        <v>6</v>
      </c>
      <c r="H1315">
        <v>875</v>
      </c>
      <c r="I1315">
        <v>11500000</v>
      </c>
      <c r="J1315">
        <v>14400000</v>
      </c>
      <c r="K1315">
        <v>38100000</v>
      </c>
      <c r="L1315">
        <v>10400000</v>
      </c>
      <c r="M1315" t="s">
        <v>34</v>
      </c>
      <c r="N1315">
        <f t="shared" si="121"/>
        <v>1</v>
      </c>
      <c r="O1315" t="str">
        <f t="shared" si="120"/>
        <v>Excellent</v>
      </c>
      <c r="P1315" t="str">
        <f t="shared" si="122"/>
        <v>High</v>
      </c>
      <c r="Q1315" t="str">
        <f t="shared" si="123"/>
        <v>High Loan</v>
      </c>
      <c r="R1315">
        <f t="shared" si="124"/>
        <v>74400000</v>
      </c>
      <c r="S1315" t="str">
        <f t="shared" si="125"/>
        <v>Strong</v>
      </c>
    </row>
    <row r="1316" spans="1:19" x14ac:dyDescent="0.25">
      <c r="A1316">
        <v>1315</v>
      </c>
      <c r="B1316">
        <v>1</v>
      </c>
      <c r="C1316" t="s">
        <v>30</v>
      </c>
      <c r="D1316" t="s">
        <v>32</v>
      </c>
      <c r="E1316">
        <v>6200000</v>
      </c>
      <c r="F1316">
        <v>14300000</v>
      </c>
      <c r="G1316">
        <v>20</v>
      </c>
      <c r="H1316">
        <v>819</v>
      </c>
      <c r="I1316">
        <v>7500000</v>
      </c>
      <c r="J1316">
        <v>11700000</v>
      </c>
      <c r="K1316">
        <v>16700000</v>
      </c>
      <c r="L1316">
        <v>4300000</v>
      </c>
      <c r="M1316" t="s">
        <v>34</v>
      </c>
      <c r="N1316">
        <f t="shared" si="121"/>
        <v>1</v>
      </c>
      <c r="O1316" t="str">
        <f t="shared" si="120"/>
        <v>Excellent</v>
      </c>
      <c r="P1316" t="str">
        <f t="shared" si="122"/>
        <v>High</v>
      </c>
      <c r="Q1316" t="str">
        <f t="shared" si="123"/>
        <v>Low Loan</v>
      </c>
      <c r="R1316">
        <f t="shared" si="124"/>
        <v>40200000</v>
      </c>
      <c r="S1316" t="str">
        <f t="shared" si="125"/>
        <v>Strong</v>
      </c>
    </row>
    <row r="1317" spans="1:19" x14ac:dyDescent="0.25">
      <c r="A1317">
        <v>1316</v>
      </c>
      <c r="B1317">
        <v>4</v>
      </c>
      <c r="C1317" t="s">
        <v>31</v>
      </c>
      <c r="D1317" t="s">
        <v>33</v>
      </c>
      <c r="E1317">
        <v>4100000</v>
      </c>
      <c r="F1317">
        <v>9600000</v>
      </c>
      <c r="G1317">
        <v>10</v>
      </c>
      <c r="H1317">
        <v>521</v>
      </c>
      <c r="I1317">
        <v>11900000</v>
      </c>
      <c r="J1317">
        <v>7100000</v>
      </c>
      <c r="K1317">
        <v>14100000</v>
      </c>
      <c r="L1317">
        <v>4900000</v>
      </c>
      <c r="M1317" t="s">
        <v>35</v>
      </c>
      <c r="N1317">
        <f t="shared" si="121"/>
        <v>0</v>
      </c>
      <c r="O1317" t="str">
        <f t="shared" si="120"/>
        <v>Low</v>
      </c>
      <c r="P1317" t="str">
        <f t="shared" si="122"/>
        <v>High</v>
      </c>
      <c r="Q1317" t="str">
        <f t="shared" si="123"/>
        <v>Low Loan</v>
      </c>
      <c r="R1317">
        <f t="shared" si="124"/>
        <v>38000000</v>
      </c>
      <c r="S1317" t="str">
        <f t="shared" si="125"/>
        <v>Strong</v>
      </c>
    </row>
    <row r="1318" spans="1:19" x14ac:dyDescent="0.25">
      <c r="A1318">
        <v>1317</v>
      </c>
      <c r="B1318">
        <v>0</v>
      </c>
      <c r="C1318" t="s">
        <v>30</v>
      </c>
      <c r="D1318" t="s">
        <v>33</v>
      </c>
      <c r="E1318">
        <v>6100000</v>
      </c>
      <c r="F1318">
        <v>19900000</v>
      </c>
      <c r="G1318">
        <v>20</v>
      </c>
      <c r="H1318">
        <v>761</v>
      </c>
      <c r="I1318">
        <v>4500000</v>
      </c>
      <c r="J1318">
        <v>3700000</v>
      </c>
      <c r="K1318">
        <v>12700000</v>
      </c>
      <c r="L1318">
        <v>7100000</v>
      </c>
      <c r="M1318" t="s">
        <v>34</v>
      </c>
      <c r="N1318">
        <f t="shared" si="121"/>
        <v>1</v>
      </c>
      <c r="O1318" t="str">
        <f t="shared" si="120"/>
        <v>Excellent</v>
      </c>
      <c r="P1318" t="str">
        <f t="shared" si="122"/>
        <v>High</v>
      </c>
      <c r="Q1318" t="str">
        <f t="shared" si="123"/>
        <v>Low Loan</v>
      </c>
      <c r="R1318">
        <f t="shared" si="124"/>
        <v>28000000</v>
      </c>
      <c r="S1318" t="str">
        <f t="shared" si="125"/>
        <v>Strong</v>
      </c>
    </row>
    <row r="1319" spans="1:19" x14ac:dyDescent="0.25">
      <c r="A1319">
        <v>1318</v>
      </c>
      <c r="B1319">
        <v>0</v>
      </c>
      <c r="C1319" t="s">
        <v>30</v>
      </c>
      <c r="D1319" t="s">
        <v>32</v>
      </c>
      <c r="E1319">
        <v>700000</v>
      </c>
      <c r="F1319">
        <v>1900000</v>
      </c>
      <c r="G1319">
        <v>18</v>
      </c>
      <c r="H1319">
        <v>572</v>
      </c>
      <c r="I1319">
        <v>1400000</v>
      </c>
      <c r="J1319">
        <v>1000000</v>
      </c>
      <c r="K1319">
        <v>2000000</v>
      </c>
      <c r="L1319">
        <v>300000</v>
      </c>
      <c r="M1319" t="s">
        <v>34</v>
      </c>
      <c r="N1319">
        <f t="shared" si="121"/>
        <v>1</v>
      </c>
      <c r="O1319" t="str">
        <f t="shared" si="120"/>
        <v>Low</v>
      </c>
      <c r="P1319" t="str">
        <f t="shared" si="122"/>
        <v>High</v>
      </c>
      <c r="Q1319" t="str">
        <f t="shared" si="123"/>
        <v>Low Loan</v>
      </c>
      <c r="R1319">
        <f t="shared" si="124"/>
        <v>4700000</v>
      </c>
      <c r="S1319" t="str">
        <f t="shared" si="125"/>
        <v>Weak</v>
      </c>
    </row>
    <row r="1320" spans="1:19" x14ac:dyDescent="0.25">
      <c r="A1320">
        <v>1319</v>
      </c>
      <c r="B1320">
        <v>3</v>
      </c>
      <c r="C1320" t="s">
        <v>30</v>
      </c>
      <c r="D1320" t="s">
        <v>32</v>
      </c>
      <c r="E1320">
        <v>6400000</v>
      </c>
      <c r="F1320">
        <v>24100000</v>
      </c>
      <c r="G1320">
        <v>12</v>
      </c>
      <c r="H1320">
        <v>571</v>
      </c>
      <c r="I1320">
        <v>19000000</v>
      </c>
      <c r="J1320">
        <v>11500000</v>
      </c>
      <c r="K1320">
        <v>13200000</v>
      </c>
      <c r="L1320">
        <v>7500000</v>
      </c>
      <c r="M1320" t="s">
        <v>34</v>
      </c>
      <c r="N1320">
        <f t="shared" si="121"/>
        <v>1</v>
      </c>
      <c r="O1320" t="str">
        <f t="shared" si="120"/>
        <v>Low</v>
      </c>
      <c r="P1320" t="str">
        <f t="shared" si="122"/>
        <v>High</v>
      </c>
      <c r="Q1320" t="str">
        <f t="shared" si="123"/>
        <v>High Loan</v>
      </c>
      <c r="R1320">
        <f t="shared" si="124"/>
        <v>51200000</v>
      </c>
      <c r="S1320" t="str">
        <f t="shared" si="125"/>
        <v>Strong</v>
      </c>
    </row>
    <row r="1321" spans="1:19" x14ac:dyDescent="0.25">
      <c r="A1321">
        <v>1320</v>
      </c>
      <c r="B1321">
        <v>4</v>
      </c>
      <c r="C1321" t="s">
        <v>30</v>
      </c>
      <c r="D1321" t="s">
        <v>33</v>
      </c>
      <c r="E1321">
        <v>3800000</v>
      </c>
      <c r="F1321">
        <v>7800000</v>
      </c>
      <c r="G1321">
        <v>20</v>
      </c>
      <c r="H1321">
        <v>891</v>
      </c>
      <c r="I1321">
        <v>4600000</v>
      </c>
      <c r="J1321">
        <v>7000000</v>
      </c>
      <c r="K1321">
        <v>14300000</v>
      </c>
      <c r="L1321">
        <v>3300000</v>
      </c>
      <c r="M1321" t="s">
        <v>34</v>
      </c>
      <c r="N1321">
        <f t="shared" si="121"/>
        <v>1</v>
      </c>
      <c r="O1321" t="str">
        <f t="shared" si="120"/>
        <v>Excellent</v>
      </c>
      <c r="P1321" t="str">
        <f t="shared" si="122"/>
        <v>High</v>
      </c>
      <c r="Q1321" t="str">
        <f t="shared" si="123"/>
        <v>Low Loan</v>
      </c>
      <c r="R1321">
        <f t="shared" si="124"/>
        <v>29200000</v>
      </c>
      <c r="S1321" t="str">
        <f t="shared" si="125"/>
        <v>Strong</v>
      </c>
    </row>
    <row r="1322" spans="1:19" x14ac:dyDescent="0.25">
      <c r="A1322">
        <v>1321</v>
      </c>
      <c r="B1322">
        <v>1</v>
      </c>
      <c r="C1322" t="s">
        <v>31</v>
      </c>
      <c r="D1322" t="s">
        <v>32</v>
      </c>
      <c r="E1322">
        <v>4900000</v>
      </c>
      <c r="F1322">
        <v>14800000</v>
      </c>
      <c r="G1322">
        <v>12</v>
      </c>
      <c r="H1322">
        <v>895</v>
      </c>
      <c r="I1322">
        <v>8600000</v>
      </c>
      <c r="J1322">
        <v>8200000</v>
      </c>
      <c r="K1322">
        <v>18300000</v>
      </c>
      <c r="L1322">
        <v>5200000</v>
      </c>
      <c r="M1322" t="s">
        <v>34</v>
      </c>
      <c r="N1322">
        <f t="shared" si="121"/>
        <v>1</v>
      </c>
      <c r="O1322" t="str">
        <f t="shared" si="120"/>
        <v>Excellent</v>
      </c>
      <c r="P1322" t="str">
        <f t="shared" si="122"/>
        <v>High</v>
      </c>
      <c r="Q1322" t="str">
        <f t="shared" si="123"/>
        <v>Low Loan</v>
      </c>
      <c r="R1322">
        <f t="shared" si="124"/>
        <v>40300000</v>
      </c>
      <c r="S1322" t="str">
        <f t="shared" si="125"/>
        <v>Strong</v>
      </c>
    </row>
    <row r="1323" spans="1:19" x14ac:dyDescent="0.25">
      <c r="A1323">
        <v>1322</v>
      </c>
      <c r="B1323">
        <v>2</v>
      </c>
      <c r="C1323" t="s">
        <v>30</v>
      </c>
      <c r="D1323" t="s">
        <v>32</v>
      </c>
      <c r="E1323">
        <v>2100000</v>
      </c>
      <c r="F1323">
        <v>6600000</v>
      </c>
      <c r="G1323">
        <v>20</v>
      </c>
      <c r="H1323">
        <v>580</v>
      </c>
      <c r="I1323">
        <v>3800000</v>
      </c>
      <c r="J1323">
        <v>4100000</v>
      </c>
      <c r="K1323">
        <v>6200000</v>
      </c>
      <c r="L1323">
        <v>2100000</v>
      </c>
      <c r="M1323" t="s">
        <v>34</v>
      </c>
      <c r="N1323">
        <f t="shared" si="121"/>
        <v>1</v>
      </c>
      <c r="O1323" t="str">
        <f t="shared" si="120"/>
        <v>Low</v>
      </c>
      <c r="P1323" t="str">
        <f t="shared" si="122"/>
        <v>High</v>
      </c>
      <c r="Q1323" t="str">
        <f t="shared" si="123"/>
        <v>Low Loan</v>
      </c>
      <c r="R1323">
        <f t="shared" si="124"/>
        <v>16200000</v>
      </c>
      <c r="S1323" t="str">
        <f t="shared" si="125"/>
        <v>Strong</v>
      </c>
    </row>
    <row r="1324" spans="1:19" x14ac:dyDescent="0.25">
      <c r="A1324">
        <v>1323</v>
      </c>
      <c r="B1324">
        <v>2</v>
      </c>
      <c r="C1324" t="s">
        <v>30</v>
      </c>
      <c r="D1324" t="s">
        <v>32</v>
      </c>
      <c r="E1324">
        <v>6200000</v>
      </c>
      <c r="F1324">
        <v>23400000</v>
      </c>
      <c r="G1324">
        <v>8</v>
      </c>
      <c r="H1324">
        <v>605</v>
      </c>
      <c r="I1324">
        <v>10000000</v>
      </c>
      <c r="J1324">
        <v>10800000</v>
      </c>
      <c r="K1324">
        <v>21800000</v>
      </c>
      <c r="L1324">
        <v>9200000</v>
      </c>
      <c r="M1324" t="s">
        <v>34</v>
      </c>
      <c r="N1324">
        <f t="shared" si="121"/>
        <v>1</v>
      </c>
      <c r="O1324" t="str">
        <f t="shared" si="120"/>
        <v>Low</v>
      </c>
      <c r="P1324" t="str">
        <f t="shared" si="122"/>
        <v>High</v>
      </c>
      <c r="Q1324" t="str">
        <f t="shared" si="123"/>
        <v>High Loan</v>
      </c>
      <c r="R1324">
        <f t="shared" si="124"/>
        <v>51800000</v>
      </c>
      <c r="S1324" t="str">
        <f t="shared" si="125"/>
        <v>Strong</v>
      </c>
    </row>
    <row r="1325" spans="1:19" x14ac:dyDescent="0.25">
      <c r="A1325">
        <v>1324</v>
      </c>
      <c r="B1325">
        <v>4</v>
      </c>
      <c r="C1325" t="s">
        <v>31</v>
      </c>
      <c r="D1325" t="s">
        <v>32</v>
      </c>
      <c r="E1325">
        <v>1600000</v>
      </c>
      <c r="F1325">
        <v>5100000</v>
      </c>
      <c r="G1325">
        <v>8</v>
      </c>
      <c r="H1325">
        <v>705</v>
      </c>
      <c r="I1325">
        <v>2400000</v>
      </c>
      <c r="J1325">
        <v>800000</v>
      </c>
      <c r="K1325">
        <v>5100000</v>
      </c>
      <c r="L1325">
        <v>1900000</v>
      </c>
      <c r="M1325" t="s">
        <v>34</v>
      </c>
      <c r="N1325">
        <f t="shared" si="121"/>
        <v>1</v>
      </c>
      <c r="O1325" t="str">
        <f t="shared" si="120"/>
        <v>Good</v>
      </c>
      <c r="P1325" t="str">
        <f t="shared" si="122"/>
        <v>High</v>
      </c>
      <c r="Q1325" t="str">
        <f t="shared" si="123"/>
        <v>Low Loan</v>
      </c>
      <c r="R1325">
        <f t="shared" si="124"/>
        <v>10200000</v>
      </c>
      <c r="S1325" t="str">
        <f t="shared" si="125"/>
        <v>Strong</v>
      </c>
    </row>
    <row r="1326" spans="1:19" x14ac:dyDescent="0.25">
      <c r="A1326">
        <v>1325</v>
      </c>
      <c r="B1326">
        <v>1</v>
      </c>
      <c r="C1326" t="s">
        <v>31</v>
      </c>
      <c r="D1326" t="s">
        <v>33</v>
      </c>
      <c r="E1326">
        <v>1300000</v>
      </c>
      <c r="F1326">
        <v>5000000</v>
      </c>
      <c r="G1326">
        <v>20</v>
      </c>
      <c r="H1326">
        <v>423</v>
      </c>
      <c r="I1326">
        <v>900000</v>
      </c>
      <c r="J1326">
        <v>800000</v>
      </c>
      <c r="K1326">
        <v>3900000</v>
      </c>
      <c r="L1326">
        <v>1600000</v>
      </c>
      <c r="M1326" t="s">
        <v>35</v>
      </c>
      <c r="N1326">
        <f t="shared" si="121"/>
        <v>0</v>
      </c>
      <c r="O1326" t="str">
        <f t="shared" si="120"/>
        <v>Low</v>
      </c>
      <c r="P1326" t="str">
        <f t="shared" si="122"/>
        <v>High</v>
      </c>
      <c r="Q1326" t="str">
        <f t="shared" si="123"/>
        <v>Low Loan</v>
      </c>
      <c r="R1326">
        <f t="shared" si="124"/>
        <v>7200000</v>
      </c>
      <c r="S1326" t="str">
        <f t="shared" si="125"/>
        <v>Moderate</v>
      </c>
    </row>
    <row r="1327" spans="1:19" x14ac:dyDescent="0.25">
      <c r="A1327">
        <v>1326</v>
      </c>
      <c r="B1327">
        <v>5</v>
      </c>
      <c r="C1327" t="s">
        <v>31</v>
      </c>
      <c r="D1327" t="s">
        <v>33</v>
      </c>
      <c r="E1327">
        <v>7300000</v>
      </c>
      <c r="F1327">
        <v>22500000</v>
      </c>
      <c r="G1327">
        <v>2</v>
      </c>
      <c r="H1327">
        <v>846</v>
      </c>
      <c r="I1327">
        <v>9800000</v>
      </c>
      <c r="J1327">
        <v>4700000</v>
      </c>
      <c r="K1327">
        <v>20300000</v>
      </c>
      <c r="L1327">
        <v>5700000</v>
      </c>
      <c r="M1327" t="s">
        <v>34</v>
      </c>
      <c r="N1327">
        <f t="shared" si="121"/>
        <v>1</v>
      </c>
      <c r="O1327" t="str">
        <f t="shared" si="120"/>
        <v>Excellent</v>
      </c>
      <c r="P1327" t="str">
        <f t="shared" si="122"/>
        <v>High</v>
      </c>
      <c r="Q1327" t="str">
        <f t="shared" si="123"/>
        <v>High Loan</v>
      </c>
      <c r="R1327">
        <f t="shared" si="124"/>
        <v>40500000</v>
      </c>
      <c r="S1327" t="str">
        <f t="shared" si="125"/>
        <v>Strong</v>
      </c>
    </row>
    <row r="1328" spans="1:19" x14ac:dyDescent="0.25">
      <c r="A1328">
        <v>1327</v>
      </c>
      <c r="B1328">
        <v>2</v>
      </c>
      <c r="C1328" t="s">
        <v>31</v>
      </c>
      <c r="D1328" t="s">
        <v>32</v>
      </c>
      <c r="E1328">
        <v>2100000</v>
      </c>
      <c r="F1328">
        <v>5000000</v>
      </c>
      <c r="G1328">
        <v>4</v>
      </c>
      <c r="H1328">
        <v>542</v>
      </c>
      <c r="I1328">
        <v>700000</v>
      </c>
      <c r="J1328">
        <v>600000</v>
      </c>
      <c r="K1328">
        <v>6600000</v>
      </c>
      <c r="L1328">
        <v>3100000</v>
      </c>
      <c r="M1328" t="s">
        <v>35</v>
      </c>
      <c r="N1328">
        <f t="shared" si="121"/>
        <v>0</v>
      </c>
      <c r="O1328" t="str">
        <f t="shared" si="120"/>
        <v>Low</v>
      </c>
      <c r="P1328" t="str">
        <f t="shared" si="122"/>
        <v>High</v>
      </c>
      <c r="Q1328" t="str">
        <f t="shared" si="123"/>
        <v>Low Loan</v>
      </c>
      <c r="R1328">
        <f t="shared" si="124"/>
        <v>11000000</v>
      </c>
      <c r="S1328" t="str">
        <f t="shared" si="125"/>
        <v>Strong</v>
      </c>
    </row>
    <row r="1329" spans="1:19" x14ac:dyDescent="0.25">
      <c r="A1329">
        <v>1328</v>
      </c>
      <c r="B1329">
        <v>5</v>
      </c>
      <c r="C1329" t="s">
        <v>31</v>
      </c>
      <c r="D1329" t="s">
        <v>32</v>
      </c>
      <c r="E1329">
        <v>600000</v>
      </c>
      <c r="F1329">
        <v>2400000</v>
      </c>
      <c r="G1329">
        <v>18</v>
      </c>
      <c r="H1329">
        <v>631</v>
      </c>
      <c r="I1329">
        <v>600000</v>
      </c>
      <c r="J1329">
        <v>300000</v>
      </c>
      <c r="K1329">
        <v>2100000</v>
      </c>
      <c r="L1329">
        <v>900000</v>
      </c>
      <c r="M1329" t="s">
        <v>34</v>
      </c>
      <c r="N1329">
        <f t="shared" si="121"/>
        <v>1</v>
      </c>
      <c r="O1329" t="str">
        <f t="shared" si="120"/>
        <v>Low</v>
      </c>
      <c r="P1329" t="str">
        <f t="shared" si="122"/>
        <v>Middle</v>
      </c>
      <c r="Q1329" t="str">
        <f t="shared" si="123"/>
        <v>Low Loan</v>
      </c>
      <c r="R1329">
        <f t="shared" si="124"/>
        <v>3900000</v>
      </c>
      <c r="S1329" t="str">
        <f t="shared" si="125"/>
        <v>Weak</v>
      </c>
    </row>
    <row r="1330" spans="1:19" x14ac:dyDescent="0.25">
      <c r="A1330">
        <v>1329</v>
      </c>
      <c r="B1330">
        <v>4</v>
      </c>
      <c r="C1330" t="s">
        <v>30</v>
      </c>
      <c r="D1330" t="s">
        <v>32</v>
      </c>
      <c r="E1330">
        <v>7000000</v>
      </c>
      <c r="F1330">
        <v>24500000</v>
      </c>
      <c r="G1330">
        <v>18</v>
      </c>
      <c r="H1330">
        <v>318</v>
      </c>
      <c r="I1330">
        <v>4300000</v>
      </c>
      <c r="J1330">
        <v>1700000</v>
      </c>
      <c r="K1330">
        <v>16300000</v>
      </c>
      <c r="L1330">
        <v>3600000</v>
      </c>
      <c r="M1330" t="s">
        <v>35</v>
      </c>
      <c r="N1330">
        <f t="shared" si="121"/>
        <v>0</v>
      </c>
      <c r="O1330" t="str">
        <f t="shared" si="120"/>
        <v>Low</v>
      </c>
      <c r="P1330" t="str">
        <f t="shared" si="122"/>
        <v>High</v>
      </c>
      <c r="Q1330" t="str">
        <f t="shared" si="123"/>
        <v>High Loan</v>
      </c>
      <c r="R1330">
        <f t="shared" si="124"/>
        <v>25900000</v>
      </c>
      <c r="S1330" t="str">
        <f t="shared" si="125"/>
        <v>Strong</v>
      </c>
    </row>
    <row r="1331" spans="1:19" x14ac:dyDescent="0.25">
      <c r="A1331">
        <v>1330</v>
      </c>
      <c r="B1331">
        <v>1</v>
      </c>
      <c r="C1331" t="s">
        <v>31</v>
      </c>
      <c r="D1331" t="s">
        <v>33</v>
      </c>
      <c r="E1331">
        <v>3000000</v>
      </c>
      <c r="F1331">
        <v>6800000</v>
      </c>
      <c r="G1331">
        <v>10</v>
      </c>
      <c r="H1331">
        <v>541</v>
      </c>
      <c r="I1331">
        <v>5800000</v>
      </c>
      <c r="J1331">
        <v>5700000</v>
      </c>
      <c r="K1331">
        <v>10700000</v>
      </c>
      <c r="L1331">
        <v>2900000</v>
      </c>
      <c r="M1331" t="s">
        <v>35</v>
      </c>
      <c r="N1331">
        <f t="shared" si="121"/>
        <v>0</v>
      </c>
      <c r="O1331" t="str">
        <f t="shared" si="120"/>
        <v>Low</v>
      </c>
      <c r="P1331" t="str">
        <f t="shared" si="122"/>
        <v>High</v>
      </c>
      <c r="Q1331" t="str">
        <f t="shared" si="123"/>
        <v>Low Loan</v>
      </c>
      <c r="R1331">
        <f t="shared" si="124"/>
        <v>25100000</v>
      </c>
      <c r="S1331" t="str">
        <f t="shared" si="125"/>
        <v>Strong</v>
      </c>
    </row>
    <row r="1332" spans="1:19" x14ac:dyDescent="0.25">
      <c r="A1332">
        <v>1331</v>
      </c>
      <c r="B1332">
        <v>1</v>
      </c>
      <c r="C1332" t="s">
        <v>30</v>
      </c>
      <c r="D1332" t="s">
        <v>32</v>
      </c>
      <c r="E1332">
        <v>900000</v>
      </c>
      <c r="F1332">
        <v>2900000</v>
      </c>
      <c r="G1332">
        <v>20</v>
      </c>
      <c r="H1332">
        <v>782</v>
      </c>
      <c r="I1332">
        <v>0</v>
      </c>
      <c r="J1332">
        <v>1500000</v>
      </c>
      <c r="K1332">
        <v>3500000</v>
      </c>
      <c r="L1332">
        <v>800000</v>
      </c>
      <c r="M1332" t="s">
        <v>34</v>
      </c>
      <c r="N1332">
        <f t="shared" si="121"/>
        <v>1</v>
      </c>
      <c r="O1332" t="str">
        <f t="shared" si="120"/>
        <v>Excellent</v>
      </c>
      <c r="P1332" t="str">
        <f t="shared" si="122"/>
        <v>High</v>
      </c>
      <c r="Q1332" t="str">
        <f t="shared" si="123"/>
        <v>Low Loan</v>
      </c>
      <c r="R1332">
        <f t="shared" si="124"/>
        <v>5800000</v>
      </c>
      <c r="S1332" t="str">
        <f t="shared" si="125"/>
        <v>Moderate</v>
      </c>
    </row>
    <row r="1333" spans="1:19" x14ac:dyDescent="0.25">
      <c r="A1333">
        <v>1332</v>
      </c>
      <c r="B1333">
        <v>2</v>
      </c>
      <c r="C1333" t="s">
        <v>30</v>
      </c>
      <c r="D1333" t="s">
        <v>32</v>
      </c>
      <c r="E1333">
        <v>9600000</v>
      </c>
      <c r="F1333">
        <v>35000000</v>
      </c>
      <c r="G1333">
        <v>2</v>
      </c>
      <c r="H1333">
        <v>888</v>
      </c>
      <c r="I1333">
        <v>12600000</v>
      </c>
      <c r="J1333">
        <v>6500000</v>
      </c>
      <c r="K1333">
        <v>37900000</v>
      </c>
      <c r="L1333">
        <v>5800000</v>
      </c>
      <c r="M1333" t="s">
        <v>34</v>
      </c>
      <c r="N1333">
        <f t="shared" si="121"/>
        <v>1</v>
      </c>
      <c r="O1333" t="str">
        <f t="shared" si="120"/>
        <v>Excellent</v>
      </c>
      <c r="P1333" t="str">
        <f t="shared" si="122"/>
        <v>High</v>
      </c>
      <c r="Q1333" t="str">
        <f t="shared" si="123"/>
        <v>High Loan</v>
      </c>
      <c r="R1333">
        <f t="shared" si="124"/>
        <v>62800000</v>
      </c>
      <c r="S1333" t="str">
        <f t="shared" si="125"/>
        <v>Strong</v>
      </c>
    </row>
    <row r="1334" spans="1:19" x14ac:dyDescent="0.25">
      <c r="A1334">
        <v>1333</v>
      </c>
      <c r="B1334">
        <v>0</v>
      </c>
      <c r="C1334" t="s">
        <v>30</v>
      </c>
      <c r="D1334" t="s">
        <v>32</v>
      </c>
      <c r="E1334">
        <v>1500000</v>
      </c>
      <c r="F1334">
        <v>3600000</v>
      </c>
      <c r="G1334">
        <v>14</v>
      </c>
      <c r="H1334">
        <v>747</v>
      </c>
      <c r="I1334">
        <v>200000</v>
      </c>
      <c r="J1334">
        <v>1400000</v>
      </c>
      <c r="K1334">
        <v>3000000</v>
      </c>
      <c r="L1334">
        <v>1200000</v>
      </c>
      <c r="M1334" t="s">
        <v>34</v>
      </c>
      <c r="N1334">
        <f t="shared" si="121"/>
        <v>1</v>
      </c>
      <c r="O1334" t="str">
        <f t="shared" si="120"/>
        <v>Good</v>
      </c>
      <c r="P1334" t="str">
        <f t="shared" si="122"/>
        <v>High</v>
      </c>
      <c r="Q1334" t="str">
        <f t="shared" si="123"/>
        <v>Low Loan</v>
      </c>
      <c r="R1334">
        <f t="shared" si="124"/>
        <v>5800000</v>
      </c>
      <c r="S1334" t="str">
        <f t="shared" si="125"/>
        <v>Moderate</v>
      </c>
    </row>
    <row r="1335" spans="1:19" x14ac:dyDescent="0.25">
      <c r="A1335">
        <v>1334</v>
      </c>
      <c r="B1335">
        <v>0</v>
      </c>
      <c r="C1335" t="s">
        <v>30</v>
      </c>
      <c r="D1335" t="s">
        <v>33</v>
      </c>
      <c r="E1335">
        <v>5000000</v>
      </c>
      <c r="F1335">
        <v>18900000</v>
      </c>
      <c r="G1335">
        <v>6</v>
      </c>
      <c r="H1335">
        <v>641</v>
      </c>
      <c r="I1335">
        <v>4300000</v>
      </c>
      <c r="J1335">
        <v>8500000</v>
      </c>
      <c r="K1335">
        <v>19600000</v>
      </c>
      <c r="L1335">
        <v>6700000</v>
      </c>
      <c r="M1335" t="s">
        <v>34</v>
      </c>
      <c r="N1335">
        <f t="shared" si="121"/>
        <v>1</v>
      </c>
      <c r="O1335" t="str">
        <f t="shared" si="120"/>
        <v>Low</v>
      </c>
      <c r="P1335" t="str">
        <f t="shared" si="122"/>
        <v>High</v>
      </c>
      <c r="Q1335" t="str">
        <f t="shared" si="123"/>
        <v>Low Loan</v>
      </c>
      <c r="R1335">
        <f t="shared" si="124"/>
        <v>39100000</v>
      </c>
      <c r="S1335" t="str">
        <f t="shared" si="125"/>
        <v>Strong</v>
      </c>
    </row>
    <row r="1336" spans="1:19" x14ac:dyDescent="0.25">
      <c r="A1336">
        <v>1335</v>
      </c>
      <c r="B1336">
        <v>3</v>
      </c>
      <c r="C1336" t="s">
        <v>30</v>
      </c>
      <c r="D1336" t="s">
        <v>33</v>
      </c>
      <c r="E1336">
        <v>500000</v>
      </c>
      <c r="F1336">
        <v>1700000</v>
      </c>
      <c r="G1336">
        <v>4</v>
      </c>
      <c r="H1336">
        <v>640</v>
      </c>
      <c r="I1336">
        <v>400000</v>
      </c>
      <c r="J1336">
        <v>700000</v>
      </c>
      <c r="K1336">
        <v>1300000</v>
      </c>
      <c r="L1336">
        <v>200000</v>
      </c>
      <c r="M1336" t="s">
        <v>34</v>
      </c>
      <c r="N1336">
        <f t="shared" si="121"/>
        <v>1</v>
      </c>
      <c r="O1336" t="str">
        <f t="shared" si="120"/>
        <v>Low</v>
      </c>
      <c r="P1336" t="str">
        <f t="shared" si="122"/>
        <v>Middle</v>
      </c>
      <c r="Q1336" t="str">
        <f t="shared" si="123"/>
        <v>Low Loan</v>
      </c>
      <c r="R1336">
        <f t="shared" si="124"/>
        <v>2600000</v>
      </c>
      <c r="S1336" t="str">
        <f t="shared" si="125"/>
        <v>Weak</v>
      </c>
    </row>
    <row r="1337" spans="1:19" x14ac:dyDescent="0.25">
      <c r="A1337">
        <v>1336</v>
      </c>
      <c r="B1337">
        <v>4</v>
      </c>
      <c r="C1337" t="s">
        <v>31</v>
      </c>
      <c r="D1337" t="s">
        <v>32</v>
      </c>
      <c r="E1337">
        <v>7600000</v>
      </c>
      <c r="F1337">
        <v>28100000</v>
      </c>
      <c r="G1337">
        <v>12</v>
      </c>
      <c r="H1337">
        <v>324</v>
      </c>
      <c r="I1337">
        <v>12500000</v>
      </c>
      <c r="J1337">
        <v>8500000</v>
      </c>
      <c r="K1337">
        <v>19900000</v>
      </c>
      <c r="L1337">
        <v>11100000</v>
      </c>
      <c r="M1337" t="s">
        <v>35</v>
      </c>
      <c r="N1337">
        <f t="shared" si="121"/>
        <v>0</v>
      </c>
      <c r="O1337" t="str">
        <f t="shared" si="120"/>
        <v>Low</v>
      </c>
      <c r="P1337" t="str">
        <f t="shared" si="122"/>
        <v>High</v>
      </c>
      <c r="Q1337" t="str">
        <f t="shared" si="123"/>
        <v>High Loan</v>
      </c>
      <c r="R1337">
        <f t="shared" si="124"/>
        <v>52000000</v>
      </c>
      <c r="S1337" t="str">
        <f t="shared" si="125"/>
        <v>Strong</v>
      </c>
    </row>
    <row r="1338" spans="1:19" x14ac:dyDescent="0.25">
      <c r="A1338">
        <v>1337</v>
      </c>
      <c r="B1338">
        <v>4</v>
      </c>
      <c r="C1338" t="s">
        <v>30</v>
      </c>
      <c r="D1338" t="s">
        <v>32</v>
      </c>
      <c r="E1338">
        <v>5500000</v>
      </c>
      <c r="F1338">
        <v>21200000</v>
      </c>
      <c r="G1338">
        <v>20</v>
      </c>
      <c r="H1338">
        <v>359</v>
      </c>
      <c r="I1338">
        <v>4200000</v>
      </c>
      <c r="J1338">
        <v>5300000</v>
      </c>
      <c r="K1338">
        <v>18600000</v>
      </c>
      <c r="L1338">
        <v>6400000</v>
      </c>
      <c r="M1338" t="s">
        <v>35</v>
      </c>
      <c r="N1338">
        <f t="shared" si="121"/>
        <v>0</v>
      </c>
      <c r="O1338" t="str">
        <f t="shared" si="120"/>
        <v>Low</v>
      </c>
      <c r="P1338" t="str">
        <f t="shared" si="122"/>
        <v>High</v>
      </c>
      <c r="Q1338" t="str">
        <f t="shared" si="123"/>
        <v>High Loan</v>
      </c>
      <c r="R1338">
        <f t="shared" si="124"/>
        <v>34500000</v>
      </c>
      <c r="S1338" t="str">
        <f t="shared" si="125"/>
        <v>Strong</v>
      </c>
    </row>
    <row r="1339" spans="1:19" x14ac:dyDescent="0.25">
      <c r="A1339">
        <v>1338</v>
      </c>
      <c r="B1339">
        <v>0</v>
      </c>
      <c r="C1339" t="s">
        <v>31</v>
      </c>
      <c r="D1339" t="s">
        <v>33</v>
      </c>
      <c r="E1339">
        <v>6600000</v>
      </c>
      <c r="F1339">
        <v>23300000</v>
      </c>
      <c r="G1339">
        <v>12</v>
      </c>
      <c r="H1339">
        <v>338</v>
      </c>
      <c r="I1339">
        <v>2400000</v>
      </c>
      <c r="J1339">
        <v>800000</v>
      </c>
      <c r="K1339">
        <v>18900000</v>
      </c>
      <c r="L1339">
        <v>9300000</v>
      </c>
      <c r="M1339" t="s">
        <v>35</v>
      </c>
      <c r="N1339">
        <f t="shared" si="121"/>
        <v>0</v>
      </c>
      <c r="O1339" t="str">
        <f t="shared" si="120"/>
        <v>Low</v>
      </c>
      <c r="P1339" t="str">
        <f t="shared" si="122"/>
        <v>High</v>
      </c>
      <c r="Q1339" t="str">
        <f t="shared" si="123"/>
        <v>High Loan</v>
      </c>
      <c r="R1339">
        <f t="shared" si="124"/>
        <v>31400000</v>
      </c>
      <c r="S1339" t="str">
        <f t="shared" si="125"/>
        <v>Strong</v>
      </c>
    </row>
    <row r="1340" spans="1:19" x14ac:dyDescent="0.25">
      <c r="A1340">
        <v>1339</v>
      </c>
      <c r="B1340">
        <v>0</v>
      </c>
      <c r="C1340" t="s">
        <v>30</v>
      </c>
      <c r="D1340" t="s">
        <v>32</v>
      </c>
      <c r="E1340">
        <v>1400000</v>
      </c>
      <c r="F1340">
        <v>3200000</v>
      </c>
      <c r="G1340">
        <v>14</v>
      </c>
      <c r="H1340">
        <v>384</v>
      </c>
      <c r="I1340">
        <v>3100000</v>
      </c>
      <c r="J1340">
        <v>800000</v>
      </c>
      <c r="K1340">
        <v>3400000</v>
      </c>
      <c r="L1340">
        <v>2000000</v>
      </c>
      <c r="M1340" t="s">
        <v>35</v>
      </c>
      <c r="N1340">
        <f t="shared" si="121"/>
        <v>0</v>
      </c>
      <c r="O1340" t="str">
        <f t="shared" si="120"/>
        <v>Low</v>
      </c>
      <c r="P1340" t="str">
        <f t="shared" si="122"/>
        <v>High</v>
      </c>
      <c r="Q1340" t="str">
        <f t="shared" si="123"/>
        <v>Low Loan</v>
      </c>
      <c r="R1340">
        <f t="shared" si="124"/>
        <v>9300000</v>
      </c>
      <c r="S1340" t="str">
        <f t="shared" si="125"/>
        <v>Moderate</v>
      </c>
    </row>
    <row r="1341" spans="1:19" x14ac:dyDescent="0.25">
      <c r="A1341">
        <v>1340</v>
      </c>
      <c r="B1341">
        <v>5</v>
      </c>
      <c r="C1341" t="s">
        <v>31</v>
      </c>
      <c r="D1341" t="s">
        <v>33</v>
      </c>
      <c r="E1341">
        <v>8800000</v>
      </c>
      <c r="F1341">
        <v>26600000</v>
      </c>
      <c r="G1341">
        <v>16</v>
      </c>
      <c r="H1341">
        <v>545</v>
      </c>
      <c r="I1341">
        <v>19100000</v>
      </c>
      <c r="J1341">
        <v>16600000</v>
      </c>
      <c r="K1341">
        <v>30400000</v>
      </c>
      <c r="L1341">
        <v>7600000</v>
      </c>
      <c r="M1341" t="s">
        <v>35</v>
      </c>
      <c r="N1341">
        <f t="shared" si="121"/>
        <v>0</v>
      </c>
      <c r="O1341" t="str">
        <f t="shared" si="120"/>
        <v>Low</v>
      </c>
      <c r="P1341" t="str">
        <f t="shared" si="122"/>
        <v>High</v>
      </c>
      <c r="Q1341" t="str">
        <f t="shared" si="123"/>
        <v>High Loan</v>
      </c>
      <c r="R1341">
        <f t="shared" si="124"/>
        <v>73700000</v>
      </c>
      <c r="S1341" t="str">
        <f t="shared" si="125"/>
        <v>Strong</v>
      </c>
    </row>
    <row r="1342" spans="1:19" x14ac:dyDescent="0.25">
      <c r="A1342">
        <v>1341</v>
      </c>
      <c r="B1342">
        <v>5</v>
      </c>
      <c r="C1342" t="s">
        <v>31</v>
      </c>
      <c r="D1342" t="s">
        <v>32</v>
      </c>
      <c r="E1342">
        <v>6200000</v>
      </c>
      <c r="F1342">
        <v>24200000</v>
      </c>
      <c r="G1342">
        <v>18</v>
      </c>
      <c r="H1342">
        <v>610</v>
      </c>
      <c r="I1342">
        <v>10200000</v>
      </c>
      <c r="J1342">
        <v>7800000</v>
      </c>
      <c r="K1342">
        <v>19600000</v>
      </c>
      <c r="L1342">
        <v>8300000</v>
      </c>
      <c r="M1342" t="s">
        <v>34</v>
      </c>
      <c r="N1342">
        <f t="shared" si="121"/>
        <v>1</v>
      </c>
      <c r="O1342" t="str">
        <f t="shared" si="120"/>
        <v>Low</v>
      </c>
      <c r="P1342" t="str">
        <f t="shared" si="122"/>
        <v>High</v>
      </c>
      <c r="Q1342" t="str">
        <f t="shared" si="123"/>
        <v>High Loan</v>
      </c>
      <c r="R1342">
        <f t="shared" si="124"/>
        <v>45900000</v>
      </c>
      <c r="S1342" t="str">
        <f t="shared" si="125"/>
        <v>Strong</v>
      </c>
    </row>
    <row r="1343" spans="1:19" x14ac:dyDescent="0.25">
      <c r="A1343">
        <v>1342</v>
      </c>
      <c r="B1343">
        <v>2</v>
      </c>
      <c r="C1343" t="s">
        <v>30</v>
      </c>
      <c r="D1343" t="s">
        <v>33</v>
      </c>
      <c r="E1343">
        <v>8300000</v>
      </c>
      <c r="F1343">
        <v>27900000</v>
      </c>
      <c r="G1343">
        <v>18</v>
      </c>
      <c r="H1343">
        <v>840</v>
      </c>
      <c r="I1343">
        <v>12600000</v>
      </c>
      <c r="J1343">
        <v>3500000</v>
      </c>
      <c r="K1343">
        <v>19100000</v>
      </c>
      <c r="L1343">
        <v>9200000</v>
      </c>
      <c r="M1343" t="s">
        <v>34</v>
      </c>
      <c r="N1343">
        <f t="shared" si="121"/>
        <v>1</v>
      </c>
      <c r="O1343" t="str">
        <f t="shared" si="120"/>
        <v>Excellent</v>
      </c>
      <c r="P1343" t="str">
        <f t="shared" si="122"/>
        <v>High</v>
      </c>
      <c r="Q1343" t="str">
        <f t="shared" si="123"/>
        <v>High Loan</v>
      </c>
      <c r="R1343">
        <f t="shared" si="124"/>
        <v>44400000</v>
      </c>
      <c r="S1343" t="str">
        <f t="shared" si="125"/>
        <v>Strong</v>
      </c>
    </row>
    <row r="1344" spans="1:19" x14ac:dyDescent="0.25">
      <c r="A1344">
        <v>1343</v>
      </c>
      <c r="B1344">
        <v>3</v>
      </c>
      <c r="C1344" t="s">
        <v>31</v>
      </c>
      <c r="D1344" t="s">
        <v>32</v>
      </c>
      <c r="E1344">
        <v>2400000</v>
      </c>
      <c r="F1344">
        <v>8100000</v>
      </c>
      <c r="G1344">
        <v>6</v>
      </c>
      <c r="H1344">
        <v>630</v>
      </c>
      <c r="I1344">
        <v>5100000</v>
      </c>
      <c r="J1344">
        <v>2900000</v>
      </c>
      <c r="K1344">
        <v>9100000</v>
      </c>
      <c r="L1344">
        <v>2300000</v>
      </c>
      <c r="M1344" t="s">
        <v>34</v>
      </c>
      <c r="N1344">
        <f t="shared" si="121"/>
        <v>1</v>
      </c>
      <c r="O1344" t="str">
        <f t="shared" si="120"/>
        <v>Low</v>
      </c>
      <c r="P1344" t="str">
        <f t="shared" si="122"/>
        <v>High</v>
      </c>
      <c r="Q1344" t="str">
        <f t="shared" si="123"/>
        <v>Low Loan</v>
      </c>
      <c r="R1344">
        <f t="shared" si="124"/>
        <v>19400000</v>
      </c>
      <c r="S1344" t="str">
        <f t="shared" si="125"/>
        <v>Strong</v>
      </c>
    </row>
    <row r="1345" spans="1:19" x14ac:dyDescent="0.25">
      <c r="A1345">
        <v>1344</v>
      </c>
      <c r="B1345">
        <v>1</v>
      </c>
      <c r="C1345" t="s">
        <v>30</v>
      </c>
      <c r="D1345" t="s">
        <v>32</v>
      </c>
      <c r="E1345">
        <v>9100000</v>
      </c>
      <c r="F1345">
        <v>31200000</v>
      </c>
      <c r="G1345">
        <v>4</v>
      </c>
      <c r="H1345">
        <v>508</v>
      </c>
      <c r="I1345">
        <v>12800000</v>
      </c>
      <c r="J1345">
        <v>11700000</v>
      </c>
      <c r="K1345">
        <v>31100000</v>
      </c>
      <c r="L1345">
        <v>7800000</v>
      </c>
      <c r="M1345" t="s">
        <v>34</v>
      </c>
      <c r="N1345">
        <f t="shared" si="121"/>
        <v>1</v>
      </c>
      <c r="O1345" t="str">
        <f t="shared" si="120"/>
        <v>Low</v>
      </c>
      <c r="P1345" t="str">
        <f t="shared" si="122"/>
        <v>High</v>
      </c>
      <c r="Q1345" t="str">
        <f t="shared" si="123"/>
        <v>High Loan</v>
      </c>
      <c r="R1345">
        <f t="shared" si="124"/>
        <v>63400000</v>
      </c>
      <c r="S1345" t="str">
        <f t="shared" si="125"/>
        <v>Strong</v>
      </c>
    </row>
    <row r="1346" spans="1:19" x14ac:dyDescent="0.25">
      <c r="A1346">
        <v>1345</v>
      </c>
      <c r="B1346">
        <v>0</v>
      </c>
      <c r="C1346" t="s">
        <v>31</v>
      </c>
      <c r="D1346" t="s">
        <v>33</v>
      </c>
      <c r="E1346">
        <v>9500000</v>
      </c>
      <c r="F1346">
        <v>34900000</v>
      </c>
      <c r="G1346">
        <v>4</v>
      </c>
      <c r="H1346">
        <v>535</v>
      </c>
      <c r="I1346">
        <v>800000</v>
      </c>
      <c r="J1346">
        <v>14100000</v>
      </c>
      <c r="K1346">
        <v>25600000</v>
      </c>
      <c r="L1346">
        <v>14000000</v>
      </c>
      <c r="M1346" t="s">
        <v>34</v>
      </c>
      <c r="N1346">
        <f t="shared" si="121"/>
        <v>1</v>
      </c>
      <c r="O1346" t="str">
        <f t="shared" ref="O1346:O1409" si="126">IF(H1346&lt;650,"Low",
 IF(H1346&lt;700,"Medium",
 IF(H1346&lt;750,"Good","Excellent")))</f>
        <v>Low</v>
      </c>
      <c r="P1346" t="str">
        <f t="shared" si="122"/>
        <v>High</v>
      </c>
      <c r="Q1346" t="str">
        <f t="shared" si="123"/>
        <v>High Loan</v>
      </c>
      <c r="R1346">
        <f t="shared" si="124"/>
        <v>54500000</v>
      </c>
      <c r="S1346" t="str">
        <f t="shared" si="125"/>
        <v>Strong</v>
      </c>
    </row>
    <row r="1347" spans="1:19" x14ac:dyDescent="0.25">
      <c r="A1347">
        <v>1346</v>
      </c>
      <c r="B1347">
        <v>1</v>
      </c>
      <c r="C1347" t="s">
        <v>30</v>
      </c>
      <c r="D1347" t="s">
        <v>32</v>
      </c>
      <c r="E1347">
        <v>1200000</v>
      </c>
      <c r="F1347">
        <v>3400000</v>
      </c>
      <c r="G1347">
        <v>20</v>
      </c>
      <c r="H1347">
        <v>717</v>
      </c>
      <c r="I1347">
        <v>3100000</v>
      </c>
      <c r="J1347">
        <v>1500000</v>
      </c>
      <c r="K1347">
        <v>2500000</v>
      </c>
      <c r="L1347">
        <v>900000</v>
      </c>
      <c r="M1347" t="s">
        <v>34</v>
      </c>
      <c r="N1347">
        <f t="shared" ref="N1347:N1410" si="127">IF(TRIM(CLEAN(M1347))="Approved",1,0)</f>
        <v>1</v>
      </c>
      <c r="O1347" t="str">
        <f t="shared" si="126"/>
        <v>Good</v>
      </c>
      <c r="P1347" t="str">
        <f t="shared" ref="P1347:P1410" si="128">IF(E1347&lt;300000,"Low",
 IF(E1347&lt;700000,"Middle","High"))</f>
        <v>High</v>
      </c>
      <c r="Q1347" t="str">
        <f t="shared" ref="Q1347:Q1410" si="129">IF(F1347&lt;20000000,"Low Loan","High Loan")</f>
        <v>Low Loan</v>
      </c>
      <c r="R1347">
        <f t="shared" ref="R1347:R1410" si="130">I1347+J1347+K1347+L1347</f>
        <v>8000000</v>
      </c>
      <c r="S1347" t="str">
        <f t="shared" ref="S1347:S1410" si="131">IF(R1347&lt;5000000,"Weak",
 IF(R1347&lt;10000000,"Moderate","Strong"))</f>
        <v>Moderate</v>
      </c>
    </row>
    <row r="1348" spans="1:19" x14ac:dyDescent="0.25">
      <c r="A1348">
        <v>1347</v>
      </c>
      <c r="B1348">
        <v>2</v>
      </c>
      <c r="C1348" t="s">
        <v>30</v>
      </c>
      <c r="D1348" t="s">
        <v>33</v>
      </c>
      <c r="E1348">
        <v>7700000</v>
      </c>
      <c r="F1348">
        <v>19300000</v>
      </c>
      <c r="G1348">
        <v>8</v>
      </c>
      <c r="H1348">
        <v>735</v>
      </c>
      <c r="I1348">
        <v>1200000</v>
      </c>
      <c r="J1348">
        <v>1900000</v>
      </c>
      <c r="K1348">
        <v>23800000</v>
      </c>
      <c r="L1348">
        <v>10400000</v>
      </c>
      <c r="M1348" t="s">
        <v>34</v>
      </c>
      <c r="N1348">
        <f t="shared" si="127"/>
        <v>1</v>
      </c>
      <c r="O1348" t="str">
        <f t="shared" si="126"/>
        <v>Good</v>
      </c>
      <c r="P1348" t="str">
        <f t="shared" si="128"/>
        <v>High</v>
      </c>
      <c r="Q1348" t="str">
        <f t="shared" si="129"/>
        <v>Low Loan</v>
      </c>
      <c r="R1348">
        <f t="shared" si="130"/>
        <v>37300000</v>
      </c>
      <c r="S1348" t="str">
        <f t="shared" si="131"/>
        <v>Strong</v>
      </c>
    </row>
    <row r="1349" spans="1:19" x14ac:dyDescent="0.25">
      <c r="A1349">
        <v>1348</v>
      </c>
      <c r="B1349">
        <v>5</v>
      </c>
      <c r="C1349" t="s">
        <v>30</v>
      </c>
      <c r="D1349" t="s">
        <v>33</v>
      </c>
      <c r="E1349">
        <v>7800000</v>
      </c>
      <c r="F1349">
        <v>22000000</v>
      </c>
      <c r="G1349">
        <v>20</v>
      </c>
      <c r="H1349">
        <v>528</v>
      </c>
      <c r="I1349">
        <v>5800000</v>
      </c>
      <c r="J1349">
        <v>8800000</v>
      </c>
      <c r="K1349">
        <v>24700000</v>
      </c>
      <c r="L1349">
        <v>4900000</v>
      </c>
      <c r="M1349" t="s">
        <v>35</v>
      </c>
      <c r="N1349">
        <f t="shared" si="127"/>
        <v>0</v>
      </c>
      <c r="O1349" t="str">
        <f t="shared" si="126"/>
        <v>Low</v>
      </c>
      <c r="P1349" t="str">
        <f t="shared" si="128"/>
        <v>High</v>
      </c>
      <c r="Q1349" t="str">
        <f t="shared" si="129"/>
        <v>High Loan</v>
      </c>
      <c r="R1349">
        <f t="shared" si="130"/>
        <v>44200000</v>
      </c>
      <c r="S1349" t="str">
        <f t="shared" si="131"/>
        <v>Strong</v>
      </c>
    </row>
    <row r="1350" spans="1:19" x14ac:dyDescent="0.25">
      <c r="A1350">
        <v>1349</v>
      </c>
      <c r="B1350">
        <v>0</v>
      </c>
      <c r="C1350" t="s">
        <v>30</v>
      </c>
      <c r="D1350" t="s">
        <v>33</v>
      </c>
      <c r="E1350">
        <v>9400000</v>
      </c>
      <c r="F1350">
        <v>20000000</v>
      </c>
      <c r="G1350">
        <v>4</v>
      </c>
      <c r="H1350">
        <v>350</v>
      </c>
      <c r="I1350">
        <v>3300000</v>
      </c>
      <c r="J1350">
        <v>1400000</v>
      </c>
      <c r="K1350">
        <v>37200000</v>
      </c>
      <c r="L1350">
        <v>4700000</v>
      </c>
      <c r="M1350" t="s">
        <v>35</v>
      </c>
      <c r="N1350">
        <f t="shared" si="127"/>
        <v>0</v>
      </c>
      <c r="O1350" t="str">
        <f t="shared" si="126"/>
        <v>Low</v>
      </c>
      <c r="P1350" t="str">
        <f t="shared" si="128"/>
        <v>High</v>
      </c>
      <c r="Q1350" t="str">
        <f t="shared" si="129"/>
        <v>High Loan</v>
      </c>
      <c r="R1350">
        <f t="shared" si="130"/>
        <v>46600000</v>
      </c>
      <c r="S1350" t="str">
        <f t="shared" si="131"/>
        <v>Strong</v>
      </c>
    </row>
    <row r="1351" spans="1:19" x14ac:dyDescent="0.25">
      <c r="A1351">
        <v>1350</v>
      </c>
      <c r="B1351">
        <v>0</v>
      </c>
      <c r="C1351" t="s">
        <v>31</v>
      </c>
      <c r="D1351" t="s">
        <v>32</v>
      </c>
      <c r="E1351">
        <v>1700000</v>
      </c>
      <c r="F1351">
        <v>5700000</v>
      </c>
      <c r="G1351">
        <v>12</v>
      </c>
      <c r="H1351">
        <v>422</v>
      </c>
      <c r="I1351">
        <v>3400000</v>
      </c>
      <c r="J1351">
        <v>1100000</v>
      </c>
      <c r="K1351">
        <v>6500000</v>
      </c>
      <c r="L1351">
        <v>900000</v>
      </c>
      <c r="M1351" t="s">
        <v>35</v>
      </c>
      <c r="N1351">
        <f t="shared" si="127"/>
        <v>0</v>
      </c>
      <c r="O1351" t="str">
        <f t="shared" si="126"/>
        <v>Low</v>
      </c>
      <c r="P1351" t="str">
        <f t="shared" si="128"/>
        <v>High</v>
      </c>
      <c r="Q1351" t="str">
        <f t="shared" si="129"/>
        <v>Low Loan</v>
      </c>
      <c r="R1351">
        <f t="shared" si="130"/>
        <v>11900000</v>
      </c>
      <c r="S1351" t="str">
        <f t="shared" si="131"/>
        <v>Strong</v>
      </c>
    </row>
    <row r="1352" spans="1:19" x14ac:dyDescent="0.25">
      <c r="A1352">
        <v>1351</v>
      </c>
      <c r="B1352">
        <v>5</v>
      </c>
      <c r="C1352" t="s">
        <v>30</v>
      </c>
      <c r="D1352" t="s">
        <v>32</v>
      </c>
      <c r="E1352">
        <v>4000000</v>
      </c>
      <c r="F1352">
        <v>13700000</v>
      </c>
      <c r="G1352">
        <v>6</v>
      </c>
      <c r="H1352">
        <v>496</v>
      </c>
      <c r="I1352">
        <v>-100000</v>
      </c>
      <c r="J1352">
        <v>1400000</v>
      </c>
      <c r="K1352">
        <v>15800000</v>
      </c>
      <c r="L1352">
        <v>3700000</v>
      </c>
      <c r="M1352" t="s">
        <v>35</v>
      </c>
      <c r="N1352">
        <f t="shared" si="127"/>
        <v>0</v>
      </c>
      <c r="O1352" t="str">
        <f t="shared" si="126"/>
        <v>Low</v>
      </c>
      <c r="P1352" t="str">
        <f t="shared" si="128"/>
        <v>High</v>
      </c>
      <c r="Q1352" t="str">
        <f t="shared" si="129"/>
        <v>Low Loan</v>
      </c>
      <c r="R1352">
        <f t="shared" si="130"/>
        <v>20800000</v>
      </c>
      <c r="S1352" t="str">
        <f t="shared" si="131"/>
        <v>Strong</v>
      </c>
    </row>
    <row r="1353" spans="1:19" x14ac:dyDescent="0.25">
      <c r="A1353">
        <v>1352</v>
      </c>
      <c r="B1353">
        <v>4</v>
      </c>
      <c r="C1353" t="s">
        <v>31</v>
      </c>
      <c r="D1353" t="s">
        <v>32</v>
      </c>
      <c r="E1353">
        <v>4200000</v>
      </c>
      <c r="F1353">
        <v>15500000</v>
      </c>
      <c r="G1353">
        <v>18</v>
      </c>
      <c r="H1353">
        <v>794</v>
      </c>
      <c r="I1353">
        <v>7300000</v>
      </c>
      <c r="J1353">
        <v>700000</v>
      </c>
      <c r="K1353">
        <v>13400000</v>
      </c>
      <c r="L1353">
        <v>2200000</v>
      </c>
      <c r="M1353" t="s">
        <v>34</v>
      </c>
      <c r="N1353">
        <f t="shared" si="127"/>
        <v>1</v>
      </c>
      <c r="O1353" t="str">
        <f t="shared" si="126"/>
        <v>Excellent</v>
      </c>
      <c r="P1353" t="str">
        <f t="shared" si="128"/>
        <v>High</v>
      </c>
      <c r="Q1353" t="str">
        <f t="shared" si="129"/>
        <v>Low Loan</v>
      </c>
      <c r="R1353">
        <f t="shared" si="130"/>
        <v>23600000</v>
      </c>
      <c r="S1353" t="str">
        <f t="shared" si="131"/>
        <v>Strong</v>
      </c>
    </row>
    <row r="1354" spans="1:19" x14ac:dyDescent="0.25">
      <c r="A1354">
        <v>1353</v>
      </c>
      <c r="B1354">
        <v>2</v>
      </c>
      <c r="C1354" t="s">
        <v>30</v>
      </c>
      <c r="D1354" t="s">
        <v>32</v>
      </c>
      <c r="E1354">
        <v>2400000</v>
      </c>
      <c r="F1354">
        <v>7700000</v>
      </c>
      <c r="G1354">
        <v>6</v>
      </c>
      <c r="H1354">
        <v>719</v>
      </c>
      <c r="I1354">
        <v>6000000</v>
      </c>
      <c r="J1354">
        <v>1700000</v>
      </c>
      <c r="K1354">
        <v>6700000</v>
      </c>
      <c r="L1354">
        <v>1600000</v>
      </c>
      <c r="M1354" t="s">
        <v>34</v>
      </c>
      <c r="N1354">
        <f t="shared" si="127"/>
        <v>1</v>
      </c>
      <c r="O1354" t="str">
        <f t="shared" si="126"/>
        <v>Good</v>
      </c>
      <c r="P1354" t="str">
        <f t="shared" si="128"/>
        <v>High</v>
      </c>
      <c r="Q1354" t="str">
        <f t="shared" si="129"/>
        <v>Low Loan</v>
      </c>
      <c r="R1354">
        <f t="shared" si="130"/>
        <v>16000000</v>
      </c>
      <c r="S1354" t="str">
        <f t="shared" si="131"/>
        <v>Strong</v>
      </c>
    </row>
    <row r="1355" spans="1:19" x14ac:dyDescent="0.25">
      <c r="A1355">
        <v>1354</v>
      </c>
      <c r="B1355">
        <v>3</v>
      </c>
      <c r="C1355" t="s">
        <v>31</v>
      </c>
      <c r="D1355" t="s">
        <v>33</v>
      </c>
      <c r="E1355">
        <v>2700000</v>
      </c>
      <c r="F1355">
        <v>6100000</v>
      </c>
      <c r="G1355">
        <v>14</v>
      </c>
      <c r="H1355">
        <v>630</v>
      </c>
      <c r="I1355">
        <v>3900000</v>
      </c>
      <c r="J1355">
        <v>2800000</v>
      </c>
      <c r="K1355">
        <v>10600000</v>
      </c>
      <c r="L1355">
        <v>2300000</v>
      </c>
      <c r="M1355" t="s">
        <v>34</v>
      </c>
      <c r="N1355">
        <f t="shared" si="127"/>
        <v>1</v>
      </c>
      <c r="O1355" t="str">
        <f t="shared" si="126"/>
        <v>Low</v>
      </c>
      <c r="P1355" t="str">
        <f t="shared" si="128"/>
        <v>High</v>
      </c>
      <c r="Q1355" t="str">
        <f t="shared" si="129"/>
        <v>Low Loan</v>
      </c>
      <c r="R1355">
        <f t="shared" si="130"/>
        <v>19600000</v>
      </c>
      <c r="S1355" t="str">
        <f t="shared" si="131"/>
        <v>Strong</v>
      </c>
    </row>
    <row r="1356" spans="1:19" x14ac:dyDescent="0.25">
      <c r="A1356">
        <v>1355</v>
      </c>
      <c r="B1356">
        <v>3</v>
      </c>
      <c r="C1356" t="s">
        <v>31</v>
      </c>
      <c r="D1356" t="s">
        <v>33</v>
      </c>
      <c r="E1356">
        <v>600000</v>
      </c>
      <c r="F1356">
        <v>1800000</v>
      </c>
      <c r="G1356">
        <v>4</v>
      </c>
      <c r="H1356">
        <v>843</v>
      </c>
      <c r="I1356">
        <v>1400000</v>
      </c>
      <c r="J1356">
        <v>300000</v>
      </c>
      <c r="K1356">
        <v>1700000</v>
      </c>
      <c r="L1356">
        <v>400000</v>
      </c>
      <c r="M1356" t="s">
        <v>34</v>
      </c>
      <c r="N1356">
        <f t="shared" si="127"/>
        <v>1</v>
      </c>
      <c r="O1356" t="str">
        <f t="shared" si="126"/>
        <v>Excellent</v>
      </c>
      <c r="P1356" t="str">
        <f t="shared" si="128"/>
        <v>Middle</v>
      </c>
      <c r="Q1356" t="str">
        <f t="shared" si="129"/>
        <v>Low Loan</v>
      </c>
      <c r="R1356">
        <f t="shared" si="130"/>
        <v>3800000</v>
      </c>
      <c r="S1356" t="str">
        <f t="shared" si="131"/>
        <v>Weak</v>
      </c>
    </row>
    <row r="1357" spans="1:19" x14ac:dyDescent="0.25">
      <c r="A1357">
        <v>1356</v>
      </c>
      <c r="B1357">
        <v>2</v>
      </c>
      <c r="C1357" t="s">
        <v>30</v>
      </c>
      <c r="D1357" t="s">
        <v>32</v>
      </c>
      <c r="E1357">
        <v>4600000</v>
      </c>
      <c r="F1357">
        <v>15600000</v>
      </c>
      <c r="G1357">
        <v>2</v>
      </c>
      <c r="H1357">
        <v>764</v>
      </c>
      <c r="I1357">
        <v>7700000</v>
      </c>
      <c r="J1357">
        <v>1500000</v>
      </c>
      <c r="K1357">
        <v>16000000</v>
      </c>
      <c r="L1357">
        <v>5800000</v>
      </c>
      <c r="M1357" t="s">
        <v>34</v>
      </c>
      <c r="N1357">
        <f t="shared" si="127"/>
        <v>1</v>
      </c>
      <c r="O1357" t="str">
        <f t="shared" si="126"/>
        <v>Excellent</v>
      </c>
      <c r="P1357" t="str">
        <f t="shared" si="128"/>
        <v>High</v>
      </c>
      <c r="Q1357" t="str">
        <f t="shared" si="129"/>
        <v>Low Loan</v>
      </c>
      <c r="R1357">
        <f t="shared" si="130"/>
        <v>31000000</v>
      </c>
      <c r="S1357" t="str">
        <f t="shared" si="131"/>
        <v>Strong</v>
      </c>
    </row>
    <row r="1358" spans="1:19" x14ac:dyDescent="0.25">
      <c r="A1358">
        <v>1357</v>
      </c>
      <c r="B1358">
        <v>3</v>
      </c>
      <c r="C1358" t="s">
        <v>30</v>
      </c>
      <c r="D1358" t="s">
        <v>32</v>
      </c>
      <c r="E1358">
        <v>7200000</v>
      </c>
      <c r="F1358">
        <v>17700000</v>
      </c>
      <c r="G1358">
        <v>4</v>
      </c>
      <c r="H1358">
        <v>662</v>
      </c>
      <c r="I1358">
        <v>13100000</v>
      </c>
      <c r="J1358">
        <v>11500000</v>
      </c>
      <c r="K1358">
        <v>16300000</v>
      </c>
      <c r="L1358">
        <v>5300000</v>
      </c>
      <c r="M1358" t="s">
        <v>34</v>
      </c>
      <c r="N1358">
        <f t="shared" si="127"/>
        <v>1</v>
      </c>
      <c r="O1358" t="str">
        <f t="shared" si="126"/>
        <v>Medium</v>
      </c>
      <c r="P1358" t="str">
        <f t="shared" si="128"/>
        <v>High</v>
      </c>
      <c r="Q1358" t="str">
        <f t="shared" si="129"/>
        <v>Low Loan</v>
      </c>
      <c r="R1358">
        <f t="shared" si="130"/>
        <v>46200000</v>
      </c>
      <c r="S1358" t="str">
        <f t="shared" si="131"/>
        <v>Strong</v>
      </c>
    </row>
    <row r="1359" spans="1:19" x14ac:dyDescent="0.25">
      <c r="A1359">
        <v>1358</v>
      </c>
      <c r="B1359">
        <v>0</v>
      </c>
      <c r="C1359" t="s">
        <v>31</v>
      </c>
      <c r="D1359" t="s">
        <v>32</v>
      </c>
      <c r="E1359">
        <v>4700000</v>
      </c>
      <c r="F1359">
        <v>15500000</v>
      </c>
      <c r="G1359">
        <v>16</v>
      </c>
      <c r="H1359">
        <v>311</v>
      </c>
      <c r="I1359">
        <v>12800000</v>
      </c>
      <c r="J1359">
        <v>200000</v>
      </c>
      <c r="K1359">
        <v>17500000</v>
      </c>
      <c r="L1359">
        <v>2700000</v>
      </c>
      <c r="M1359" t="s">
        <v>35</v>
      </c>
      <c r="N1359">
        <f t="shared" si="127"/>
        <v>0</v>
      </c>
      <c r="O1359" t="str">
        <f t="shared" si="126"/>
        <v>Low</v>
      </c>
      <c r="P1359" t="str">
        <f t="shared" si="128"/>
        <v>High</v>
      </c>
      <c r="Q1359" t="str">
        <f t="shared" si="129"/>
        <v>Low Loan</v>
      </c>
      <c r="R1359">
        <f t="shared" si="130"/>
        <v>33200000</v>
      </c>
      <c r="S1359" t="str">
        <f t="shared" si="131"/>
        <v>Strong</v>
      </c>
    </row>
    <row r="1360" spans="1:19" x14ac:dyDescent="0.25">
      <c r="A1360">
        <v>1359</v>
      </c>
      <c r="B1360">
        <v>4</v>
      </c>
      <c r="C1360" t="s">
        <v>31</v>
      </c>
      <c r="D1360" t="s">
        <v>32</v>
      </c>
      <c r="E1360">
        <v>4300000</v>
      </c>
      <c r="F1360">
        <v>10100000</v>
      </c>
      <c r="G1360">
        <v>2</v>
      </c>
      <c r="H1360">
        <v>606</v>
      </c>
      <c r="I1360">
        <v>9900000</v>
      </c>
      <c r="J1360">
        <v>1800000</v>
      </c>
      <c r="K1360">
        <v>8900000</v>
      </c>
      <c r="L1360">
        <v>5500000</v>
      </c>
      <c r="M1360" t="s">
        <v>34</v>
      </c>
      <c r="N1360">
        <f t="shared" si="127"/>
        <v>1</v>
      </c>
      <c r="O1360" t="str">
        <f t="shared" si="126"/>
        <v>Low</v>
      </c>
      <c r="P1360" t="str">
        <f t="shared" si="128"/>
        <v>High</v>
      </c>
      <c r="Q1360" t="str">
        <f t="shared" si="129"/>
        <v>Low Loan</v>
      </c>
      <c r="R1360">
        <f t="shared" si="130"/>
        <v>26100000</v>
      </c>
      <c r="S1360" t="str">
        <f t="shared" si="131"/>
        <v>Strong</v>
      </c>
    </row>
    <row r="1361" spans="1:19" x14ac:dyDescent="0.25">
      <c r="A1361">
        <v>1360</v>
      </c>
      <c r="B1361">
        <v>5</v>
      </c>
      <c r="C1361" t="s">
        <v>30</v>
      </c>
      <c r="D1361" t="s">
        <v>32</v>
      </c>
      <c r="E1361">
        <v>4700000</v>
      </c>
      <c r="F1361">
        <v>10200000</v>
      </c>
      <c r="G1361">
        <v>16</v>
      </c>
      <c r="H1361">
        <v>874</v>
      </c>
      <c r="I1361">
        <v>10800000</v>
      </c>
      <c r="J1361">
        <v>7700000</v>
      </c>
      <c r="K1361">
        <v>11100000</v>
      </c>
      <c r="L1361">
        <v>7000000</v>
      </c>
      <c r="M1361" t="s">
        <v>34</v>
      </c>
      <c r="N1361">
        <f t="shared" si="127"/>
        <v>1</v>
      </c>
      <c r="O1361" t="str">
        <f t="shared" si="126"/>
        <v>Excellent</v>
      </c>
      <c r="P1361" t="str">
        <f t="shared" si="128"/>
        <v>High</v>
      </c>
      <c r="Q1361" t="str">
        <f t="shared" si="129"/>
        <v>Low Loan</v>
      </c>
      <c r="R1361">
        <f t="shared" si="130"/>
        <v>36600000</v>
      </c>
      <c r="S1361" t="str">
        <f t="shared" si="131"/>
        <v>Strong</v>
      </c>
    </row>
    <row r="1362" spans="1:19" x14ac:dyDescent="0.25">
      <c r="A1362">
        <v>1361</v>
      </c>
      <c r="B1362">
        <v>4</v>
      </c>
      <c r="C1362" t="s">
        <v>31</v>
      </c>
      <c r="D1362" t="s">
        <v>33</v>
      </c>
      <c r="E1362">
        <v>8700000</v>
      </c>
      <c r="F1362">
        <v>30000000</v>
      </c>
      <c r="G1362">
        <v>4</v>
      </c>
      <c r="H1362">
        <v>370</v>
      </c>
      <c r="I1362">
        <v>17600000</v>
      </c>
      <c r="J1362">
        <v>15600000</v>
      </c>
      <c r="K1362">
        <v>34600000</v>
      </c>
      <c r="L1362">
        <v>12100000</v>
      </c>
      <c r="M1362" t="s">
        <v>34</v>
      </c>
      <c r="N1362">
        <f t="shared" si="127"/>
        <v>1</v>
      </c>
      <c r="O1362" t="str">
        <f t="shared" si="126"/>
        <v>Low</v>
      </c>
      <c r="P1362" t="str">
        <f t="shared" si="128"/>
        <v>High</v>
      </c>
      <c r="Q1362" t="str">
        <f t="shared" si="129"/>
        <v>High Loan</v>
      </c>
      <c r="R1362">
        <f t="shared" si="130"/>
        <v>79900000</v>
      </c>
      <c r="S1362" t="str">
        <f t="shared" si="131"/>
        <v>Strong</v>
      </c>
    </row>
    <row r="1363" spans="1:19" x14ac:dyDescent="0.25">
      <c r="A1363">
        <v>1362</v>
      </c>
      <c r="B1363">
        <v>1</v>
      </c>
      <c r="C1363" t="s">
        <v>30</v>
      </c>
      <c r="D1363" t="s">
        <v>32</v>
      </c>
      <c r="E1363">
        <v>7000000</v>
      </c>
      <c r="F1363">
        <v>20500000</v>
      </c>
      <c r="G1363">
        <v>10</v>
      </c>
      <c r="H1363">
        <v>414</v>
      </c>
      <c r="I1363">
        <v>19700000</v>
      </c>
      <c r="J1363">
        <v>7500000</v>
      </c>
      <c r="K1363">
        <v>20700000</v>
      </c>
      <c r="L1363">
        <v>5100000</v>
      </c>
      <c r="M1363" t="s">
        <v>35</v>
      </c>
      <c r="N1363">
        <f t="shared" si="127"/>
        <v>0</v>
      </c>
      <c r="O1363" t="str">
        <f t="shared" si="126"/>
        <v>Low</v>
      </c>
      <c r="P1363" t="str">
        <f t="shared" si="128"/>
        <v>High</v>
      </c>
      <c r="Q1363" t="str">
        <f t="shared" si="129"/>
        <v>High Loan</v>
      </c>
      <c r="R1363">
        <f t="shared" si="130"/>
        <v>53000000</v>
      </c>
      <c r="S1363" t="str">
        <f t="shared" si="131"/>
        <v>Strong</v>
      </c>
    </row>
    <row r="1364" spans="1:19" x14ac:dyDescent="0.25">
      <c r="A1364">
        <v>1363</v>
      </c>
      <c r="B1364">
        <v>2</v>
      </c>
      <c r="C1364" t="s">
        <v>31</v>
      </c>
      <c r="D1364" t="s">
        <v>32</v>
      </c>
      <c r="E1364">
        <v>600000</v>
      </c>
      <c r="F1364">
        <v>1100000</v>
      </c>
      <c r="G1364">
        <v>10</v>
      </c>
      <c r="H1364">
        <v>800</v>
      </c>
      <c r="I1364">
        <v>1200000</v>
      </c>
      <c r="J1364">
        <v>200000</v>
      </c>
      <c r="K1364">
        <v>2300000</v>
      </c>
      <c r="L1364">
        <v>900000</v>
      </c>
      <c r="M1364" t="s">
        <v>34</v>
      </c>
      <c r="N1364">
        <f t="shared" si="127"/>
        <v>1</v>
      </c>
      <c r="O1364" t="str">
        <f t="shared" si="126"/>
        <v>Excellent</v>
      </c>
      <c r="P1364" t="str">
        <f t="shared" si="128"/>
        <v>Middle</v>
      </c>
      <c r="Q1364" t="str">
        <f t="shared" si="129"/>
        <v>Low Loan</v>
      </c>
      <c r="R1364">
        <f t="shared" si="130"/>
        <v>4600000</v>
      </c>
      <c r="S1364" t="str">
        <f t="shared" si="131"/>
        <v>Weak</v>
      </c>
    </row>
    <row r="1365" spans="1:19" x14ac:dyDescent="0.25">
      <c r="A1365">
        <v>1364</v>
      </c>
      <c r="B1365">
        <v>1</v>
      </c>
      <c r="C1365" t="s">
        <v>31</v>
      </c>
      <c r="D1365" t="s">
        <v>32</v>
      </c>
      <c r="E1365">
        <v>6800000</v>
      </c>
      <c r="F1365">
        <v>16900000</v>
      </c>
      <c r="G1365">
        <v>12</v>
      </c>
      <c r="H1365">
        <v>779</v>
      </c>
      <c r="I1365">
        <v>13800000</v>
      </c>
      <c r="J1365">
        <v>10200000</v>
      </c>
      <c r="K1365">
        <v>23400000</v>
      </c>
      <c r="L1365">
        <v>4400000</v>
      </c>
      <c r="M1365" t="s">
        <v>34</v>
      </c>
      <c r="N1365">
        <f t="shared" si="127"/>
        <v>1</v>
      </c>
      <c r="O1365" t="str">
        <f t="shared" si="126"/>
        <v>Excellent</v>
      </c>
      <c r="P1365" t="str">
        <f t="shared" si="128"/>
        <v>High</v>
      </c>
      <c r="Q1365" t="str">
        <f t="shared" si="129"/>
        <v>Low Loan</v>
      </c>
      <c r="R1365">
        <f t="shared" si="130"/>
        <v>51800000</v>
      </c>
      <c r="S1365" t="str">
        <f t="shared" si="131"/>
        <v>Strong</v>
      </c>
    </row>
    <row r="1366" spans="1:19" x14ac:dyDescent="0.25">
      <c r="A1366">
        <v>1365</v>
      </c>
      <c r="B1366">
        <v>1</v>
      </c>
      <c r="C1366" t="s">
        <v>31</v>
      </c>
      <c r="D1366" t="s">
        <v>32</v>
      </c>
      <c r="E1366">
        <v>6400000</v>
      </c>
      <c r="F1366">
        <v>14100000</v>
      </c>
      <c r="G1366">
        <v>20</v>
      </c>
      <c r="H1366">
        <v>553</v>
      </c>
      <c r="I1366">
        <v>11700000</v>
      </c>
      <c r="J1366">
        <v>4500000</v>
      </c>
      <c r="K1366">
        <v>20000000</v>
      </c>
      <c r="L1366">
        <v>3600000</v>
      </c>
      <c r="M1366" t="s">
        <v>34</v>
      </c>
      <c r="N1366">
        <f t="shared" si="127"/>
        <v>1</v>
      </c>
      <c r="O1366" t="str">
        <f t="shared" si="126"/>
        <v>Low</v>
      </c>
      <c r="P1366" t="str">
        <f t="shared" si="128"/>
        <v>High</v>
      </c>
      <c r="Q1366" t="str">
        <f t="shared" si="129"/>
        <v>Low Loan</v>
      </c>
      <c r="R1366">
        <f t="shared" si="130"/>
        <v>39800000</v>
      </c>
      <c r="S1366" t="str">
        <f t="shared" si="131"/>
        <v>Strong</v>
      </c>
    </row>
    <row r="1367" spans="1:19" x14ac:dyDescent="0.25">
      <c r="A1367">
        <v>1366</v>
      </c>
      <c r="B1367">
        <v>4</v>
      </c>
      <c r="C1367" t="s">
        <v>31</v>
      </c>
      <c r="D1367" t="s">
        <v>32</v>
      </c>
      <c r="E1367">
        <v>7600000</v>
      </c>
      <c r="F1367">
        <v>29900000</v>
      </c>
      <c r="G1367">
        <v>18</v>
      </c>
      <c r="H1367">
        <v>445</v>
      </c>
      <c r="I1367">
        <v>4800000</v>
      </c>
      <c r="J1367">
        <v>13900000</v>
      </c>
      <c r="K1367">
        <v>18400000</v>
      </c>
      <c r="L1367">
        <v>5700000</v>
      </c>
      <c r="M1367" t="s">
        <v>35</v>
      </c>
      <c r="N1367">
        <f t="shared" si="127"/>
        <v>0</v>
      </c>
      <c r="O1367" t="str">
        <f t="shared" si="126"/>
        <v>Low</v>
      </c>
      <c r="P1367" t="str">
        <f t="shared" si="128"/>
        <v>High</v>
      </c>
      <c r="Q1367" t="str">
        <f t="shared" si="129"/>
        <v>High Loan</v>
      </c>
      <c r="R1367">
        <f t="shared" si="130"/>
        <v>42800000</v>
      </c>
      <c r="S1367" t="str">
        <f t="shared" si="131"/>
        <v>Strong</v>
      </c>
    </row>
    <row r="1368" spans="1:19" x14ac:dyDescent="0.25">
      <c r="A1368">
        <v>1367</v>
      </c>
      <c r="B1368">
        <v>3</v>
      </c>
      <c r="C1368" t="s">
        <v>31</v>
      </c>
      <c r="D1368" t="s">
        <v>32</v>
      </c>
      <c r="E1368">
        <v>9000000</v>
      </c>
      <c r="F1368">
        <v>21400000</v>
      </c>
      <c r="G1368">
        <v>8</v>
      </c>
      <c r="H1368">
        <v>496</v>
      </c>
      <c r="I1368">
        <v>16400000</v>
      </c>
      <c r="J1368">
        <v>7300000</v>
      </c>
      <c r="K1368">
        <v>31800000</v>
      </c>
      <c r="L1368">
        <v>12500000</v>
      </c>
      <c r="M1368" t="s">
        <v>35</v>
      </c>
      <c r="N1368">
        <f t="shared" si="127"/>
        <v>0</v>
      </c>
      <c r="O1368" t="str">
        <f t="shared" si="126"/>
        <v>Low</v>
      </c>
      <c r="P1368" t="str">
        <f t="shared" si="128"/>
        <v>High</v>
      </c>
      <c r="Q1368" t="str">
        <f t="shared" si="129"/>
        <v>High Loan</v>
      </c>
      <c r="R1368">
        <f t="shared" si="130"/>
        <v>68000000</v>
      </c>
      <c r="S1368" t="str">
        <f t="shared" si="131"/>
        <v>Strong</v>
      </c>
    </row>
    <row r="1369" spans="1:19" x14ac:dyDescent="0.25">
      <c r="A1369">
        <v>1368</v>
      </c>
      <c r="B1369">
        <v>0</v>
      </c>
      <c r="C1369" t="s">
        <v>30</v>
      </c>
      <c r="D1369" t="s">
        <v>33</v>
      </c>
      <c r="E1369">
        <v>2400000</v>
      </c>
      <c r="F1369">
        <v>5900000</v>
      </c>
      <c r="G1369">
        <v>10</v>
      </c>
      <c r="H1369">
        <v>650</v>
      </c>
      <c r="I1369">
        <v>5100000</v>
      </c>
      <c r="J1369">
        <v>3700000</v>
      </c>
      <c r="K1369">
        <v>5300000</v>
      </c>
      <c r="L1369">
        <v>2300000</v>
      </c>
      <c r="M1369" t="s">
        <v>34</v>
      </c>
      <c r="N1369">
        <f t="shared" si="127"/>
        <v>1</v>
      </c>
      <c r="O1369" t="str">
        <f t="shared" si="126"/>
        <v>Medium</v>
      </c>
      <c r="P1369" t="str">
        <f t="shared" si="128"/>
        <v>High</v>
      </c>
      <c r="Q1369" t="str">
        <f t="shared" si="129"/>
        <v>Low Loan</v>
      </c>
      <c r="R1369">
        <f t="shared" si="130"/>
        <v>16400000</v>
      </c>
      <c r="S1369" t="str">
        <f t="shared" si="131"/>
        <v>Strong</v>
      </c>
    </row>
    <row r="1370" spans="1:19" x14ac:dyDescent="0.25">
      <c r="A1370">
        <v>1369</v>
      </c>
      <c r="B1370">
        <v>3</v>
      </c>
      <c r="C1370" t="s">
        <v>31</v>
      </c>
      <c r="D1370" t="s">
        <v>32</v>
      </c>
      <c r="E1370">
        <v>6800000</v>
      </c>
      <c r="F1370">
        <v>17900000</v>
      </c>
      <c r="G1370">
        <v>6</v>
      </c>
      <c r="H1370">
        <v>783</v>
      </c>
      <c r="I1370">
        <v>20000000</v>
      </c>
      <c r="J1370">
        <v>9800000</v>
      </c>
      <c r="K1370">
        <v>23600000</v>
      </c>
      <c r="L1370">
        <v>5500000</v>
      </c>
      <c r="M1370" t="s">
        <v>34</v>
      </c>
      <c r="N1370">
        <f t="shared" si="127"/>
        <v>1</v>
      </c>
      <c r="O1370" t="str">
        <f t="shared" si="126"/>
        <v>Excellent</v>
      </c>
      <c r="P1370" t="str">
        <f t="shared" si="128"/>
        <v>High</v>
      </c>
      <c r="Q1370" t="str">
        <f t="shared" si="129"/>
        <v>Low Loan</v>
      </c>
      <c r="R1370">
        <f t="shared" si="130"/>
        <v>58900000</v>
      </c>
      <c r="S1370" t="str">
        <f t="shared" si="131"/>
        <v>Strong</v>
      </c>
    </row>
    <row r="1371" spans="1:19" x14ac:dyDescent="0.25">
      <c r="A1371">
        <v>1370</v>
      </c>
      <c r="B1371">
        <v>5</v>
      </c>
      <c r="C1371" t="s">
        <v>30</v>
      </c>
      <c r="D1371" t="s">
        <v>33</v>
      </c>
      <c r="E1371">
        <v>3500000</v>
      </c>
      <c r="F1371">
        <v>13500000</v>
      </c>
      <c r="G1371">
        <v>10</v>
      </c>
      <c r="H1371">
        <v>535</v>
      </c>
      <c r="I1371">
        <v>3100000</v>
      </c>
      <c r="J1371">
        <v>5700000</v>
      </c>
      <c r="K1371">
        <v>12500000</v>
      </c>
      <c r="L1371">
        <v>3100000</v>
      </c>
      <c r="M1371" t="s">
        <v>35</v>
      </c>
      <c r="N1371">
        <f t="shared" si="127"/>
        <v>0</v>
      </c>
      <c r="O1371" t="str">
        <f t="shared" si="126"/>
        <v>Low</v>
      </c>
      <c r="P1371" t="str">
        <f t="shared" si="128"/>
        <v>High</v>
      </c>
      <c r="Q1371" t="str">
        <f t="shared" si="129"/>
        <v>Low Loan</v>
      </c>
      <c r="R1371">
        <f t="shared" si="130"/>
        <v>24400000</v>
      </c>
      <c r="S1371" t="str">
        <f t="shared" si="131"/>
        <v>Strong</v>
      </c>
    </row>
    <row r="1372" spans="1:19" x14ac:dyDescent="0.25">
      <c r="A1372">
        <v>1371</v>
      </c>
      <c r="B1372">
        <v>4</v>
      </c>
      <c r="C1372" t="s">
        <v>30</v>
      </c>
      <c r="D1372" t="s">
        <v>33</v>
      </c>
      <c r="E1372">
        <v>8900000</v>
      </c>
      <c r="F1372">
        <v>34000000</v>
      </c>
      <c r="G1372">
        <v>20</v>
      </c>
      <c r="H1372">
        <v>415</v>
      </c>
      <c r="I1372">
        <v>13500000</v>
      </c>
      <c r="J1372">
        <v>3100000</v>
      </c>
      <c r="K1372">
        <v>33600000</v>
      </c>
      <c r="L1372">
        <v>12800000</v>
      </c>
      <c r="M1372" t="s">
        <v>35</v>
      </c>
      <c r="N1372">
        <f t="shared" si="127"/>
        <v>0</v>
      </c>
      <c r="O1372" t="str">
        <f t="shared" si="126"/>
        <v>Low</v>
      </c>
      <c r="P1372" t="str">
        <f t="shared" si="128"/>
        <v>High</v>
      </c>
      <c r="Q1372" t="str">
        <f t="shared" si="129"/>
        <v>High Loan</v>
      </c>
      <c r="R1372">
        <f t="shared" si="130"/>
        <v>63000000</v>
      </c>
      <c r="S1372" t="str">
        <f t="shared" si="131"/>
        <v>Strong</v>
      </c>
    </row>
    <row r="1373" spans="1:19" x14ac:dyDescent="0.25">
      <c r="A1373">
        <v>1372</v>
      </c>
      <c r="B1373">
        <v>0</v>
      </c>
      <c r="C1373" t="s">
        <v>31</v>
      </c>
      <c r="D1373" t="s">
        <v>32</v>
      </c>
      <c r="E1373">
        <v>6000000</v>
      </c>
      <c r="F1373">
        <v>15300000</v>
      </c>
      <c r="G1373">
        <v>8</v>
      </c>
      <c r="H1373">
        <v>709</v>
      </c>
      <c r="I1373">
        <v>8900000</v>
      </c>
      <c r="J1373">
        <v>1700000</v>
      </c>
      <c r="K1373">
        <v>16400000</v>
      </c>
      <c r="L1373">
        <v>3500000</v>
      </c>
      <c r="M1373" t="s">
        <v>34</v>
      </c>
      <c r="N1373">
        <f t="shared" si="127"/>
        <v>1</v>
      </c>
      <c r="O1373" t="str">
        <f t="shared" si="126"/>
        <v>Good</v>
      </c>
      <c r="P1373" t="str">
        <f t="shared" si="128"/>
        <v>High</v>
      </c>
      <c r="Q1373" t="str">
        <f t="shared" si="129"/>
        <v>Low Loan</v>
      </c>
      <c r="R1373">
        <f t="shared" si="130"/>
        <v>30500000</v>
      </c>
      <c r="S1373" t="str">
        <f t="shared" si="131"/>
        <v>Strong</v>
      </c>
    </row>
    <row r="1374" spans="1:19" x14ac:dyDescent="0.25">
      <c r="A1374">
        <v>1373</v>
      </c>
      <c r="B1374">
        <v>3</v>
      </c>
      <c r="C1374" t="s">
        <v>31</v>
      </c>
      <c r="D1374" t="s">
        <v>32</v>
      </c>
      <c r="E1374">
        <v>700000</v>
      </c>
      <c r="F1374">
        <v>2500000</v>
      </c>
      <c r="G1374">
        <v>14</v>
      </c>
      <c r="H1374">
        <v>819</v>
      </c>
      <c r="I1374">
        <v>1600000</v>
      </c>
      <c r="J1374">
        <v>1000000</v>
      </c>
      <c r="K1374">
        <v>2100000</v>
      </c>
      <c r="L1374">
        <v>900000</v>
      </c>
      <c r="M1374" t="s">
        <v>34</v>
      </c>
      <c r="N1374">
        <f t="shared" si="127"/>
        <v>1</v>
      </c>
      <c r="O1374" t="str">
        <f t="shared" si="126"/>
        <v>Excellent</v>
      </c>
      <c r="P1374" t="str">
        <f t="shared" si="128"/>
        <v>High</v>
      </c>
      <c r="Q1374" t="str">
        <f t="shared" si="129"/>
        <v>Low Loan</v>
      </c>
      <c r="R1374">
        <f t="shared" si="130"/>
        <v>5600000</v>
      </c>
      <c r="S1374" t="str">
        <f t="shared" si="131"/>
        <v>Moderate</v>
      </c>
    </row>
    <row r="1375" spans="1:19" x14ac:dyDescent="0.25">
      <c r="A1375">
        <v>1374</v>
      </c>
      <c r="B1375">
        <v>0</v>
      </c>
      <c r="C1375" t="s">
        <v>31</v>
      </c>
      <c r="D1375" t="s">
        <v>33</v>
      </c>
      <c r="E1375">
        <v>6800000</v>
      </c>
      <c r="F1375">
        <v>17300000</v>
      </c>
      <c r="G1375">
        <v>18</v>
      </c>
      <c r="H1375">
        <v>841</v>
      </c>
      <c r="I1375">
        <v>10500000</v>
      </c>
      <c r="J1375">
        <v>8600000</v>
      </c>
      <c r="K1375">
        <v>16000000</v>
      </c>
      <c r="L1375">
        <v>8700000</v>
      </c>
      <c r="M1375" t="s">
        <v>34</v>
      </c>
      <c r="N1375">
        <f t="shared" si="127"/>
        <v>1</v>
      </c>
      <c r="O1375" t="str">
        <f t="shared" si="126"/>
        <v>Excellent</v>
      </c>
      <c r="P1375" t="str">
        <f t="shared" si="128"/>
        <v>High</v>
      </c>
      <c r="Q1375" t="str">
        <f t="shared" si="129"/>
        <v>Low Loan</v>
      </c>
      <c r="R1375">
        <f t="shared" si="130"/>
        <v>43800000</v>
      </c>
      <c r="S1375" t="str">
        <f t="shared" si="131"/>
        <v>Strong</v>
      </c>
    </row>
    <row r="1376" spans="1:19" x14ac:dyDescent="0.25">
      <c r="A1376">
        <v>1375</v>
      </c>
      <c r="B1376">
        <v>4</v>
      </c>
      <c r="C1376" t="s">
        <v>31</v>
      </c>
      <c r="D1376" t="s">
        <v>33</v>
      </c>
      <c r="E1376">
        <v>5300000</v>
      </c>
      <c r="F1376">
        <v>10700000</v>
      </c>
      <c r="G1376">
        <v>12</v>
      </c>
      <c r="H1376">
        <v>700</v>
      </c>
      <c r="I1376">
        <v>15800000</v>
      </c>
      <c r="J1376">
        <v>1900000</v>
      </c>
      <c r="K1376">
        <v>20500000</v>
      </c>
      <c r="L1376">
        <v>2900000</v>
      </c>
      <c r="M1376" t="s">
        <v>34</v>
      </c>
      <c r="N1376">
        <f t="shared" si="127"/>
        <v>1</v>
      </c>
      <c r="O1376" t="str">
        <f t="shared" si="126"/>
        <v>Good</v>
      </c>
      <c r="P1376" t="str">
        <f t="shared" si="128"/>
        <v>High</v>
      </c>
      <c r="Q1376" t="str">
        <f t="shared" si="129"/>
        <v>Low Loan</v>
      </c>
      <c r="R1376">
        <f t="shared" si="130"/>
        <v>41100000</v>
      </c>
      <c r="S1376" t="str">
        <f t="shared" si="131"/>
        <v>Strong</v>
      </c>
    </row>
    <row r="1377" spans="1:19" x14ac:dyDescent="0.25">
      <c r="A1377">
        <v>1376</v>
      </c>
      <c r="B1377">
        <v>1</v>
      </c>
      <c r="C1377" t="s">
        <v>30</v>
      </c>
      <c r="D1377" t="s">
        <v>33</v>
      </c>
      <c r="E1377">
        <v>1400000</v>
      </c>
      <c r="F1377">
        <v>4200000</v>
      </c>
      <c r="G1377">
        <v>4</v>
      </c>
      <c r="H1377">
        <v>881</v>
      </c>
      <c r="I1377">
        <v>2800000</v>
      </c>
      <c r="J1377">
        <v>1200000</v>
      </c>
      <c r="K1377">
        <v>5100000</v>
      </c>
      <c r="L1377">
        <v>1300000</v>
      </c>
      <c r="M1377" t="s">
        <v>34</v>
      </c>
      <c r="N1377">
        <f t="shared" si="127"/>
        <v>1</v>
      </c>
      <c r="O1377" t="str">
        <f t="shared" si="126"/>
        <v>Excellent</v>
      </c>
      <c r="P1377" t="str">
        <f t="shared" si="128"/>
        <v>High</v>
      </c>
      <c r="Q1377" t="str">
        <f t="shared" si="129"/>
        <v>Low Loan</v>
      </c>
      <c r="R1377">
        <f t="shared" si="130"/>
        <v>10400000</v>
      </c>
      <c r="S1377" t="str">
        <f t="shared" si="131"/>
        <v>Strong</v>
      </c>
    </row>
    <row r="1378" spans="1:19" x14ac:dyDescent="0.25">
      <c r="A1378">
        <v>1377</v>
      </c>
      <c r="B1378">
        <v>2</v>
      </c>
      <c r="C1378" t="s">
        <v>30</v>
      </c>
      <c r="D1378" t="s">
        <v>33</v>
      </c>
      <c r="E1378">
        <v>1400000</v>
      </c>
      <c r="F1378">
        <v>4600000</v>
      </c>
      <c r="G1378">
        <v>4</v>
      </c>
      <c r="H1378">
        <v>804</v>
      </c>
      <c r="I1378">
        <v>1900000</v>
      </c>
      <c r="J1378">
        <v>2200000</v>
      </c>
      <c r="K1378">
        <v>5200000</v>
      </c>
      <c r="L1378">
        <v>700000</v>
      </c>
      <c r="M1378" t="s">
        <v>34</v>
      </c>
      <c r="N1378">
        <f t="shared" si="127"/>
        <v>1</v>
      </c>
      <c r="O1378" t="str">
        <f t="shared" si="126"/>
        <v>Excellent</v>
      </c>
      <c r="P1378" t="str">
        <f t="shared" si="128"/>
        <v>High</v>
      </c>
      <c r="Q1378" t="str">
        <f t="shared" si="129"/>
        <v>Low Loan</v>
      </c>
      <c r="R1378">
        <f t="shared" si="130"/>
        <v>10000000</v>
      </c>
      <c r="S1378" t="str">
        <f t="shared" si="131"/>
        <v>Strong</v>
      </c>
    </row>
    <row r="1379" spans="1:19" x14ac:dyDescent="0.25">
      <c r="A1379">
        <v>1378</v>
      </c>
      <c r="B1379">
        <v>4</v>
      </c>
      <c r="C1379" t="s">
        <v>31</v>
      </c>
      <c r="D1379" t="s">
        <v>32</v>
      </c>
      <c r="E1379">
        <v>9200000</v>
      </c>
      <c r="F1379">
        <v>21700000</v>
      </c>
      <c r="G1379">
        <v>6</v>
      </c>
      <c r="H1379">
        <v>653</v>
      </c>
      <c r="I1379">
        <v>22700000</v>
      </c>
      <c r="J1379">
        <v>4600000</v>
      </c>
      <c r="K1379">
        <v>29400000</v>
      </c>
      <c r="L1379">
        <v>8600000</v>
      </c>
      <c r="M1379" t="s">
        <v>34</v>
      </c>
      <c r="N1379">
        <f t="shared" si="127"/>
        <v>1</v>
      </c>
      <c r="O1379" t="str">
        <f t="shared" si="126"/>
        <v>Medium</v>
      </c>
      <c r="P1379" t="str">
        <f t="shared" si="128"/>
        <v>High</v>
      </c>
      <c r="Q1379" t="str">
        <f t="shared" si="129"/>
        <v>High Loan</v>
      </c>
      <c r="R1379">
        <f t="shared" si="130"/>
        <v>65300000</v>
      </c>
      <c r="S1379" t="str">
        <f t="shared" si="131"/>
        <v>Strong</v>
      </c>
    </row>
    <row r="1380" spans="1:19" x14ac:dyDescent="0.25">
      <c r="A1380">
        <v>1379</v>
      </c>
      <c r="B1380">
        <v>1</v>
      </c>
      <c r="C1380" t="s">
        <v>30</v>
      </c>
      <c r="D1380" t="s">
        <v>33</v>
      </c>
      <c r="E1380">
        <v>7900000</v>
      </c>
      <c r="F1380">
        <v>29200000</v>
      </c>
      <c r="G1380">
        <v>2</v>
      </c>
      <c r="H1380">
        <v>663</v>
      </c>
      <c r="I1380">
        <v>19600000</v>
      </c>
      <c r="J1380">
        <v>12100000</v>
      </c>
      <c r="K1380">
        <v>28600000</v>
      </c>
      <c r="L1380">
        <v>10100000</v>
      </c>
      <c r="M1380" t="s">
        <v>34</v>
      </c>
      <c r="N1380">
        <f t="shared" si="127"/>
        <v>1</v>
      </c>
      <c r="O1380" t="str">
        <f t="shared" si="126"/>
        <v>Medium</v>
      </c>
      <c r="P1380" t="str">
        <f t="shared" si="128"/>
        <v>High</v>
      </c>
      <c r="Q1380" t="str">
        <f t="shared" si="129"/>
        <v>High Loan</v>
      </c>
      <c r="R1380">
        <f t="shared" si="130"/>
        <v>70400000</v>
      </c>
      <c r="S1380" t="str">
        <f t="shared" si="131"/>
        <v>Strong</v>
      </c>
    </row>
    <row r="1381" spans="1:19" x14ac:dyDescent="0.25">
      <c r="A1381">
        <v>1380</v>
      </c>
      <c r="B1381">
        <v>0</v>
      </c>
      <c r="C1381" t="s">
        <v>31</v>
      </c>
      <c r="D1381" t="s">
        <v>32</v>
      </c>
      <c r="E1381">
        <v>4500000</v>
      </c>
      <c r="F1381">
        <v>17500000</v>
      </c>
      <c r="G1381">
        <v>10</v>
      </c>
      <c r="H1381">
        <v>495</v>
      </c>
      <c r="I1381">
        <v>10300000</v>
      </c>
      <c r="J1381">
        <v>3500000</v>
      </c>
      <c r="K1381">
        <v>9700000</v>
      </c>
      <c r="L1381">
        <v>6200000</v>
      </c>
      <c r="M1381" t="s">
        <v>35</v>
      </c>
      <c r="N1381">
        <f t="shared" si="127"/>
        <v>0</v>
      </c>
      <c r="O1381" t="str">
        <f t="shared" si="126"/>
        <v>Low</v>
      </c>
      <c r="P1381" t="str">
        <f t="shared" si="128"/>
        <v>High</v>
      </c>
      <c r="Q1381" t="str">
        <f t="shared" si="129"/>
        <v>Low Loan</v>
      </c>
      <c r="R1381">
        <f t="shared" si="130"/>
        <v>29700000</v>
      </c>
      <c r="S1381" t="str">
        <f t="shared" si="131"/>
        <v>Strong</v>
      </c>
    </row>
    <row r="1382" spans="1:19" x14ac:dyDescent="0.25">
      <c r="A1382">
        <v>1381</v>
      </c>
      <c r="B1382">
        <v>1</v>
      </c>
      <c r="C1382" t="s">
        <v>31</v>
      </c>
      <c r="D1382" t="s">
        <v>32</v>
      </c>
      <c r="E1382">
        <v>3800000</v>
      </c>
      <c r="F1382">
        <v>9800000</v>
      </c>
      <c r="G1382">
        <v>8</v>
      </c>
      <c r="H1382">
        <v>335</v>
      </c>
      <c r="I1382">
        <v>100000</v>
      </c>
      <c r="J1382">
        <v>5100000</v>
      </c>
      <c r="K1382">
        <v>14200000</v>
      </c>
      <c r="L1382">
        <v>1800000</v>
      </c>
      <c r="M1382" t="s">
        <v>35</v>
      </c>
      <c r="N1382">
        <f t="shared" si="127"/>
        <v>0</v>
      </c>
      <c r="O1382" t="str">
        <f t="shared" si="126"/>
        <v>Low</v>
      </c>
      <c r="P1382" t="str">
        <f t="shared" si="128"/>
        <v>High</v>
      </c>
      <c r="Q1382" t="str">
        <f t="shared" si="129"/>
        <v>Low Loan</v>
      </c>
      <c r="R1382">
        <f t="shared" si="130"/>
        <v>21200000</v>
      </c>
      <c r="S1382" t="str">
        <f t="shared" si="131"/>
        <v>Strong</v>
      </c>
    </row>
    <row r="1383" spans="1:19" x14ac:dyDescent="0.25">
      <c r="A1383">
        <v>1382</v>
      </c>
      <c r="B1383">
        <v>5</v>
      </c>
      <c r="C1383" t="s">
        <v>30</v>
      </c>
      <c r="D1383" t="s">
        <v>33</v>
      </c>
      <c r="E1383">
        <v>1500000</v>
      </c>
      <c r="F1383">
        <v>4900000</v>
      </c>
      <c r="G1383">
        <v>6</v>
      </c>
      <c r="H1383">
        <v>618</v>
      </c>
      <c r="I1383">
        <v>3400000</v>
      </c>
      <c r="J1383">
        <v>1000000</v>
      </c>
      <c r="K1383">
        <v>3200000</v>
      </c>
      <c r="L1383">
        <v>900000</v>
      </c>
      <c r="M1383" t="s">
        <v>34</v>
      </c>
      <c r="N1383">
        <f t="shared" si="127"/>
        <v>1</v>
      </c>
      <c r="O1383" t="str">
        <f t="shared" si="126"/>
        <v>Low</v>
      </c>
      <c r="P1383" t="str">
        <f t="shared" si="128"/>
        <v>High</v>
      </c>
      <c r="Q1383" t="str">
        <f t="shared" si="129"/>
        <v>Low Loan</v>
      </c>
      <c r="R1383">
        <f t="shared" si="130"/>
        <v>8500000</v>
      </c>
      <c r="S1383" t="str">
        <f t="shared" si="131"/>
        <v>Moderate</v>
      </c>
    </row>
    <row r="1384" spans="1:19" x14ac:dyDescent="0.25">
      <c r="A1384">
        <v>1383</v>
      </c>
      <c r="B1384">
        <v>3</v>
      </c>
      <c r="C1384" t="s">
        <v>31</v>
      </c>
      <c r="D1384" t="s">
        <v>32</v>
      </c>
      <c r="E1384">
        <v>1200000</v>
      </c>
      <c r="F1384">
        <v>2400000</v>
      </c>
      <c r="G1384">
        <v>12</v>
      </c>
      <c r="H1384">
        <v>480</v>
      </c>
      <c r="I1384">
        <v>3000000</v>
      </c>
      <c r="J1384">
        <v>100000</v>
      </c>
      <c r="K1384">
        <v>3100000</v>
      </c>
      <c r="L1384">
        <v>1700000</v>
      </c>
      <c r="M1384" t="s">
        <v>35</v>
      </c>
      <c r="N1384">
        <f t="shared" si="127"/>
        <v>0</v>
      </c>
      <c r="O1384" t="str">
        <f t="shared" si="126"/>
        <v>Low</v>
      </c>
      <c r="P1384" t="str">
        <f t="shared" si="128"/>
        <v>High</v>
      </c>
      <c r="Q1384" t="str">
        <f t="shared" si="129"/>
        <v>Low Loan</v>
      </c>
      <c r="R1384">
        <f t="shared" si="130"/>
        <v>7900000</v>
      </c>
      <c r="S1384" t="str">
        <f t="shared" si="131"/>
        <v>Moderate</v>
      </c>
    </row>
    <row r="1385" spans="1:19" x14ac:dyDescent="0.25">
      <c r="A1385">
        <v>1384</v>
      </c>
      <c r="B1385">
        <v>4</v>
      </c>
      <c r="C1385" t="s">
        <v>31</v>
      </c>
      <c r="D1385" t="s">
        <v>32</v>
      </c>
      <c r="E1385">
        <v>1700000</v>
      </c>
      <c r="F1385">
        <v>4900000</v>
      </c>
      <c r="G1385">
        <v>18</v>
      </c>
      <c r="H1385">
        <v>843</v>
      </c>
      <c r="I1385">
        <v>4800000</v>
      </c>
      <c r="J1385">
        <v>2200000</v>
      </c>
      <c r="K1385">
        <v>6200000</v>
      </c>
      <c r="L1385">
        <v>1800000</v>
      </c>
      <c r="M1385" t="s">
        <v>34</v>
      </c>
      <c r="N1385">
        <f t="shared" si="127"/>
        <v>1</v>
      </c>
      <c r="O1385" t="str">
        <f t="shared" si="126"/>
        <v>Excellent</v>
      </c>
      <c r="P1385" t="str">
        <f t="shared" si="128"/>
        <v>High</v>
      </c>
      <c r="Q1385" t="str">
        <f t="shared" si="129"/>
        <v>Low Loan</v>
      </c>
      <c r="R1385">
        <f t="shared" si="130"/>
        <v>15000000</v>
      </c>
      <c r="S1385" t="str">
        <f t="shared" si="131"/>
        <v>Strong</v>
      </c>
    </row>
    <row r="1386" spans="1:19" x14ac:dyDescent="0.25">
      <c r="A1386">
        <v>1385</v>
      </c>
      <c r="B1386">
        <v>4</v>
      </c>
      <c r="C1386" t="s">
        <v>30</v>
      </c>
      <c r="D1386" t="s">
        <v>32</v>
      </c>
      <c r="E1386">
        <v>5200000</v>
      </c>
      <c r="F1386">
        <v>14100000</v>
      </c>
      <c r="G1386">
        <v>16</v>
      </c>
      <c r="H1386">
        <v>483</v>
      </c>
      <c r="I1386">
        <v>11800000</v>
      </c>
      <c r="J1386">
        <v>800000</v>
      </c>
      <c r="K1386">
        <v>19200000</v>
      </c>
      <c r="L1386">
        <v>2700000</v>
      </c>
      <c r="M1386" t="s">
        <v>35</v>
      </c>
      <c r="N1386">
        <f t="shared" si="127"/>
        <v>0</v>
      </c>
      <c r="O1386" t="str">
        <f t="shared" si="126"/>
        <v>Low</v>
      </c>
      <c r="P1386" t="str">
        <f t="shared" si="128"/>
        <v>High</v>
      </c>
      <c r="Q1386" t="str">
        <f t="shared" si="129"/>
        <v>Low Loan</v>
      </c>
      <c r="R1386">
        <f t="shared" si="130"/>
        <v>34500000</v>
      </c>
      <c r="S1386" t="str">
        <f t="shared" si="131"/>
        <v>Strong</v>
      </c>
    </row>
    <row r="1387" spans="1:19" x14ac:dyDescent="0.25">
      <c r="A1387">
        <v>1386</v>
      </c>
      <c r="B1387">
        <v>1</v>
      </c>
      <c r="C1387" t="s">
        <v>31</v>
      </c>
      <c r="D1387" t="s">
        <v>32</v>
      </c>
      <c r="E1387">
        <v>1600000</v>
      </c>
      <c r="F1387">
        <v>5100000</v>
      </c>
      <c r="G1387">
        <v>12</v>
      </c>
      <c r="H1387">
        <v>548</v>
      </c>
      <c r="I1387">
        <v>2200000</v>
      </c>
      <c r="J1387">
        <v>2700000</v>
      </c>
      <c r="K1387">
        <v>3600000</v>
      </c>
      <c r="L1387">
        <v>800000</v>
      </c>
      <c r="M1387" t="s">
        <v>35</v>
      </c>
      <c r="N1387">
        <f t="shared" si="127"/>
        <v>0</v>
      </c>
      <c r="O1387" t="str">
        <f t="shared" si="126"/>
        <v>Low</v>
      </c>
      <c r="P1387" t="str">
        <f t="shared" si="128"/>
        <v>High</v>
      </c>
      <c r="Q1387" t="str">
        <f t="shared" si="129"/>
        <v>Low Loan</v>
      </c>
      <c r="R1387">
        <f t="shared" si="130"/>
        <v>9300000</v>
      </c>
      <c r="S1387" t="str">
        <f t="shared" si="131"/>
        <v>Moderate</v>
      </c>
    </row>
    <row r="1388" spans="1:19" x14ac:dyDescent="0.25">
      <c r="A1388">
        <v>1387</v>
      </c>
      <c r="B1388">
        <v>4</v>
      </c>
      <c r="C1388" t="s">
        <v>30</v>
      </c>
      <c r="D1388" t="s">
        <v>33</v>
      </c>
      <c r="E1388">
        <v>6600000</v>
      </c>
      <c r="F1388">
        <v>16000000</v>
      </c>
      <c r="G1388">
        <v>16</v>
      </c>
      <c r="H1388">
        <v>379</v>
      </c>
      <c r="I1388">
        <v>6500000</v>
      </c>
      <c r="J1388">
        <v>12600000</v>
      </c>
      <c r="K1388">
        <v>24700000</v>
      </c>
      <c r="L1388">
        <v>4500000</v>
      </c>
      <c r="M1388" t="s">
        <v>35</v>
      </c>
      <c r="N1388">
        <f t="shared" si="127"/>
        <v>0</v>
      </c>
      <c r="O1388" t="str">
        <f t="shared" si="126"/>
        <v>Low</v>
      </c>
      <c r="P1388" t="str">
        <f t="shared" si="128"/>
        <v>High</v>
      </c>
      <c r="Q1388" t="str">
        <f t="shared" si="129"/>
        <v>Low Loan</v>
      </c>
      <c r="R1388">
        <f t="shared" si="130"/>
        <v>48300000</v>
      </c>
      <c r="S1388" t="str">
        <f t="shared" si="131"/>
        <v>Strong</v>
      </c>
    </row>
    <row r="1389" spans="1:19" x14ac:dyDescent="0.25">
      <c r="A1389">
        <v>1388</v>
      </c>
      <c r="B1389">
        <v>5</v>
      </c>
      <c r="C1389" t="s">
        <v>31</v>
      </c>
      <c r="D1389" t="s">
        <v>33</v>
      </c>
      <c r="E1389">
        <v>9400000</v>
      </c>
      <c r="F1389">
        <v>26600000</v>
      </c>
      <c r="G1389">
        <v>20</v>
      </c>
      <c r="H1389">
        <v>771</v>
      </c>
      <c r="I1389">
        <v>10200000</v>
      </c>
      <c r="J1389">
        <v>12600000</v>
      </c>
      <c r="K1389">
        <v>36900000</v>
      </c>
      <c r="L1389">
        <v>11700000</v>
      </c>
      <c r="M1389" t="s">
        <v>34</v>
      </c>
      <c r="N1389">
        <f t="shared" si="127"/>
        <v>1</v>
      </c>
      <c r="O1389" t="str">
        <f t="shared" si="126"/>
        <v>Excellent</v>
      </c>
      <c r="P1389" t="str">
        <f t="shared" si="128"/>
        <v>High</v>
      </c>
      <c r="Q1389" t="str">
        <f t="shared" si="129"/>
        <v>High Loan</v>
      </c>
      <c r="R1389">
        <f t="shared" si="130"/>
        <v>71400000</v>
      </c>
      <c r="S1389" t="str">
        <f t="shared" si="131"/>
        <v>Strong</v>
      </c>
    </row>
    <row r="1390" spans="1:19" x14ac:dyDescent="0.25">
      <c r="A1390">
        <v>1389</v>
      </c>
      <c r="B1390">
        <v>4</v>
      </c>
      <c r="C1390" t="s">
        <v>30</v>
      </c>
      <c r="D1390" t="s">
        <v>33</v>
      </c>
      <c r="E1390">
        <v>300000</v>
      </c>
      <c r="F1390">
        <v>500000</v>
      </c>
      <c r="G1390">
        <v>2</v>
      </c>
      <c r="H1390">
        <v>353</v>
      </c>
      <c r="I1390">
        <v>600000</v>
      </c>
      <c r="J1390">
        <v>100000</v>
      </c>
      <c r="K1390">
        <v>1200000</v>
      </c>
      <c r="L1390">
        <v>400000</v>
      </c>
      <c r="M1390" t="s">
        <v>35</v>
      </c>
      <c r="N1390">
        <f t="shared" si="127"/>
        <v>0</v>
      </c>
      <c r="O1390" t="str">
        <f t="shared" si="126"/>
        <v>Low</v>
      </c>
      <c r="P1390" t="str">
        <f t="shared" si="128"/>
        <v>Middle</v>
      </c>
      <c r="Q1390" t="str">
        <f t="shared" si="129"/>
        <v>Low Loan</v>
      </c>
      <c r="R1390">
        <f t="shared" si="130"/>
        <v>2300000</v>
      </c>
      <c r="S1390" t="str">
        <f t="shared" si="131"/>
        <v>Weak</v>
      </c>
    </row>
    <row r="1391" spans="1:19" x14ac:dyDescent="0.25">
      <c r="A1391">
        <v>1390</v>
      </c>
      <c r="B1391">
        <v>5</v>
      </c>
      <c r="C1391" t="s">
        <v>31</v>
      </c>
      <c r="D1391" t="s">
        <v>32</v>
      </c>
      <c r="E1391">
        <v>4600000</v>
      </c>
      <c r="F1391">
        <v>11500000</v>
      </c>
      <c r="G1391">
        <v>16</v>
      </c>
      <c r="H1391">
        <v>668</v>
      </c>
      <c r="I1391">
        <v>6500000</v>
      </c>
      <c r="J1391">
        <v>3100000</v>
      </c>
      <c r="K1391">
        <v>10200000</v>
      </c>
      <c r="L1391">
        <v>5500000</v>
      </c>
      <c r="M1391" t="s">
        <v>34</v>
      </c>
      <c r="N1391">
        <f t="shared" si="127"/>
        <v>1</v>
      </c>
      <c r="O1391" t="str">
        <f t="shared" si="126"/>
        <v>Medium</v>
      </c>
      <c r="P1391" t="str">
        <f t="shared" si="128"/>
        <v>High</v>
      </c>
      <c r="Q1391" t="str">
        <f t="shared" si="129"/>
        <v>Low Loan</v>
      </c>
      <c r="R1391">
        <f t="shared" si="130"/>
        <v>25300000</v>
      </c>
      <c r="S1391" t="str">
        <f t="shared" si="131"/>
        <v>Strong</v>
      </c>
    </row>
    <row r="1392" spans="1:19" x14ac:dyDescent="0.25">
      <c r="A1392">
        <v>1391</v>
      </c>
      <c r="B1392">
        <v>3</v>
      </c>
      <c r="C1392" t="s">
        <v>31</v>
      </c>
      <c r="D1392" t="s">
        <v>33</v>
      </c>
      <c r="E1392">
        <v>6100000</v>
      </c>
      <c r="F1392">
        <v>21300000</v>
      </c>
      <c r="G1392">
        <v>2</v>
      </c>
      <c r="H1392">
        <v>387</v>
      </c>
      <c r="I1392">
        <v>7100000</v>
      </c>
      <c r="J1392">
        <v>3100000</v>
      </c>
      <c r="K1392">
        <v>16300000</v>
      </c>
      <c r="L1392">
        <v>4100000</v>
      </c>
      <c r="M1392" t="s">
        <v>34</v>
      </c>
      <c r="N1392">
        <f t="shared" si="127"/>
        <v>1</v>
      </c>
      <c r="O1392" t="str">
        <f t="shared" si="126"/>
        <v>Low</v>
      </c>
      <c r="P1392" t="str">
        <f t="shared" si="128"/>
        <v>High</v>
      </c>
      <c r="Q1392" t="str">
        <f t="shared" si="129"/>
        <v>High Loan</v>
      </c>
      <c r="R1392">
        <f t="shared" si="130"/>
        <v>30600000</v>
      </c>
      <c r="S1392" t="str">
        <f t="shared" si="131"/>
        <v>Strong</v>
      </c>
    </row>
    <row r="1393" spans="1:19" x14ac:dyDescent="0.25">
      <c r="A1393">
        <v>1392</v>
      </c>
      <c r="B1393">
        <v>0</v>
      </c>
      <c r="C1393" t="s">
        <v>31</v>
      </c>
      <c r="D1393" t="s">
        <v>33</v>
      </c>
      <c r="E1393">
        <v>1500000</v>
      </c>
      <c r="F1393">
        <v>4100000</v>
      </c>
      <c r="G1393">
        <v>12</v>
      </c>
      <c r="H1393">
        <v>789</v>
      </c>
      <c r="I1393">
        <v>3600000</v>
      </c>
      <c r="J1393">
        <v>1600000</v>
      </c>
      <c r="K1393">
        <v>5800000</v>
      </c>
      <c r="L1393">
        <v>1300000</v>
      </c>
      <c r="M1393" t="s">
        <v>34</v>
      </c>
      <c r="N1393">
        <f t="shared" si="127"/>
        <v>1</v>
      </c>
      <c r="O1393" t="str">
        <f t="shared" si="126"/>
        <v>Excellent</v>
      </c>
      <c r="P1393" t="str">
        <f t="shared" si="128"/>
        <v>High</v>
      </c>
      <c r="Q1393" t="str">
        <f t="shared" si="129"/>
        <v>Low Loan</v>
      </c>
      <c r="R1393">
        <f t="shared" si="130"/>
        <v>12300000</v>
      </c>
      <c r="S1393" t="str">
        <f t="shared" si="131"/>
        <v>Strong</v>
      </c>
    </row>
    <row r="1394" spans="1:19" x14ac:dyDescent="0.25">
      <c r="A1394">
        <v>1393</v>
      </c>
      <c r="B1394">
        <v>0</v>
      </c>
      <c r="C1394" t="s">
        <v>30</v>
      </c>
      <c r="D1394" t="s">
        <v>33</v>
      </c>
      <c r="E1394">
        <v>400000</v>
      </c>
      <c r="F1394">
        <v>900000</v>
      </c>
      <c r="G1394">
        <v>2</v>
      </c>
      <c r="H1394">
        <v>855</v>
      </c>
      <c r="I1394">
        <v>-100000</v>
      </c>
      <c r="J1394">
        <v>500000</v>
      </c>
      <c r="K1394">
        <v>1300000</v>
      </c>
      <c r="L1394">
        <v>400000</v>
      </c>
      <c r="M1394" t="s">
        <v>34</v>
      </c>
      <c r="N1394">
        <f t="shared" si="127"/>
        <v>1</v>
      </c>
      <c r="O1394" t="str">
        <f t="shared" si="126"/>
        <v>Excellent</v>
      </c>
      <c r="P1394" t="str">
        <f t="shared" si="128"/>
        <v>Middle</v>
      </c>
      <c r="Q1394" t="str">
        <f t="shared" si="129"/>
        <v>Low Loan</v>
      </c>
      <c r="R1394">
        <f t="shared" si="130"/>
        <v>2100000</v>
      </c>
      <c r="S1394" t="str">
        <f t="shared" si="131"/>
        <v>Weak</v>
      </c>
    </row>
    <row r="1395" spans="1:19" x14ac:dyDescent="0.25">
      <c r="A1395">
        <v>1394</v>
      </c>
      <c r="B1395">
        <v>0</v>
      </c>
      <c r="C1395" t="s">
        <v>31</v>
      </c>
      <c r="D1395" t="s">
        <v>32</v>
      </c>
      <c r="E1395">
        <v>8700000</v>
      </c>
      <c r="F1395">
        <v>33600000</v>
      </c>
      <c r="G1395">
        <v>14</v>
      </c>
      <c r="H1395">
        <v>751</v>
      </c>
      <c r="I1395">
        <v>7100000</v>
      </c>
      <c r="J1395">
        <v>13700000</v>
      </c>
      <c r="K1395">
        <v>22800000</v>
      </c>
      <c r="L1395">
        <v>7000000</v>
      </c>
      <c r="M1395" t="s">
        <v>34</v>
      </c>
      <c r="N1395">
        <f t="shared" si="127"/>
        <v>1</v>
      </c>
      <c r="O1395" t="str">
        <f t="shared" si="126"/>
        <v>Excellent</v>
      </c>
      <c r="P1395" t="str">
        <f t="shared" si="128"/>
        <v>High</v>
      </c>
      <c r="Q1395" t="str">
        <f t="shared" si="129"/>
        <v>High Loan</v>
      </c>
      <c r="R1395">
        <f t="shared" si="130"/>
        <v>50600000</v>
      </c>
      <c r="S1395" t="str">
        <f t="shared" si="131"/>
        <v>Strong</v>
      </c>
    </row>
    <row r="1396" spans="1:19" x14ac:dyDescent="0.25">
      <c r="A1396">
        <v>1395</v>
      </c>
      <c r="B1396">
        <v>3</v>
      </c>
      <c r="C1396" t="s">
        <v>31</v>
      </c>
      <c r="D1396" t="s">
        <v>32</v>
      </c>
      <c r="E1396">
        <v>7000000</v>
      </c>
      <c r="F1396">
        <v>21600000</v>
      </c>
      <c r="G1396">
        <v>12</v>
      </c>
      <c r="H1396">
        <v>739</v>
      </c>
      <c r="I1396">
        <v>1600000</v>
      </c>
      <c r="J1396">
        <v>7600000</v>
      </c>
      <c r="K1396">
        <v>24500000</v>
      </c>
      <c r="L1396">
        <v>8400000</v>
      </c>
      <c r="M1396" t="s">
        <v>34</v>
      </c>
      <c r="N1396">
        <f t="shared" si="127"/>
        <v>1</v>
      </c>
      <c r="O1396" t="str">
        <f t="shared" si="126"/>
        <v>Good</v>
      </c>
      <c r="P1396" t="str">
        <f t="shared" si="128"/>
        <v>High</v>
      </c>
      <c r="Q1396" t="str">
        <f t="shared" si="129"/>
        <v>High Loan</v>
      </c>
      <c r="R1396">
        <f t="shared" si="130"/>
        <v>42100000</v>
      </c>
      <c r="S1396" t="str">
        <f t="shared" si="131"/>
        <v>Strong</v>
      </c>
    </row>
    <row r="1397" spans="1:19" x14ac:dyDescent="0.25">
      <c r="A1397">
        <v>1396</v>
      </c>
      <c r="B1397">
        <v>4</v>
      </c>
      <c r="C1397" t="s">
        <v>30</v>
      </c>
      <c r="D1397" t="s">
        <v>32</v>
      </c>
      <c r="E1397">
        <v>4700000</v>
      </c>
      <c r="F1397">
        <v>13100000</v>
      </c>
      <c r="G1397">
        <v>14</v>
      </c>
      <c r="H1397">
        <v>492</v>
      </c>
      <c r="I1397">
        <v>1000000</v>
      </c>
      <c r="J1397">
        <v>4500000</v>
      </c>
      <c r="K1397">
        <v>14100000</v>
      </c>
      <c r="L1397">
        <v>6400000</v>
      </c>
      <c r="M1397" t="s">
        <v>35</v>
      </c>
      <c r="N1397">
        <f t="shared" si="127"/>
        <v>0</v>
      </c>
      <c r="O1397" t="str">
        <f t="shared" si="126"/>
        <v>Low</v>
      </c>
      <c r="P1397" t="str">
        <f t="shared" si="128"/>
        <v>High</v>
      </c>
      <c r="Q1397" t="str">
        <f t="shared" si="129"/>
        <v>Low Loan</v>
      </c>
      <c r="R1397">
        <f t="shared" si="130"/>
        <v>26000000</v>
      </c>
      <c r="S1397" t="str">
        <f t="shared" si="131"/>
        <v>Strong</v>
      </c>
    </row>
    <row r="1398" spans="1:19" x14ac:dyDescent="0.25">
      <c r="A1398">
        <v>1397</v>
      </c>
      <c r="B1398">
        <v>4</v>
      </c>
      <c r="C1398" t="s">
        <v>31</v>
      </c>
      <c r="D1398" t="s">
        <v>33</v>
      </c>
      <c r="E1398">
        <v>7600000</v>
      </c>
      <c r="F1398">
        <v>23800000</v>
      </c>
      <c r="G1398">
        <v>16</v>
      </c>
      <c r="H1398">
        <v>896</v>
      </c>
      <c r="I1398">
        <v>3700000</v>
      </c>
      <c r="J1398">
        <v>4500000</v>
      </c>
      <c r="K1398">
        <v>15400000</v>
      </c>
      <c r="L1398">
        <v>6400000</v>
      </c>
      <c r="M1398" t="s">
        <v>34</v>
      </c>
      <c r="N1398">
        <f t="shared" si="127"/>
        <v>1</v>
      </c>
      <c r="O1398" t="str">
        <f t="shared" si="126"/>
        <v>Excellent</v>
      </c>
      <c r="P1398" t="str">
        <f t="shared" si="128"/>
        <v>High</v>
      </c>
      <c r="Q1398" t="str">
        <f t="shared" si="129"/>
        <v>High Loan</v>
      </c>
      <c r="R1398">
        <f t="shared" si="130"/>
        <v>30000000</v>
      </c>
      <c r="S1398" t="str">
        <f t="shared" si="131"/>
        <v>Strong</v>
      </c>
    </row>
    <row r="1399" spans="1:19" x14ac:dyDescent="0.25">
      <c r="A1399">
        <v>1398</v>
      </c>
      <c r="B1399">
        <v>1</v>
      </c>
      <c r="C1399" t="s">
        <v>31</v>
      </c>
      <c r="D1399" t="s">
        <v>33</v>
      </c>
      <c r="E1399">
        <v>9200000</v>
      </c>
      <c r="F1399">
        <v>24500000</v>
      </c>
      <c r="G1399">
        <v>4</v>
      </c>
      <c r="H1399">
        <v>545</v>
      </c>
      <c r="I1399">
        <v>25700000</v>
      </c>
      <c r="J1399">
        <v>0</v>
      </c>
      <c r="K1399">
        <v>20600000</v>
      </c>
      <c r="L1399">
        <v>13300000</v>
      </c>
      <c r="M1399" t="s">
        <v>35</v>
      </c>
      <c r="N1399">
        <f t="shared" si="127"/>
        <v>0</v>
      </c>
      <c r="O1399" t="str">
        <f t="shared" si="126"/>
        <v>Low</v>
      </c>
      <c r="P1399" t="str">
        <f t="shared" si="128"/>
        <v>High</v>
      </c>
      <c r="Q1399" t="str">
        <f t="shared" si="129"/>
        <v>High Loan</v>
      </c>
      <c r="R1399">
        <f t="shared" si="130"/>
        <v>59600000</v>
      </c>
      <c r="S1399" t="str">
        <f t="shared" si="131"/>
        <v>Strong</v>
      </c>
    </row>
    <row r="1400" spans="1:19" x14ac:dyDescent="0.25">
      <c r="A1400">
        <v>1399</v>
      </c>
      <c r="B1400">
        <v>5</v>
      </c>
      <c r="C1400" t="s">
        <v>31</v>
      </c>
      <c r="D1400" t="s">
        <v>32</v>
      </c>
      <c r="E1400">
        <v>9400000</v>
      </c>
      <c r="F1400">
        <v>36800000</v>
      </c>
      <c r="G1400">
        <v>20</v>
      </c>
      <c r="H1400">
        <v>891</v>
      </c>
      <c r="I1400">
        <v>13900000</v>
      </c>
      <c r="J1400">
        <v>16600000</v>
      </c>
      <c r="K1400">
        <v>19300000</v>
      </c>
      <c r="L1400">
        <v>8900000</v>
      </c>
      <c r="M1400" t="s">
        <v>34</v>
      </c>
      <c r="N1400">
        <f t="shared" si="127"/>
        <v>1</v>
      </c>
      <c r="O1400" t="str">
        <f t="shared" si="126"/>
        <v>Excellent</v>
      </c>
      <c r="P1400" t="str">
        <f t="shared" si="128"/>
        <v>High</v>
      </c>
      <c r="Q1400" t="str">
        <f t="shared" si="129"/>
        <v>High Loan</v>
      </c>
      <c r="R1400">
        <f t="shared" si="130"/>
        <v>58700000</v>
      </c>
      <c r="S1400" t="str">
        <f t="shared" si="131"/>
        <v>Strong</v>
      </c>
    </row>
    <row r="1401" spans="1:19" x14ac:dyDescent="0.25">
      <c r="A1401">
        <v>1400</v>
      </c>
      <c r="B1401">
        <v>0</v>
      </c>
      <c r="C1401" t="s">
        <v>30</v>
      </c>
      <c r="D1401" t="s">
        <v>32</v>
      </c>
      <c r="E1401">
        <v>4800000</v>
      </c>
      <c r="F1401">
        <v>15100000</v>
      </c>
      <c r="G1401">
        <v>6</v>
      </c>
      <c r="H1401">
        <v>848</v>
      </c>
      <c r="I1401">
        <v>1300000</v>
      </c>
      <c r="J1401">
        <v>300000</v>
      </c>
      <c r="K1401">
        <v>18800000</v>
      </c>
      <c r="L1401">
        <v>3500000</v>
      </c>
      <c r="M1401" t="s">
        <v>34</v>
      </c>
      <c r="N1401">
        <f t="shared" si="127"/>
        <v>1</v>
      </c>
      <c r="O1401" t="str">
        <f t="shared" si="126"/>
        <v>Excellent</v>
      </c>
      <c r="P1401" t="str">
        <f t="shared" si="128"/>
        <v>High</v>
      </c>
      <c r="Q1401" t="str">
        <f t="shared" si="129"/>
        <v>Low Loan</v>
      </c>
      <c r="R1401">
        <f t="shared" si="130"/>
        <v>23900000</v>
      </c>
      <c r="S1401" t="str">
        <f t="shared" si="131"/>
        <v>Strong</v>
      </c>
    </row>
    <row r="1402" spans="1:19" x14ac:dyDescent="0.25">
      <c r="A1402">
        <v>1401</v>
      </c>
      <c r="B1402">
        <v>3</v>
      </c>
      <c r="C1402" t="s">
        <v>31</v>
      </c>
      <c r="D1402" t="s">
        <v>33</v>
      </c>
      <c r="E1402">
        <v>600000</v>
      </c>
      <c r="F1402">
        <v>2400000</v>
      </c>
      <c r="G1402">
        <v>12</v>
      </c>
      <c r="H1402">
        <v>884</v>
      </c>
      <c r="I1402">
        <v>600000</v>
      </c>
      <c r="J1402">
        <v>800000</v>
      </c>
      <c r="K1402">
        <v>1400000</v>
      </c>
      <c r="L1402">
        <v>600000</v>
      </c>
      <c r="M1402" t="s">
        <v>34</v>
      </c>
      <c r="N1402">
        <f t="shared" si="127"/>
        <v>1</v>
      </c>
      <c r="O1402" t="str">
        <f t="shared" si="126"/>
        <v>Excellent</v>
      </c>
      <c r="P1402" t="str">
        <f t="shared" si="128"/>
        <v>Middle</v>
      </c>
      <c r="Q1402" t="str">
        <f t="shared" si="129"/>
        <v>Low Loan</v>
      </c>
      <c r="R1402">
        <f t="shared" si="130"/>
        <v>3400000</v>
      </c>
      <c r="S1402" t="str">
        <f t="shared" si="131"/>
        <v>Weak</v>
      </c>
    </row>
    <row r="1403" spans="1:19" x14ac:dyDescent="0.25">
      <c r="A1403">
        <v>1402</v>
      </c>
      <c r="B1403">
        <v>3</v>
      </c>
      <c r="C1403" t="s">
        <v>30</v>
      </c>
      <c r="D1403" t="s">
        <v>33</v>
      </c>
      <c r="E1403">
        <v>4900000</v>
      </c>
      <c r="F1403">
        <v>14300000</v>
      </c>
      <c r="G1403">
        <v>14</v>
      </c>
      <c r="H1403">
        <v>439</v>
      </c>
      <c r="I1403">
        <v>10300000</v>
      </c>
      <c r="J1403">
        <v>5600000</v>
      </c>
      <c r="K1403">
        <v>17400000</v>
      </c>
      <c r="L1403">
        <v>5100000</v>
      </c>
      <c r="M1403" t="s">
        <v>35</v>
      </c>
      <c r="N1403">
        <f t="shared" si="127"/>
        <v>0</v>
      </c>
      <c r="O1403" t="str">
        <f t="shared" si="126"/>
        <v>Low</v>
      </c>
      <c r="P1403" t="str">
        <f t="shared" si="128"/>
        <v>High</v>
      </c>
      <c r="Q1403" t="str">
        <f t="shared" si="129"/>
        <v>Low Loan</v>
      </c>
      <c r="R1403">
        <f t="shared" si="130"/>
        <v>38400000</v>
      </c>
      <c r="S1403" t="str">
        <f t="shared" si="131"/>
        <v>Strong</v>
      </c>
    </row>
    <row r="1404" spans="1:19" x14ac:dyDescent="0.25">
      <c r="A1404">
        <v>1403</v>
      </c>
      <c r="B1404">
        <v>3</v>
      </c>
      <c r="C1404" t="s">
        <v>30</v>
      </c>
      <c r="D1404" t="s">
        <v>33</v>
      </c>
      <c r="E1404">
        <v>3300000</v>
      </c>
      <c r="F1404">
        <v>8500000</v>
      </c>
      <c r="G1404">
        <v>12</v>
      </c>
      <c r="H1404">
        <v>586</v>
      </c>
      <c r="I1404">
        <v>7500000</v>
      </c>
      <c r="J1404">
        <v>5100000</v>
      </c>
      <c r="K1404">
        <v>7800000</v>
      </c>
      <c r="L1404">
        <v>3900000</v>
      </c>
      <c r="M1404" t="s">
        <v>34</v>
      </c>
      <c r="N1404">
        <f t="shared" si="127"/>
        <v>1</v>
      </c>
      <c r="O1404" t="str">
        <f t="shared" si="126"/>
        <v>Low</v>
      </c>
      <c r="P1404" t="str">
        <f t="shared" si="128"/>
        <v>High</v>
      </c>
      <c r="Q1404" t="str">
        <f t="shared" si="129"/>
        <v>Low Loan</v>
      </c>
      <c r="R1404">
        <f t="shared" si="130"/>
        <v>24300000</v>
      </c>
      <c r="S1404" t="str">
        <f t="shared" si="131"/>
        <v>Strong</v>
      </c>
    </row>
    <row r="1405" spans="1:19" x14ac:dyDescent="0.25">
      <c r="A1405">
        <v>1404</v>
      </c>
      <c r="B1405">
        <v>3</v>
      </c>
      <c r="C1405" t="s">
        <v>30</v>
      </c>
      <c r="D1405" t="s">
        <v>33</v>
      </c>
      <c r="E1405">
        <v>9100000</v>
      </c>
      <c r="F1405">
        <v>18800000</v>
      </c>
      <c r="G1405">
        <v>20</v>
      </c>
      <c r="H1405">
        <v>308</v>
      </c>
      <c r="I1405">
        <v>14500000</v>
      </c>
      <c r="J1405">
        <v>10200000</v>
      </c>
      <c r="K1405">
        <v>20500000</v>
      </c>
      <c r="L1405">
        <v>4800000</v>
      </c>
      <c r="M1405" t="s">
        <v>35</v>
      </c>
      <c r="N1405">
        <f t="shared" si="127"/>
        <v>0</v>
      </c>
      <c r="O1405" t="str">
        <f t="shared" si="126"/>
        <v>Low</v>
      </c>
      <c r="P1405" t="str">
        <f t="shared" si="128"/>
        <v>High</v>
      </c>
      <c r="Q1405" t="str">
        <f t="shared" si="129"/>
        <v>Low Loan</v>
      </c>
      <c r="R1405">
        <f t="shared" si="130"/>
        <v>50000000</v>
      </c>
      <c r="S1405" t="str">
        <f t="shared" si="131"/>
        <v>Strong</v>
      </c>
    </row>
    <row r="1406" spans="1:19" x14ac:dyDescent="0.25">
      <c r="A1406">
        <v>1405</v>
      </c>
      <c r="B1406">
        <v>5</v>
      </c>
      <c r="C1406" t="s">
        <v>30</v>
      </c>
      <c r="D1406" t="s">
        <v>32</v>
      </c>
      <c r="E1406">
        <v>6100000</v>
      </c>
      <c r="F1406">
        <v>23500000</v>
      </c>
      <c r="G1406">
        <v>16</v>
      </c>
      <c r="H1406">
        <v>300</v>
      </c>
      <c r="I1406">
        <v>300000</v>
      </c>
      <c r="J1406">
        <v>700000</v>
      </c>
      <c r="K1406">
        <v>22800000</v>
      </c>
      <c r="L1406">
        <v>4800000</v>
      </c>
      <c r="M1406" t="s">
        <v>35</v>
      </c>
      <c r="N1406">
        <f t="shared" si="127"/>
        <v>0</v>
      </c>
      <c r="O1406" t="str">
        <f t="shared" si="126"/>
        <v>Low</v>
      </c>
      <c r="P1406" t="str">
        <f t="shared" si="128"/>
        <v>High</v>
      </c>
      <c r="Q1406" t="str">
        <f t="shared" si="129"/>
        <v>High Loan</v>
      </c>
      <c r="R1406">
        <f t="shared" si="130"/>
        <v>28600000</v>
      </c>
      <c r="S1406" t="str">
        <f t="shared" si="131"/>
        <v>Strong</v>
      </c>
    </row>
    <row r="1407" spans="1:19" x14ac:dyDescent="0.25">
      <c r="A1407">
        <v>1406</v>
      </c>
      <c r="B1407">
        <v>3</v>
      </c>
      <c r="C1407" t="s">
        <v>30</v>
      </c>
      <c r="D1407" t="s">
        <v>33</v>
      </c>
      <c r="E1407">
        <v>8400000</v>
      </c>
      <c r="F1407">
        <v>19600000</v>
      </c>
      <c r="G1407">
        <v>2</v>
      </c>
      <c r="H1407">
        <v>741</v>
      </c>
      <c r="I1407">
        <v>21500000</v>
      </c>
      <c r="J1407">
        <v>200000</v>
      </c>
      <c r="K1407">
        <v>18700000</v>
      </c>
      <c r="L1407">
        <v>8300000</v>
      </c>
      <c r="M1407" t="s">
        <v>34</v>
      </c>
      <c r="N1407">
        <f t="shared" si="127"/>
        <v>1</v>
      </c>
      <c r="O1407" t="str">
        <f t="shared" si="126"/>
        <v>Good</v>
      </c>
      <c r="P1407" t="str">
        <f t="shared" si="128"/>
        <v>High</v>
      </c>
      <c r="Q1407" t="str">
        <f t="shared" si="129"/>
        <v>Low Loan</v>
      </c>
      <c r="R1407">
        <f t="shared" si="130"/>
        <v>48700000</v>
      </c>
      <c r="S1407" t="str">
        <f t="shared" si="131"/>
        <v>Strong</v>
      </c>
    </row>
    <row r="1408" spans="1:19" x14ac:dyDescent="0.25">
      <c r="A1408">
        <v>1407</v>
      </c>
      <c r="B1408">
        <v>4</v>
      </c>
      <c r="C1408" t="s">
        <v>30</v>
      </c>
      <c r="D1408" t="s">
        <v>32</v>
      </c>
      <c r="E1408">
        <v>7900000</v>
      </c>
      <c r="F1408">
        <v>31400000</v>
      </c>
      <c r="G1408">
        <v>8</v>
      </c>
      <c r="H1408">
        <v>698</v>
      </c>
      <c r="I1408">
        <v>16500000</v>
      </c>
      <c r="J1408">
        <v>11400000</v>
      </c>
      <c r="K1408">
        <v>28700000</v>
      </c>
      <c r="L1408">
        <v>5100000</v>
      </c>
      <c r="M1408" t="s">
        <v>34</v>
      </c>
      <c r="N1408">
        <f t="shared" si="127"/>
        <v>1</v>
      </c>
      <c r="O1408" t="str">
        <f t="shared" si="126"/>
        <v>Medium</v>
      </c>
      <c r="P1408" t="str">
        <f t="shared" si="128"/>
        <v>High</v>
      </c>
      <c r="Q1408" t="str">
        <f t="shared" si="129"/>
        <v>High Loan</v>
      </c>
      <c r="R1408">
        <f t="shared" si="130"/>
        <v>61700000</v>
      </c>
      <c r="S1408" t="str">
        <f t="shared" si="131"/>
        <v>Strong</v>
      </c>
    </row>
    <row r="1409" spans="1:19" x14ac:dyDescent="0.25">
      <c r="A1409">
        <v>1408</v>
      </c>
      <c r="B1409">
        <v>2</v>
      </c>
      <c r="C1409" t="s">
        <v>31</v>
      </c>
      <c r="D1409" t="s">
        <v>33</v>
      </c>
      <c r="E1409">
        <v>6100000</v>
      </c>
      <c r="F1409">
        <v>22300000</v>
      </c>
      <c r="G1409">
        <v>10</v>
      </c>
      <c r="H1409">
        <v>733</v>
      </c>
      <c r="I1409">
        <v>12100000</v>
      </c>
      <c r="J1409">
        <v>9700000</v>
      </c>
      <c r="K1409">
        <v>17200000</v>
      </c>
      <c r="L1409">
        <v>5600000</v>
      </c>
      <c r="M1409" t="s">
        <v>34</v>
      </c>
      <c r="N1409">
        <f t="shared" si="127"/>
        <v>1</v>
      </c>
      <c r="O1409" t="str">
        <f t="shared" si="126"/>
        <v>Good</v>
      </c>
      <c r="P1409" t="str">
        <f t="shared" si="128"/>
        <v>High</v>
      </c>
      <c r="Q1409" t="str">
        <f t="shared" si="129"/>
        <v>High Loan</v>
      </c>
      <c r="R1409">
        <f t="shared" si="130"/>
        <v>44600000</v>
      </c>
      <c r="S1409" t="str">
        <f t="shared" si="131"/>
        <v>Strong</v>
      </c>
    </row>
    <row r="1410" spans="1:19" x14ac:dyDescent="0.25">
      <c r="A1410">
        <v>1409</v>
      </c>
      <c r="B1410">
        <v>3</v>
      </c>
      <c r="C1410" t="s">
        <v>31</v>
      </c>
      <c r="D1410" t="s">
        <v>33</v>
      </c>
      <c r="E1410">
        <v>2000000</v>
      </c>
      <c r="F1410">
        <v>4200000</v>
      </c>
      <c r="G1410">
        <v>16</v>
      </c>
      <c r="H1410">
        <v>571</v>
      </c>
      <c r="I1410">
        <v>1700000</v>
      </c>
      <c r="J1410">
        <v>3900000</v>
      </c>
      <c r="K1410">
        <v>5800000</v>
      </c>
      <c r="L1410">
        <v>1300000</v>
      </c>
      <c r="M1410" t="s">
        <v>34</v>
      </c>
      <c r="N1410">
        <f t="shared" si="127"/>
        <v>1</v>
      </c>
      <c r="O1410" t="str">
        <f t="shared" ref="O1410:O1473" si="132">IF(H1410&lt;650,"Low",
 IF(H1410&lt;700,"Medium",
 IF(H1410&lt;750,"Good","Excellent")))</f>
        <v>Low</v>
      </c>
      <c r="P1410" t="str">
        <f t="shared" si="128"/>
        <v>High</v>
      </c>
      <c r="Q1410" t="str">
        <f t="shared" si="129"/>
        <v>Low Loan</v>
      </c>
      <c r="R1410">
        <f t="shared" si="130"/>
        <v>12700000</v>
      </c>
      <c r="S1410" t="str">
        <f t="shared" si="131"/>
        <v>Strong</v>
      </c>
    </row>
    <row r="1411" spans="1:19" x14ac:dyDescent="0.25">
      <c r="A1411">
        <v>1410</v>
      </c>
      <c r="B1411">
        <v>3</v>
      </c>
      <c r="C1411" t="s">
        <v>30</v>
      </c>
      <c r="D1411" t="s">
        <v>33</v>
      </c>
      <c r="E1411">
        <v>9900000</v>
      </c>
      <c r="F1411">
        <v>29900000</v>
      </c>
      <c r="G1411">
        <v>20</v>
      </c>
      <c r="H1411">
        <v>490</v>
      </c>
      <c r="I1411">
        <v>10500000</v>
      </c>
      <c r="J1411">
        <v>9100000</v>
      </c>
      <c r="K1411">
        <v>27100000</v>
      </c>
      <c r="L1411">
        <v>7400000</v>
      </c>
      <c r="M1411" t="s">
        <v>35</v>
      </c>
      <c r="N1411">
        <f t="shared" ref="N1411:N1474" si="133">IF(TRIM(CLEAN(M1411))="Approved",1,0)</f>
        <v>0</v>
      </c>
      <c r="O1411" t="str">
        <f t="shared" si="132"/>
        <v>Low</v>
      </c>
      <c r="P1411" t="str">
        <f t="shared" ref="P1411:P1474" si="134">IF(E1411&lt;300000,"Low",
 IF(E1411&lt;700000,"Middle","High"))</f>
        <v>High</v>
      </c>
      <c r="Q1411" t="str">
        <f t="shared" ref="Q1411:Q1474" si="135">IF(F1411&lt;20000000,"Low Loan","High Loan")</f>
        <v>High Loan</v>
      </c>
      <c r="R1411">
        <f t="shared" ref="R1411:R1474" si="136">I1411+J1411+K1411+L1411</f>
        <v>54100000</v>
      </c>
      <c r="S1411" t="str">
        <f t="shared" ref="S1411:S1474" si="137">IF(R1411&lt;5000000,"Weak",
 IF(R1411&lt;10000000,"Moderate","Strong"))</f>
        <v>Strong</v>
      </c>
    </row>
    <row r="1412" spans="1:19" x14ac:dyDescent="0.25">
      <c r="A1412">
        <v>1411</v>
      </c>
      <c r="B1412">
        <v>2</v>
      </c>
      <c r="C1412" t="s">
        <v>31</v>
      </c>
      <c r="D1412" t="s">
        <v>32</v>
      </c>
      <c r="E1412">
        <v>9500000</v>
      </c>
      <c r="F1412">
        <v>25400000</v>
      </c>
      <c r="G1412">
        <v>16</v>
      </c>
      <c r="H1412">
        <v>451</v>
      </c>
      <c r="I1412">
        <v>19000000</v>
      </c>
      <c r="J1412">
        <v>2900000</v>
      </c>
      <c r="K1412">
        <v>33800000</v>
      </c>
      <c r="L1412">
        <v>11400000</v>
      </c>
      <c r="M1412" t="s">
        <v>35</v>
      </c>
      <c r="N1412">
        <f t="shared" si="133"/>
        <v>0</v>
      </c>
      <c r="O1412" t="str">
        <f t="shared" si="132"/>
        <v>Low</v>
      </c>
      <c r="P1412" t="str">
        <f t="shared" si="134"/>
        <v>High</v>
      </c>
      <c r="Q1412" t="str">
        <f t="shared" si="135"/>
        <v>High Loan</v>
      </c>
      <c r="R1412">
        <f t="shared" si="136"/>
        <v>67100000</v>
      </c>
      <c r="S1412" t="str">
        <f t="shared" si="137"/>
        <v>Strong</v>
      </c>
    </row>
    <row r="1413" spans="1:19" x14ac:dyDescent="0.25">
      <c r="A1413">
        <v>1412</v>
      </c>
      <c r="B1413">
        <v>4</v>
      </c>
      <c r="C1413" t="s">
        <v>30</v>
      </c>
      <c r="D1413" t="s">
        <v>33</v>
      </c>
      <c r="E1413">
        <v>1900000</v>
      </c>
      <c r="F1413">
        <v>6800000</v>
      </c>
      <c r="G1413">
        <v>6</v>
      </c>
      <c r="H1413">
        <v>559</v>
      </c>
      <c r="I1413">
        <v>3600000</v>
      </c>
      <c r="J1413">
        <v>2200000</v>
      </c>
      <c r="K1413">
        <v>6200000</v>
      </c>
      <c r="L1413">
        <v>1200000</v>
      </c>
      <c r="M1413" t="s">
        <v>34</v>
      </c>
      <c r="N1413">
        <f t="shared" si="133"/>
        <v>1</v>
      </c>
      <c r="O1413" t="str">
        <f t="shared" si="132"/>
        <v>Low</v>
      </c>
      <c r="P1413" t="str">
        <f t="shared" si="134"/>
        <v>High</v>
      </c>
      <c r="Q1413" t="str">
        <f t="shared" si="135"/>
        <v>Low Loan</v>
      </c>
      <c r="R1413">
        <f t="shared" si="136"/>
        <v>13200000</v>
      </c>
      <c r="S1413" t="str">
        <f t="shared" si="137"/>
        <v>Strong</v>
      </c>
    </row>
    <row r="1414" spans="1:19" x14ac:dyDescent="0.25">
      <c r="A1414">
        <v>1413</v>
      </c>
      <c r="B1414">
        <v>4</v>
      </c>
      <c r="C1414" t="s">
        <v>30</v>
      </c>
      <c r="D1414" t="s">
        <v>33</v>
      </c>
      <c r="E1414">
        <v>6900000</v>
      </c>
      <c r="F1414">
        <v>21400000</v>
      </c>
      <c r="G1414">
        <v>10</v>
      </c>
      <c r="H1414">
        <v>577</v>
      </c>
      <c r="I1414">
        <v>12500000</v>
      </c>
      <c r="J1414">
        <v>2200000</v>
      </c>
      <c r="K1414">
        <v>14900000</v>
      </c>
      <c r="L1414">
        <v>6300000</v>
      </c>
      <c r="M1414" t="s">
        <v>34</v>
      </c>
      <c r="N1414">
        <f t="shared" si="133"/>
        <v>1</v>
      </c>
      <c r="O1414" t="str">
        <f t="shared" si="132"/>
        <v>Low</v>
      </c>
      <c r="P1414" t="str">
        <f t="shared" si="134"/>
        <v>High</v>
      </c>
      <c r="Q1414" t="str">
        <f t="shared" si="135"/>
        <v>High Loan</v>
      </c>
      <c r="R1414">
        <f t="shared" si="136"/>
        <v>35900000</v>
      </c>
      <c r="S1414" t="str">
        <f t="shared" si="137"/>
        <v>Strong</v>
      </c>
    </row>
    <row r="1415" spans="1:19" x14ac:dyDescent="0.25">
      <c r="A1415">
        <v>1414</v>
      </c>
      <c r="B1415">
        <v>2</v>
      </c>
      <c r="C1415" t="s">
        <v>31</v>
      </c>
      <c r="D1415" t="s">
        <v>33</v>
      </c>
      <c r="E1415">
        <v>1500000</v>
      </c>
      <c r="F1415">
        <v>5000000</v>
      </c>
      <c r="G1415">
        <v>4</v>
      </c>
      <c r="H1415">
        <v>613</v>
      </c>
      <c r="I1415">
        <v>4400000</v>
      </c>
      <c r="J1415">
        <v>1300000</v>
      </c>
      <c r="K1415">
        <v>5200000</v>
      </c>
      <c r="L1415">
        <v>2100000</v>
      </c>
      <c r="M1415" t="s">
        <v>34</v>
      </c>
      <c r="N1415">
        <f t="shared" si="133"/>
        <v>1</v>
      </c>
      <c r="O1415" t="str">
        <f t="shared" si="132"/>
        <v>Low</v>
      </c>
      <c r="P1415" t="str">
        <f t="shared" si="134"/>
        <v>High</v>
      </c>
      <c r="Q1415" t="str">
        <f t="shared" si="135"/>
        <v>Low Loan</v>
      </c>
      <c r="R1415">
        <f t="shared" si="136"/>
        <v>13000000</v>
      </c>
      <c r="S1415" t="str">
        <f t="shared" si="137"/>
        <v>Strong</v>
      </c>
    </row>
    <row r="1416" spans="1:19" x14ac:dyDescent="0.25">
      <c r="A1416">
        <v>1415</v>
      </c>
      <c r="B1416">
        <v>4</v>
      </c>
      <c r="C1416" t="s">
        <v>31</v>
      </c>
      <c r="D1416" t="s">
        <v>32</v>
      </c>
      <c r="E1416">
        <v>1900000</v>
      </c>
      <c r="F1416">
        <v>3800000</v>
      </c>
      <c r="G1416">
        <v>20</v>
      </c>
      <c r="H1416">
        <v>785</v>
      </c>
      <c r="I1416">
        <v>1000000</v>
      </c>
      <c r="J1416">
        <v>600000</v>
      </c>
      <c r="K1416">
        <v>6100000</v>
      </c>
      <c r="L1416">
        <v>1500000</v>
      </c>
      <c r="M1416" t="s">
        <v>34</v>
      </c>
      <c r="N1416">
        <f t="shared" si="133"/>
        <v>1</v>
      </c>
      <c r="O1416" t="str">
        <f t="shared" si="132"/>
        <v>Excellent</v>
      </c>
      <c r="P1416" t="str">
        <f t="shared" si="134"/>
        <v>High</v>
      </c>
      <c r="Q1416" t="str">
        <f t="shared" si="135"/>
        <v>Low Loan</v>
      </c>
      <c r="R1416">
        <f t="shared" si="136"/>
        <v>9200000</v>
      </c>
      <c r="S1416" t="str">
        <f t="shared" si="137"/>
        <v>Moderate</v>
      </c>
    </row>
    <row r="1417" spans="1:19" x14ac:dyDescent="0.25">
      <c r="A1417">
        <v>1416</v>
      </c>
      <c r="B1417">
        <v>0</v>
      </c>
      <c r="C1417" t="s">
        <v>30</v>
      </c>
      <c r="D1417" t="s">
        <v>33</v>
      </c>
      <c r="E1417">
        <v>2300000</v>
      </c>
      <c r="F1417">
        <v>6000000</v>
      </c>
      <c r="G1417">
        <v>8</v>
      </c>
      <c r="H1417">
        <v>690</v>
      </c>
      <c r="I1417">
        <v>5500000</v>
      </c>
      <c r="J1417">
        <v>2900000</v>
      </c>
      <c r="K1417">
        <v>6000000</v>
      </c>
      <c r="L1417">
        <v>2000000</v>
      </c>
      <c r="M1417" t="s">
        <v>34</v>
      </c>
      <c r="N1417">
        <f t="shared" si="133"/>
        <v>1</v>
      </c>
      <c r="O1417" t="str">
        <f t="shared" si="132"/>
        <v>Medium</v>
      </c>
      <c r="P1417" t="str">
        <f t="shared" si="134"/>
        <v>High</v>
      </c>
      <c r="Q1417" t="str">
        <f t="shared" si="135"/>
        <v>Low Loan</v>
      </c>
      <c r="R1417">
        <f t="shared" si="136"/>
        <v>16400000</v>
      </c>
      <c r="S1417" t="str">
        <f t="shared" si="137"/>
        <v>Strong</v>
      </c>
    </row>
    <row r="1418" spans="1:19" x14ac:dyDescent="0.25">
      <c r="A1418">
        <v>1417</v>
      </c>
      <c r="B1418">
        <v>2</v>
      </c>
      <c r="C1418" t="s">
        <v>31</v>
      </c>
      <c r="D1418" t="s">
        <v>32</v>
      </c>
      <c r="E1418">
        <v>7800000</v>
      </c>
      <c r="F1418">
        <v>17100000</v>
      </c>
      <c r="G1418">
        <v>14</v>
      </c>
      <c r="H1418">
        <v>351</v>
      </c>
      <c r="I1418">
        <v>19000000</v>
      </c>
      <c r="J1418">
        <v>7200000</v>
      </c>
      <c r="K1418">
        <v>19300000</v>
      </c>
      <c r="L1418">
        <v>7100000</v>
      </c>
      <c r="M1418" t="s">
        <v>35</v>
      </c>
      <c r="N1418">
        <f t="shared" si="133"/>
        <v>0</v>
      </c>
      <c r="O1418" t="str">
        <f t="shared" si="132"/>
        <v>Low</v>
      </c>
      <c r="P1418" t="str">
        <f t="shared" si="134"/>
        <v>High</v>
      </c>
      <c r="Q1418" t="str">
        <f t="shared" si="135"/>
        <v>Low Loan</v>
      </c>
      <c r="R1418">
        <f t="shared" si="136"/>
        <v>52600000</v>
      </c>
      <c r="S1418" t="str">
        <f t="shared" si="137"/>
        <v>Strong</v>
      </c>
    </row>
    <row r="1419" spans="1:19" x14ac:dyDescent="0.25">
      <c r="A1419">
        <v>1418</v>
      </c>
      <c r="B1419">
        <v>4</v>
      </c>
      <c r="C1419" t="s">
        <v>31</v>
      </c>
      <c r="D1419" t="s">
        <v>32</v>
      </c>
      <c r="E1419">
        <v>400000</v>
      </c>
      <c r="F1419">
        <v>1000000</v>
      </c>
      <c r="G1419">
        <v>10</v>
      </c>
      <c r="H1419">
        <v>447</v>
      </c>
      <c r="I1419">
        <v>0</v>
      </c>
      <c r="J1419">
        <v>300000</v>
      </c>
      <c r="K1419">
        <v>900000</v>
      </c>
      <c r="L1419">
        <v>300000</v>
      </c>
      <c r="M1419" t="s">
        <v>35</v>
      </c>
      <c r="N1419">
        <f t="shared" si="133"/>
        <v>0</v>
      </c>
      <c r="O1419" t="str">
        <f t="shared" si="132"/>
        <v>Low</v>
      </c>
      <c r="P1419" t="str">
        <f t="shared" si="134"/>
        <v>Middle</v>
      </c>
      <c r="Q1419" t="str">
        <f t="shared" si="135"/>
        <v>Low Loan</v>
      </c>
      <c r="R1419">
        <f t="shared" si="136"/>
        <v>1500000</v>
      </c>
      <c r="S1419" t="str">
        <f t="shared" si="137"/>
        <v>Weak</v>
      </c>
    </row>
    <row r="1420" spans="1:19" x14ac:dyDescent="0.25">
      <c r="A1420">
        <v>1419</v>
      </c>
      <c r="B1420">
        <v>0</v>
      </c>
      <c r="C1420" t="s">
        <v>30</v>
      </c>
      <c r="D1420" t="s">
        <v>33</v>
      </c>
      <c r="E1420">
        <v>9400000</v>
      </c>
      <c r="F1420">
        <v>19200000</v>
      </c>
      <c r="G1420">
        <v>20</v>
      </c>
      <c r="H1420">
        <v>708</v>
      </c>
      <c r="I1420">
        <v>21200000</v>
      </c>
      <c r="J1420">
        <v>16300000</v>
      </c>
      <c r="K1420">
        <v>23400000</v>
      </c>
      <c r="L1420">
        <v>13200000</v>
      </c>
      <c r="M1420" t="s">
        <v>34</v>
      </c>
      <c r="N1420">
        <f t="shared" si="133"/>
        <v>1</v>
      </c>
      <c r="O1420" t="str">
        <f t="shared" si="132"/>
        <v>Good</v>
      </c>
      <c r="P1420" t="str">
        <f t="shared" si="134"/>
        <v>High</v>
      </c>
      <c r="Q1420" t="str">
        <f t="shared" si="135"/>
        <v>Low Loan</v>
      </c>
      <c r="R1420">
        <f t="shared" si="136"/>
        <v>74100000</v>
      </c>
      <c r="S1420" t="str">
        <f t="shared" si="137"/>
        <v>Strong</v>
      </c>
    </row>
    <row r="1421" spans="1:19" x14ac:dyDescent="0.25">
      <c r="A1421">
        <v>1420</v>
      </c>
      <c r="B1421">
        <v>2</v>
      </c>
      <c r="C1421" t="s">
        <v>30</v>
      </c>
      <c r="D1421" t="s">
        <v>32</v>
      </c>
      <c r="E1421">
        <v>9100000</v>
      </c>
      <c r="F1421">
        <v>21700000</v>
      </c>
      <c r="G1421">
        <v>12</v>
      </c>
      <c r="H1421">
        <v>549</v>
      </c>
      <c r="I1421">
        <v>25500000</v>
      </c>
      <c r="J1421">
        <v>11000000</v>
      </c>
      <c r="K1421">
        <v>34700000</v>
      </c>
      <c r="L1421">
        <v>12200000</v>
      </c>
      <c r="M1421" t="s">
        <v>35</v>
      </c>
      <c r="N1421">
        <f t="shared" si="133"/>
        <v>0</v>
      </c>
      <c r="O1421" t="str">
        <f t="shared" si="132"/>
        <v>Low</v>
      </c>
      <c r="P1421" t="str">
        <f t="shared" si="134"/>
        <v>High</v>
      </c>
      <c r="Q1421" t="str">
        <f t="shared" si="135"/>
        <v>High Loan</v>
      </c>
      <c r="R1421">
        <f t="shared" si="136"/>
        <v>83400000</v>
      </c>
      <c r="S1421" t="str">
        <f t="shared" si="137"/>
        <v>Strong</v>
      </c>
    </row>
    <row r="1422" spans="1:19" x14ac:dyDescent="0.25">
      <c r="A1422">
        <v>1421</v>
      </c>
      <c r="B1422">
        <v>1</v>
      </c>
      <c r="C1422" t="s">
        <v>30</v>
      </c>
      <c r="D1422" t="s">
        <v>33</v>
      </c>
      <c r="E1422">
        <v>9000000</v>
      </c>
      <c r="F1422">
        <v>18800000</v>
      </c>
      <c r="G1422">
        <v>8</v>
      </c>
      <c r="H1422">
        <v>797</v>
      </c>
      <c r="I1422">
        <v>4100000</v>
      </c>
      <c r="J1422">
        <v>9400000</v>
      </c>
      <c r="K1422">
        <v>22900000</v>
      </c>
      <c r="L1422">
        <v>7500000</v>
      </c>
      <c r="M1422" t="s">
        <v>34</v>
      </c>
      <c r="N1422">
        <f t="shared" si="133"/>
        <v>1</v>
      </c>
      <c r="O1422" t="str">
        <f t="shared" si="132"/>
        <v>Excellent</v>
      </c>
      <c r="P1422" t="str">
        <f t="shared" si="134"/>
        <v>High</v>
      </c>
      <c r="Q1422" t="str">
        <f t="shared" si="135"/>
        <v>Low Loan</v>
      </c>
      <c r="R1422">
        <f t="shared" si="136"/>
        <v>43900000</v>
      </c>
      <c r="S1422" t="str">
        <f t="shared" si="137"/>
        <v>Strong</v>
      </c>
    </row>
    <row r="1423" spans="1:19" x14ac:dyDescent="0.25">
      <c r="A1423">
        <v>1422</v>
      </c>
      <c r="B1423">
        <v>4</v>
      </c>
      <c r="C1423" t="s">
        <v>31</v>
      </c>
      <c r="D1423" t="s">
        <v>32</v>
      </c>
      <c r="E1423">
        <v>7100000</v>
      </c>
      <c r="F1423">
        <v>14300000</v>
      </c>
      <c r="G1423">
        <v>14</v>
      </c>
      <c r="H1423">
        <v>537</v>
      </c>
      <c r="I1423">
        <v>13700000</v>
      </c>
      <c r="J1423">
        <v>10400000</v>
      </c>
      <c r="K1423">
        <v>18200000</v>
      </c>
      <c r="L1423">
        <v>6100000</v>
      </c>
      <c r="M1423" t="s">
        <v>35</v>
      </c>
      <c r="N1423">
        <f t="shared" si="133"/>
        <v>0</v>
      </c>
      <c r="O1423" t="str">
        <f t="shared" si="132"/>
        <v>Low</v>
      </c>
      <c r="P1423" t="str">
        <f t="shared" si="134"/>
        <v>High</v>
      </c>
      <c r="Q1423" t="str">
        <f t="shared" si="135"/>
        <v>Low Loan</v>
      </c>
      <c r="R1423">
        <f t="shared" si="136"/>
        <v>48400000</v>
      </c>
      <c r="S1423" t="str">
        <f t="shared" si="137"/>
        <v>Strong</v>
      </c>
    </row>
    <row r="1424" spans="1:19" x14ac:dyDescent="0.25">
      <c r="A1424">
        <v>1423</v>
      </c>
      <c r="B1424">
        <v>3</v>
      </c>
      <c r="C1424" t="s">
        <v>30</v>
      </c>
      <c r="D1424" t="s">
        <v>32</v>
      </c>
      <c r="E1424">
        <v>800000</v>
      </c>
      <c r="F1424">
        <v>2500000</v>
      </c>
      <c r="G1424">
        <v>12</v>
      </c>
      <c r="H1424">
        <v>828</v>
      </c>
      <c r="I1424">
        <v>1700000</v>
      </c>
      <c r="J1424">
        <v>0</v>
      </c>
      <c r="K1424">
        <v>1500000</v>
      </c>
      <c r="L1424">
        <v>700000</v>
      </c>
      <c r="M1424" t="s">
        <v>34</v>
      </c>
      <c r="N1424">
        <f t="shared" si="133"/>
        <v>1</v>
      </c>
      <c r="O1424" t="str">
        <f t="shared" si="132"/>
        <v>Excellent</v>
      </c>
      <c r="P1424" t="str">
        <f t="shared" si="134"/>
        <v>High</v>
      </c>
      <c r="Q1424" t="str">
        <f t="shared" si="135"/>
        <v>Low Loan</v>
      </c>
      <c r="R1424">
        <f t="shared" si="136"/>
        <v>3900000</v>
      </c>
      <c r="S1424" t="str">
        <f t="shared" si="137"/>
        <v>Weak</v>
      </c>
    </row>
    <row r="1425" spans="1:19" x14ac:dyDescent="0.25">
      <c r="A1425">
        <v>1424</v>
      </c>
      <c r="B1425">
        <v>0</v>
      </c>
      <c r="C1425" t="s">
        <v>30</v>
      </c>
      <c r="D1425" t="s">
        <v>33</v>
      </c>
      <c r="E1425">
        <v>4500000</v>
      </c>
      <c r="F1425">
        <v>9600000</v>
      </c>
      <c r="G1425">
        <v>14</v>
      </c>
      <c r="H1425">
        <v>471</v>
      </c>
      <c r="I1425">
        <v>3200000</v>
      </c>
      <c r="J1425">
        <v>7700000</v>
      </c>
      <c r="K1425">
        <v>11000000</v>
      </c>
      <c r="L1425">
        <v>3600000</v>
      </c>
      <c r="M1425" t="s">
        <v>35</v>
      </c>
      <c r="N1425">
        <f t="shared" si="133"/>
        <v>0</v>
      </c>
      <c r="O1425" t="str">
        <f t="shared" si="132"/>
        <v>Low</v>
      </c>
      <c r="P1425" t="str">
        <f t="shared" si="134"/>
        <v>High</v>
      </c>
      <c r="Q1425" t="str">
        <f t="shared" si="135"/>
        <v>Low Loan</v>
      </c>
      <c r="R1425">
        <f t="shared" si="136"/>
        <v>25500000</v>
      </c>
      <c r="S1425" t="str">
        <f t="shared" si="137"/>
        <v>Strong</v>
      </c>
    </row>
    <row r="1426" spans="1:19" x14ac:dyDescent="0.25">
      <c r="A1426">
        <v>1425</v>
      </c>
      <c r="B1426">
        <v>5</v>
      </c>
      <c r="C1426" t="s">
        <v>30</v>
      </c>
      <c r="D1426" t="s">
        <v>32</v>
      </c>
      <c r="E1426">
        <v>8500000</v>
      </c>
      <c r="F1426">
        <v>25400000</v>
      </c>
      <c r="G1426">
        <v>4</v>
      </c>
      <c r="H1426">
        <v>336</v>
      </c>
      <c r="I1426">
        <v>8500000</v>
      </c>
      <c r="J1426">
        <v>1200000</v>
      </c>
      <c r="K1426">
        <v>30600000</v>
      </c>
      <c r="L1426">
        <v>9000000</v>
      </c>
      <c r="M1426" t="s">
        <v>35</v>
      </c>
      <c r="N1426">
        <f t="shared" si="133"/>
        <v>0</v>
      </c>
      <c r="O1426" t="str">
        <f t="shared" si="132"/>
        <v>Low</v>
      </c>
      <c r="P1426" t="str">
        <f t="shared" si="134"/>
        <v>High</v>
      </c>
      <c r="Q1426" t="str">
        <f t="shared" si="135"/>
        <v>High Loan</v>
      </c>
      <c r="R1426">
        <f t="shared" si="136"/>
        <v>49300000</v>
      </c>
      <c r="S1426" t="str">
        <f t="shared" si="137"/>
        <v>Strong</v>
      </c>
    </row>
    <row r="1427" spans="1:19" x14ac:dyDescent="0.25">
      <c r="A1427">
        <v>1426</v>
      </c>
      <c r="B1427">
        <v>3</v>
      </c>
      <c r="C1427" t="s">
        <v>31</v>
      </c>
      <c r="D1427" t="s">
        <v>33</v>
      </c>
      <c r="E1427">
        <v>2500000</v>
      </c>
      <c r="F1427">
        <v>9800000</v>
      </c>
      <c r="G1427">
        <v>16</v>
      </c>
      <c r="H1427">
        <v>424</v>
      </c>
      <c r="I1427">
        <v>4700000</v>
      </c>
      <c r="J1427">
        <v>3200000</v>
      </c>
      <c r="K1427">
        <v>5800000</v>
      </c>
      <c r="L1427">
        <v>1300000</v>
      </c>
      <c r="M1427" t="s">
        <v>35</v>
      </c>
      <c r="N1427">
        <f t="shared" si="133"/>
        <v>0</v>
      </c>
      <c r="O1427" t="str">
        <f t="shared" si="132"/>
        <v>Low</v>
      </c>
      <c r="P1427" t="str">
        <f t="shared" si="134"/>
        <v>High</v>
      </c>
      <c r="Q1427" t="str">
        <f t="shared" si="135"/>
        <v>Low Loan</v>
      </c>
      <c r="R1427">
        <f t="shared" si="136"/>
        <v>15000000</v>
      </c>
      <c r="S1427" t="str">
        <f t="shared" si="137"/>
        <v>Strong</v>
      </c>
    </row>
    <row r="1428" spans="1:19" x14ac:dyDescent="0.25">
      <c r="A1428">
        <v>1427</v>
      </c>
      <c r="B1428">
        <v>2</v>
      </c>
      <c r="C1428" t="s">
        <v>30</v>
      </c>
      <c r="D1428" t="s">
        <v>32</v>
      </c>
      <c r="E1428">
        <v>1500000</v>
      </c>
      <c r="F1428">
        <v>3300000</v>
      </c>
      <c r="G1428">
        <v>18</v>
      </c>
      <c r="H1428">
        <v>440</v>
      </c>
      <c r="I1428">
        <v>800000</v>
      </c>
      <c r="J1428">
        <v>2300000</v>
      </c>
      <c r="K1428">
        <v>3000000</v>
      </c>
      <c r="L1428">
        <v>1800000</v>
      </c>
      <c r="M1428" t="s">
        <v>35</v>
      </c>
      <c r="N1428">
        <f t="shared" si="133"/>
        <v>0</v>
      </c>
      <c r="O1428" t="str">
        <f t="shared" si="132"/>
        <v>Low</v>
      </c>
      <c r="P1428" t="str">
        <f t="shared" si="134"/>
        <v>High</v>
      </c>
      <c r="Q1428" t="str">
        <f t="shared" si="135"/>
        <v>Low Loan</v>
      </c>
      <c r="R1428">
        <f t="shared" si="136"/>
        <v>7900000</v>
      </c>
      <c r="S1428" t="str">
        <f t="shared" si="137"/>
        <v>Moderate</v>
      </c>
    </row>
    <row r="1429" spans="1:19" x14ac:dyDescent="0.25">
      <c r="A1429">
        <v>1428</v>
      </c>
      <c r="B1429">
        <v>0</v>
      </c>
      <c r="C1429" t="s">
        <v>31</v>
      </c>
      <c r="D1429" t="s">
        <v>32</v>
      </c>
      <c r="E1429">
        <v>6200000</v>
      </c>
      <c r="F1429">
        <v>17300000</v>
      </c>
      <c r="G1429">
        <v>8</v>
      </c>
      <c r="H1429">
        <v>583</v>
      </c>
      <c r="I1429">
        <v>3700000</v>
      </c>
      <c r="J1429">
        <v>3900000</v>
      </c>
      <c r="K1429">
        <v>13600000</v>
      </c>
      <c r="L1429">
        <v>3300000</v>
      </c>
      <c r="M1429" t="s">
        <v>34</v>
      </c>
      <c r="N1429">
        <f t="shared" si="133"/>
        <v>1</v>
      </c>
      <c r="O1429" t="str">
        <f t="shared" si="132"/>
        <v>Low</v>
      </c>
      <c r="P1429" t="str">
        <f t="shared" si="134"/>
        <v>High</v>
      </c>
      <c r="Q1429" t="str">
        <f t="shared" si="135"/>
        <v>Low Loan</v>
      </c>
      <c r="R1429">
        <f t="shared" si="136"/>
        <v>24500000</v>
      </c>
      <c r="S1429" t="str">
        <f t="shared" si="137"/>
        <v>Strong</v>
      </c>
    </row>
    <row r="1430" spans="1:19" x14ac:dyDescent="0.25">
      <c r="A1430">
        <v>1429</v>
      </c>
      <c r="B1430">
        <v>1</v>
      </c>
      <c r="C1430" t="s">
        <v>31</v>
      </c>
      <c r="D1430" t="s">
        <v>33</v>
      </c>
      <c r="E1430">
        <v>1300000</v>
      </c>
      <c r="F1430">
        <v>2900000</v>
      </c>
      <c r="G1430">
        <v>6</v>
      </c>
      <c r="H1430">
        <v>480</v>
      </c>
      <c r="I1430">
        <v>2900000</v>
      </c>
      <c r="J1430">
        <v>300000</v>
      </c>
      <c r="K1430">
        <v>2900000</v>
      </c>
      <c r="L1430">
        <v>1400000</v>
      </c>
      <c r="M1430" t="s">
        <v>35</v>
      </c>
      <c r="N1430">
        <f t="shared" si="133"/>
        <v>0</v>
      </c>
      <c r="O1430" t="str">
        <f t="shared" si="132"/>
        <v>Low</v>
      </c>
      <c r="P1430" t="str">
        <f t="shared" si="134"/>
        <v>High</v>
      </c>
      <c r="Q1430" t="str">
        <f t="shared" si="135"/>
        <v>Low Loan</v>
      </c>
      <c r="R1430">
        <f t="shared" si="136"/>
        <v>7500000</v>
      </c>
      <c r="S1430" t="str">
        <f t="shared" si="137"/>
        <v>Moderate</v>
      </c>
    </row>
    <row r="1431" spans="1:19" x14ac:dyDescent="0.25">
      <c r="A1431">
        <v>1430</v>
      </c>
      <c r="B1431">
        <v>5</v>
      </c>
      <c r="C1431" t="s">
        <v>31</v>
      </c>
      <c r="D1431" t="s">
        <v>32</v>
      </c>
      <c r="E1431">
        <v>6600000</v>
      </c>
      <c r="F1431">
        <v>25800000</v>
      </c>
      <c r="G1431">
        <v>10</v>
      </c>
      <c r="H1431">
        <v>670</v>
      </c>
      <c r="I1431">
        <v>4600000</v>
      </c>
      <c r="J1431">
        <v>7200000</v>
      </c>
      <c r="K1431">
        <v>20600000</v>
      </c>
      <c r="L1431">
        <v>8500000</v>
      </c>
      <c r="M1431" t="s">
        <v>34</v>
      </c>
      <c r="N1431">
        <f t="shared" si="133"/>
        <v>1</v>
      </c>
      <c r="O1431" t="str">
        <f t="shared" si="132"/>
        <v>Medium</v>
      </c>
      <c r="P1431" t="str">
        <f t="shared" si="134"/>
        <v>High</v>
      </c>
      <c r="Q1431" t="str">
        <f t="shared" si="135"/>
        <v>High Loan</v>
      </c>
      <c r="R1431">
        <f t="shared" si="136"/>
        <v>40900000</v>
      </c>
      <c r="S1431" t="str">
        <f t="shared" si="137"/>
        <v>Strong</v>
      </c>
    </row>
    <row r="1432" spans="1:19" x14ac:dyDescent="0.25">
      <c r="A1432">
        <v>1431</v>
      </c>
      <c r="B1432">
        <v>0</v>
      </c>
      <c r="C1432" t="s">
        <v>30</v>
      </c>
      <c r="D1432" t="s">
        <v>33</v>
      </c>
      <c r="E1432">
        <v>5300000</v>
      </c>
      <c r="F1432">
        <v>13700000</v>
      </c>
      <c r="G1432">
        <v>6</v>
      </c>
      <c r="H1432">
        <v>329</v>
      </c>
      <c r="I1432">
        <v>8800000</v>
      </c>
      <c r="J1432">
        <v>7600000</v>
      </c>
      <c r="K1432">
        <v>11200000</v>
      </c>
      <c r="L1432">
        <v>2800000</v>
      </c>
      <c r="M1432" t="s">
        <v>35</v>
      </c>
      <c r="N1432">
        <f t="shared" si="133"/>
        <v>0</v>
      </c>
      <c r="O1432" t="str">
        <f t="shared" si="132"/>
        <v>Low</v>
      </c>
      <c r="P1432" t="str">
        <f t="shared" si="134"/>
        <v>High</v>
      </c>
      <c r="Q1432" t="str">
        <f t="shared" si="135"/>
        <v>Low Loan</v>
      </c>
      <c r="R1432">
        <f t="shared" si="136"/>
        <v>30400000</v>
      </c>
      <c r="S1432" t="str">
        <f t="shared" si="137"/>
        <v>Strong</v>
      </c>
    </row>
    <row r="1433" spans="1:19" x14ac:dyDescent="0.25">
      <c r="A1433">
        <v>1432</v>
      </c>
      <c r="B1433">
        <v>5</v>
      </c>
      <c r="C1433" t="s">
        <v>31</v>
      </c>
      <c r="D1433" t="s">
        <v>32</v>
      </c>
      <c r="E1433">
        <v>1400000</v>
      </c>
      <c r="F1433">
        <v>3000000</v>
      </c>
      <c r="G1433">
        <v>6</v>
      </c>
      <c r="H1433">
        <v>754</v>
      </c>
      <c r="I1433">
        <v>3500000</v>
      </c>
      <c r="J1433">
        <v>2700000</v>
      </c>
      <c r="K1433">
        <v>5300000</v>
      </c>
      <c r="L1433">
        <v>1400000</v>
      </c>
      <c r="M1433" t="s">
        <v>34</v>
      </c>
      <c r="N1433">
        <f t="shared" si="133"/>
        <v>1</v>
      </c>
      <c r="O1433" t="str">
        <f t="shared" si="132"/>
        <v>Excellent</v>
      </c>
      <c r="P1433" t="str">
        <f t="shared" si="134"/>
        <v>High</v>
      </c>
      <c r="Q1433" t="str">
        <f t="shared" si="135"/>
        <v>Low Loan</v>
      </c>
      <c r="R1433">
        <f t="shared" si="136"/>
        <v>12900000</v>
      </c>
      <c r="S1433" t="str">
        <f t="shared" si="137"/>
        <v>Strong</v>
      </c>
    </row>
    <row r="1434" spans="1:19" x14ac:dyDescent="0.25">
      <c r="A1434">
        <v>1433</v>
      </c>
      <c r="B1434">
        <v>2</v>
      </c>
      <c r="C1434" t="s">
        <v>31</v>
      </c>
      <c r="D1434" t="s">
        <v>33</v>
      </c>
      <c r="E1434">
        <v>2900000</v>
      </c>
      <c r="F1434">
        <v>7800000</v>
      </c>
      <c r="G1434">
        <v>18</v>
      </c>
      <c r="H1434">
        <v>588</v>
      </c>
      <c r="I1434">
        <v>400000</v>
      </c>
      <c r="J1434">
        <v>100000</v>
      </c>
      <c r="K1434">
        <v>11600000</v>
      </c>
      <c r="L1434">
        <v>4200000</v>
      </c>
      <c r="M1434" t="s">
        <v>34</v>
      </c>
      <c r="N1434">
        <f t="shared" si="133"/>
        <v>1</v>
      </c>
      <c r="O1434" t="str">
        <f t="shared" si="132"/>
        <v>Low</v>
      </c>
      <c r="P1434" t="str">
        <f t="shared" si="134"/>
        <v>High</v>
      </c>
      <c r="Q1434" t="str">
        <f t="shared" si="135"/>
        <v>Low Loan</v>
      </c>
      <c r="R1434">
        <f t="shared" si="136"/>
        <v>16300000</v>
      </c>
      <c r="S1434" t="str">
        <f t="shared" si="137"/>
        <v>Strong</v>
      </c>
    </row>
    <row r="1435" spans="1:19" x14ac:dyDescent="0.25">
      <c r="A1435">
        <v>1434</v>
      </c>
      <c r="B1435">
        <v>3</v>
      </c>
      <c r="C1435" t="s">
        <v>31</v>
      </c>
      <c r="D1435" t="s">
        <v>32</v>
      </c>
      <c r="E1435">
        <v>6500000</v>
      </c>
      <c r="F1435">
        <v>16500000</v>
      </c>
      <c r="G1435">
        <v>4</v>
      </c>
      <c r="H1435">
        <v>551</v>
      </c>
      <c r="I1435">
        <v>5300000</v>
      </c>
      <c r="J1435">
        <v>800000</v>
      </c>
      <c r="K1435">
        <v>18500000</v>
      </c>
      <c r="L1435">
        <v>7600000</v>
      </c>
      <c r="M1435" t="s">
        <v>34</v>
      </c>
      <c r="N1435">
        <f t="shared" si="133"/>
        <v>1</v>
      </c>
      <c r="O1435" t="str">
        <f t="shared" si="132"/>
        <v>Low</v>
      </c>
      <c r="P1435" t="str">
        <f t="shared" si="134"/>
        <v>High</v>
      </c>
      <c r="Q1435" t="str">
        <f t="shared" si="135"/>
        <v>Low Loan</v>
      </c>
      <c r="R1435">
        <f t="shared" si="136"/>
        <v>32200000</v>
      </c>
      <c r="S1435" t="str">
        <f t="shared" si="137"/>
        <v>Strong</v>
      </c>
    </row>
    <row r="1436" spans="1:19" x14ac:dyDescent="0.25">
      <c r="A1436">
        <v>1435</v>
      </c>
      <c r="B1436">
        <v>3</v>
      </c>
      <c r="C1436" t="s">
        <v>30</v>
      </c>
      <c r="D1436" t="s">
        <v>32</v>
      </c>
      <c r="E1436">
        <v>8300000</v>
      </c>
      <c r="F1436">
        <v>18900000</v>
      </c>
      <c r="G1436">
        <v>4</v>
      </c>
      <c r="H1436">
        <v>316</v>
      </c>
      <c r="I1436">
        <v>20200000</v>
      </c>
      <c r="J1436">
        <v>9700000</v>
      </c>
      <c r="K1436">
        <v>21300000</v>
      </c>
      <c r="L1436">
        <v>8200000</v>
      </c>
      <c r="M1436" t="s">
        <v>35</v>
      </c>
      <c r="N1436">
        <f t="shared" si="133"/>
        <v>0</v>
      </c>
      <c r="O1436" t="str">
        <f t="shared" si="132"/>
        <v>Low</v>
      </c>
      <c r="P1436" t="str">
        <f t="shared" si="134"/>
        <v>High</v>
      </c>
      <c r="Q1436" t="str">
        <f t="shared" si="135"/>
        <v>Low Loan</v>
      </c>
      <c r="R1436">
        <f t="shared" si="136"/>
        <v>59400000</v>
      </c>
      <c r="S1436" t="str">
        <f t="shared" si="137"/>
        <v>Strong</v>
      </c>
    </row>
    <row r="1437" spans="1:19" x14ac:dyDescent="0.25">
      <c r="A1437">
        <v>1436</v>
      </c>
      <c r="B1437">
        <v>2</v>
      </c>
      <c r="C1437" t="s">
        <v>31</v>
      </c>
      <c r="D1437" t="s">
        <v>33</v>
      </c>
      <c r="E1437">
        <v>8900000</v>
      </c>
      <c r="F1437">
        <v>32200000</v>
      </c>
      <c r="G1437">
        <v>12</v>
      </c>
      <c r="H1437">
        <v>382</v>
      </c>
      <c r="I1437">
        <v>0</v>
      </c>
      <c r="J1437">
        <v>11300000</v>
      </c>
      <c r="K1437">
        <v>20500000</v>
      </c>
      <c r="L1437">
        <v>5400000</v>
      </c>
      <c r="M1437" t="s">
        <v>35</v>
      </c>
      <c r="N1437">
        <f t="shared" si="133"/>
        <v>0</v>
      </c>
      <c r="O1437" t="str">
        <f t="shared" si="132"/>
        <v>Low</v>
      </c>
      <c r="P1437" t="str">
        <f t="shared" si="134"/>
        <v>High</v>
      </c>
      <c r="Q1437" t="str">
        <f t="shared" si="135"/>
        <v>High Loan</v>
      </c>
      <c r="R1437">
        <f t="shared" si="136"/>
        <v>37200000</v>
      </c>
      <c r="S1437" t="str">
        <f t="shared" si="137"/>
        <v>Strong</v>
      </c>
    </row>
    <row r="1438" spans="1:19" x14ac:dyDescent="0.25">
      <c r="A1438">
        <v>1437</v>
      </c>
      <c r="B1438">
        <v>3</v>
      </c>
      <c r="C1438" t="s">
        <v>30</v>
      </c>
      <c r="D1438" t="s">
        <v>32</v>
      </c>
      <c r="E1438">
        <v>5300000</v>
      </c>
      <c r="F1438">
        <v>15000000</v>
      </c>
      <c r="G1438">
        <v>6</v>
      </c>
      <c r="H1438">
        <v>717</v>
      </c>
      <c r="I1438">
        <v>7000000</v>
      </c>
      <c r="J1438">
        <v>4100000</v>
      </c>
      <c r="K1438">
        <v>17100000</v>
      </c>
      <c r="L1438">
        <v>5300000</v>
      </c>
      <c r="M1438" t="s">
        <v>34</v>
      </c>
      <c r="N1438">
        <f t="shared" si="133"/>
        <v>1</v>
      </c>
      <c r="O1438" t="str">
        <f t="shared" si="132"/>
        <v>Good</v>
      </c>
      <c r="P1438" t="str">
        <f t="shared" si="134"/>
        <v>High</v>
      </c>
      <c r="Q1438" t="str">
        <f t="shared" si="135"/>
        <v>Low Loan</v>
      </c>
      <c r="R1438">
        <f t="shared" si="136"/>
        <v>33500000</v>
      </c>
      <c r="S1438" t="str">
        <f t="shared" si="137"/>
        <v>Strong</v>
      </c>
    </row>
    <row r="1439" spans="1:19" x14ac:dyDescent="0.25">
      <c r="A1439">
        <v>1438</v>
      </c>
      <c r="B1439">
        <v>0</v>
      </c>
      <c r="C1439" t="s">
        <v>30</v>
      </c>
      <c r="D1439" t="s">
        <v>32</v>
      </c>
      <c r="E1439">
        <v>2800000</v>
      </c>
      <c r="F1439">
        <v>7300000</v>
      </c>
      <c r="G1439">
        <v>6</v>
      </c>
      <c r="H1439">
        <v>676</v>
      </c>
      <c r="I1439">
        <v>3500000</v>
      </c>
      <c r="J1439">
        <v>2200000</v>
      </c>
      <c r="K1439">
        <v>5700000</v>
      </c>
      <c r="L1439">
        <v>3200000</v>
      </c>
      <c r="M1439" t="s">
        <v>34</v>
      </c>
      <c r="N1439">
        <f t="shared" si="133"/>
        <v>1</v>
      </c>
      <c r="O1439" t="str">
        <f t="shared" si="132"/>
        <v>Medium</v>
      </c>
      <c r="P1439" t="str">
        <f t="shared" si="134"/>
        <v>High</v>
      </c>
      <c r="Q1439" t="str">
        <f t="shared" si="135"/>
        <v>Low Loan</v>
      </c>
      <c r="R1439">
        <f t="shared" si="136"/>
        <v>14600000</v>
      </c>
      <c r="S1439" t="str">
        <f t="shared" si="137"/>
        <v>Strong</v>
      </c>
    </row>
    <row r="1440" spans="1:19" x14ac:dyDescent="0.25">
      <c r="A1440">
        <v>1439</v>
      </c>
      <c r="B1440">
        <v>1</v>
      </c>
      <c r="C1440" t="s">
        <v>31</v>
      </c>
      <c r="D1440" t="s">
        <v>32</v>
      </c>
      <c r="E1440">
        <v>8000000</v>
      </c>
      <c r="F1440">
        <v>27800000</v>
      </c>
      <c r="G1440">
        <v>6</v>
      </c>
      <c r="H1440">
        <v>667</v>
      </c>
      <c r="I1440">
        <v>6000000</v>
      </c>
      <c r="J1440">
        <v>12600000</v>
      </c>
      <c r="K1440">
        <v>22500000</v>
      </c>
      <c r="L1440">
        <v>9900000</v>
      </c>
      <c r="M1440" t="s">
        <v>34</v>
      </c>
      <c r="N1440">
        <f t="shared" si="133"/>
        <v>1</v>
      </c>
      <c r="O1440" t="str">
        <f t="shared" si="132"/>
        <v>Medium</v>
      </c>
      <c r="P1440" t="str">
        <f t="shared" si="134"/>
        <v>High</v>
      </c>
      <c r="Q1440" t="str">
        <f t="shared" si="135"/>
        <v>High Loan</v>
      </c>
      <c r="R1440">
        <f t="shared" si="136"/>
        <v>51000000</v>
      </c>
      <c r="S1440" t="str">
        <f t="shared" si="137"/>
        <v>Strong</v>
      </c>
    </row>
    <row r="1441" spans="1:19" x14ac:dyDescent="0.25">
      <c r="A1441">
        <v>1440</v>
      </c>
      <c r="B1441">
        <v>3</v>
      </c>
      <c r="C1441" t="s">
        <v>31</v>
      </c>
      <c r="D1441" t="s">
        <v>32</v>
      </c>
      <c r="E1441">
        <v>3900000</v>
      </c>
      <c r="F1441">
        <v>10500000</v>
      </c>
      <c r="G1441">
        <v>20</v>
      </c>
      <c r="H1441">
        <v>821</v>
      </c>
      <c r="I1441">
        <v>1600000</v>
      </c>
      <c r="J1441">
        <v>6300000</v>
      </c>
      <c r="K1441">
        <v>11000000</v>
      </c>
      <c r="L1441">
        <v>3900000</v>
      </c>
      <c r="M1441" t="s">
        <v>34</v>
      </c>
      <c r="N1441">
        <f t="shared" si="133"/>
        <v>1</v>
      </c>
      <c r="O1441" t="str">
        <f t="shared" si="132"/>
        <v>Excellent</v>
      </c>
      <c r="P1441" t="str">
        <f t="shared" si="134"/>
        <v>High</v>
      </c>
      <c r="Q1441" t="str">
        <f t="shared" si="135"/>
        <v>Low Loan</v>
      </c>
      <c r="R1441">
        <f t="shared" si="136"/>
        <v>22800000</v>
      </c>
      <c r="S1441" t="str">
        <f t="shared" si="137"/>
        <v>Strong</v>
      </c>
    </row>
    <row r="1442" spans="1:19" x14ac:dyDescent="0.25">
      <c r="A1442">
        <v>1441</v>
      </c>
      <c r="B1442">
        <v>0</v>
      </c>
      <c r="C1442" t="s">
        <v>30</v>
      </c>
      <c r="D1442" t="s">
        <v>32</v>
      </c>
      <c r="E1442">
        <v>6200000</v>
      </c>
      <c r="F1442">
        <v>20100000</v>
      </c>
      <c r="G1442">
        <v>20</v>
      </c>
      <c r="H1442">
        <v>345</v>
      </c>
      <c r="I1442">
        <v>9300000</v>
      </c>
      <c r="J1442">
        <v>5900000</v>
      </c>
      <c r="K1442">
        <v>17400000</v>
      </c>
      <c r="L1442">
        <v>4100000</v>
      </c>
      <c r="M1442" t="s">
        <v>35</v>
      </c>
      <c r="N1442">
        <f t="shared" si="133"/>
        <v>0</v>
      </c>
      <c r="O1442" t="str">
        <f t="shared" si="132"/>
        <v>Low</v>
      </c>
      <c r="P1442" t="str">
        <f t="shared" si="134"/>
        <v>High</v>
      </c>
      <c r="Q1442" t="str">
        <f t="shared" si="135"/>
        <v>High Loan</v>
      </c>
      <c r="R1442">
        <f t="shared" si="136"/>
        <v>36700000</v>
      </c>
      <c r="S1442" t="str">
        <f t="shared" si="137"/>
        <v>Strong</v>
      </c>
    </row>
    <row r="1443" spans="1:19" x14ac:dyDescent="0.25">
      <c r="A1443">
        <v>1442</v>
      </c>
      <c r="B1443">
        <v>3</v>
      </c>
      <c r="C1443" t="s">
        <v>31</v>
      </c>
      <c r="D1443" t="s">
        <v>33</v>
      </c>
      <c r="E1443">
        <v>5900000</v>
      </c>
      <c r="F1443">
        <v>19200000</v>
      </c>
      <c r="G1443">
        <v>10</v>
      </c>
      <c r="H1443">
        <v>442</v>
      </c>
      <c r="I1443">
        <v>9500000</v>
      </c>
      <c r="J1443">
        <v>500000</v>
      </c>
      <c r="K1443">
        <v>18300000</v>
      </c>
      <c r="L1443">
        <v>4700000</v>
      </c>
      <c r="M1443" t="s">
        <v>35</v>
      </c>
      <c r="N1443">
        <f t="shared" si="133"/>
        <v>0</v>
      </c>
      <c r="O1443" t="str">
        <f t="shared" si="132"/>
        <v>Low</v>
      </c>
      <c r="P1443" t="str">
        <f t="shared" si="134"/>
        <v>High</v>
      </c>
      <c r="Q1443" t="str">
        <f t="shared" si="135"/>
        <v>Low Loan</v>
      </c>
      <c r="R1443">
        <f t="shared" si="136"/>
        <v>33000000</v>
      </c>
      <c r="S1443" t="str">
        <f t="shared" si="137"/>
        <v>Strong</v>
      </c>
    </row>
    <row r="1444" spans="1:19" x14ac:dyDescent="0.25">
      <c r="A1444">
        <v>1443</v>
      </c>
      <c r="B1444">
        <v>1</v>
      </c>
      <c r="C1444" t="s">
        <v>30</v>
      </c>
      <c r="D1444" t="s">
        <v>33</v>
      </c>
      <c r="E1444">
        <v>6000000</v>
      </c>
      <c r="F1444">
        <v>23300000</v>
      </c>
      <c r="G1444">
        <v>12</v>
      </c>
      <c r="H1444">
        <v>672</v>
      </c>
      <c r="I1444">
        <v>2000000</v>
      </c>
      <c r="J1444">
        <v>11300000</v>
      </c>
      <c r="K1444">
        <v>19600000</v>
      </c>
      <c r="L1444">
        <v>6400000</v>
      </c>
      <c r="M1444" t="s">
        <v>34</v>
      </c>
      <c r="N1444">
        <f t="shared" si="133"/>
        <v>1</v>
      </c>
      <c r="O1444" t="str">
        <f t="shared" si="132"/>
        <v>Medium</v>
      </c>
      <c r="P1444" t="str">
        <f t="shared" si="134"/>
        <v>High</v>
      </c>
      <c r="Q1444" t="str">
        <f t="shared" si="135"/>
        <v>High Loan</v>
      </c>
      <c r="R1444">
        <f t="shared" si="136"/>
        <v>39300000</v>
      </c>
      <c r="S1444" t="str">
        <f t="shared" si="137"/>
        <v>Strong</v>
      </c>
    </row>
    <row r="1445" spans="1:19" x14ac:dyDescent="0.25">
      <c r="A1445">
        <v>1444</v>
      </c>
      <c r="B1445">
        <v>3</v>
      </c>
      <c r="C1445" t="s">
        <v>31</v>
      </c>
      <c r="D1445" t="s">
        <v>33</v>
      </c>
      <c r="E1445">
        <v>9100000</v>
      </c>
      <c r="F1445">
        <v>29300000</v>
      </c>
      <c r="G1445">
        <v>2</v>
      </c>
      <c r="H1445">
        <v>508</v>
      </c>
      <c r="I1445">
        <v>19000000</v>
      </c>
      <c r="J1445">
        <v>5100000</v>
      </c>
      <c r="K1445">
        <v>31600000</v>
      </c>
      <c r="L1445">
        <v>11900000</v>
      </c>
      <c r="M1445" t="s">
        <v>34</v>
      </c>
      <c r="N1445">
        <f t="shared" si="133"/>
        <v>1</v>
      </c>
      <c r="O1445" t="str">
        <f t="shared" si="132"/>
        <v>Low</v>
      </c>
      <c r="P1445" t="str">
        <f t="shared" si="134"/>
        <v>High</v>
      </c>
      <c r="Q1445" t="str">
        <f t="shared" si="135"/>
        <v>High Loan</v>
      </c>
      <c r="R1445">
        <f t="shared" si="136"/>
        <v>67600000</v>
      </c>
      <c r="S1445" t="str">
        <f t="shared" si="137"/>
        <v>Strong</v>
      </c>
    </row>
    <row r="1446" spans="1:19" x14ac:dyDescent="0.25">
      <c r="A1446">
        <v>1445</v>
      </c>
      <c r="B1446">
        <v>5</v>
      </c>
      <c r="C1446" t="s">
        <v>30</v>
      </c>
      <c r="D1446" t="s">
        <v>33</v>
      </c>
      <c r="E1446">
        <v>3400000</v>
      </c>
      <c r="F1446">
        <v>12300000</v>
      </c>
      <c r="G1446">
        <v>10</v>
      </c>
      <c r="H1446">
        <v>615</v>
      </c>
      <c r="I1446">
        <v>7000000</v>
      </c>
      <c r="J1446">
        <v>1600000</v>
      </c>
      <c r="K1446">
        <v>11400000</v>
      </c>
      <c r="L1446">
        <v>3500000</v>
      </c>
      <c r="M1446" t="s">
        <v>34</v>
      </c>
      <c r="N1446">
        <f t="shared" si="133"/>
        <v>1</v>
      </c>
      <c r="O1446" t="str">
        <f t="shared" si="132"/>
        <v>Low</v>
      </c>
      <c r="P1446" t="str">
        <f t="shared" si="134"/>
        <v>High</v>
      </c>
      <c r="Q1446" t="str">
        <f t="shared" si="135"/>
        <v>Low Loan</v>
      </c>
      <c r="R1446">
        <f t="shared" si="136"/>
        <v>23500000</v>
      </c>
      <c r="S1446" t="str">
        <f t="shared" si="137"/>
        <v>Strong</v>
      </c>
    </row>
    <row r="1447" spans="1:19" x14ac:dyDescent="0.25">
      <c r="A1447">
        <v>1446</v>
      </c>
      <c r="B1447">
        <v>1</v>
      </c>
      <c r="C1447" t="s">
        <v>30</v>
      </c>
      <c r="D1447" t="s">
        <v>33</v>
      </c>
      <c r="E1447">
        <v>1800000</v>
      </c>
      <c r="F1447">
        <v>4400000</v>
      </c>
      <c r="G1447">
        <v>8</v>
      </c>
      <c r="H1447">
        <v>689</v>
      </c>
      <c r="I1447">
        <v>3200000</v>
      </c>
      <c r="J1447">
        <v>2500000</v>
      </c>
      <c r="K1447">
        <v>3800000</v>
      </c>
      <c r="L1447">
        <v>1600000</v>
      </c>
      <c r="M1447" t="s">
        <v>34</v>
      </c>
      <c r="N1447">
        <f t="shared" si="133"/>
        <v>1</v>
      </c>
      <c r="O1447" t="str">
        <f t="shared" si="132"/>
        <v>Medium</v>
      </c>
      <c r="P1447" t="str">
        <f t="shared" si="134"/>
        <v>High</v>
      </c>
      <c r="Q1447" t="str">
        <f t="shared" si="135"/>
        <v>Low Loan</v>
      </c>
      <c r="R1447">
        <f t="shared" si="136"/>
        <v>11100000</v>
      </c>
      <c r="S1447" t="str">
        <f t="shared" si="137"/>
        <v>Strong</v>
      </c>
    </row>
    <row r="1448" spans="1:19" x14ac:dyDescent="0.25">
      <c r="A1448">
        <v>1447</v>
      </c>
      <c r="B1448">
        <v>1</v>
      </c>
      <c r="C1448" t="s">
        <v>30</v>
      </c>
      <c r="D1448" t="s">
        <v>32</v>
      </c>
      <c r="E1448">
        <v>300000</v>
      </c>
      <c r="F1448">
        <v>1200000</v>
      </c>
      <c r="G1448">
        <v>18</v>
      </c>
      <c r="H1448">
        <v>747</v>
      </c>
      <c r="I1448">
        <v>100000</v>
      </c>
      <c r="J1448">
        <v>0</v>
      </c>
      <c r="K1448">
        <v>700000</v>
      </c>
      <c r="L1448">
        <v>200000</v>
      </c>
      <c r="M1448" t="s">
        <v>35</v>
      </c>
      <c r="N1448">
        <f t="shared" si="133"/>
        <v>0</v>
      </c>
      <c r="O1448" t="str">
        <f t="shared" si="132"/>
        <v>Good</v>
      </c>
      <c r="P1448" t="str">
        <f t="shared" si="134"/>
        <v>Middle</v>
      </c>
      <c r="Q1448" t="str">
        <f t="shared" si="135"/>
        <v>Low Loan</v>
      </c>
      <c r="R1448">
        <f t="shared" si="136"/>
        <v>1000000</v>
      </c>
      <c r="S1448" t="str">
        <f t="shared" si="137"/>
        <v>Weak</v>
      </c>
    </row>
    <row r="1449" spans="1:19" x14ac:dyDescent="0.25">
      <c r="A1449">
        <v>1448</v>
      </c>
      <c r="B1449">
        <v>1</v>
      </c>
      <c r="C1449" t="s">
        <v>30</v>
      </c>
      <c r="D1449" t="s">
        <v>33</v>
      </c>
      <c r="E1449">
        <v>9000000</v>
      </c>
      <c r="F1449">
        <v>22800000</v>
      </c>
      <c r="G1449">
        <v>10</v>
      </c>
      <c r="H1449">
        <v>412</v>
      </c>
      <c r="I1449">
        <v>0</v>
      </c>
      <c r="J1449">
        <v>15600000</v>
      </c>
      <c r="K1449">
        <v>32000000</v>
      </c>
      <c r="L1449">
        <v>4700000</v>
      </c>
      <c r="M1449" t="s">
        <v>35</v>
      </c>
      <c r="N1449">
        <f t="shared" si="133"/>
        <v>0</v>
      </c>
      <c r="O1449" t="str">
        <f t="shared" si="132"/>
        <v>Low</v>
      </c>
      <c r="P1449" t="str">
        <f t="shared" si="134"/>
        <v>High</v>
      </c>
      <c r="Q1449" t="str">
        <f t="shared" si="135"/>
        <v>High Loan</v>
      </c>
      <c r="R1449">
        <f t="shared" si="136"/>
        <v>52300000</v>
      </c>
      <c r="S1449" t="str">
        <f t="shared" si="137"/>
        <v>Strong</v>
      </c>
    </row>
    <row r="1450" spans="1:19" x14ac:dyDescent="0.25">
      <c r="A1450">
        <v>1449</v>
      </c>
      <c r="B1450">
        <v>1</v>
      </c>
      <c r="C1450" t="s">
        <v>30</v>
      </c>
      <c r="D1450" t="s">
        <v>32</v>
      </c>
      <c r="E1450">
        <v>6400000</v>
      </c>
      <c r="F1450">
        <v>16900000</v>
      </c>
      <c r="G1450">
        <v>2</v>
      </c>
      <c r="H1450">
        <v>703</v>
      </c>
      <c r="I1450">
        <v>6300000</v>
      </c>
      <c r="J1450">
        <v>7300000</v>
      </c>
      <c r="K1450">
        <v>15900000</v>
      </c>
      <c r="L1450">
        <v>7400000</v>
      </c>
      <c r="M1450" t="s">
        <v>34</v>
      </c>
      <c r="N1450">
        <f t="shared" si="133"/>
        <v>1</v>
      </c>
      <c r="O1450" t="str">
        <f t="shared" si="132"/>
        <v>Good</v>
      </c>
      <c r="P1450" t="str">
        <f t="shared" si="134"/>
        <v>High</v>
      </c>
      <c r="Q1450" t="str">
        <f t="shared" si="135"/>
        <v>Low Loan</v>
      </c>
      <c r="R1450">
        <f t="shared" si="136"/>
        <v>36900000</v>
      </c>
      <c r="S1450" t="str">
        <f t="shared" si="137"/>
        <v>Strong</v>
      </c>
    </row>
    <row r="1451" spans="1:19" x14ac:dyDescent="0.25">
      <c r="A1451">
        <v>1450</v>
      </c>
      <c r="B1451">
        <v>5</v>
      </c>
      <c r="C1451" t="s">
        <v>31</v>
      </c>
      <c r="D1451" t="s">
        <v>32</v>
      </c>
      <c r="E1451">
        <v>5800000</v>
      </c>
      <c r="F1451">
        <v>22200000</v>
      </c>
      <c r="G1451">
        <v>16</v>
      </c>
      <c r="H1451">
        <v>884</v>
      </c>
      <c r="I1451">
        <v>1200000</v>
      </c>
      <c r="J1451">
        <v>4800000</v>
      </c>
      <c r="K1451">
        <v>19500000</v>
      </c>
      <c r="L1451">
        <v>8500000</v>
      </c>
      <c r="M1451" t="s">
        <v>34</v>
      </c>
      <c r="N1451">
        <f t="shared" si="133"/>
        <v>1</v>
      </c>
      <c r="O1451" t="str">
        <f t="shared" si="132"/>
        <v>Excellent</v>
      </c>
      <c r="P1451" t="str">
        <f t="shared" si="134"/>
        <v>High</v>
      </c>
      <c r="Q1451" t="str">
        <f t="shared" si="135"/>
        <v>High Loan</v>
      </c>
      <c r="R1451">
        <f t="shared" si="136"/>
        <v>34000000</v>
      </c>
      <c r="S1451" t="str">
        <f t="shared" si="137"/>
        <v>Strong</v>
      </c>
    </row>
    <row r="1452" spans="1:19" x14ac:dyDescent="0.25">
      <c r="A1452">
        <v>1451</v>
      </c>
      <c r="B1452">
        <v>5</v>
      </c>
      <c r="C1452" t="s">
        <v>30</v>
      </c>
      <c r="D1452" t="s">
        <v>33</v>
      </c>
      <c r="E1452">
        <v>2600000</v>
      </c>
      <c r="F1452">
        <v>8600000</v>
      </c>
      <c r="G1452">
        <v>18</v>
      </c>
      <c r="H1452">
        <v>651</v>
      </c>
      <c r="I1452">
        <v>1000000</v>
      </c>
      <c r="J1452">
        <v>100000</v>
      </c>
      <c r="K1452">
        <v>7800000</v>
      </c>
      <c r="L1452">
        <v>2600000</v>
      </c>
      <c r="M1452" t="s">
        <v>34</v>
      </c>
      <c r="N1452">
        <f t="shared" si="133"/>
        <v>1</v>
      </c>
      <c r="O1452" t="str">
        <f t="shared" si="132"/>
        <v>Medium</v>
      </c>
      <c r="P1452" t="str">
        <f t="shared" si="134"/>
        <v>High</v>
      </c>
      <c r="Q1452" t="str">
        <f t="shared" si="135"/>
        <v>Low Loan</v>
      </c>
      <c r="R1452">
        <f t="shared" si="136"/>
        <v>11500000</v>
      </c>
      <c r="S1452" t="str">
        <f t="shared" si="137"/>
        <v>Strong</v>
      </c>
    </row>
    <row r="1453" spans="1:19" x14ac:dyDescent="0.25">
      <c r="A1453">
        <v>1452</v>
      </c>
      <c r="B1453">
        <v>4</v>
      </c>
      <c r="C1453" t="s">
        <v>31</v>
      </c>
      <c r="D1453" t="s">
        <v>32</v>
      </c>
      <c r="E1453">
        <v>6600000</v>
      </c>
      <c r="F1453">
        <v>17300000</v>
      </c>
      <c r="G1453">
        <v>14</v>
      </c>
      <c r="H1453">
        <v>793</v>
      </c>
      <c r="I1453">
        <v>16700000</v>
      </c>
      <c r="J1453">
        <v>1400000</v>
      </c>
      <c r="K1453">
        <v>17500000</v>
      </c>
      <c r="L1453">
        <v>3900000</v>
      </c>
      <c r="M1453" t="s">
        <v>34</v>
      </c>
      <c r="N1453">
        <f t="shared" si="133"/>
        <v>1</v>
      </c>
      <c r="O1453" t="str">
        <f t="shared" si="132"/>
        <v>Excellent</v>
      </c>
      <c r="P1453" t="str">
        <f t="shared" si="134"/>
        <v>High</v>
      </c>
      <c r="Q1453" t="str">
        <f t="shared" si="135"/>
        <v>Low Loan</v>
      </c>
      <c r="R1453">
        <f t="shared" si="136"/>
        <v>39500000</v>
      </c>
      <c r="S1453" t="str">
        <f t="shared" si="137"/>
        <v>Strong</v>
      </c>
    </row>
    <row r="1454" spans="1:19" x14ac:dyDescent="0.25">
      <c r="A1454">
        <v>1453</v>
      </c>
      <c r="B1454">
        <v>2</v>
      </c>
      <c r="C1454" t="s">
        <v>31</v>
      </c>
      <c r="D1454" t="s">
        <v>32</v>
      </c>
      <c r="E1454">
        <v>6100000</v>
      </c>
      <c r="F1454">
        <v>21800000</v>
      </c>
      <c r="G1454">
        <v>4</v>
      </c>
      <c r="H1454">
        <v>407</v>
      </c>
      <c r="I1454">
        <v>9800000</v>
      </c>
      <c r="J1454">
        <v>100000</v>
      </c>
      <c r="K1454">
        <v>20200000</v>
      </c>
      <c r="L1454">
        <v>5800000</v>
      </c>
      <c r="M1454" t="s">
        <v>34</v>
      </c>
      <c r="N1454">
        <f t="shared" si="133"/>
        <v>1</v>
      </c>
      <c r="O1454" t="str">
        <f t="shared" si="132"/>
        <v>Low</v>
      </c>
      <c r="P1454" t="str">
        <f t="shared" si="134"/>
        <v>High</v>
      </c>
      <c r="Q1454" t="str">
        <f t="shared" si="135"/>
        <v>High Loan</v>
      </c>
      <c r="R1454">
        <f t="shared" si="136"/>
        <v>35900000</v>
      </c>
      <c r="S1454" t="str">
        <f t="shared" si="137"/>
        <v>Strong</v>
      </c>
    </row>
    <row r="1455" spans="1:19" x14ac:dyDescent="0.25">
      <c r="A1455">
        <v>1454</v>
      </c>
      <c r="B1455">
        <v>2</v>
      </c>
      <c r="C1455" t="s">
        <v>31</v>
      </c>
      <c r="D1455" t="s">
        <v>32</v>
      </c>
      <c r="E1455">
        <v>4100000</v>
      </c>
      <c r="F1455">
        <v>11100000</v>
      </c>
      <c r="G1455">
        <v>8</v>
      </c>
      <c r="H1455">
        <v>390</v>
      </c>
      <c r="I1455">
        <v>800000</v>
      </c>
      <c r="J1455">
        <v>3100000</v>
      </c>
      <c r="K1455">
        <v>10100000</v>
      </c>
      <c r="L1455">
        <v>3400000</v>
      </c>
      <c r="M1455" t="s">
        <v>35</v>
      </c>
      <c r="N1455">
        <f t="shared" si="133"/>
        <v>0</v>
      </c>
      <c r="O1455" t="str">
        <f t="shared" si="132"/>
        <v>Low</v>
      </c>
      <c r="P1455" t="str">
        <f t="shared" si="134"/>
        <v>High</v>
      </c>
      <c r="Q1455" t="str">
        <f t="shared" si="135"/>
        <v>Low Loan</v>
      </c>
      <c r="R1455">
        <f t="shared" si="136"/>
        <v>17400000</v>
      </c>
      <c r="S1455" t="str">
        <f t="shared" si="137"/>
        <v>Strong</v>
      </c>
    </row>
    <row r="1456" spans="1:19" x14ac:dyDescent="0.25">
      <c r="A1456">
        <v>1455</v>
      </c>
      <c r="B1456">
        <v>3</v>
      </c>
      <c r="C1456" t="s">
        <v>31</v>
      </c>
      <c r="D1456" t="s">
        <v>33</v>
      </c>
      <c r="E1456">
        <v>300000</v>
      </c>
      <c r="F1456">
        <v>1000000</v>
      </c>
      <c r="G1456">
        <v>12</v>
      </c>
      <c r="H1456">
        <v>469</v>
      </c>
      <c r="I1456">
        <v>600000</v>
      </c>
      <c r="J1456">
        <v>400000</v>
      </c>
      <c r="K1456">
        <v>700000</v>
      </c>
      <c r="L1456">
        <v>300000</v>
      </c>
      <c r="M1456" t="s">
        <v>35</v>
      </c>
      <c r="N1456">
        <f t="shared" si="133"/>
        <v>0</v>
      </c>
      <c r="O1456" t="str">
        <f t="shared" si="132"/>
        <v>Low</v>
      </c>
      <c r="P1456" t="str">
        <f t="shared" si="134"/>
        <v>Middle</v>
      </c>
      <c r="Q1456" t="str">
        <f t="shared" si="135"/>
        <v>Low Loan</v>
      </c>
      <c r="R1456">
        <f t="shared" si="136"/>
        <v>2000000</v>
      </c>
      <c r="S1456" t="str">
        <f t="shared" si="137"/>
        <v>Weak</v>
      </c>
    </row>
    <row r="1457" spans="1:19" x14ac:dyDescent="0.25">
      <c r="A1457">
        <v>1456</v>
      </c>
      <c r="B1457">
        <v>4</v>
      </c>
      <c r="C1457" t="s">
        <v>30</v>
      </c>
      <c r="D1457" t="s">
        <v>32</v>
      </c>
      <c r="E1457">
        <v>4700000</v>
      </c>
      <c r="F1457">
        <v>10400000</v>
      </c>
      <c r="G1457">
        <v>6</v>
      </c>
      <c r="H1457">
        <v>373</v>
      </c>
      <c r="I1457">
        <v>6800000</v>
      </c>
      <c r="J1457">
        <v>8600000</v>
      </c>
      <c r="K1457">
        <v>14300000</v>
      </c>
      <c r="L1457">
        <v>5400000</v>
      </c>
      <c r="M1457" t="s">
        <v>35</v>
      </c>
      <c r="N1457">
        <f t="shared" si="133"/>
        <v>0</v>
      </c>
      <c r="O1457" t="str">
        <f t="shared" si="132"/>
        <v>Low</v>
      </c>
      <c r="P1457" t="str">
        <f t="shared" si="134"/>
        <v>High</v>
      </c>
      <c r="Q1457" t="str">
        <f t="shared" si="135"/>
        <v>Low Loan</v>
      </c>
      <c r="R1457">
        <f t="shared" si="136"/>
        <v>35100000</v>
      </c>
      <c r="S1457" t="str">
        <f t="shared" si="137"/>
        <v>Strong</v>
      </c>
    </row>
    <row r="1458" spans="1:19" x14ac:dyDescent="0.25">
      <c r="A1458">
        <v>1457</v>
      </c>
      <c r="B1458">
        <v>4</v>
      </c>
      <c r="C1458" t="s">
        <v>30</v>
      </c>
      <c r="D1458" t="s">
        <v>33</v>
      </c>
      <c r="E1458">
        <v>1500000</v>
      </c>
      <c r="F1458">
        <v>5800000</v>
      </c>
      <c r="G1458">
        <v>2</v>
      </c>
      <c r="H1458">
        <v>304</v>
      </c>
      <c r="I1458">
        <v>2400000</v>
      </c>
      <c r="J1458">
        <v>1600000</v>
      </c>
      <c r="K1458">
        <v>3300000</v>
      </c>
      <c r="L1458">
        <v>1400000</v>
      </c>
      <c r="M1458" t="s">
        <v>34</v>
      </c>
      <c r="N1458">
        <f t="shared" si="133"/>
        <v>1</v>
      </c>
      <c r="O1458" t="str">
        <f t="shared" si="132"/>
        <v>Low</v>
      </c>
      <c r="P1458" t="str">
        <f t="shared" si="134"/>
        <v>High</v>
      </c>
      <c r="Q1458" t="str">
        <f t="shared" si="135"/>
        <v>Low Loan</v>
      </c>
      <c r="R1458">
        <f t="shared" si="136"/>
        <v>8700000</v>
      </c>
      <c r="S1458" t="str">
        <f t="shared" si="137"/>
        <v>Moderate</v>
      </c>
    </row>
    <row r="1459" spans="1:19" x14ac:dyDescent="0.25">
      <c r="A1459">
        <v>1458</v>
      </c>
      <c r="B1459">
        <v>5</v>
      </c>
      <c r="C1459" t="s">
        <v>31</v>
      </c>
      <c r="D1459" t="s">
        <v>32</v>
      </c>
      <c r="E1459">
        <v>2700000</v>
      </c>
      <c r="F1459">
        <v>8300000</v>
      </c>
      <c r="G1459">
        <v>8</v>
      </c>
      <c r="H1459">
        <v>833</v>
      </c>
      <c r="I1459">
        <v>4600000</v>
      </c>
      <c r="J1459">
        <v>1300000</v>
      </c>
      <c r="K1459">
        <v>6800000</v>
      </c>
      <c r="L1459">
        <v>3300000</v>
      </c>
      <c r="M1459" t="s">
        <v>34</v>
      </c>
      <c r="N1459">
        <f t="shared" si="133"/>
        <v>1</v>
      </c>
      <c r="O1459" t="str">
        <f t="shared" si="132"/>
        <v>Excellent</v>
      </c>
      <c r="P1459" t="str">
        <f t="shared" si="134"/>
        <v>High</v>
      </c>
      <c r="Q1459" t="str">
        <f t="shared" si="135"/>
        <v>Low Loan</v>
      </c>
      <c r="R1459">
        <f t="shared" si="136"/>
        <v>16000000</v>
      </c>
      <c r="S1459" t="str">
        <f t="shared" si="137"/>
        <v>Strong</v>
      </c>
    </row>
    <row r="1460" spans="1:19" x14ac:dyDescent="0.25">
      <c r="A1460">
        <v>1459</v>
      </c>
      <c r="B1460">
        <v>2</v>
      </c>
      <c r="C1460" t="s">
        <v>30</v>
      </c>
      <c r="D1460" t="s">
        <v>32</v>
      </c>
      <c r="E1460">
        <v>6900000</v>
      </c>
      <c r="F1460">
        <v>20900000</v>
      </c>
      <c r="G1460">
        <v>2</v>
      </c>
      <c r="H1460">
        <v>302</v>
      </c>
      <c r="I1460">
        <v>18700000</v>
      </c>
      <c r="J1460">
        <v>10700000</v>
      </c>
      <c r="K1460">
        <v>26900000</v>
      </c>
      <c r="L1460">
        <v>9200000</v>
      </c>
      <c r="M1460" t="s">
        <v>34</v>
      </c>
      <c r="N1460">
        <f t="shared" si="133"/>
        <v>1</v>
      </c>
      <c r="O1460" t="str">
        <f t="shared" si="132"/>
        <v>Low</v>
      </c>
      <c r="P1460" t="str">
        <f t="shared" si="134"/>
        <v>High</v>
      </c>
      <c r="Q1460" t="str">
        <f t="shared" si="135"/>
        <v>High Loan</v>
      </c>
      <c r="R1460">
        <f t="shared" si="136"/>
        <v>65500000</v>
      </c>
      <c r="S1460" t="str">
        <f t="shared" si="137"/>
        <v>Strong</v>
      </c>
    </row>
    <row r="1461" spans="1:19" x14ac:dyDescent="0.25">
      <c r="A1461">
        <v>1460</v>
      </c>
      <c r="B1461">
        <v>0</v>
      </c>
      <c r="C1461" t="s">
        <v>30</v>
      </c>
      <c r="D1461" t="s">
        <v>32</v>
      </c>
      <c r="E1461">
        <v>7600000</v>
      </c>
      <c r="F1461">
        <v>28700000</v>
      </c>
      <c r="G1461">
        <v>6</v>
      </c>
      <c r="H1461">
        <v>397</v>
      </c>
      <c r="I1461">
        <v>11000000</v>
      </c>
      <c r="J1461">
        <v>13200000</v>
      </c>
      <c r="K1461">
        <v>24600000</v>
      </c>
      <c r="L1461">
        <v>3800000</v>
      </c>
      <c r="M1461" t="s">
        <v>35</v>
      </c>
      <c r="N1461">
        <f t="shared" si="133"/>
        <v>0</v>
      </c>
      <c r="O1461" t="str">
        <f t="shared" si="132"/>
        <v>Low</v>
      </c>
      <c r="P1461" t="str">
        <f t="shared" si="134"/>
        <v>High</v>
      </c>
      <c r="Q1461" t="str">
        <f t="shared" si="135"/>
        <v>High Loan</v>
      </c>
      <c r="R1461">
        <f t="shared" si="136"/>
        <v>52600000</v>
      </c>
      <c r="S1461" t="str">
        <f t="shared" si="137"/>
        <v>Strong</v>
      </c>
    </row>
    <row r="1462" spans="1:19" x14ac:dyDescent="0.25">
      <c r="A1462">
        <v>1461</v>
      </c>
      <c r="B1462">
        <v>1</v>
      </c>
      <c r="C1462" t="s">
        <v>30</v>
      </c>
      <c r="D1462" t="s">
        <v>32</v>
      </c>
      <c r="E1462">
        <v>4100000</v>
      </c>
      <c r="F1462">
        <v>10000000</v>
      </c>
      <c r="G1462">
        <v>6</v>
      </c>
      <c r="H1462">
        <v>891</v>
      </c>
      <c r="I1462">
        <v>4900000</v>
      </c>
      <c r="J1462">
        <v>300000</v>
      </c>
      <c r="K1462">
        <v>12600000</v>
      </c>
      <c r="L1462">
        <v>3600000</v>
      </c>
      <c r="M1462" t="s">
        <v>34</v>
      </c>
      <c r="N1462">
        <f t="shared" si="133"/>
        <v>1</v>
      </c>
      <c r="O1462" t="str">
        <f t="shared" si="132"/>
        <v>Excellent</v>
      </c>
      <c r="P1462" t="str">
        <f t="shared" si="134"/>
        <v>High</v>
      </c>
      <c r="Q1462" t="str">
        <f t="shared" si="135"/>
        <v>Low Loan</v>
      </c>
      <c r="R1462">
        <f t="shared" si="136"/>
        <v>21400000</v>
      </c>
      <c r="S1462" t="str">
        <f t="shared" si="137"/>
        <v>Strong</v>
      </c>
    </row>
    <row r="1463" spans="1:19" x14ac:dyDescent="0.25">
      <c r="A1463">
        <v>1462</v>
      </c>
      <c r="B1463">
        <v>3</v>
      </c>
      <c r="C1463" t="s">
        <v>31</v>
      </c>
      <c r="D1463" t="s">
        <v>32</v>
      </c>
      <c r="E1463">
        <v>4100000</v>
      </c>
      <c r="F1463">
        <v>12200000</v>
      </c>
      <c r="G1463">
        <v>2</v>
      </c>
      <c r="H1463">
        <v>457</v>
      </c>
      <c r="I1463">
        <v>700000</v>
      </c>
      <c r="J1463">
        <v>500000</v>
      </c>
      <c r="K1463">
        <v>14100000</v>
      </c>
      <c r="L1463">
        <v>4900000</v>
      </c>
      <c r="M1463" t="s">
        <v>35</v>
      </c>
      <c r="N1463">
        <f t="shared" si="133"/>
        <v>0</v>
      </c>
      <c r="O1463" t="str">
        <f t="shared" si="132"/>
        <v>Low</v>
      </c>
      <c r="P1463" t="str">
        <f t="shared" si="134"/>
        <v>High</v>
      </c>
      <c r="Q1463" t="str">
        <f t="shared" si="135"/>
        <v>Low Loan</v>
      </c>
      <c r="R1463">
        <f t="shared" si="136"/>
        <v>20200000</v>
      </c>
      <c r="S1463" t="str">
        <f t="shared" si="137"/>
        <v>Strong</v>
      </c>
    </row>
    <row r="1464" spans="1:19" x14ac:dyDescent="0.25">
      <c r="A1464">
        <v>1463</v>
      </c>
      <c r="B1464">
        <v>4</v>
      </c>
      <c r="C1464" t="s">
        <v>31</v>
      </c>
      <c r="D1464" t="s">
        <v>32</v>
      </c>
      <c r="E1464">
        <v>1600000</v>
      </c>
      <c r="F1464">
        <v>3200000</v>
      </c>
      <c r="G1464">
        <v>16</v>
      </c>
      <c r="H1464">
        <v>657</v>
      </c>
      <c r="I1464">
        <v>200000</v>
      </c>
      <c r="J1464">
        <v>100000</v>
      </c>
      <c r="K1464">
        <v>5700000</v>
      </c>
      <c r="L1464">
        <v>1200000</v>
      </c>
      <c r="M1464" t="s">
        <v>34</v>
      </c>
      <c r="N1464">
        <f t="shared" si="133"/>
        <v>1</v>
      </c>
      <c r="O1464" t="str">
        <f t="shared" si="132"/>
        <v>Medium</v>
      </c>
      <c r="P1464" t="str">
        <f t="shared" si="134"/>
        <v>High</v>
      </c>
      <c r="Q1464" t="str">
        <f t="shared" si="135"/>
        <v>Low Loan</v>
      </c>
      <c r="R1464">
        <f t="shared" si="136"/>
        <v>7200000</v>
      </c>
      <c r="S1464" t="str">
        <f t="shared" si="137"/>
        <v>Moderate</v>
      </c>
    </row>
    <row r="1465" spans="1:19" x14ac:dyDescent="0.25">
      <c r="A1465">
        <v>1464</v>
      </c>
      <c r="B1465">
        <v>2</v>
      </c>
      <c r="C1465" t="s">
        <v>31</v>
      </c>
      <c r="D1465" t="s">
        <v>33</v>
      </c>
      <c r="E1465">
        <v>400000</v>
      </c>
      <c r="F1465">
        <v>1400000</v>
      </c>
      <c r="G1465">
        <v>2</v>
      </c>
      <c r="H1465">
        <v>480</v>
      </c>
      <c r="I1465">
        <v>200000</v>
      </c>
      <c r="J1465">
        <v>700000</v>
      </c>
      <c r="K1465">
        <v>1600000</v>
      </c>
      <c r="L1465">
        <v>200000</v>
      </c>
      <c r="M1465" t="s">
        <v>34</v>
      </c>
      <c r="N1465">
        <f t="shared" si="133"/>
        <v>1</v>
      </c>
      <c r="O1465" t="str">
        <f t="shared" si="132"/>
        <v>Low</v>
      </c>
      <c r="P1465" t="str">
        <f t="shared" si="134"/>
        <v>Middle</v>
      </c>
      <c r="Q1465" t="str">
        <f t="shared" si="135"/>
        <v>Low Loan</v>
      </c>
      <c r="R1465">
        <f t="shared" si="136"/>
        <v>2700000</v>
      </c>
      <c r="S1465" t="str">
        <f t="shared" si="137"/>
        <v>Weak</v>
      </c>
    </row>
    <row r="1466" spans="1:19" x14ac:dyDescent="0.25">
      <c r="A1466">
        <v>1465</v>
      </c>
      <c r="B1466">
        <v>5</v>
      </c>
      <c r="C1466" t="s">
        <v>30</v>
      </c>
      <c r="D1466" t="s">
        <v>33</v>
      </c>
      <c r="E1466">
        <v>4400000</v>
      </c>
      <c r="F1466">
        <v>17300000</v>
      </c>
      <c r="G1466">
        <v>20</v>
      </c>
      <c r="H1466">
        <v>840</v>
      </c>
      <c r="I1466">
        <v>3600000</v>
      </c>
      <c r="J1466">
        <v>5100000</v>
      </c>
      <c r="K1466">
        <v>12900000</v>
      </c>
      <c r="L1466">
        <v>2300000</v>
      </c>
      <c r="M1466" t="s">
        <v>34</v>
      </c>
      <c r="N1466">
        <f t="shared" si="133"/>
        <v>1</v>
      </c>
      <c r="O1466" t="str">
        <f t="shared" si="132"/>
        <v>Excellent</v>
      </c>
      <c r="P1466" t="str">
        <f t="shared" si="134"/>
        <v>High</v>
      </c>
      <c r="Q1466" t="str">
        <f t="shared" si="135"/>
        <v>Low Loan</v>
      </c>
      <c r="R1466">
        <f t="shared" si="136"/>
        <v>23900000</v>
      </c>
      <c r="S1466" t="str">
        <f t="shared" si="137"/>
        <v>Strong</v>
      </c>
    </row>
    <row r="1467" spans="1:19" x14ac:dyDescent="0.25">
      <c r="A1467">
        <v>1466</v>
      </c>
      <c r="B1467">
        <v>2</v>
      </c>
      <c r="C1467" t="s">
        <v>31</v>
      </c>
      <c r="D1467" t="s">
        <v>33</v>
      </c>
      <c r="E1467">
        <v>3800000</v>
      </c>
      <c r="F1467">
        <v>8000000</v>
      </c>
      <c r="G1467">
        <v>12</v>
      </c>
      <c r="H1467">
        <v>866</v>
      </c>
      <c r="I1467">
        <v>6000000</v>
      </c>
      <c r="J1467">
        <v>600000</v>
      </c>
      <c r="K1467">
        <v>8400000</v>
      </c>
      <c r="L1467">
        <v>1900000</v>
      </c>
      <c r="M1467" t="s">
        <v>34</v>
      </c>
      <c r="N1467">
        <f t="shared" si="133"/>
        <v>1</v>
      </c>
      <c r="O1467" t="str">
        <f t="shared" si="132"/>
        <v>Excellent</v>
      </c>
      <c r="P1467" t="str">
        <f t="shared" si="134"/>
        <v>High</v>
      </c>
      <c r="Q1467" t="str">
        <f t="shared" si="135"/>
        <v>Low Loan</v>
      </c>
      <c r="R1467">
        <f t="shared" si="136"/>
        <v>16900000</v>
      </c>
      <c r="S1467" t="str">
        <f t="shared" si="137"/>
        <v>Strong</v>
      </c>
    </row>
    <row r="1468" spans="1:19" x14ac:dyDescent="0.25">
      <c r="A1468">
        <v>1467</v>
      </c>
      <c r="B1468">
        <v>0</v>
      </c>
      <c r="C1468" t="s">
        <v>31</v>
      </c>
      <c r="D1468" t="s">
        <v>32</v>
      </c>
      <c r="E1468">
        <v>4300000</v>
      </c>
      <c r="F1468">
        <v>17000000</v>
      </c>
      <c r="G1468">
        <v>8</v>
      </c>
      <c r="H1468">
        <v>619</v>
      </c>
      <c r="I1468">
        <v>4100000</v>
      </c>
      <c r="J1468">
        <v>6600000</v>
      </c>
      <c r="K1468">
        <v>17100000</v>
      </c>
      <c r="L1468">
        <v>3900000</v>
      </c>
      <c r="M1468" t="s">
        <v>34</v>
      </c>
      <c r="N1468">
        <f t="shared" si="133"/>
        <v>1</v>
      </c>
      <c r="O1468" t="str">
        <f t="shared" si="132"/>
        <v>Low</v>
      </c>
      <c r="P1468" t="str">
        <f t="shared" si="134"/>
        <v>High</v>
      </c>
      <c r="Q1468" t="str">
        <f t="shared" si="135"/>
        <v>Low Loan</v>
      </c>
      <c r="R1468">
        <f t="shared" si="136"/>
        <v>31700000</v>
      </c>
      <c r="S1468" t="str">
        <f t="shared" si="137"/>
        <v>Strong</v>
      </c>
    </row>
    <row r="1469" spans="1:19" x14ac:dyDescent="0.25">
      <c r="A1469">
        <v>1468</v>
      </c>
      <c r="B1469">
        <v>1</v>
      </c>
      <c r="C1469" t="s">
        <v>30</v>
      </c>
      <c r="D1469" t="s">
        <v>33</v>
      </c>
      <c r="E1469">
        <v>9000000</v>
      </c>
      <c r="F1469">
        <v>33500000</v>
      </c>
      <c r="G1469">
        <v>2</v>
      </c>
      <c r="H1469">
        <v>748</v>
      </c>
      <c r="I1469">
        <v>7900000</v>
      </c>
      <c r="J1469">
        <v>9800000</v>
      </c>
      <c r="K1469">
        <v>25700000</v>
      </c>
      <c r="L1469">
        <v>11500000</v>
      </c>
      <c r="M1469" t="s">
        <v>34</v>
      </c>
      <c r="N1469">
        <f t="shared" si="133"/>
        <v>1</v>
      </c>
      <c r="O1469" t="str">
        <f t="shared" si="132"/>
        <v>Good</v>
      </c>
      <c r="P1469" t="str">
        <f t="shared" si="134"/>
        <v>High</v>
      </c>
      <c r="Q1469" t="str">
        <f t="shared" si="135"/>
        <v>High Loan</v>
      </c>
      <c r="R1469">
        <f t="shared" si="136"/>
        <v>54900000</v>
      </c>
      <c r="S1469" t="str">
        <f t="shared" si="137"/>
        <v>Strong</v>
      </c>
    </row>
    <row r="1470" spans="1:19" x14ac:dyDescent="0.25">
      <c r="A1470">
        <v>1469</v>
      </c>
      <c r="B1470">
        <v>3</v>
      </c>
      <c r="C1470" t="s">
        <v>31</v>
      </c>
      <c r="D1470" t="s">
        <v>33</v>
      </c>
      <c r="E1470">
        <v>9500000</v>
      </c>
      <c r="F1470">
        <v>25500000</v>
      </c>
      <c r="G1470">
        <v>12</v>
      </c>
      <c r="H1470">
        <v>881</v>
      </c>
      <c r="I1470">
        <v>27000000</v>
      </c>
      <c r="J1470">
        <v>14100000</v>
      </c>
      <c r="K1470">
        <v>21600000</v>
      </c>
      <c r="L1470">
        <v>8900000</v>
      </c>
      <c r="M1470" t="s">
        <v>34</v>
      </c>
      <c r="N1470">
        <f t="shared" si="133"/>
        <v>1</v>
      </c>
      <c r="O1470" t="str">
        <f t="shared" si="132"/>
        <v>Excellent</v>
      </c>
      <c r="P1470" t="str">
        <f t="shared" si="134"/>
        <v>High</v>
      </c>
      <c r="Q1470" t="str">
        <f t="shared" si="135"/>
        <v>High Loan</v>
      </c>
      <c r="R1470">
        <f t="shared" si="136"/>
        <v>71600000</v>
      </c>
      <c r="S1470" t="str">
        <f t="shared" si="137"/>
        <v>Strong</v>
      </c>
    </row>
    <row r="1471" spans="1:19" x14ac:dyDescent="0.25">
      <c r="A1471">
        <v>1470</v>
      </c>
      <c r="B1471">
        <v>2</v>
      </c>
      <c r="C1471" t="s">
        <v>30</v>
      </c>
      <c r="D1471" t="s">
        <v>33</v>
      </c>
      <c r="E1471">
        <v>6900000</v>
      </c>
      <c r="F1471">
        <v>13900000</v>
      </c>
      <c r="G1471">
        <v>8</v>
      </c>
      <c r="H1471">
        <v>829</v>
      </c>
      <c r="I1471">
        <v>14300000</v>
      </c>
      <c r="J1471">
        <v>8100000</v>
      </c>
      <c r="K1471">
        <v>22400000</v>
      </c>
      <c r="L1471">
        <v>4600000</v>
      </c>
      <c r="M1471" t="s">
        <v>34</v>
      </c>
      <c r="N1471">
        <f t="shared" si="133"/>
        <v>1</v>
      </c>
      <c r="O1471" t="str">
        <f t="shared" si="132"/>
        <v>Excellent</v>
      </c>
      <c r="P1471" t="str">
        <f t="shared" si="134"/>
        <v>High</v>
      </c>
      <c r="Q1471" t="str">
        <f t="shared" si="135"/>
        <v>Low Loan</v>
      </c>
      <c r="R1471">
        <f t="shared" si="136"/>
        <v>49400000</v>
      </c>
      <c r="S1471" t="str">
        <f t="shared" si="137"/>
        <v>Strong</v>
      </c>
    </row>
    <row r="1472" spans="1:19" x14ac:dyDescent="0.25">
      <c r="A1472">
        <v>1471</v>
      </c>
      <c r="B1472">
        <v>3</v>
      </c>
      <c r="C1472" t="s">
        <v>31</v>
      </c>
      <c r="D1472" t="s">
        <v>32</v>
      </c>
      <c r="E1472">
        <v>4300000</v>
      </c>
      <c r="F1472">
        <v>11100000</v>
      </c>
      <c r="G1472">
        <v>6</v>
      </c>
      <c r="H1472">
        <v>312</v>
      </c>
      <c r="I1472">
        <v>4800000</v>
      </c>
      <c r="J1472">
        <v>3800000</v>
      </c>
      <c r="K1472">
        <v>10100000</v>
      </c>
      <c r="L1472">
        <v>3300000</v>
      </c>
      <c r="M1472" t="s">
        <v>35</v>
      </c>
      <c r="N1472">
        <f t="shared" si="133"/>
        <v>0</v>
      </c>
      <c r="O1472" t="str">
        <f t="shared" si="132"/>
        <v>Low</v>
      </c>
      <c r="P1472" t="str">
        <f t="shared" si="134"/>
        <v>High</v>
      </c>
      <c r="Q1472" t="str">
        <f t="shared" si="135"/>
        <v>Low Loan</v>
      </c>
      <c r="R1472">
        <f t="shared" si="136"/>
        <v>22000000</v>
      </c>
      <c r="S1472" t="str">
        <f t="shared" si="137"/>
        <v>Strong</v>
      </c>
    </row>
    <row r="1473" spans="1:19" x14ac:dyDescent="0.25">
      <c r="A1473">
        <v>1472</v>
      </c>
      <c r="B1473">
        <v>3</v>
      </c>
      <c r="C1473" t="s">
        <v>31</v>
      </c>
      <c r="D1473" t="s">
        <v>32</v>
      </c>
      <c r="E1473">
        <v>6600000</v>
      </c>
      <c r="F1473">
        <v>21400000</v>
      </c>
      <c r="G1473">
        <v>10</v>
      </c>
      <c r="H1473">
        <v>467</v>
      </c>
      <c r="I1473">
        <v>15200000</v>
      </c>
      <c r="J1473">
        <v>6000000</v>
      </c>
      <c r="K1473">
        <v>20300000</v>
      </c>
      <c r="L1473">
        <v>5200000</v>
      </c>
      <c r="M1473" t="s">
        <v>35</v>
      </c>
      <c r="N1473">
        <f t="shared" si="133"/>
        <v>0</v>
      </c>
      <c r="O1473" t="str">
        <f t="shared" si="132"/>
        <v>Low</v>
      </c>
      <c r="P1473" t="str">
        <f t="shared" si="134"/>
        <v>High</v>
      </c>
      <c r="Q1473" t="str">
        <f t="shared" si="135"/>
        <v>High Loan</v>
      </c>
      <c r="R1473">
        <f t="shared" si="136"/>
        <v>46700000</v>
      </c>
      <c r="S1473" t="str">
        <f t="shared" si="137"/>
        <v>Strong</v>
      </c>
    </row>
    <row r="1474" spans="1:19" x14ac:dyDescent="0.25">
      <c r="A1474">
        <v>1473</v>
      </c>
      <c r="B1474">
        <v>1</v>
      </c>
      <c r="C1474" t="s">
        <v>30</v>
      </c>
      <c r="D1474" t="s">
        <v>33</v>
      </c>
      <c r="E1474">
        <v>5200000</v>
      </c>
      <c r="F1474">
        <v>14300000</v>
      </c>
      <c r="G1474">
        <v>18</v>
      </c>
      <c r="H1474">
        <v>650</v>
      </c>
      <c r="I1474">
        <v>5400000</v>
      </c>
      <c r="J1474">
        <v>2300000</v>
      </c>
      <c r="K1474">
        <v>17600000</v>
      </c>
      <c r="L1474">
        <v>3600000</v>
      </c>
      <c r="M1474" t="s">
        <v>34</v>
      </c>
      <c r="N1474">
        <f t="shared" si="133"/>
        <v>1</v>
      </c>
      <c r="O1474" t="str">
        <f t="shared" ref="O1474:O1537" si="138">IF(H1474&lt;650,"Low",
 IF(H1474&lt;700,"Medium",
 IF(H1474&lt;750,"Good","Excellent")))</f>
        <v>Medium</v>
      </c>
      <c r="P1474" t="str">
        <f t="shared" si="134"/>
        <v>High</v>
      </c>
      <c r="Q1474" t="str">
        <f t="shared" si="135"/>
        <v>Low Loan</v>
      </c>
      <c r="R1474">
        <f t="shared" si="136"/>
        <v>28900000</v>
      </c>
      <c r="S1474" t="str">
        <f t="shared" si="137"/>
        <v>Strong</v>
      </c>
    </row>
    <row r="1475" spans="1:19" x14ac:dyDescent="0.25">
      <c r="A1475">
        <v>1474</v>
      </c>
      <c r="B1475">
        <v>3</v>
      </c>
      <c r="C1475" t="s">
        <v>30</v>
      </c>
      <c r="D1475" t="s">
        <v>33</v>
      </c>
      <c r="E1475">
        <v>400000</v>
      </c>
      <c r="F1475">
        <v>1100000</v>
      </c>
      <c r="G1475">
        <v>6</v>
      </c>
      <c r="H1475">
        <v>711</v>
      </c>
      <c r="I1475">
        <v>100000</v>
      </c>
      <c r="J1475">
        <v>300000</v>
      </c>
      <c r="K1475">
        <v>1400000</v>
      </c>
      <c r="L1475">
        <v>100000</v>
      </c>
      <c r="M1475" t="s">
        <v>34</v>
      </c>
      <c r="N1475">
        <f t="shared" ref="N1475:N1538" si="139">IF(TRIM(CLEAN(M1475))="Approved",1,0)</f>
        <v>1</v>
      </c>
      <c r="O1475" t="str">
        <f t="shared" si="138"/>
        <v>Good</v>
      </c>
      <c r="P1475" t="str">
        <f t="shared" ref="P1475:P1538" si="140">IF(E1475&lt;300000,"Low",
 IF(E1475&lt;700000,"Middle","High"))</f>
        <v>Middle</v>
      </c>
      <c r="Q1475" t="str">
        <f t="shared" ref="Q1475:Q1538" si="141">IF(F1475&lt;20000000,"Low Loan","High Loan")</f>
        <v>Low Loan</v>
      </c>
      <c r="R1475">
        <f t="shared" ref="R1475:R1538" si="142">I1475+J1475+K1475+L1475</f>
        <v>1900000</v>
      </c>
      <c r="S1475" t="str">
        <f t="shared" ref="S1475:S1538" si="143">IF(R1475&lt;5000000,"Weak",
 IF(R1475&lt;10000000,"Moderate","Strong"))</f>
        <v>Weak</v>
      </c>
    </row>
    <row r="1476" spans="1:19" x14ac:dyDescent="0.25">
      <c r="A1476">
        <v>1475</v>
      </c>
      <c r="B1476">
        <v>4</v>
      </c>
      <c r="C1476" t="s">
        <v>31</v>
      </c>
      <c r="D1476" t="s">
        <v>32</v>
      </c>
      <c r="E1476">
        <v>1300000</v>
      </c>
      <c r="F1476">
        <v>4100000</v>
      </c>
      <c r="G1476">
        <v>18</v>
      </c>
      <c r="H1476">
        <v>886</v>
      </c>
      <c r="I1476">
        <v>2800000</v>
      </c>
      <c r="J1476">
        <v>500000</v>
      </c>
      <c r="K1476">
        <v>3800000</v>
      </c>
      <c r="L1476">
        <v>600000</v>
      </c>
      <c r="M1476" t="s">
        <v>34</v>
      </c>
      <c r="N1476">
        <f t="shared" si="139"/>
        <v>1</v>
      </c>
      <c r="O1476" t="str">
        <f t="shared" si="138"/>
        <v>Excellent</v>
      </c>
      <c r="P1476" t="str">
        <f t="shared" si="140"/>
        <v>High</v>
      </c>
      <c r="Q1476" t="str">
        <f t="shared" si="141"/>
        <v>Low Loan</v>
      </c>
      <c r="R1476">
        <f t="shared" si="142"/>
        <v>7700000</v>
      </c>
      <c r="S1476" t="str">
        <f t="shared" si="143"/>
        <v>Moderate</v>
      </c>
    </row>
    <row r="1477" spans="1:19" x14ac:dyDescent="0.25">
      <c r="A1477">
        <v>1476</v>
      </c>
      <c r="B1477">
        <v>5</v>
      </c>
      <c r="C1477" t="s">
        <v>31</v>
      </c>
      <c r="D1477" t="s">
        <v>32</v>
      </c>
      <c r="E1477">
        <v>9700000</v>
      </c>
      <c r="F1477">
        <v>28400000</v>
      </c>
      <c r="G1477">
        <v>4</v>
      </c>
      <c r="H1477">
        <v>494</v>
      </c>
      <c r="I1477">
        <v>5300000</v>
      </c>
      <c r="J1477">
        <v>12000000</v>
      </c>
      <c r="K1477">
        <v>24400000</v>
      </c>
      <c r="L1477">
        <v>10000000</v>
      </c>
      <c r="M1477" t="s">
        <v>35</v>
      </c>
      <c r="N1477">
        <f t="shared" si="139"/>
        <v>0</v>
      </c>
      <c r="O1477" t="str">
        <f t="shared" si="138"/>
        <v>Low</v>
      </c>
      <c r="P1477" t="str">
        <f t="shared" si="140"/>
        <v>High</v>
      </c>
      <c r="Q1477" t="str">
        <f t="shared" si="141"/>
        <v>High Loan</v>
      </c>
      <c r="R1477">
        <f t="shared" si="142"/>
        <v>51700000</v>
      </c>
      <c r="S1477" t="str">
        <f t="shared" si="143"/>
        <v>Strong</v>
      </c>
    </row>
    <row r="1478" spans="1:19" x14ac:dyDescent="0.25">
      <c r="A1478">
        <v>1477</v>
      </c>
      <c r="B1478">
        <v>2</v>
      </c>
      <c r="C1478" t="s">
        <v>30</v>
      </c>
      <c r="D1478" t="s">
        <v>33</v>
      </c>
      <c r="E1478">
        <v>5400000</v>
      </c>
      <c r="F1478">
        <v>10900000</v>
      </c>
      <c r="G1478">
        <v>14</v>
      </c>
      <c r="H1478">
        <v>741</v>
      </c>
      <c r="I1478">
        <v>1300000</v>
      </c>
      <c r="J1478">
        <v>6000000</v>
      </c>
      <c r="K1478">
        <v>20400000</v>
      </c>
      <c r="L1478">
        <v>5600000</v>
      </c>
      <c r="M1478" t="s">
        <v>34</v>
      </c>
      <c r="N1478">
        <f t="shared" si="139"/>
        <v>1</v>
      </c>
      <c r="O1478" t="str">
        <f t="shared" si="138"/>
        <v>Good</v>
      </c>
      <c r="P1478" t="str">
        <f t="shared" si="140"/>
        <v>High</v>
      </c>
      <c r="Q1478" t="str">
        <f t="shared" si="141"/>
        <v>Low Loan</v>
      </c>
      <c r="R1478">
        <f t="shared" si="142"/>
        <v>33300000</v>
      </c>
      <c r="S1478" t="str">
        <f t="shared" si="143"/>
        <v>Strong</v>
      </c>
    </row>
    <row r="1479" spans="1:19" x14ac:dyDescent="0.25">
      <c r="A1479">
        <v>1478</v>
      </c>
      <c r="B1479">
        <v>4</v>
      </c>
      <c r="C1479" t="s">
        <v>31</v>
      </c>
      <c r="D1479" t="s">
        <v>32</v>
      </c>
      <c r="E1479">
        <v>1200000</v>
      </c>
      <c r="F1479">
        <v>3300000</v>
      </c>
      <c r="G1479">
        <v>12</v>
      </c>
      <c r="H1479">
        <v>876</v>
      </c>
      <c r="I1479">
        <v>400000</v>
      </c>
      <c r="J1479">
        <v>100000</v>
      </c>
      <c r="K1479">
        <v>3800000</v>
      </c>
      <c r="L1479">
        <v>1000000</v>
      </c>
      <c r="M1479" t="s">
        <v>34</v>
      </c>
      <c r="N1479">
        <f t="shared" si="139"/>
        <v>1</v>
      </c>
      <c r="O1479" t="str">
        <f t="shared" si="138"/>
        <v>Excellent</v>
      </c>
      <c r="P1479" t="str">
        <f t="shared" si="140"/>
        <v>High</v>
      </c>
      <c r="Q1479" t="str">
        <f t="shared" si="141"/>
        <v>Low Loan</v>
      </c>
      <c r="R1479">
        <f t="shared" si="142"/>
        <v>5300000</v>
      </c>
      <c r="S1479" t="str">
        <f t="shared" si="143"/>
        <v>Moderate</v>
      </c>
    </row>
    <row r="1480" spans="1:19" x14ac:dyDescent="0.25">
      <c r="A1480">
        <v>1479</v>
      </c>
      <c r="B1480">
        <v>0</v>
      </c>
      <c r="C1480" t="s">
        <v>30</v>
      </c>
      <c r="D1480" t="s">
        <v>33</v>
      </c>
      <c r="E1480">
        <v>7000000</v>
      </c>
      <c r="F1480">
        <v>26400000</v>
      </c>
      <c r="G1480">
        <v>14</v>
      </c>
      <c r="H1480">
        <v>610</v>
      </c>
      <c r="I1480">
        <v>14300000</v>
      </c>
      <c r="J1480">
        <v>0</v>
      </c>
      <c r="K1480">
        <v>13900000</v>
      </c>
      <c r="L1480">
        <v>5300000</v>
      </c>
      <c r="M1480" t="s">
        <v>34</v>
      </c>
      <c r="N1480">
        <f t="shared" si="139"/>
        <v>1</v>
      </c>
      <c r="O1480" t="str">
        <f t="shared" si="138"/>
        <v>Low</v>
      </c>
      <c r="P1480" t="str">
        <f t="shared" si="140"/>
        <v>High</v>
      </c>
      <c r="Q1480" t="str">
        <f t="shared" si="141"/>
        <v>High Loan</v>
      </c>
      <c r="R1480">
        <f t="shared" si="142"/>
        <v>33500000</v>
      </c>
      <c r="S1480" t="str">
        <f t="shared" si="143"/>
        <v>Strong</v>
      </c>
    </row>
    <row r="1481" spans="1:19" x14ac:dyDescent="0.25">
      <c r="A1481">
        <v>1480</v>
      </c>
      <c r="B1481">
        <v>5</v>
      </c>
      <c r="C1481" t="s">
        <v>30</v>
      </c>
      <c r="D1481" t="s">
        <v>32</v>
      </c>
      <c r="E1481">
        <v>7600000</v>
      </c>
      <c r="F1481">
        <v>26000000</v>
      </c>
      <c r="G1481">
        <v>6</v>
      </c>
      <c r="H1481">
        <v>778</v>
      </c>
      <c r="I1481">
        <v>12900000</v>
      </c>
      <c r="J1481">
        <v>2400000</v>
      </c>
      <c r="K1481">
        <v>25500000</v>
      </c>
      <c r="L1481">
        <v>10900000</v>
      </c>
      <c r="M1481" t="s">
        <v>34</v>
      </c>
      <c r="N1481">
        <f t="shared" si="139"/>
        <v>1</v>
      </c>
      <c r="O1481" t="str">
        <f t="shared" si="138"/>
        <v>Excellent</v>
      </c>
      <c r="P1481" t="str">
        <f t="shared" si="140"/>
        <v>High</v>
      </c>
      <c r="Q1481" t="str">
        <f t="shared" si="141"/>
        <v>High Loan</v>
      </c>
      <c r="R1481">
        <f t="shared" si="142"/>
        <v>51700000</v>
      </c>
      <c r="S1481" t="str">
        <f t="shared" si="143"/>
        <v>Strong</v>
      </c>
    </row>
    <row r="1482" spans="1:19" x14ac:dyDescent="0.25">
      <c r="A1482">
        <v>1481</v>
      </c>
      <c r="B1482">
        <v>5</v>
      </c>
      <c r="C1482" t="s">
        <v>30</v>
      </c>
      <c r="D1482" t="s">
        <v>33</v>
      </c>
      <c r="E1482">
        <v>700000</v>
      </c>
      <c r="F1482">
        <v>1800000</v>
      </c>
      <c r="G1482">
        <v>14</v>
      </c>
      <c r="H1482">
        <v>571</v>
      </c>
      <c r="I1482">
        <v>200000</v>
      </c>
      <c r="J1482">
        <v>400000</v>
      </c>
      <c r="K1482">
        <v>1900000</v>
      </c>
      <c r="L1482">
        <v>400000</v>
      </c>
      <c r="M1482" t="s">
        <v>34</v>
      </c>
      <c r="N1482">
        <f t="shared" si="139"/>
        <v>1</v>
      </c>
      <c r="O1482" t="str">
        <f t="shared" si="138"/>
        <v>Low</v>
      </c>
      <c r="P1482" t="str">
        <f t="shared" si="140"/>
        <v>High</v>
      </c>
      <c r="Q1482" t="str">
        <f t="shared" si="141"/>
        <v>Low Loan</v>
      </c>
      <c r="R1482">
        <f t="shared" si="142"/>
        <v>2900000</v>
      </c>
      <c r="S1482" t="str">
        <f t="shared" si="143"/>
        <v>Weak</v>
      </c>
    </row>
    <row r="1483" spans="1:19" x14ac:dyDescent="0.25">
      <c r="A1483">
        <v>1482</v>
      </c>
      <c r="B1483">
        <v>3</v>
      </c>
      <c r="C1483" t="s">
        <v>30</v>
      </c>
      <c r="D1483" t="s">
        <v>33</v>
      </c>
      <c r="E1483">
        <v>7500000</v>
      </c>
      <c r="F1483">
        <v>25100000</v>
      </c>
      <c r="G1483">
        <v>18</v>
      </c>
      <c r="H1483">
        <v>554</v>
      </c>
      <c r="I1483">
        <v>12500000</v>
      </c>
      <c r="J1483">
        <v>7900000</v>
      </c>
      <c r="K1483">
        <v>28500000</v>
      </c>
      <c r="L1483">
        <v>4700000</v>
      </c>
      <c r="M1483" t="s">
        <v>34</v>
      </c>
      <c r="N1483">
        <f t="shared" si="139"/>
        <v>1</v>
      </c>
      <c r="O1483" t="str">
        <f t="shared" si="138"/>
        <v>Low</v>
      </c>
      <c r="P1483" t="str">
        <f t="shared" si="140"/>
        <v>High</v>
      </c>
      <c r="Q1483" t="str">
        <f t="shared" si="141"/>
        <v>High Loan</v>
      </c>
      <c r="R1483">
        <f t="shared" si="142"/>
        <v>53600000</v>
      </c>
      <c r="S1483" t="str">
        <f t="shared" si="143"/>
        <v>Strong</v>
      </c>
    </row>
    <row r="1484" spans="1:19" x14ac:dyDescent="0.25">
      <c r="A1484">
        <v>1483</v>
      </c>
      <c r="B1484">
        <v>0</v>
      </c>
      <c r="C1484" t="s">
        <v>31</v>
      </c>
      <c r="D1484" t="s">
        <v>33</v>
      </c>
      <c r="E1484">
        <v>2300000</v>
      </c>
      <c r="F1484">
        <v>6200000</v>
      </c>
      <c r="G1484">
        <v>8</v>
      </c>
      <c r="H1484">
        <v>712</v>
      </c>
      <c r="I1484">
        <v>6800000</v>
      </c>
      <c r="J1484">
        <v>1700000</v>
      </c>
      <c r="K1484">
        <v>8800000</v>
      </c>
      <c r="L1484">
        <v>1500000</v>
      </c>
      <c r="M1484" t="s">
        <v>34</v>
      </c>
      <c r="N1484">
        <f t="shared" si="139"/>
        <v>1</v>
      </c>
      <c r="O1484" t="str">
        <f t="shared" si="138"/>
        <v>Good</v>
      </c>
      <c r="P1484" t="str">
        <f t="shared" si="140"/>
        <v>High</v>
      </c>
      <c r="Q1484" t="str">
        <f t="shared" si="141"/>
        <v>Low Loan</v>
      </c>
      <c r="R1484">
        <f t="shared" si="142"/>
        <v>18800000</v>
      </c>
      <c r="S1484" t="str">
        <f t="shared" si="143"/>
        <v>Strong</v>
      </c>
    </row>
    <row r="1485" spans="1:19" x14ac:dyDescent="0.25">
      <c r="A1485">
        <v>1484</v>
      </c>
      <c r="B1485">
        <v>5</v>
      </c>
      <c r="C1485" t="s">
        <v>31</v>
      </c>
      <c r="D1485" t="s">
        <v>33</v>
      </c>
      <c r="E1485">
        <v>5600000</v>
      </c>
      <c r="F1485">
        <v>11500000</v>
      </c>
      <c r="G1485">
        <v>4</v>
      </c>
      <c r="H1485">
        <v>695</v>
      </c>
      <c r="I1485">
        <v>9500000</v>
      </c>
      <c r="J1485">
        <v>7100000</v>
      </c>
      <c r="K1485">
        <v>11700000</v>
      </c>
      <c r="L1485">
        <v>7800000</v>
      </c>
      <c r="M1485" t="s">
        <v>34</v>
      </c>
      <c r="N1485">
        <f t="shared" si="139"/>
        <v>1</v>
      </c>
      <c r="O1485" t="str">
        <f t="shared" si="138"/>
        <v>Medium</v>
      </c>
      <c r="P1485" t="str">
        <f t="shared" si="140"/>
        <v>High</v>
      </c>
      <c r="Q1485" t="str">
        <f t="shared" si="141"/>
        <v>Low Loan</v>
      </c>
      <c r="R1485">
        <f t="shared" si="142"/>
        <v>36100000</v>
      </c>
      <c r="S1485" t="str">
        <f t="shared" si="143"/>
        <v>Strong</v>
      </c>
    </row>
    <row r="1486" spans="1:19" x14ac:dyDescent="0.25">
      <c r="A1486">
        <v>1485</v>
      </c>
      <c r="B1486">
        <v>0</v>
      </c>
      <c r="C1486" t="s">
        <v>31</v>
      </c>
      <c r="D1486" t="s">
        <v>33</v>
      </c>
      <c r="E1486">
        <v>5400000</v>
      </c>
      <c r="F1486">
        <v>10900000</v>
      </c>
      <c r="G1486">
        <v>20</v>
      </c>
      <c r="H1486">
        <v>366</v>
      </c>
      <c r="I1486">
        <v>3700000</v>
      </c>
      <c r="J1486">
        <v>500000</v>
      </c>
      <c r="K1486">
        <v>21000000</v>
      </c>
      <c r="L1486">
        <v>4800000</v>
      </c>
      <c r="M1486" t="s">
        <v>35</v>
      </c>
      <c r="N1486">
        <f t="shared" si="139"/>
        <v>0</v>
      </c>
      <c r="O1486" t="str">
        <f t="shared" si="138"/>
        <v>Low</v>
      </c>
      <c r="P1486" t="str">
        <f t="shared" si="140"/>
        <v>High</v>
      </c>
      <c r="Q1486" t="str">
        <f t="shared" si="141"/>
        <v>Low Loan</v>
      </c>
      <c r="R1486">
        <f t="shared" si="142"/>
        <v>30000000</v>
      </c>
      <c r="S1486" t="str">
        <f t="shared" si="143"/>
        <v>Strong</v>
      </c>
    </row>
    <row r="1487" spans="1:19" x14ac:dyDescent="0.25">
      <c r="A1487">
        <v>1486</v>
      </c>
      <c r="B1487">
        <v>1</v>
      </c>
      <c r="C1487" t="s">
        <v>31</v>
      </c>
      <c r="D1487" t="s">
        <v>33</v>
      </c>
      <c r="E1487">
        <v>1800000</v>
      </c>
      <c r="F1487">
        <v>5500000</v>
      </c>
      <c r="G1487">
        <v>10</v>
      </c>
      <c r="H1487">
        <v>426</v>
      </c>
      <c r="I1487">
        <v>5000000</v>
      </c>
      <c r="J1487">
        <v>1500000</v>
      </c>
      <c r="K1487">
        <v>5900000</v>
      </c>
      <c r="L1487">
        <v>1600000</v>
      </c>
      <c r="M1487" t="s">
        <v>35</v>
      </c>
      <c r="N1487">
        <f t="shared" si="139"/>
        <v>0</v>
      </c>
      <c r="O1487" t="str">
        <f t="shared" si="138"/>
        <v>Low</v>
      </c>
      <c r="P1487" t="str">
        <f t="shared" si="140"/>
        <v>High</v>
      </c>
      <c r="Q1487" t="str">
        <f t="shared" si="141"/>
        <v>Low Loan</v>
      </c>
      <c r="R1487">
        <f t="shared" si="142"/>
        <v>14000000</v>
      </c>
      <c r="S1487" t="str">
        <f t="shared" si="143"/>
        <v>Strong</v>
      </c>
    </row>
    <row r="1488" spans="1:19" x14ac:dyDescent="0.25">
      <c r="A1488">
        <v>1487</v>
      </c>
      <c r="B1488">
        <v>0</v>
      </c>
      <c r="C1488" t="s">
        <v>31</v>
      </c>
      <c r="D1488" t="s">
        <v>32</v>
      </c>
      <c r="E1488">
        <v>2900000</v>
      </c>
      <c r="F1488">
        <v>6900000</v>
      </c>
      <c r="G1488">
        <v>10</v>
      </c>
      <c r="H1488">
        <v>320</v>
      </c>
      <c r="I1488">
        <v>5100000</v>
      </c>
      <c r="J1488">
        <v>500000</v>
      </c>
      <c r="K1488">
        <v>7700000</v>
      </c>
      <c r="L1488">
        <v>1500000</v>
      </c>
      <c r="M1488" t="s">
        <v>35</v>
      </c>
      <c r="N1488">
        <f t="shared" si="139"/>
        <v>0</v>
      </c>
      <c r="O1488" t="str">
        <f t="shared" si="138"/>
        <v>Low</v>
      </c>
      <c r="P1488" t="str">
        <f t="shared" si="140"/>
        <v>High</v>
      </c>
      <c r="Q1488" t="str">
        <f t="shared" si="141"/>
        <v>Low Loan</v>
      </c>
      <c r="R1488">
        <f t="shared" si="142"/>
        <v>14800000</v>
      </c>
      <c r="S1488" t="str">
        <f t="shared" si="143"/>
        <v>Strong</v>
      </c>
    </row>
    <row r="1489" spans="1:19" x14ac:dyDescent="0.25">
      <c r="A1489">
        <v>1488</v>
      </c>
      <c r="B1489">
        <v>3</v>
      </c>
      <c r="C1489" t="s">
        <v>31</v>
      </c>
      <c r="D1489" t="s">
        <v>33</v>
      </c>
      <c r="E1489">
        <v>1400000</v>
      </c>
      <c r="F1489">
        <v>4600000</v>
      </c>
      <c r="G1489">
        <v>8</v>
      </c>
      <c r="H1489">
        <v>543</v>
      </c>
      <c r="I1489">
        <v>1500000</v>
      </c>
      <c r="J1489">
        <v>1200000</v>
      </c>
      <c r="K1489">
        <v>2700000</v>
      </c>
      <c r="L1489">
        <v>2000000</v>
      </c>
      <c r="M1489" t="s">
        <v>35</v>
      </c>
      <c r="N1489">
        <f t="shared" si="139"/>
        <v>0</v>
      </c>
      <c r="O1489" t="str">
        <f t="shared" si="138"/>
        <v>Low</v>
      </c>
      <c r="P1489" t="str">
        <f t="shared" si="140"/>
        <v>High</v>
      </c>
      <c r="Q1489" t="str">
        <f t="shared" si="141"/>
        <v>Low Loan</v>
      </c>
      <c r="R1489">
        <f t="shared" si="142"/>
        <v>7400000</v>
      </c>
      <c r="S1489" t="str">
        <f t="shared" si="143"/>
        <v>Moderate</v>
      </c>
    </row>
    <row r="1490" spans="1:19" x14ac:dyDescent="0.25">
      <c r="A1490">
        <v>1489</v>
      </c>
      <c r="B1490">
        <v>2</v>
      </c>
      <c r="C1490" t="s">
        <v>30</v>
      </c>
      <c r="D1490" t="s">
        <v>32</v>
      </c>
      <c r="E1490">
        <v>2800000</v>
      </c>
      <c r="F1490">
        <v>11000000</v>
      </c>
      <c r="G1490">
        <v>16</v>
      </c>
      <c r="H1490">
        <v>525</v>
      </c>
      <c r="I1490">
        <v>8200000</v>
      </c>
      <c r="J1490">
        <v>1800000</v>
      </c>
      <c r="K1490">
        <v>5800000</v>
      </c>
      <c r="L1490">
        <v>2400000</v>
      </c>
      <c r="M1490" t="s">
        <v>35</v>
      </c>
      <c r="N1490">
        <f t="shared" si="139"/>
        <v>0</v>
      </c>
      <c r="O1490" t="str">
        <f t="shared" si="138"/>
        <v>Low</v>
      </c>
      <c r="P1490" t="str">
        <f t="shared" si="140"/>
        <v>High</v>
      </c>
      <c r="Q1490" t="str">
        <f t="shared" si="141"/>
        <v>Low Loan</v>
      </c>
      <c r="R1490">
        <f t="shared" si="142"/>
        <v>18200000</v>
      </c>
      <c r="S1490" t="str">
        <f t="shared" si="143"/>
        <v>Strong</v>
      </c>
    </row>
    <row r="1491" spans="1:19" x14ac:dyDescent="0.25">
      <c r="A1491">
        <v>1490</v>
      </c>
      <c r="B1491">
        <v>0</v>
      </c>
      <c r="C1491" t="s">
        <v>31</v>
      </c>
      <c r="D1491" t="s">
        <v>33</v>
      </c>
      <c r="E1491">
        <v>3300000</v>
      </c>
      <c r="F1491">
        <v>13100000</v>
      </c>
      <c r="G1491">
        <v>12</v>
      </c>
      <c r="H1491">
        <v>812</v>
      </c>
      <c r="I1491">
        <v>4800000</v>
      </c>
      <c r="J1491">
        <v>4900000</v>
      </c>
      <c r="K1491">
        <v>7500000</v>
      </c>
      <c r="L1491">
        <v>4300000</v>
      </c>
      <c r="M1491" t="s">
        <v>34</v>
      </c>
      <c r="N1491">
        <f t="shared" si="139"/>
        <v>1</v>
      </c>
      <c r="O1491" t="str">
        <f t="shared" si="138"/>
        <v>Excellent</v>
      </c>
      <c r="P1491" t="str">
        <f t="shared" si="140"/>
        <v>High</v>
      </c>
      <c r="Q1491" t="str">
        <f t="shared" si="141"/>
        <v>Low Loan</v>
      </c>
      <c r="R1491">
        <f t="shared" si="142"/>
        <v>21500000</v>
      </c>
      <c r="S1491" t="str">
        <f t="shared" si="143"/>
        <v>Strong</v>
      </c>
    </row>
    <row r="1492" spans="1:19" x14ac:dyDescent="0.25">
      <c r="A1492">
        <v>1491</v>
      </c>
      <c r="B1492">
        <v>0</v>
      </c>
      <c r="C1492" t="s">
        <v>31</v>
      </c>
      <c r="D1492" t="s">
        <v>32</v>
      </c>
      <c r="E1492">
        <v>7000000</v>
      </c>
      <c r="F1492">
        <v>25300000</v>
      </c>
      <c r="G1492">
        <v>14</v>
      </c>
      <c r="H1492">
        <v>697</v>
      </c>
      <c r="I1492">
        <v>15100000</v>
      </c>
      <c r="J1492">
        <v>10400000</v>
      </c>
      <c r="K1492">
        <v>14300000</v>
      </c>
      <c r="L1492">
        <v>6700000</v>
      </c>
      <c r="M1492" t="s">
        <v>34</v>
      </c>
      <c r="N1492">
        <f t="shared" si="139"/>
        <v>1</v>
      </c>
      <c r="O1492" t="str">
        <f t="shared" si="138"/>
        <v>Medium</v>
      </c>
      <c r="P1492" t="str">
        <f t="shared" si="140"/>
        <v>High</v>
      </c>
      <c r="Q1492" t="str">
        <f t="shared" si="141"/>
        <v>High Loan</v>
      </c>
      <c r="R1492">
        <f t="shared" si="142"/>
        <v>46500000</v>
      </c>
      <c r="S1492" t="str">
        <f t="shared" si="143"/>
        <v>Strong</v>
      </c>
    </row>
    <row r="1493" spans="1:19" x14ac:dyDescent="0.25">
      <c r="A1493">
        <v>1492</v>
      </c>
      <c r="B1493">
        <v>1</v>
      </c>
      <c r="C1493" t="s">
        <v>31</v>
      </c>
      <c r="D1493" t="s">
        <v>32</v>
      </c>
      <c r="E1493">
        <v>3900000</v>
      </c>
      <c r="F1493">
        <v>15100000</v>
      </c>
      <c r="G1493">
        <v>12</v>
      </c>
      <c r="H1493">
        <v>527</v>
      </c>
      <c r="I1493">
        <v>10600000</v>
      </c>
      <c r="J1493">
        <v>5100000</v>
      </c>
      <c r="K1493">
        <v>11100000</v>
      </c>
      <c r="L1493">
        <v>3800000</v>
      </c>
      <c r="M1493" t="s">
        <v>35</v>
      </c>
      <c r="N1493">
        <f t="shared" si="139"/>
        <v>0</v>
      </c>
      <c r="O1493" t="str">
        <f t="shared" si="138"/>
        <v>Low</v>
      </c>
      <c r="P1493" t="str">
        <f t="shared" si="140"/>
        <v>High</v>
      </c>
      <c r="Q1493" t="str">
        <f t="shared" si="141"/>
        <v>Low Loan</v>
      </c>
      <c r="R1493">
        <f t="shared" si="142"/>
        <v>30600000</v>
      </c>
      <c r="S1493" t="str">
        <f t="shared" si="143"/>
        <v>Strong</v>
      </c>
    </row>
    <row r="1494" spans="1:19" x14ac:dyDescent="0.25">
      <c r="A1494">
        <v>1493</v>
      </c>
      <c r="B1494">
        <v>1</v>
      </c>
      <c r="C1494" t="s">
        <v>31</v>
      </c>
      <c r="D1494" t="s">
        <v>32</v>
      </c>
      <c r="E1494">
        <v>5700000</v>
      </c>
      <c r="F1494">
        <v>17200000</v>
      </c>
      <c r="G1494">
        <v>4</v>
      </c>
      <c r="H1494">
        <v>512</v>
      </c>
      <c r="I1494">
        <v>4300000</v>
      </c>
      <c r="J1494">
        <v>7000000</v>
      </c>
      <c r="K1494">
        <v>21400000</v>
      </c>
      <c r="L1494">
        <v>3000000</v>
      </c>
      <c r="M1494" t="s">
        <v>34</v>
      </c>
      <c r="N1494">
        <f t="shared" si="139"/>
        <v>1</v>
      </c>
      <c r="O1494" t="str">
        <f t="shared" si="138"/>
        <v>Low</v>
      </c>
      <c r="P1494" t="str">
        <f t="shared" si="140"/>
        <v>High</v>
      </c>
      <c r="Q1494" t="str">
        <f t="shared" si="141"/>
        <v>Low Loan</v>
      </c>
      <c r="R1494">
        <f t="shared" si="142"/>
        <v>35700000</v>
      </c>
      <c r="S1494" t="str">
        <f t="shared" si="143"/>
        <v>Strong</v>
      </c>
    </row>
    <row r="1495" spans="1:19" x14ac:dyDescent="0.25">
      <c r="A1495">
        <v>1494</v>
      </c>
      <c r="B1495">
        <v>0</v>
      </c>
      <c r="C1495" t="s">
        <v>30</v>
      </c>
      <c r="D1495" t="s">
        <v>32</v>
      </c>
      <c r="E1495">
        <v>4100000</v>
      </c>
      <c r="F1495">
        <v>9200000</v>
      </c>
      <c r="G1495">
        <v>4</v>
      </c>
      <c r="H1495">
        <v>671</v>
      </c>
      <c r="I1495">
        <v>3400000</v>
      </c>
      <c r="J1495">
        <v>6300000</v>
      </c>
      <c r="K1495">
        <v>10400000</v>
      </c>
      <c r="L1495">
        <v>4900000</v>
      </c>
      <c r="M1495" t="s">
        <v>34</v>
      </c>
      <c r="N1495">
        <f t="shared" si="139"/>
        <v>1</v>
      </c>
      <c r="O1495" t="str">
        <f t="shared" si="138"/>
        <v>Medium</v>
      </c>
      <c r="P1495" t="str">
        <f t="shared" si="140"/>
        <v>High</v>
      </c>
      <c r="Q1495" t="str">
        <f t="shared" si="141"/>
        <v>Low Loan</v>
      </c>
      <c r="R1495">
        <f t="shared" si="142"/>
        <v>25000000</v>
      </c>
      <c r="S1495" t="str">
        <f t="shared" si="143"/>
        <v>Strong</v>
      </c>
    </row>
    <row r="1496" spans="1:19" x14ac:dyDescent="0.25">
      <c r="A1496">
        <v>1495</v>
      </c>
      <c r="B1496">
        <v>1</v>
      </c>
      <c r="C1496" t="s">
        <v>30</v>
      </c>
      <c r="D1496" t="s">
        <v>33</v>
      </c>
      <c r="E1496">
        <v>2200000</v>
      </c>
      <c r="F1496">
        <v>8700000</v>
      </c>
      <c r="G1496">
        <v>20</v>
      </c>
      <c r="H1496">
        <v>539</v>
      </c>
      <c r="I1496">
        <v>1000000</v>
      </c>
      <c r="J1496">
        <v>4000000</v>
      </c>
      <c r="K1496">
        <v>8200000</v>
      </c>
      <c r="L1496">
        <v>2600000</v>
      </c>
      <c r="M1496" t="s">
        <v>35</v>
      </c>
      <c r="N1496">
        <f t="shared" si="139"/>
        <v>0</v>
      </c>
      <c r="O1496" t="str">
        <f t="shared" si="138"/>
        <v>Low</v>
      </c>
      <c r="P1496" t="str">
        <f t="shared" si="140"/>
        <v>High</v>
      </c>
      <c r="Q1496" t="str">
        <f t="shared" si="141"/>
        <v>Low Loan</v>
      </c>
      <c r="R1496">
        <f t="shared" si="142"/>
        <v>15800000</v>
      </c>
      <c r="S1496" t="str">
        <f t="shared" si="143"/>
        <v>Strong</v>
      </c>
    </row>
    <row r="1497" spans="1:19" x14ac:dyDescent="0.25">
      <c r="A1497">
        <v>1496</v>
      </c>
      <c r="B1497">
        <v>5</v>
      </c>
      <c r="C1497" t="s">
        <v>31</v>
      </c>
      <c r="D1497" t="s">
        <v>32</v>
      </c>
      <c r="E1497">
        <v>2200000</v>
      </c>
      <c r="F1497">
        <v>7200000</v>
      </c>
      <c r="G1497">
        <v>10</v>
      </c>
      <c r="H1497">
        <v>532</v>
      </c>
      <c r="I1497">
        <v>2700000</v>
      </c>
      <c r="J1497">
        <v>300000</v>
      </c>
      <c r="K1497">
        <v>7500000</v>
      </c>
      <c r="L1497">
        <v>1600000</v>
      </c>
      <c r="M1497" t="s">
        <v>35</v>
      </c>
      <c r="N1497">
        <f t="shared" si="139"/>
        <v>0</v>
      </c>
      <c r="O1497" t="str">
        <f t="shared" si="138"/>
        <v>Low</v>
      </c>
      <c r="P1497" t="str">
        <f t="shared" si="140"/>
        <v>High</v>
      </c>
      <c r="Q1497" t="str">
        <f t="shared" si="141"/>
        <v>Low Loan</v>
      </c>
      <c r="R1497">
        <f t="shared" si="142"/>
        <v>12100000</v>
      </c>
      <c r="S1497" t="str">
        <f t="shared" si="143"/>
        <v>Strong</v>
      </c>
    </row>
    <row r="1498" spans="1:19" x14ac:dyDescent="0.25">
      <c r="A1498">
        <v>1497</v>
      </c>
      <c r="B1498">
        <v>3</v>
      </c>
      <c r="C1498" t="s">
        <v>31</v>
      </c>
      <c r="D1498" t="s">
        <v>33</v>
      </c>
      <c r="E1498">
        <v>2500000</v>
      </c>
      <c r="F1498">
        <v>7700000</v>
      </c>
      <c r="G1498">
        <v>16</v>
      </c>
      <c r="H1498">
        <v>485</v>
      </c>
      <c r="I1498">
        <v>2000000</v>
      </c>
      <c r="J1498">
        <v>3600000</v>
      </c>
      <c r="K1498">
        <v>5600000</v>
      </c>
      <c r="L1498">
        <v>3200000</v>
      </c>
      <c r="M1498" t="s">
        <v>35</v>
      </c>
      <c r="N1498">
        <f t="shared" si="139"/>
        <v>0</v>
      </c>
      <c r="O1498" t="str">
        <f t="shared" si="138"/>
        <v>Low</v>
      </c>
      <c r="P1498" t="str">
        <f t="shared" si="140"/>
        <v>High</v>
      </c>
      <c r="Q1498" t="str">
        <f t="shared" si="141"/>
        <v>Low Loan</v>
      </c>
      <c r="R1498">
        <f t="shared" si="142"/>
        <v>14400000</v>
      </c>
      <c r="S1498" t="str">
        <f t="shared" si="143"/>
        <v>Strong</v>
      </c>
    </row>
    <row r="1499" spans="1:19" x14ac:dyDescent="0.25">
      <c r="A1499">
        <v>1498</v>
      </c>
      <c r="B1499">
        <v>0</v>
      </c>
      <c r="C1499" t="s">
        <v>31</v>
      </c>
      <c r="D1499" t="s">
        <v>33</v>
      </c>
      <c r="E1499">
        <v>900000</v>
      </c>
      <c r="F1499">
        <v>2100000</v>
      </c>
      <c r="G1499">
        <v>6</v>
      </c>
      <c r="H1499">
        <v>521</v>
      </c>
      <c r="I1499">
        <v>100000</v>
      </c>
      <c r="J1499">
        <v>1700000</v>
      </c>
      <c r="K1499">
        <v>2100000</v>
      </c>
      <c r="L1499">
        <v>700000</v>
      </c>
      <c r="M1499" t="s">
        <v>35</v>
      </c>
      <c r="N1499">
        <f t="shared" si="139"/>
        <v>0</v>
      </c>
      <c r="O1499" t="str">
        <f t="shared" si="138"/>
        <v>Low</v>
      </c>
      <c r="P1499" t="str">
        <f t="shared" si="140"/>
        <v>High</v>
      </c>
      <c r="Q1499" t="str">
        <f t="shared" si="141"/>
        <v>Low Loan</v>
      </c>
      <c r="R1499">
        <f t="shared" si="142"/>
        <v>4600000</v>
      </c>
      <c r="S1499" t="str">
        <f t="shared" si="143"/>
        <v>Weak</v>
      </c>
    </row>
    <row r="1500" spans="1:19" x14ac:dyDescent="0.25">
      <c r="A1500">
        <v>1499</v>
      </c>
      <c r="B1500">
        <v>1</v>
      </c>
      <c r="C1500" t="s">
        <v>31</v>
      </c>
      <c r="D1500" t="s">
        <v>32</v>
      </c>
      <c r="E1500">
        <v>2900000</v>
      </c>
      <c r="F1500">
        <v>7400000</v>
      </c>
      <c r="G1500">
        <v>10</v>
      </c>
      <c r="H1500">
        <v>874</v>
      </c>
      <c r="I1500">
        <v>400000</v>
      </c>
      <c r="J1500">
        <v>1200000</v>
      </c>
      <c r="K1500">
        <v>10100000</v>
      </c>
      <c r="L1500">
        <v>3300000</v>
      </c>
      <c r="M1500" t="s">
        <v>34</v>
      </c>
      <c r="N1500">
        <f t="shared" si="139"/>
        <v>1</v>
      </c>
      <c r="O1500" t="str">
        <f t="shared" si="138"/>
        <v>Excellent</v>
      </c>
      <c r="P1500" t="str">
        <f t="shared" si="140"/>
        <v>High</v>
      </c>
      <c r="Q1500" t="str">
        <f t="shared" si="141"/>
        <v>Low Loan</v>
      </c>
      <c r="R1500">
        <f t="shared" si="142"/>
        <v>15000000</v>
      </c>
      <c r="S1500" t="str">
        <f t="shared" si="143"/>
        <v>Strong</v>
      </c>
    </row>
    <row r="1501" spans="1:19" x14ac:dyDescent="0.25">
      <c r="A1501">
        <v>1500</v>
      </c>
      <c r="B1501">
        <v>2</v>
      </c>
      <c r="C1501" t="s">
        <v>31</v>
      </c>
      <c r="D1501" t="s">
        <v>32</v>
      </c>
      <c r="E1501">
        <v>9800000</v>
      </c>
      <c r="F1501">
        <v>22900000</v>
      </c>
      <c r="G1501">
        <v>10</v>
      </c>
      <c r="H1501">
        <v>788</v>
      </c>
      <c r="I1501">
        <v>1300000</v>
      </c>
      <c r="J1501">
        <v>10300000</v>
      </c>
      <c r="K1501">
        <v>27200000</v>
      </c>
      <c r="L1501">
        <v>14000000</v>
      </c>
      <c r="M1501" t="s">
        <v>34</v>
      </c>
      <c r="N1501">
        <f t="shared" si="139"/>
        <v>1</v>
      </c>
      <c r="O1501" t="str">
        <f t="shared" si="138"/>
        <v>Excellent</v>
      </c>
      <c r="P1501" t="str">
        <f t="shared" si="140"/>
        <v>High</v>
      </c>
      <c r="Q1501" t="str">
        <f t="shared" si="141"/>
        <v>High Loan</v>
      </c>
      <c r="R1501">
        <f t="shared" si="142"/>
        <v>52800000</v>
      </c>
      <c r="S1501" t="str">
        <f t="shared" si="143"/>
        <v>Strong</v>
      </c>
    </row>
    <row r="1502" spans="1:19" x14ac:dyDescent="0.25">
      <c r="A1502">
        <v>1501</v>
      </c>
      <c r="B1502">
        <v>2</v>
      </c>
      <c r="C1502" t="s">
        <v>31</v>
      </c>
      <c r="D1502" t="s">
        <v>32</v>
      </c>
      <c r="E1502">
        <v>5200000</v>
      </c>
      <c r="F1502">
        <v>14800000</v>
      </c>
      <c r="G1502">
        <v>12</v>
      </c>
      <c r="H1502">
        <v>659</v>
      </c>
      <c r="I1502">
        <v>11500000</v>
      </c>
      <c r="J1502">
        <v>5200000</v>
      </c>
      <c r="K1502">
        <v>18100000</v>
      </c>
      <c r="L1502">
        <v>4100000</v>
      </c>
      <c r="M1502" t="s">
        <v>34</v>
      </c>
      <c r="N1502">
        <f t="shared" si="139"/>
        <v>1</v>
      </c>
      <c r="O1502" t="str">
        <f t="shared" si="138"/>
        <v>Medium</v>
      </c>
      <c r="P1502" t="str">
        <f t="shared" si="140"/>
        <v>High</v>
      </c>
      <c r="Q1502" t="str">
        <f t="shared" si="141"/>
        <v>Low Loan</v>
      </c>
      <c r="R1502">
        <f t="shared" si="142"/>
        <v>38900000</v>
      </c>
      <c r="S1502" t="str">
        <f t="shared" si="143"/>
        <v>Strong</v>
      </c>
    </row>
    <row r="1503" spans="1:19" x14ac:dyDescent="0.25">
      <c r="A1503">
        <v>1502</v>
      </c>
      <c r="B1503">
        <v>1</v>
      </c>
      <c r="C1503" t="s">
        <v>30</v>
      </c>
      <c r="D1503" t="s">
        <v>33</v>
      </c>
      <c r="E1503">
        <v>8600000</v>
      </c>
      <c r="F1503">
        <v>19600000</v>
      </c>
      <c r="G1503">
        <v>16</v>
      </c>
      <c r="H1503">
        <v>498</v>
      </c>
      <c r="I1503">
        <v>14800000</v>
      </c>
      <c r="J1503">
        <v>3000000</v>
      </c>
      <c r="K1503">
        <v>21000000</v>
      </c>
      <c r="L1503">
        <v>5300000</v>
      </c>
      <c r="M1503" t="s">
        <v>35</v>
      </c>
      <c r="N1503">
        <f t="shared" si="139"/>
        <v>0</v>
      </c>
      <c r="O1503" t="str">
        <f t="shared" si="138"/>
        <v>Low</v>
      </c>
      <c r="P1503" t="str">
        <f t="shared" si="140"/>
        <v>High</v>
      </c>
      <c r="Q1503" t="str">
        <f t="shared" si="141"/>
        <v>Low Loan</v>
      </c>
      <c r="R1503">
        <f t="shared" si="142"/>
        <v>44100000</v>
      </c>
      <c r="S1503" t="str">
        <f t="shared" si="143"/>
        <v>Strong</v>
      </c>
    </row>
    <row r="1504" spans="1:19" x14ac:dyDescent="0.25">
      <c r="A1504">
        <v>1503</v>
      </c>
      <c r="B1504">
        <v>2</v>
      </c>
      <c r="C1504" t="s">
        <v>30</v>
      </c>
      <c r="D1504" t="s">
        <v>33</v>
      </c>
      <c r="E1504">
        <v>4800000</v>
      </c>
      <c r="F1504">
        <v>13200000</v>
      </c>
      <c r="G1504">
        <v>20</v>
      </c>
      <c r="H1504">
        <v>310</v>
      </c>
      <c r="I1504">
        <v>11800000</v>
      </c>
      <c r="J1504">
        <v>4600000</v>
      </c>
      <c r="K1504">
        <v>12900000</v>
      </c>
      <c r="L1504">
        <v>4200000</v>
      </c>
      <c r="M1504" t="s">
        <v>35</v>
      </c>
      <c r="N1504">
        <f t="shared" si="139"/>
        <v>0</v>
      </c>
      <c r="O1504" t="str">
        <f t="shared" si="138"/>
        <v>Low</v>
      </c>
      <c r="P1504" t="str">
        <f t="shared" si="140"/>
        <v>High</v>
      </c>
      <c r="Q1504" t="str">
        <f t="shared" si="141"/>
        <v>Low Loan</v>
      </c>
      <c r="R1504">
        <f t="shared" si="142"/>
        <v>33500000</v>
      </c>
      <c r="S1504" t="str">
        <f t="shared" si="143"/>
        <v>Strong</v>
      </c>
    </row>
    <row r="1505" spans="1:19" x14ac:dyDescent="0.25">
      <c r="A1505">
        <v>1504</v>
      </c>
      <c r="B1505">
        <v>0</v>
      </c>
      <c r="C1505" t="s">
        <v>30</v>
      </c>
      <c r="D1505" t="s">
        <v>32</v>
      </c>
      <c r="E1505">
        <v>2000000</v>
      </c>
      <c r="F1505">
        <v>4700000</v>
      </c>
      <c r="G1505">
        <v>6</v>
      </c>
      <c r="H1505">
        <v>785</v>
      </c>
      <c r="I1505">
        <v>2900000</v>
      </c>
      <c r="J1505">
        <v>1800000</v>
      </c>
      <c r="K1505">
        <v>6700000</v>
      </c>
      <c r="L1505">
        <v>1700000</v>
      </c>
      <c r="M1505" t="s">
        <v>34</v>
      </c>
      <c r="N1505">
        <f t="shared" si="139"/>
        <v>1</v>
      </c>
      <c r="O1505" t="str">
        <f t="shared" si="138"/>
        <v>Excellent</v>
      </c>
      <c r="P1505" t="str">
        <f t="shared" si="140"/>
        <v>High</v>
      </c>
      <c r="Q1505" t="str">
        <f t="shared" si="141"/>
        <v>Low Loan</v>
      </c>
      <c r="R1505">
        <f t="shared" si="142"/>
        <v>13100000</v>
      </c>
      <c r="S1505" t="str">
        <f t="shared" si="143"/>
        <v>Strong</v>
      </c>
    </row>
    <row r="1506" spans="1:19" x14ac:dyDescent="0.25">
      <c r="A1506">
        <v>1505</v>
      </c>
      <c r="B1506">
        <v>0</v>
      </c>
      <c r="C1506" t="s">
        <v>30</v>
      </c>
      <c r="D1506" t="s">
        <v>32</v>
      </c>
      <c r="E1506">
        <v>3600000</v>
      </c>
      <c r="F1506">
        <v>8700000</v>
      </c>
      <c r="G1506">
        <v>10</v>
      </c>
      <c r="H1506">
        <v>309</v>
      </c>
      <c r="I1506">
        <v>6300000</v>
      </c>
      <c r="J1506">
        <v>1000000</v>
      </c>
      <c r="K1506">
        <v>8600000</v>
      </c>
      <c r="L1506">
        <v>3300000</v>
      </c>
      <c r="M1506" t="s">
        <v>35</v>
      </c>
      <c r="N1506">
        <f t="shared" si="139"/>
        <v>0</v>
      </c>
      <c r="O1506" t="str">
        <f t="shared" si="138"/>
        <v>Low</v>
      </c>
      <c r="P1506" t="str">
        <f t="shared" si="140"/>
        <v>High</v>
      </c>
      <c r="Q1506" t="str">
        <f t="shared" si="141"/>
        <v>Low Loan</v>
      </c>
      <c r="R1506">
        <f t="shared" si="142"/>
        <v>19200000</v>
      </c>
      <c r="S1506" t="str">
        <f t="shared" si="143"/>
        <v>Strong</v>
      </c>
    </row>
    <row r="1507" spans="1:19" x14ac:dyDescent="0.25">
      <c r="A1507">
        <v>1506</v>
      </c>
      <c r="B1507">
        <v>3</v>
      </c>
      <c r="C1507" t="s">
        <v>31</v>
      </c>
      <c r="D1507" t="s">
        <v>33</v>
      </c>
      <c r="E1507">
        <v>5300000</v>
      </c>
      <c r="F1507">
        <v>19600000</v>
      </c>
      <c r="G1507">
        <v>2</v>
      </c>
      <c r="H1507">
        <v>433</v>
      </c>
      <c r="I1507">
        <v>14700000</v>
      </c>
      <c r="J1507">
        <v>9900000</v>
      </c>
      <c r="K1507">
        <v>10800000</v>
      </c>
      <c r="L1507">
        <v>3000000</v>
      </c>
      <c r="M1507" t="s">
        <v>34</v>
      </c>
      <c r="N1507">
        <f t="shared" si="139"/>
        <v>1</v>
      </c>
      <c r="O1507" t="str">
        <f t="shared" si="138"/>
        <v>Low</v>
      </c>
      <c r="P1507" t="str">
        <f t="shared" si="140"/>
        <v>High</v>
      </c>
      <c r="Q1507" t="str">
        <f t="shared" si="141"/>
        <v>Low Loan</v>
      </c>
      <c r="R1507">
        <f t="shared" si="142"/>
        <v>38400000</v>
      </c>
      <c r="S1507" t="str">
        <f t="shared" si="143"/>
        <v>Strong</v>
      </c>
    </row>
    <row r="1508" spans="1:19" x14ac:dyDescent="0.25">
      <c r="A1508">
        <v>1507</v>
      </c>
      <c r="B1508">
        <v>1</v>
      </c>
      <c r="C1508" t="s">
        <v>31</v>
      </c>
      <c r="D1508" t="s">
        <v>33</v>
      </c>
      <c r="E1508">
        <v>400000</v>
      </c>
      <c r="F1508">
        <v>1300000</v>
      </c>
      <c r="G1508">
        <v>18</v>
      </c>
      <c r="H1508">
        <v>801</v>
      </c>
      <c r="I1508">
        <v>100000</v>
      </c>
      <c r="J1508">
        <v>0</v>
      </c>
      <c r="K1508">
        <v>1500000</v>
      </c>
      <c r="L1508">
        <v>600000</v>
      </c>
      <c r="M1508" t="s">
        <v>34</v>
      </c>
      <c r="N1508">
        <f t="shared" si="139"/>
        <v>1</v>
      </c>
      <c r="O1508" t="str">
        <f t="shared" si="138"/>
        <v>Excellent</v>
      </c>
      <c r="P1508" t="str">
        <f t="shared" si="140"/>
        <v>Middle</v>
      </c>
      <c r="Q1508" t="str">
        <f t="shared" si="141"/>
        <v>Low Loan</v>
      </c>
      <c r="R1508">
        <f t="shared" si="142"/>
        <v>2200000</v>
      </c>
      <c r="S1508" t="str">
        <f t="shared" si="143"/>
        <v>Weak</v>
      </c>
    </row>
    <row r="1509" spans="1:19" x14ac:dyDescent="0.25">
      <c r="A1509">
        <v>1508</v>
      </c>
      <c r="B1509">
        <v>3</v>
      </c>
      <c r="C1509" t="s">
        <v>30</v>
      </c>
      <c r="D1509" t="s">
        <v>33</v>
      </c>
      <c r="E1509">
        <v>6500000</v>
      </c>
      <c r="F1509">
        <v>22400000</v>
      </c>
      <c r="G1509">
        <v>6</v>
      </c>
      <c r="H1509">
        <v>488</v>
      </c>
      <c r="I1509">
        <v>16800000</v>
      </c>
      <c r="J1509">
        <v>11700000</v>
      </c>
      <c r="K1509">
        <v>21700000</v>
      </c>
      <c r="L1509">
        <v>6800000</v>
      </c>
      <c r="M1509" t="s">
        <v>35</v>
      </c>
      <c r="N1509">
        <f t="shared" si="139"/>
        <v>0</v>
      </c>
      <c r="O1509" t="str">
        <f t="shared" si="138"/>
        <v>Low</v>
      </c>
      <c r="P1509" t="str">
        <f t="shared" si="140"/>
        <v>High</v>
      </c>
      <c r="Q1509" t="str">
        <f t="shared" si="141"/>
        <v>High Loan</v>
      </c>
      <c r="R1509">
        <f t="shared" si="142"/>
        <v>57000000</v>
      </c>
      <c r="S1509" t="str">
        <f t="shared" si="143"/>
        <v>Strong</v>
      </c>
    </row>
    <row r="1510" spans="1:19" x14ac:dyDescent="0.25">
      <c r="A1510">
        <v>1509</v>
      </c>
      <c r="B1510">
        <v>0</v>
      </c>
      <c r="C1510" t="s">
        <v>31</v>
      </c>
      <c r="D1510" t="s">
        <v>33</v>
      </c>
      <c r="E1510">
        <v>2300000</v>
      </c>
      <c r="F1510">
        <v>6000000</v>
      </c>
      <c r="G1510">
        <v>16</v>
      </c>
      <c r="H1510">
        <v>756</v>
      </c>
      <c r="I1510">
        <v>2900000</v>
      </c>
      <c r="J1510">
        <v>2100000</v>
      </c>
      <c r="K1510">
        <v>7500000</v>
      </c>
      <c r="L1510">
        <v>1200000</v>
      </c>
      <c r="M1510" t="s">
        <v>34</v>
      </c>
      <c r="N1510">
        <f t="shared" si="139"/>
        <v>1</v>
      </c>
      <c r="O1510" t="str">
        <f t="shared" si="138"/>
        <v>Excellent</v>
      </c>
      <c r="P1510" t="str">
        <f t="shared" si="140"/>
        <v>High</v>
      </c>
      <c r="Q1510" t="str">
        <f t="shared" si="141"/>
        <v>Low Loan</v>
      </c>
      <c r="R1510">
        <f t="shared" si="142"/>
        <v>13700000</v>
      </c>
      <c r="S1510" t="str">
        <f t="shared" si="143"/>
        <v>Strong</v>
      </c>
    </row>
    <row r="1511" spans="1:19" x14ac:dyDescent="0.25">
      <c r="A1511">
        <v>1510</v>
      </c>
      <c r="B1511">
        <v>3</v>
      </c>
      <c r="C1511" t="s">
        <v>30</v>
      </c>
      <c r="D1511" t="s">
        <v>32</v>
      </c>
      <c r="E1511">
        <v>1000000</v>
      </c>
      <c r="F1511">
        <v>2800000</v>
      </c>
      <c r="G1511">
        <v>4</v>
      </c>
      <c r="H1511">
        <v>757</v>
      </c>
      <c r="I1511">
        <v>2500000</v>
      </c>
      <c r="J1511">
        <v>100000</v>
      </c>
      <c r="K1511">
        <v>3800000</v>
      </c>
      <c r="L1511">
        <v>900000</v>
      </c>
      <c r="M1511" t="s">
        <v>34</v>
      </c>
      <c r="N1511">
        <f t="shared" si="139"/>
        <v>1</v>
      </c>
      <c r="O1511" t="str">
        <f t="shared" si="138"/>
        <v>Excellent</v>
      </c>
      <c r="P1511" t="str">
        <f t="shared" si="140"/>
        <v>High</v>
      </c>
      <c r="Q1511" t="str">
        <f t="shared" si="141"/>
        <v>Low Loan</v>
      </c>
      <c r="R1511">
        <f t="shared" si="142"/>
        <v>7300000</v>
      </c>
      <c r="S1511" t="str">
        <f t="shared" si="143"/>
        <v>Moderate</v>
      </c>
    </row>
    <row r="1512" spans="1:19" x14ac:dyDescent="0.25">
      <c r="A1512">
        <v>1511</v>
      </c>
      <c r="B1512">
        <v>5</v>
      </c>
      <c r="C1512" t="s">
        <v>31</v>
      </c>
      <c r="D1512" t="s">
        <v>32</v>
      </c>
      <c r="E1512">
        <v>3200000</v>
      </c>
      <c r="F1512">
        <v>10100000</v>
      </c>
      <c r="G1512">
        <v>6</v>
      </c>
      <c r="H1512">
        <v>828</v>
      </c>
      <c r="I1512">
        <v>8500000</v>
      </c>
      <c r="J1512">
        <v>6000000</v>
      </c>
      <c r="K1512">
        <v>8700000</v>
      </c>
      <c r="L1512">
        <v>3000000</v>
      </c>
      <c r="M1512" t="s">
        <v>34</v>
      </c>
      <c r="N1512">
        <f t="shared" si="139"/>
        <v>1</v>
      </c>
      <c r="O1512" t="str">
        <f t="shared" si="138"/>
        <v>Excellent</v>
      </c>
      <c r="P1512" t="str">
        <f t="shared" si="140"/>
        <v>High</v>
      </c>
      <c r="Q1512" t="str">
        <f t="shared" si="141"/>
        <v>Low Loan</v>
      </c>
      <c r="R1512">
        <f t="shared" si="142"/>
        <v>26200000</v>
      </c>
      <c r="S1512" t="str">
        <f t="shared" si="143"/>
        <v>Strong</v>
      </c>
    </row>
    <row r="1513" spans="1:19" x14ac:dyDescent="0.25">
      <c r="A1513">
        <v>1512</v>
      </c>
      <c r="B1513">
        <v>3</v>
      </c>
      <c r="C1513" t="s">
        <v>30</v>
      </c>
      <c r="D1513" t="s">
        <v>33</v>
      </c>
      <c r="E1513">
        <v>3400000</v>
      </c>
      <c r="F1513">
        <v>7200000</v>
      </c>
      <c r="G1513">
        <v>12</v>
      </c>
      <c r="H1513">
        <v>733</v>
      </c>
      <c r="I1513">
        <v>4800000</v>
      </c>
      <c r="J1513">
        <v>2700000</v>
      </c>
      <c r="K1513">
        <v>8100000</v>
      </c>
      <c r="L1513">
        <v>2200000</v>
      </c>
      <c r="M1513" t="s">
        <v>34</v>
      </c>
      <c r="N1513">
        <f t="shared" si="139"/>
        <v>1</v>
      </c>
      <c r="O1513" t="str">
        <f t="shared" si="138"/>
        <v>Good</v>
      </c>
      <c r="P1513" t="str">
        <f t="shared" si="140"/>
        <v>High</v>
      </c>
      <c r="Q1513" t="str">
        <f t="shared" si="141"/>
        <v>Low Loan</v>
      </c>
      <c r="R1513">
        <f t="shared" si="142"/>
        <v>17800000</v>
      </c>
      <c r="S1513" t="str">
        <f t="shared" si="143"/>
        <v>Strong</v>
      </c>
    </row>
    <row r="1514" spans="1:19" x14ac:dyDescent="0.25">
      <c r="A1514">
        <v>1513</v>
      </c>
      <c r="B1514">
        <v>0</v>
      </c>
      <c r="C1514" t="s">
        <v>31</v>
      </c>
      <c r="D1514" t="s">
        <v>32</v>
      </c>
      <c r="E1514">
        <v>9600000</v>
      </c>
      <c r="F1514">
        <v>38200000</v>
      </c>
      <c r="G1514">
        <v>8</v>
      </c>
      <c r="H1514">
        <v>421</v>
      </c>
      <c r="I1514">
        <v>1600000</v>
      </c>
      <c r="J1514">
        <v>14100000</v>
      </c>
      <c r="K1514">
        <v>33600000</v>
      </c>
      <c r="L1514">
        <v>13800000</v>
      </c>
      <c r="M1514" t="s">
        <v>35</v>
      </c>
      <c r="N1514">
        <f t="shared" si="139"/>
        <v>0</v>
      </c>
      <c r="O1514" t="str">
        <f t="shared" si="138"/>
        <v>Low</v>
      </c>
      <c r="P1514" t="str">
        <f t="shared" si="140"/>
        <v>High</v>
      </c>
      <c r="Q1514" t="str">
        <f t="shared" si="141"/>
        <v>High Loan</v>
      </c>
      <c r="R1514">
        <f t="shared" si="142"/>
        <v>63100000</v>
      </c>
      <c r="S1514" t="str">
        <f t="shared" si="143"/>
        <v>Strong</v>
      </c>
    </row>
    <row r="1515" spans="1:19" x14ac:dyDescent="0.25">
      <c r="A1515">
        <v>1514</v>
      </c>
      <c r="B1515">
        <v>3</v>
      </c>
      <c r="C1515" t="s">
        <v>31</v>
      </c>
      <c r="D1515" t="s">
        <v>32</v>
      </c>
      <c r="E1515">
        <v>5300000</v>
      </c>
      <c r="F1515">
        <v>20300000</v>
      </c>
      <c r="G1515">
        <v>4</v>
      </c>
      <c r="H1515">
        <v>872</v>
      </c>
      <c r="I1515">
        <v>4300000</v>
      </c>
      <c r="J1515">
        <v>7300000</v>
      </c>
      <c r="K1515">
        <v>18400000</v>
      </c>
      <c r="L1515">
        <v>7600000</v>
      </c>
      <c r="M1515" t="s">
        <v>34</v>
      </c>
      <c r="N1515">
        <f t="shared" si="139"/>
        <v>1</v>
      </c>
      <c r="O1515" t="str">
        <f t="shared" si="138"/>
        <v>Excellent</v>
      </c>
      <c r="P1515" t="str">
        <f t="shared" si="140"/>
        <v>High</v>
      </c>
      <c r="Q1515" t="str">
        <f t="shared" si="141"/>
        <v>High Loan</v>
      </c>
      <c r="R1515">
        <f t="shared" si="142"/>
        <v>37600000</v>
      </c>
      <c r="S1515" t="str">
        <f t="shared" si="143"/>
        <v>Strong</v>
      </c>
    </row>
    <row r="1516" spans="1:19" x14ac:dyDescent="0.25">
      <c r="A1516">
        <v>1515</v>
      </c>
      <c r="B1516">
        <v>3</v>
      </c>
      <c r="C1516" t="s">
        <v>30</v>
      </c>
      <c r="D1516" t="s">
        <v>32</v>
      </c>
      <c r="E1516">
        <v>4700000</v>
      </c>
      <c r="F1516">
        <v>17400000</v>
      </c>
      <c r="G1516">
        <v>10</v>
      </c>
      <c r="H1516">
        <v>393</v>
      </c>
      <c r="I1516">
        <v>12400000</v>
      </c>
      <c r="J1516">
        <v>5300000</v>
      </c>
      <c r="K1516">
        <v>18700000</v>
      </c>
      <c r="L1516">
        <v>5300000</v>
      </c>
      <c r="M1516" t="s">
        <v>35</v>
      </c>
      <c r="N1516">
        <f t="shared" si="139"/>
        <v>0</v>
      </c>
      <c r="O1516" t="str">
        <f t="shared" si="138"/>
        <v>Low</v>
      </c>
      <c r="P1516" t="str">
        <f t="shared" si="140"/>
        <v>High</v>
      </c>
      <c r="Q1516" t="str">
        <f t="shared" si="141"/>
        <v>Low Loan</v>
      </c>
      <c r="R1516">
        <f t="shared" si="142"/>
        <v>41700000</v>
      </c>
      <c r="S1516" t="str">
        <f t="shared" si="143"/>
        <v>Strong</v>
      </c>
    </row>
    <row r="1517" spans="1:19" x14ac:dyDescent="0.25">
      <c r="A1517">
        <v>1516</v>
      </c>
      <c r="B1517">
        <v>3</v>
      </c>
      <c r="C1517" t="s">
        <v>30</v>
      </c>
      <c r="D1517" t="s">
        <v>32</v>
      </c>
      <c r="E1517">
        <v>9700000</v>
      </c>
      <c r="F1517">
        <v>37800000</v>
      </c>
      <c r="G1517">
        <v>12</v>
      </c>
      <c r="H1517">
        <v>700</v>
      </c>
      <c r="I1517">
        <v>13400000</v>
      </c>
      <c r="J1517">
        <v>6100000</v>
      </c>
      <c r="K1517">
        <v>25800000</v>
      </c>
      <c r="L1517">
        <v>11900000</v>
      </c>
      <c r="M1517" t="s">
        <v>34</v>
      </c>
      <c r="N1517">
        <f t="shared" si="139"/>
        <v>1</v>
      </c>
      <c r="O1517" t="str">
        <f t="shared" si="138"/>
        <v>Good</v>
      </c>
      <c r="P1517" t="str">
        <f t="shared" si="140"/>
        <v>High</v>
      </c>
      <c r="Q1517" t="str">
        <f t="shared" si="141"/>
        <v>High Loan</v>
      </c>
      <c r="R1517">
        <f t="shared" si="142"/>
        <v>57200000</v>
      </c>
      <c r="S1517" t="str">
        <f t="shared" si="143"/>
        <v>Strong</v>
      </c>
    </row>
    <row r="1518" spans="1:19" x14ac:dyDescent="0.25">
      <c r="A1518">
        <v>1517</v>
      </c>
      <c r="B1518">
        <v>5</v>
      </c>
      <c r="C1518" t="s">
        <v>30</v>
      </c>
      <c r="D1518" t="s">
        <v>32</v>
      </c>
      <c r="E1518">
        <v>8800000</v>
      </c>
      <c r="F1518">
        <v>21600000</v>
      </c>
      <c r="G1518">
        <v>18</v>
      </c>
      <c r="H1518">
        <v>613</v>
      </c>
      <c r="I1518">
        <v>15400000</v>
      </c>
      <c r="J1518">
        <v>12100000</v>
      </c>
      <c r="K1518">
        <v>30000000</v>
      </c>
      <c r="L1518">
        <v>8400000</v>
      </c>
      <c r="M1518" t="s">
        <v>34</v>
      </c>
      <c r="N1518">
        <f t="shared" si="139"/>
        <v>1</v>
      </c>
      <c r="O1518" t="str">
        <f t="shared" si="138"/>
        <v>Low</v>
      </c>
      <c r="P1518" t="str">
        <f t="shared" si="140"/>
        <v>High</v>
      </c>
      <c r="Q1518" t="str">
        <f t="shared" si="141"/>
        <v>High Loan</v>
      </c>
      <c r="R1518">
        <f t="shared" si="142"/>
        <v>65900000</v>
      </c>
      <c r="S1518" t="str">
        <f t="shared" si="143"/>
        <v>Strong</v>
      </c>
    </row>
    <row r="1519" spans="1:19" x14ac:dyDescent="0.25">
      <c r="A1519">
        <v>1518</v>
      </c>
      <c r="B1519">
        <v>5</v>
      </c>
      <c r="C1519" t="s">
        <v>30</v>
      </c>
      <c r="D1519" t="s">
        <v>32</v>
      </c>
      <c r="E1519">
        <v>5900000</v>
      </c>
      <c r="F1519">
        <v>13400000</v>
      </c>
      <c r="G1519">
        <v>6</v>
      </c>
      <c r="H1519">
        <v>455</v>
      </c>
      <c r="I1519">
        <v>3200000</v>
      </c>
      <c r="J1519">
        <v>11200000</v>
      </c>
      <c r="K1519">
        <v>21600000</v>
      </c>
      <c r="L1519">
        <v>6900000</v>
      </c>
      <c r="M1519" t="s">
        <v>35</v>
      </c>
      <c r="N1519">
        <f t="shared" si="139"/>
        <v>0</v>
      </c>
      <c r="O1519" t="str">
        <f t="shared" si="138"/>
        <v>Low</v>
      </c>
      <c r="P1519" t="str">
        <f t="shared" si="140"/>
        <v>High</v>
      </c>
      <c r="Q1519" t="str">
        <f t="shared" si="141"/>
        <v>Low Loan</v>
      </c>
      <c r="R1519">
        <f t="shared" si="142"/>
        <v>42900000</v>
      </c>
      <c r="S1519" t="str">
        <f t="shared" si="143"/>
        <v>Strong</v>
      </c>
    </row>
    <row r="1520" spans="1:19" x14ac:dyDescent="0.25">
      <c r="A1520">
        <v>1519</v>
      </c>
      <c r="B1520">
        <v>4</v>
      </c>
      <c r="C1520" t="s">
        <v>30</v>
      </c>
      <c r="D1520" t="s">
        <v>33</v>
      </c>
      <c r="E1520">
        <v>2400000</v>
      </c>
      <c r="F1520">
        <v>7100000</v>
      </c>
      <c r="G1520">
        <v>16</v>
      </c>
      <c r="H1520">
        <v>871</v>
      </c>
      <c r="I1520">
        <v>7000000</v>
      </c>
      <c r="J1520">
        <v>300000</v>
      </c>
      <c r="K1520">
        <v>8500000</v>
      </c>
      <c r="L1520">
        <v>3500000</v>
      </c>
      <c r="M1520" t="s">
        <v>34</v>
      </c>
      <c r="N1520">
        <f t="shared" si="139"/>
        <v>1</v>
      </c>
      <c r="O1520" t="str">
        <f t="shared" si="138"/>
        <v>Excellent</v>
      </c>
      <c r="P1520" t="str">
        <f t="shared" si="140"/>
        <v>High</v>
      </c>
      <c r="Q1520" t="str">
        <f t="shared" si="141"/>
        <v>Low Loan</v>
      </c>
      <c r="R1520">
        <f t="shared" si="142"/>
        <v>19300000</v>
      </c>
      <c r="S1520" t="str">
        <f t="shared" si="143"/>
        <v>Strong</v>
      </c>
    </row>
    <row r="1521" spans="1:19" x14ac:dyDescent="0.25">
      <c r="A1521">
        <v>1520</v>
      </c>
      <c r="B1521">
        <v>4</v>
      </c>
      <c r="C1521" t="s">
        <v>30</v>
      </c>
      <c r="D1521" t="s">
        <v>33</v>
      </c>
      <c r="E1521">
        <v>7900000</v>
      </c>
      <c r="F1521">
        <v>21500000</v>
      </c>
      <c r="G1521">
        <v>16</v>
      </c>
      <c r="H1521">
        <v>497</v>
      </c>
      <c r="I1521">
        <v>2200000</v>
      </c>
      <c r="J1521">
        <v>5200000</v>
      </c>
      <c r="K1521">
        <v>23100000</v>
      </c>
      <c r="L1521">
        <v>7700000</v>
      </c>
      <c r="M1521" t="s">
        <v>35</v>
      </c>
      <c r="N1521">
        <f t="shared" si="139"/>
        <v>0</v>
      </c>
      <c r="O1521" t="str">
        <f t="shared" si="138"/>
        <v>Low</v>
      </c>
      <c r="P1521" t="str">
        <f t="shared" si="140"/>
        <v>High</v>
      </c>
      <c r="Q1521" t="str">
        <f t="shared" si="141"/>
        <v>High Loan</v>
      </c>
      <c r="R1521">
        <f t="shared" si="142"/>
        <v>38200000</v>
      </c>
      <c r="S1521" t="str">
        <f t="shared" si="143"/>
        <v>Strong</v>
      </c>
    </row>
    <row r="1522" spans="1:19" x14ac:dyDescent="0.25">
      <c r="A1522">
        <v>1521</v>
      </c>
      <c r="B1522">
        <v>0</v>
      </c>
      <c r="C1522" t="s">
        <v>30</v>
      </c>
      <c r="D1522" t="s">
        <v>32</v>
      </c>
      <c r="E1522">
        <v>1400000</v>
      </c>
      <c r="F1522">
        <v>2700000</v>
      </c>
      <c r="G1522">
        <v>2</v>
      </c>
      <c r="H1522">
        <v>649</v>
      </c>
      <c r="I1522">
        <v>2600000</v>
      </c>
      <c r="J1522">
        <v>1000000</v>
      </c>
      <c r="K1522">
        <v>5500000</v>
      </c>
      <c r="L1522">
        <v>1100000</v>
      </c>
      <c r="M1522" t="s">
        <v>34</v>
      </c>
      <c r="N1522">
        <f t="shared" si="139"/>
        <v>1</v>
      </c>
      <c r="O1522" t="str">
        <f t="shared" si="138"/>
        <v>Low</v>
      </c>
      <c r="P1522" t="str">
        <f t="shared" si="140"/>
        <v>High</v>
      </c>
      <c r="Q1522" t="str">
        <f t="shared" si="141"/>
        <v>Low Loan</v>
      </c>
      <c r="R1522">
        <f t="shared" si="142"/>
        <v>10200000</v>
      </c>
      <c r="S1522" t="str">
        <f t="shared" si="143"/>
        <v>Strong</v>
      </c>
    </row>
    <row r="1523" spans="1:19" x14ac:dyDescent="0.25">
      <c r="A1523">
        <v>1522</v>
      </c>
      <c r="B1523">
        <v>0</v>
      </c>
      <c r="C1523" t="s">
        <v>30</v>
      </c>
      <c r="D1523" t="s">
        <v>33</v>
      </c>
      <c r="E1523">
        <v>3500000</v>
      </c>
      <c r="F1523">
        <v>10000000</v>
      </c>
      <c r="G1523">
        <v>14</v>
      </c>
      <c r="H1523">
        <v>709</v>
      </c>
      <c r="I1523">
        <v>5300000</v>
      </c>
      <c r="J1523">
        <v>1800000</v>
      </c>
      <c r="K1523">
        <v>9200000</v>
      </c>
      <c r="L1523">
        <v>5000000</v>
      </c>
      <c r="M1523" t="s">
        <v>34</v>
      </c>
      <c r="N1523">
        <f t="shared" si="139"/>
        <v>1</v>
      </c>
      <c r="O1523" t="str">
        <f t="shared" si="138"/>
        <v>Good</v>
      </c>
      <c r="P1523" t="str">
        <f t="shared" si="140"/>
        <v>High</v>
      </c>
      <c r="Q1523" t="str">
        <f t="shared" si="141"/>
        <v>Low Loan</v>
      </c>
      <c r="R1523">
        <f t="shared" si="142"/>
        <v>21300000</v>
      </c>
      <c r="S1523" t="str">
        <f t="shared" si="143"/>
        <v>Strong</v>
      </c>
    </row>
    <row r="1524" spans="1:19" x14ac:dyDescent="0.25">
      <c r="A1524">
        <v>1523</v>
      </c>
      <c r="B1524">
        <v>4</v>
      </c>
      <c r="C1524" t="s">
        <v>30</v>
      </c>
      <c r="D1524" t="s">
        <v>32</v>
      </c>
      <c r="E1524">
        <v>3400000</v>
      </c>
      <c r="F1524">
        <v>13500000</v>
      </c>
      <c r="G1524">
        <v>12</v>
      </c>
      <c r="H1524">
        <v>705</v>
      </c>
      <c r="I1524">
        <v>10000000</v>
      </c>
      <c r="J1524">
        <v>1100000</v>
      </c>
      <c r="K1524">
        <v>8300000</v>
      </c>
      <c r="L1524">
        <v>4900000</v>
      </c>
      <c r="M1524" t="s">
        <v>34</v>
      </c>
      <c r="N1524">
        <f t="shared" si="139"/>
        <v>1</v>
      </c>
      <c r="O1524" t="str">
        <f t="shared" si="138"/>
        <v>Good</v>
      </c>
      <c r="P1524" t="str">
        <f t="shared" si="140"/>
        <v>High</v>
      </c>
      <c r="Q1524" t="str">
        <f t="shared" si="141"/>
        <v>Low Loan</v>
      </c>
      <c r="R1524">
        <f t="shared" si="142"/>
        <v>24300000</v>
      </c>
      <c r="S1524" t="str">
        <f t="shared" si="143"/>
        <v>Strong</v>
      </c>
    </row>
    <row r="1525" spans="1:19" x14ac:dyDescent="0.25">
      <c r="A1525">
        <v>1524</v>
      </c>
      <c r="B1525">
        <v>2</v>
      </c>
      <c r="C1525" t="s">
        <v>30</v>
      </c>
      <c r="D1525" t="s">
        <v>32</v>
      </c>
      <c r="E1525">
        <v>6100000</v>
      </c>
      <c r="F1525">
        <v>23600000</v>
      </c>
      <c r="G1525">
        <v>2</v>
      </c>
      <c r="H1525">
        <v>476</v>
      </c>
      <c r="I1525">
        <v>4600000</v>
      </c>
      <c r="J1525">
        <v>2900000</v>
      </c>
      <c r="K1525">
        <v>22500000</v>
      </c>
      <c r="L1525">
        <v>3800000</v>
      </c>
      <c r="M1525" t="s">
        <v>34</v>
      </c>
      <c r="N1525">
        <f t="shared" si="139"/>
        <v>1</v>
      </c>
      <c r="O1525" t="str">
        <f t="shared" si="138"/>
        <v>Low</v>
      </c>
      <c r="P1525" t="str">
        <f t="shared" si="140"/>
        <v>High</v>
      </c>
      <c r="Q1525" t="str">
        <f t="shared" si="141"/>
        <v>High Loan</v>
      </c>
      <c r="R1525">
        <f t="shared" si="142"/>
        <v>33800000</v>
      </c>
      <c r="S1525" t="str">
        <f t="shared" si="143"/>
        <v>Strong</v>
      </c>
    </row>
    <row r="1526" spans="1:19" x14ac:dyDescent="0.25">
      <c r="A1526">
        <v>1525</v>
      </c>
      <c r="B1526">
        <v>2</v>
      </c>
      <c r="C1526" t="s">
        <v>31</v>
      </c>
      <c r="D1526" t="s">
        <v>33</v>
      </c>
      <c r="E1526">
        <v>3000000</v>
      </c>
      <c r="F1526">
        <v>7100000</v>
      </c>
      <c r="G1526">
        <v>4</v>
      </c>
      <c r="H1526">
        <v>819</v>
      </c>
      <c r="I1526">
        <v>5400000</v>
      </c>
      <c r="J1526">
        <v>4800000</v>
      </c>
      <c r="K1526">
        <v>6000000</v>
      </c>
      <c r="L1526">
        <v>2100000</v>
      </c>
      <c r="M1526" t="s">
        <v>34</v>
      </c>
      <c r="N1526">
        <f t="shared" si="139"/>
        <v>1</v>
      </c>
      <c r="O1526" t="str">
        <f t="shared" si="138"/>
        <v>Excellent</v>
      </c>
      <c r="P1526" t="str">
        <f t="shared" si="140"/>
        <v>High</v>
      </c>
      <c r="Q1526" t="str">
        <f t="shared" si="141"/>
        <v>Low Loan</v>
      </c>
      <c r="R1526">
        <f t="shared" si="142"/>
        <v>18300000</v>
      </c>
      <c r="S1526" t="str">
        <f t="shared" si="143"/>
        <v>Strong</v>
      </c>
    </row>
    <row r="1527" spans="1:19" x14ac:dyDescent="0.25">
      <c r="A1527">
        <v>1526</v>
      </c>
      <c r="B1527">
        <v>5</v>
      </c>
      <c r="C1527" t="s">
        <v>31</v>
      </c>
      <c r="D1527" t="s">
        <v>33</v>
      </c>
      <c r="E1527">
        <v>3400000</v>
      </c>
      <c r="F1527">
        <v>9400000</v>
      </c>
      <c r="G1527">
        <v>16</v>
      </c>
      <c r="H1527">
        <v>535</v>
      </c>
      <c r="I1527">
        <v>3100000</v>
      </c>
      <c r="J1527">
        <v>5600000</v>
      </c>
      <c r="K1527">
        <v>12900000</v>
      </c>
      <c r="L1527">
        <v>3200000</v>
      </c>
      <c r="M1527" t="s">
        <v>35</v>
      </c>
      <c r="N1527">
        <f t="shared" si="139"/>
        <v>0</v>
      </c>
      <c r="O1527" t="str">
        <f t="shared" si="138"/>
        <v>Low</v>
      </c>
      <c r="P1527" t="str">
        <f t="shared" si="140"/>
        <v>High</v>
      </c>
      <c r="Q1527" t="str">
        <f t="shared" si="141"/>
        <v>Low Loan</v>
      </c>
      <c r="R1527">
        <f t="shared" si="142"/>
        <v>24800000</v>
      </c>
      <c r="S1527" t="str">
        <f t="shared" si="143"/>
        <v>Strong</v>
      </c>
    </row>
    <row r="1528" spans="1:19" x14ac:dyDescent="0.25">
      <c r="A1528">
        <v>1527</v>
      </c>
      <c r="B1528">
        <v>0</v>
      </c>
      <c r="C1528" t="s">
        <v>30</v>
      </c>
      <c r="D1528" t="s">
        <v>33</v>
      </c>
      <c r="E1528">
        <v>400000</v>
      </c>
      <c r="F1528">
        <v>1200000</v>
      </c>
      <c r="G1528">
        <v>14</v>
      </c>
      <c r="H1528">
        <v>889</v>
      </c>
      <c r="I1528">
        <v>1100000</v>
      </c>
      <c r="J1528">
        <v>200000</v>
      </c>
      <c r="K1528">
        <v>700000</v>
      </c>
      <c r="L1528">
        <v>200000</v>
      </c>
      <c r="M1528" t="s">
        <v>34</v>
      </c>
      <c r="N1528">
        <f t="shared" si="139"/>
        <v>1</v>
      </c>
      <c r="O1528" t="str">
        <f t="shared" si="138"/>
        <v>Excellent</v>
      </c>
      <c r="P1528" t="str">
        <f t="shared" si="140"/>
        <v>Middle</v>
      </c>
      <c r="Q1528" t="str">
        <f t="shared" si="141"/>
        <v>Low Loan</v>
      </c>
      <c r="R1528">
        <f t="shared" si="142"/>
        <v>2200000</v>
      </c>
      <c r="S1528" t="str">
        <f t="shared" si="143"/>
        <v>Weak</v>
      </c>
    </row>
    <row r="1529" spans="1:19" x14ac:dyDescent="0.25">
      <c r="A1529">
        <v>1528</v>
      </c>
      <c r="B1529">
        <v>0</v>
      </c>
      <c r="C1529" t="s">
        <v>30</v>
      </c>
      <c r="D1529" t="s">
        <v>32</v>
      </c>
      <c r="E1529">
        <v>5900000</v>
      </c>
      <c r="F1529">
        <v>11800000</v>
      </c>
      <c r="G1529">
        <v>12</v>
      </c>
      <c r="H1529">
        <v>468</v>
      </c>
      <c r="I1529">
        <v>9100000</v>
      </c>
      <c r="J1529">
        <v>10000000</v>
      </c>
      <c r="K1529">
        <v>17500000</v>
      </c>
      <c r="L1529">
        <v>6200000</v>
      </c>
      <c r="M1529" t="s">
        <v>35</v>
      </c>
      <c r="N1529">
        <f t="shared" si="139"/>
        <v>0</v>
      </c>
      <c r="O1529" t="str">
        <f t="shared" si="138"/>
        <v>Low</v>
      </c>
      <c r="P1529" t="str">
        <f t="shared" si="140"/>
        <v>High</v>
      </c>
      <c r="Q1529" t="str">
        <f t="shared" si="141"/>
        <v>Low Loan</v>
      </c>
      <c r="R1529">
        <f t="shared" si="142"/>
        <v>42800000</v>
      </c>
      <c r="S1529" t="str">
        <f t="shared" si="143"/>
        <v>Strong</v>
      </c>
    </row>
    <row r="1530" spans="1:19" x14ac:dyDescent="0.25">
      <c r="A1530">
        <v>1529</v>
      </c>
      <c r="B1530">
        <v>5</v>
      </c>
      <c r="C1530" t="s">
        <v>30</v>
      </c>
      <c r="D1530" t="s">
        <v>33</v>
      </c>
      <c r="E1530">
        <v>400000</v>
      </c>
      <c r="F1530">
        <v>800000</v>
      </c>
      <c r="G1530">
        <v>2</v>
      </c>
      <c r="H1530">
        <v>759</v>
      </c>
      <c r="I1530">
        <v>100000</v>
      </c>
      <c r="J1530">
        <v>500000</v>
      </c>
      <c r="K1530">
        <v>1300000</v>
      </c>
      <c r="L1530">
        <v>300000</v>
      </c>
      <c r="M1530" t="s">
        <v>34</v>
      </c>
      <c r="N1530">
        <f t="shared" si="139"/>
        <v>1</v>
      </c>
      <c r="O1530" t="str">
        <f t="shared" si="138"/>
        <v>Excellent</v>
      </c>
      <c r="P1530" t="str">
        <f t="shared" si="140"/>
        <v>Middle</v>
      </c>
      <c r="Q1530" t="str">
        <f t="shared" si="141"/>
        <v>Low Loan</v>
      </c>
      <c r="R1530">
        <f t="shared" si="142"/>
        <v>2200000</v>
      </c>
      <c r="S1530" t="str">
        <f t="shared" si="143"/>
        <v>Weak</v>
      </c>
    </row>
    <row r="1531" spans="1:19" x14ac:dyDescent="0.25">
      <c r="A1531">
        <v>1530</v>
      </c>
      <c r="B1531">
        <v>3</v>
      </c>
      <c r="C1531" t="s">
        <v>30</v>
      </c>
      <c r="D1531" t="s">
        <v>33</v>
      </c>
      <c r="E1531">
        <v>9000000</v>
      </c>
      <c r="F1531">
        <v>33600000</v>
      </c>
      <c r="G1531">
        <v>2</v>
      </c>
      <c r="H1531">
        <v>426</v>
      </c>
      <c r="I1531">
        <v>21600000</v>
      </c>
      <c r="J1531">
        <v>16200000</v>
      </c>
      <c r="K1531">
        <v>20700000</v>
      </c>
      <c r="L1531">
        <v>11900000</v>
      </c>
      <c r="M1531" t="s">
        <v>34</v>
      </c>
      <c r="N1531">
        <f t="shared" si="139"/>
        <v>1</v>
      </c>
      <c r="O1531" t="str">
        <f t="shared" si="138"/>
        <v>Low</v>
      </c>
      <c r="P1531" t="str">
        <f t="shared" si="140"/>
        <v>High</v>
      </c>
      <c r="Q1531" t="str">
        <f t="shared" si="141"/>
        <v>High Loan</v>
      </c>
      <c r="R1531">
        <f t="shared" si="142"/>
        <v>70400000</v>
      </c>
      <c r="S1531" t="str">
        <f t="shared" si="143"/>
        <v>Strong</v>
      </c>
    </row>
    <row r="1532" spans="1:19" x14ac:dyDescent="0.25">
      <c r="A1532">
        <v>1531</v>
      </c>
      <c r="B1532">
        <v>0</v>
      </c>
      <c r="C1532" t="s">
        <v>30</v>
      </c>
      <c r="D1532" t="s">
        <v>33</v>
      </c>
      <c r="E1532">
        <v>8800000</v>
      </c>
      <c r="F1532">
        <v>23600000</v>
      </c>
      <c r="G1532">
        <v>8</v>
      </c>
      <c r="H1532">
        <v>712</v>
      </c>
      <c r="I1532">
        <v>400000</v>
      </c>
      <c r="J1532">
        <v>11300000</v>
      </c>
      <c r="K1532">
        <v>19300000</v>
      </c>
      <c r="L1532">
        <v>11100000</v>
      </c>
      <c r="M1532" t="s">
        <v>34</v>
      </c>
      <c r="N1532">
        <f t="shared" si="139"/>
        <v>1</v>
      </c>
      <c r="O1532" t="str">
        <f t="shared" si="138"/>
        <v>Good</v>
      </c>
      <c r="P1532" t="str">
        <f t="shared" si="140"/>
        <v>High</v>
      </c>
      <c r="Q1532" t="str">
        <f t="shared" si="141"/>
        <v>High Loan</v>
      </c>
      <c r="R1532">
        <f t="shared" si="142"/>
        <v>42100000</v>
      </c>
      <c r="S1532" t="str">
        <f t="shared" si="143"/>
        <v>Strong</v>
      </c>
    </row>
    <row r="1533" spans="1:19" x14ac:dyDescent="0.25">
      <c r="A1533">
        <v>1532</v>
      </c>
      <c r="B1533">
        <v>4</v>
      </c>
      <c r="C1533" t="s">
        <v>30</v>
      </c>
      <c r="D1533" t="s">
        <v>33</v>
      </c>
      <c r="E1533">
        <v>2000000</v>
      </c>
      <c r="F1533">
        <v>4700000</v>
      </c>
      <c r="G1533">
        <v>2</v>
      </c>
      <c r="H1533">
        <v>615</v>
      </c>
      <c r="I1533">
        <v>500000</v>
      </c>
      <c r="J1533">
        <v>100000</v>
      </c>
      <c r="K1533">
        <v>6700000</v>
      </c>
      <c r="L1533">
        <v>3000000</v>
      </c>
      <c r="M1533" t="s">
        <v>34</v>
      </c>
      <c r="N1533">
        <f t="shared" si="139"/>
        <v>1</v>
      </c>
      <c r="O1533" t="str">
        <f t="shared" si="138"/>
        <v>Low</v>
      </c>
      <c r="P1533" t="str">
        <f t="shared" si="140"/>
        <v>High</v>
      </c>
      <c r="Q1533" t="str">
        <f t="shared" si="141"/>
        <v>Low Loan</v>
      </c>
      <c r="R1533">
        <f t="shared" si="142"/>
        <v>10300000</v>
      </c>
      <c r="S1533" t="str">
        <f t="shared" si="143"/>
        <v>Strong</v>
      </c>
    </row>
    <row r="1534" spans="1:19" x14ac:dyDescent="0.25">
      <c r="A1534">
        <v>1533</v>
      </c>
      <c r="B1534">
        <v>2</v>
      </c>
      <c r="C1534" t="s">
        <v>30</v>
      </c>
      <c r="D1534" t="s">
        <v>32</v>
      </c>
      <c r="E1534">
        <v>4700000</v>
      </c>
      <c r="F1534">
        <v>14000000</v>
      </c>
      <c r="G1534">
        <v>12</v>
      </c>
      <c r="H1534">
        <v>784</v>
      </c>
      <c r="I1534">
        <v>13400000</v>
      </c>
      <c r="J1534">
        <v>2700000</v>
      </c>
      <c r="K1534">
        <v>14800000</v>
      </c>
      <c r="L1534">
        <v>6900000</v>
      </c>
      <c r="M1534" t="s">
        <v>34</v>
      </c>
      <c r="N1534">
        <f t="shared" si="139"/>
        <v>1</v>
      </c>
      <c r="O1534" t="str">
        <f t="shared" si="138"/>
        <v>Excellent</v>
      </c>
      <c r="P1534" t="str">
        <f t="shared" si="140"/>
        <v>High</v>
      </c>
      <c r="Q1534" t="str">
        <f t="shared" si="141"/>
        <v>Low Loan</v>
      </c>
      <c r="R1534">
        <f t="shared" si="142"/>
        <v>37800000</v>
      </c>
      <c r="S1534" t="str">
        <f t="shared" si="143"/>
        <v>Strong</v>
      </c>
    </row>
    <row r="1535" spans="1:19" x14ac:dyDescent="0.25">
      <c r="A1535">
        <v>1534</v>
      </c>
      <c r="B1535">
        <v>4</v>
      </c>
      <c r="C1535" t="s">
        <v>31</v>
      </c>
      <c r="D1535" t="s">
        <v>32</v>
      </c>
      <c r="E1535">
        <v>2700000</v>
      </c>
      <c r="F1535">
        <v>6100000</v>
      </c>
      <c r="G1535">
        <v>16</v>
      </c>
      <c r="H1535">
        <v>677</v>
      </c>
      <c r="I1535">
        <v>100000</v>
      </c>
      <c r="J1535">
        <v>3300000</v>
      </c>
      <c r="K1535">
        <v>6500000</v>
      </c>
      <c r="L1535">
        <v>3800000</v>
      </c>
      <c r="M1535" t="s">
        <v>34</v>
      </c>
      <c r="N1535">
        <f t="shared" si="139"/>
        <v>1</v>
      </c>
      <c r="O1535" t="str">
        <f t="shared" si="138"/>
        <v>Medium</v>
      </c>
      <c r="P1535" t="str">
        <f t="shared" si="140"/>
        <v>High</v>
      </c>
      <c r="Q1535" t="str">
        <f t="shared" si="141"/>
        <v>Low Loan</v>
      </c>
      <c r="R1535">
        <f t="shared" si="142"/>
        <v>13700000</v>
      </c>
      <c r="S1535" t="str">
        <f t="shared" si="143"/>
        <v>Strong</v>
      </c>
    </row>
    <row r="1536" spans="1:19" x14ac:dyDescent="0.25">
      <c r="A1536">
        <v>1535</v>
      </c>
      <c r="B1536">
        <v>1</v>
      </c>
      <c r="C1536" t="s">
        <v>31</v>
      </c>
      <c r="D1536" t="s">
        <v>32</v>
      </c>
      <c r="E1536">
        <v>2600000</v>
      </c>
      <c r="F1536">
        <v>7900000</v>
      </c>
      <c r="G1536">
        <v>12</v>
      </c>
      <c r="H1536">
        <v>306</v>
      </c>
      <c r="I1536">
        <v>2000000</v>
      </c>
      <c r="J1536">
        <v>2400000</v>
      </c>
      <c r="K1536">
        <v>7600000</v>
      </c>
      <c r="L1536">
        <v>3300000</v>
      </c>
      <c r="M1536" t="s">
        <v>35</v>
      </c>
      <c r="N1536">
        <f t="shared" si="139"/>
        <v>0</v>
      </c>
      <c r="O1536" t="str">
        <f t="shared" si="138"/>
        <v>Low</v>
      </c>
      <c r="P1536" t="str">
        <f t="shared" si="140"/>
        <v>High</v>
      </c>
      <c r="Q1536" t="str">
        <f t="shared" si="141"/>
        <v>Low Loan</v>
      </c>
      <c r="R1536">
        <f t="shared" si="142"/>
        <v>15300000</v>
      </c>
      <c r="S1536" t="str">
        <f t="shared" si="143"/>
        <v>Strong</v>
      </c>
    </row>
    <row r="1537" spans="1:19" x14ac:dyDescent="0.25">
      <c r="A1537">
        <v>1536</v>
      </c>
      <c r="B1537">
        <v>1</v>
      </c>
      <c r="C1537" t="s">
        <v>31</v>
      </c>
      <c r="D1537" t="s">
        <v>33</v>
      </c>
      <c r="E1537">
        <v>9000000</v>
      </c>
      <c r="F1537">
        <v>25400000</v>
      </c>
      <c r="G1537">
        <v>16</v>
      </c>
      <c r="H1537">
        <v>655</v>
      </c>
      <c r="I1537">
        <v>22000000</v>
      </c>
      <c r="J1537">
        <v>8800000</v>
      </c>
      <c r="K1537">
        <v>29100000</v>
      </c>
      <c r="L1537">
        <v>7200000</v>
      </c>
      <c r="M1537" t="s">
        <v>34</v>
      </c>
      <c r="N1537">
        <f t="shared" si="139"/>
        <v>1</v>
      </c>
      <c r="O1537" t="str">
        <f t="shared" si="138"/>
        <v>Medium</v>
      </c>
      <c r="P1537" t="str">
        <f t="shared" si="140"/>
        <v>High</v>
      </c>
      <c r="Q1537" t="str">
        <f t="shared" si="141"/>
        <v>High Loan</v>
      </c>
      <c r="R1537">
        <f t="shared" si="142"/>
        <v>67100000</v>
      </c>
      <c r="S1537" t="str">
        <f t="shared" si="143"/>
        <v>Strong</v>
      </c>
    </row>
    <row r="1538" spans="1:19" x14ac:dyDescent="0.25">
      <c r="A1538">
        <v>1537</v>
      </c>
      <c r="B1538">
        <v>4</v>
      </c>
      <c r="C1538" t="s">
        <v>31</v>
      </c>
      <c r="D1538" t="s">
        <v>32</v>
      </c>
      <c r="E1538">
        <v>5100000</v>
      </c>
      <c r="F1538">
        <v>19400000</v>
      </c>
      <c r="G1538">
        <v>8</v>
      </c>
      <c r="H1538">
        <v>755</v>
      </c>
      <c r="I1538">
        <v>2200000</v>
      </c>
      <c r="J1538">
        <v>300000</v>
      </c>
      <c r="K1538">
        <v>14900000</v>
      </c>
      <c r="L1538">
        <v>5300000</v>
      </c>
      <c r="M1538" t="s">
        <v>34</v>
      </c>
      <c r="N1538">
        <f t="shared" si="139"/>
        <v>1</v>
      </c>
      <c r="O1538" t="str">
        <f t="shared" ref="O1538:O1601" si="144">IF(H1538&lt;650,"Low",
 IF(H1538&lt;700,"Medium",
 IF(H1538&lt;750,"Good","Excellent")))</f>
        <v>Excellent</v>
      </c>
      <c r="P1538" t="str">
        <f t="shared" si="140"/>
        <v>High</v>
      </c>
      <c r="Q1538" t="str">
        <f t="shared" si="141"/>
        <v>Low Loan</v>
      </c>
      <c r="R1538">
        <f t="shared" si="142"/>
        <v>22700000</v>
      </c>
      <c r="S1538" t="str">
        <f t="shared" si="143"/>
        <v>Strong</v>
      </c>
    </row>
    <row r="1539" spans="1:19" x14ac:dyDescent="0.25">
      <c r="A1539">
        <v>1538</v>
      </c>
      <c r="B1539">
        <v>2</v>
      </c>
      <c r="C1539" t="s">
        <v>30</v>
      </c>
      <c r="D1539" t="s">
        <v>32</v>
      </c>
      <c r="E1539">
        <v>6600000</v>
      </c>
      <c r="F1539">
        <v>25800000</v>
      </c>
      <c r="G1539">
        <v>18</v>
      </c>
      <c r="H1539">
        <v>598</v>
      </c>
      <c r="I1539">
        <v>3800000</v>
      </c>
      <c r="J1539">
        <v>3100000</v>
      </c>
      <c r="K1539">
        <v>16400000</v>
      </c>
      <c r="L1539">
        <v>5900000</v>
      </c>
      <c r="M1539" t="s">
        <v>34</v>
      </c>
      <c r="N1539">
        <f t="shared" ref="N1539:N1602" si="145">IF(TRIM(CLEAN(M1539))="Approved",1,0)</f>
        <v>1</v>
      </c>
      <c r="O1539" t="str">
        <f t="shared" si="144"/>
        <v>Low</v>
      </c>
      <c r="P1539" t="str">
        <f t="shared" ref="P1539:P1602" si="146">IF(E1539&lt;300000,"Low",
 IF(E1539&lt;700000,"Middle","High"))</f>
        <v>High</v>
      </c>
      <c r="Q1539" t="str">
        <f t="shared" ref="Q1539:Q1602" si="147">IF(F1539&lt;20000000,"Low Loan","High Loan")</f>
        <v>High Loan</v>
      </c>
      <c r="R1539">
        <f t="shared" ref="R1539:R1602" si="148">I1539+J1539+K1539+L1539</f>
        <v>29200000</v>
      </c>
      <c r="S1539" t="str">
        <f t="shared" ref="S1539:S1602" si="149">IF(R1539&lt;5000000,"Weak",
 IF(R1539&lt;10000000,"Moderate","Strong"))</f>
        <v>Strong</v>
      </c>
    </row>
    <row r="1540" spans="1:19" x14ac:dyDescent="0.25">
      <c r="A1540">
        <v>1539</v>
      </c>
      <c r="B1540">
        <v>2</v>
      </c>
      <c r="C1540" t="s">
        <v>30</v>
      </c>
      <c r="D1540" t="s">
        <v>32</v>
      </c>
      <c r="E1540">
        <v>4400000</v>
      </c>
      <c r="F1540">
        <v>9800000</v>
      </c>
      <c r="G1540">
        <v>18</v>
      </c>
      <c r="H1540">
        <v>712</v>
      </c>
      <c r="I1540">
        <v>5400000</v>
      </c>
      <c r="J1540">
        <v>200000</v>
      </c>
      <c r="K1540">
        <v>8800000</v>
      </c>
      <c r="L1540">
        <v>6400000</v>
      </c>
      <c r="M1540" t="s">
        <v>34</v>
      </c>
      <c r="N1540">
        <f t="shared" si="145"/>
        <v>1</v>
      </c>
      <c r="O1540" t="str">
        <f t="shared" si="144"/>
        <v>Good</v>
      </c>
      <c r="P1540" t="str">
        <f t="shared" si="146"/>
        <v>High</v>
      </c>
      <c r="Q1540" t="str">
        <f t="shared" si="147"/>
        <v>Low Loan</v>
      </c>
      <c r="R1540">
        <f t="shared" si="148"/>
        <v>20800000</v>
      </c>
      <c r="S1540" t="str">
        <f t="shared" si="149"/>
        <v>Strong</v>
      </c>
    </row>
    <row r="1541" spans="1:19" x14ac:dyDescent="0.25">
      <c r="A1541">
        <v>1540</v>
      </c>
      <c r="B1541">
        <v>4</v>
      </c>
      <c r="C1541" t="s">
        <v>31</v>
      </c>
      <c r="D1541" t="s">
        <v>33</v>
      </c>
      <c r="E1541">
        <v>1500000</v>
      </c>
      <c r="F1541">
        <v>4600000</v>
      </c>
      <c r="G1541">
        <v>6</v>
      </c>
      <c r="H1541">
        <v>524</v>
      </c>
      <c r="I1541">
        <v>3700000</v>
      </c>
      <c r="J1541">
        <v>2000000</v>
      </c>
      <c r="K1541">
        <v>5000000</v>
      </c>
      <c r="L1541">
        <v>1400000</v>
      </c>
      <c r="M1541" t="s">
        <v>35</v>
      </c>
      <c r="N1541">
        <f t="shared" si="145"/>
        <v>0</v>
      </c>
      <c r="O1541" t="str">
        <f t="shared" si="144"/>
        <v>Low</v>
      </c>
      <c r="P1541" t="str">
        <f t="shared" si="146"/>
        <v>High</v>
      </c>
      <c r="Q1541" t="str">
        <f t="shared" si="147"/>
        <v>Low Loan</v>
      </c>
      <c r="R1541">
        <f t="shared" si="148"/>
        <v>12100000</v>
      </c>
      <c r="S1541" t="str">
        <f t="shared" si="149"/>
        <v>Strong</v>
      </c>
    </row>
    <row r="1542" spans="1:19" x14ac:dyDescent="0.25">
      <c r="A1542">
        <v>1541</v>
      </c>
      <c r="B1542">
        <v>1</v>
      </c>
      <c r="C1542" t="s">
        <v>31</v>
      </c>
      <c r="D1542" t="s">
        <v>32</v>
      </c>
      <c r="E1542">
        <v>6200000</v>
      </c>
      <c r="F1542">
        <v>23100000</v>
      </c>
      <c r="G1542">
        <v>16</v>
      </c>
      <c r="H1542">
        <v>838</v>
      </c>
      <c r="I1542">
        <v>9100000</v>
      </c>
      <c r="J1542">
        <v>1400000</v>
      </c>
      <c r="K1542">
        <v>23500000</v>
      </c>
      <c r="L1542">
        <v>7000000</v>
      </c>
      <c r="M1542" t="s">
        <v>34</v>
      </c>
      <c r="N1542">
        <f t="shared" si="145"/>
        <v>1</v>
      </c>
      <c r="O1542" t="str">
        <f t="shared" si="144"/>
        <v>Excellent</v>
      </c>
      <c r="P1542" t="str">
        <f t="shared" si="146"/>
        <v>High</v>
      </c>
      <c r="Q1542" t="str">
        <f t="shared" si="147"/>
        <v>High Loan</v>
      </c>
      <c r="R1542">
        <f t="shared" si="148"/>
        <v>41000000</v>
      </c>
      <c r="S1542" t="str">
        <f t="shared" si="149"/>
        <v>Strong</v>
      </c>
    </row>
    <row r="1543" spans="1:19" x14ac:dyDescent="0.25">
      <c r="A1543">
        <v>1542</v>
      </c>
      <c r="B1543">
        <v>4</v>
      </c>
      <c r="C1543" t="s">
        <v>30</v>
      </c>
      <c r="D1543" t="s">
        <v>33</v>
      </c>
      <c r="E1543">
        <v>900000</v>
      </c>
      <c r="F1543">
        <v>2900000</v>
      </c>
      <c r="G1543">
        <v>6</v>
      </c>
      <c r="H1543">
        <v>560</v>
      </c>
      <c r="I1543">
        <v>1500000</v>
      </c>
      <c r="J1543">
        <v>900000</v>
      </c>
      <c r="K1543">
        <v>3100000</v>
      </c>
      <c r="L1543">
        <v>900000</v>
      </c>
      <c r="M1543" t="s">
        <v>34</v>
      </c>
      <c r="N1543">
        <f t="shared" si="145"/>
        <v>1</v>
      </c>
      <c r="O1543" t="str">
        <f t="shared" si="144"/>
        <v>Low</v>
      </c>
      <c r="P1543" t="str">
        <f t="shared" si="146"/>
        <v>High</v>
      </c>
      <c r="Q1543" t="str">
        <f t="shared" si="147"/>
        <v>Low Loan</v>
      </c>
      <c r="R1543">
        <f t="shared" si="148"/>
        <v>6400000</v>
      </c>
      <c r="S1543" t="str">
        <f t="shared" si="149"/>
        <v>Moderate</v>
      </c>
    </row>
    <row r="1544" spans="1:19" x14ac:dyDescent="0.25">
      <c r="A1544">
        <v>1543</v>
      </c>
      <c r="B1544">
        <v>3</v>
      </c>
      <c r="C1544" t="s">
        <v>31</v>
      </c>
      <c r="D1544" t="s">
        <v>32</v>
      </c>
      <c r="E1544">
        <v>7700000</v>
      </c>
      <c r="F1544">
        <v>26400000</v>
      </c>
      <c r="G1544">
        <v>12</v>
      </c>
      <c r="H1544">
        <v>759</v>
      </c>
      <c r="I1544">
        <v>3400000</v>
      </c>
      <c r="J1544">
        <v>2900000</v>
      </c>
      <c r="K1544">
        <v>21900000</v>
      </c>
      <c r="L1544">
        <v>10800000</v>
      </c>
      <c r="M1544" t="s">
        <v>34</v>
      </c>
      <c r="N1544">
        <f t="shared" si="145"/>
        <v>1</v>
      </c>
      <c r="O1544" t="str">
        <f t="shared" si="144"/>
        <v>Excellent</v>
      </c>
      <c r="P1544" t="str">
        <f t="shared" si="146"/>
        <v>High</v>
      </c>
      <c r="Q1544" t="str">
        <f t="shared" si="147"/>
        <v>High Loan</v>
      </c>
      <c r="R1544">
        <f t="shared" si="148"/>
        <v>39000000</v>
      </c>
      <c r="S1544" t="str">
        <f t="shared" si="149"/>
        <v>Strong</v>
      </c>
    </row>
    <row r="1545" spans="1:19" x14ac:dyDescent="0.25">
      <c r="A1545">
        <v>1544</v>
      </c>
      <c r="B1545">
        <v>2</v>
      </c>
      <c r="C1545" t="s">
        <v>30</v>
      </c>
      <c r="D1545" t="s">
        <v>33</v>
      </c>
      <c r="E1545">
        <v>600000</v>
      </c>
      <c r="F1545">
        <v>2400000</v>
      </c>
      <c r="G1545">
        <v>6</v>
      </c>
      <c r="H1545">
        <v>454</v>
      </c>
      <c r="I1545">
        <v>100000</v>
      </c>
      <c r="J1545">
        <v>600000</v>
      </c>
      <c r="K1545">
        <v>2300000</v>
      </c>
      <c r="L1545">
        <v>300000</v>
      </c>
      <c r="M1545" t="s">
        <v>35</v>
      </c>
      <c r="N1545">
        <f t="shared" si="145"/>
        <v>0</v>
      </c>
      <c r="O1545" t="str">
        <f t="shared" si="144"/>
        <v>Low</v>
      </c>
      <c r="P1545" t="str">
        <f t="shared" si="146"/>
        <v>Middle</v>
      </c>
      <c r="Q1545" t="str">
        <f t="shared" si="147"/>
        <v>Low Loan</v>
      </c>
      <c r="R1545">
        <f t="shared" si="148"/>
        <v>3300000</v>
      </c>
      <c r="S1545" t="str">
        <f t="shared" si="149"/>
        <v>Weak</v>
      </c>
    </row>
    <row r="1546" spans="1:19" x14ac:dyDescent="0.25">
      <c r="A1546">
        <v>1545</v>
      </c>
      <c r="B1546">
        <v>4</v>
      </c>
      <c r="C1546" t="s">
        <v>31</v>
      </c>
      <c r="D1546" t="s">
        <v>32</v>
      </c>
      <c r="E1546">
        <v>4300000</v>
      </c>
      <c r="F1546">
        <v>16500000</v>
      </c>
      <c r="G1546">
        <v>4</v>
      </c>
      <c r="H1546">
        <v>539</v>
      </c>
      <c r="I1546">
        <v>10600000</v>
      </c>
      <c r="J1546">
        <v>6100000</v>
      </c>
      <c r="K1546">
        <v>9300000</v>
      </c>
      <c r="L1546">
        <v>2100000</v>
      </c>
      <c r="M1546" t="s">
        <v>34</v>
      </c>
      <c r="N1546">
        <f t="shared" si="145"/>
        <v>1</v>
      </c>
      <c r="O1546" t="str">
        <f t="shared" si="144"/>
        <v>Low</v>
      </c>
      <c r="P1546" t="str">
        <f t="shared" si="146"/>
        <v>High</v>
      </c>
      <c r="Q1546" t="str">
        <f t="shared" si="147"/>
        <v>Low Loan</v>
      </c>
      <c r="R1546">
        <f t="shared" si="148"/>
        <v>28100000</v>
      </c>
      <c r="S1546" t="str">
        <f t="shared" si="149"/>
        <v>Strong</v>
      </c>
    </row>
    <row r="1547" spans="1:19" x14ac:dyDescent="0.25">
      <c r="A1547">
        <v>1546</v>
      </c>
      <c r="B1547">
        <v>2</v>
      </c>
      <c r="C1547" t="s">
        <v>31</v>
      </c>
      <c r="D1547" t="s">
        <v>33</v>
      </c>
      <c r="E1547">
        <v>8200000</v>
      </c>
      <c r="F1547">
        <v>27800000</v>
      </c>
      <c r="G1547">
        <v>16</v>
      </c>
      <c r="H1547">
        <v>827</v>
      </c>
      <c r="I1547">
        <v>11500000</v>
      </c>
      <c r="J1547">
        <v>8700000</v>
      </c>
      <c r="K1547">
        <v>26000000</v>
      </c>
      <c r="L1547">
        <v>10700000</v>
      </c>
      <c r="M1547" t="s">
        <v>34</v>
      </c>
      <c r="N1547">
        <f t="shared" si="145"/>
        <v>1</v>
      </c>
      <c r="O1547" t="str">
        <f t="shared" si="144"/>
        <v>Excellent</v>
      </c>
      <c r="P1547" t="str">
        <f t="shared" si="146"/>
        <v>High</v>
      </c>
      <c r="Q1547" t="str">
        <f t="shared" si="147"/>
        <v>High Loan</v>
      </c>
      <c r="R1547">
        <f t="shared" si="148"/>
        <v>56900000</v>
      </c>
      <c r="S1547" t="str">
        <f t="shared" si="149"/>
        <v>Strong</v>
      </c>
    </row>
    <row r="1548" spans="1:19" x14ac:dyDescent="0.25">
      <c r="A1548">
        <v>1547</v>
      </c>
      <c r="B1548">
        <v>0</v>
      </c>
      <c r="C1548" t="s">
        <v>31</v>
      </c>
      <c r="D1548" t="s">
        <v>32</v>
      </c>
      <c r="E1548">
        <v>3500000</v>
      </c>
      <c r="F1548">
        <v>11900000</v>
      </c>
      <c r="G1548">
        <v>12</v>
      </c>
      <c r="H1548">
        <v>686</v>
      </c>
      <c r="I1548">
        <v>4400000</v>
      </c>
      <c r="J1548">
        <v>4800000</v>
      </c>
      <c r="K1548">
        <v>10100000</v>
      </c>
      <c r="L1548">
        <v>2500000</v>
      </c>
      <c r="M1548" t="s">
        <v>34</v>
      </c>
      <c r="N1548">
        <f t="shared" si="145"/>
        <v>1</v>
      </c>
      <c r="O1548" t="str">
        <f t="shared" si="144"/>
        <v>Medium</v>
      </c>
      <c r="P1548" t="str">
        <f t="shared" si="146"/>
        <v>High</v>
      </c>
      <c r="Q1548" t="str">
        <f t="shared" si="147"/>
        <v>Low Loan</v>
      </c>
      <c r="R1548">
        <f t="shared" si="148"/>
        <v>21800000</v>
      </c>
      <c r="S1548" t="str">
        <f t="shared" si="149"/>
        <v>Strong</v>
      </c>
    </row>
    <row r="1549" spans="1:19" x14ac:dyDescent="0.25">
      <c r="A1549">
        <v>1548</v>
      </c>
      <c r="B1549">
        <v>1</v>
      </c>
      <c r="C1549" t="s">
        <v>30</v>
      </c>
      <c r="D1549" t="s">
        <v>33</v>
      </c>
      <c r="E1549">
        <v>9900000</v>
      </c>
      <c r="F1549">
        <v>34100000</v>
      </c>
      <c r="G1549">
        <v>14</v>
      </c>
      <c r="H1549">
        <v>371</v>
      </c>
      <c r="I1549">
        <v>24400000</v>
      </c>
      <c r="J1549">
        <v>7100000</v>
      </c>
      <c r="K1549">
        <v>29300000</v>
      </c>
      <c r="L1549">
        <v>6200000</v>
      </c>
      <c r="M1549" t="s">
        <v>35</v>
      </c>
      <c r="N1549">
        <f t="shared" si="145"/>
        <v>0</v>
      </c>
      <c r="O1549" t="str">
        <f t="shared" si="144"/>
        <v>Low</v>
      </c>
      <c r="P1549" t="str">
        <f t="shared" si="146"/>
        <v>High</v>
      </c>
      <c r="Q1549" t="str">
        <f t="shared" si="147"/>
        <v>High Loan</v>
      </c>
      <c r="R1549">
        <f t="shared" si="148"/>
        <v>67000000</v>
      </c>
      <c r="S1549" t="str">
        <f t="shared" si="149"/>
        <v>Strong</v>
      </c>
    </row>
    <row r="1550" spans="1:19" x14ac:dyDescent="0.25">
      <c r="A1550">
        <v>1549</v>
      </c>
      <c r="B1550">
        <v>5</v>
      </c>
      <c r="C1550" t="s">
        <v>30</v>
      </c>
      <c r="D1550" t="s">
        <v>32</v>
      </c>
      <c r="E1550">
        <v>700000</v>
      </c>
      <c r="F1550">
        <v>1900000</v>
      </c>
      <c r="G1550">
        <v>4</v>
      </c>
      <c r="H1550">
        <v>784</v>
      </c>
      <c r="I1550">
        <v>500000</v>
      </c>
      <c r="J1550">
        <v>1000000</v>
      </c>
      <c r="K1550">
        <v>2100000</v>
      </c>
      <c r="L1550">
        <v>600000</v>
      </c>
      <c r="M1550" t="s">
        <v>34</v>
      </c>
      <c r="N1550">
        <f t="shared" si="145"/>
        <v>1</v>
      </c>
      <c r="O1550" t="str">
        <f t="shared" si="144"/>
        <v>Excellent</v>
      </c>
      <c r="P1550" t="str">
        <f t="shared" si="146"/>
        <v>High</v>
      </c>
      <c r="Q1550" t="str">
        <f t="shared" si="147"/>
        <v>Low Loan</v>
      </c>
      <c r="R1550">
        <f t="shared" si="148"/>
        <v>4200000</v>
      </c>
      <c r="S1550" t="str">
        <f t="shared" si="149"/>
        <v>Weak</v>
      </c>
    </row>
    <row r="1551" spans="1:19" x14ac:dyDescent="0.25">
      <c r="A1551">
        <v>1550</v>
      </c>
      <c r="B1551">
        <v>1</v>
      </c>
      <c r="C1551" t="s">
        <v>30</v>
      </c>
      <c r="D1551" t="s">
        <v>33</v>
      </c>
      <c r="E1551">
        <v>2100000</v>
      </c>
      <c r="F1551">
        <v>7300000</v>
      </c>
      <c r="G1551">
        <v>16</v>
      </c>
      <c r="H1551">
        <v>826</v>
      </c>
      <c r="I1551">
        <v>1600000</v>
      </c>
      <c r="J1551">
        <v>3500000</v>
      </c>
      <c r="K1551">
        <v>7700000</v>
      </c>
      <c r="L1551">
        <v>1400000</v>
      </c>
      <c r="M1551" t="s">
        <v>34</v>
      </c>
      <c r="N1551">
        <f t="shared" si="145"/>
        <v>1</v>
      </c>
      <c r="O1551" t="str">
        <f t="shared" si="144"/>
        <v>Excellent</v>
      </c>
      <c r="P1551" t="str">
        <f t="shared" si="146"/>
        <v>High</v>
      </c>
      <c r="Q1551" t="str">
        <f t="shared" si="147"/>
        <v>Low Loan</v>
      </c>
      <c r="R1551">
        <f t="shared" si="148"/>
        <v>14200000</v>
      </c>
      <c r="S1551" t="str">
        <f t="shared" si="149"/>
        <v>Strong</v>
      </c>
    </row>
    <row r="1552" spans="1:19" x14ac:dyDescent="0.25">
      <c r="A1552">
        <v>1551</v>
      </c>
      <c r="B1552">
        <v>2</v>
      </c>
      <c r="C1552" t="s">
        <v>31</v>
      </c>
      <c r="D1552" t="s">
        <v>32</v>
      </c>
      <c r="E1552">
        <v>3200000</v>
      </c>
      <c r="F1552">
        <v>10500000</v>
      </c>
      <c r="G1552">
        <v>12</v>
      </c>
      <c r="H1552">
        <v>502</v>
      </c>
      <c r="I1552">
        <v>4300000</v>
      </c>
      <c r="J1552">
        <v>1500000</v>
      </c>
      <c r="K1552">
        <v>10000000</v>
      </c>
      <c r="L1552">
        <v>4500000</v>
      </c>
      <c r="M1552" t="s">
        <v>35</v>
      </c>
      <c r="N1552">
        <f t="shared" si="145"/>
        <v>0</v>
      </c>
      <c r="O1552" t="str">
        <f t="shared" si="144"/>
        <v>Low</v>
      </c>
      <c r="P1552" t="str">
        <f t="shared" si="146"/>
        <v>High</v>
      </c>
      <c r="Q1552" t="str">
        <f t="shared" si="147"/>
        <v>Low Loan</v>
      </c>
      <c r="R1552">
        <f t="shared" si="148"/>
        <v>20300000</v>
      </c>
      <c r="S1552" t="str">
        <f t="shared" si="149"/>
        <v>Strong</v>
      </c>
    </row>
    <row r="1553" spans="1:19" x14ac:dyDescent="0.25">
      <c r="A1553">
        <v>1552</v>
      </c>
      <c r="B1553">
        <v>0</v>
      </c>
      <c r="C1553" t="s">
        <v>30</v>
      </c>
      <c r="D1553" t="s">
        <v>32</v>
      </c>
      <c r="E1553">
        <v>2900000</v>
      </c>
      <c r="F1553">
        <v>7800000</v>
      </c>
      <c r="G1553">
        <v>8</v>
      </c>
      <c r="H1553">
        <v>367</v>
      </c>
      <c r="I1553">
        <v>700000</v>
      </c>
      <c r="J1553">
        <v>3700000</v>
      </c>
      <c r="K1553">
        <v>7700000</v>
      </c>
      <c r="L1553">
        <v>3600000</v>
      </c>
      <c r="M1553" t="s">
        <v>35</v>
      </c>
      <c r="N1553">
        <f t="shared" si="145"/>
        <v>0</v>
      </c>
      <c r="O1553" t="str">
        <f t="shared" si="144"/>
        <v>Low</v>
      </c>
      <c r="P1553" t="str">
        <f t="shared" si="146"/>
        <v>High</v>
      </c>
      <c r="Q1553" t="str">
        <f t="shared" si="147"/>
        <v>Low Loan</v>
      </c>
      <c r="R1553">
        <f t="shared" si="148"/>
        <v>15700000</v>
      </c>
      <c r="S1553" t="str">
        <f t="shared" si="149"/>
        <v>Strong</v>
      </c>
    </row>
    <row r="1554" spans="1:19" x14ac:dyDescent="0.25">
      <c r="A1554">
        <v>1553</v>
      </c>
      <c r="B1554">
        <v>0</v>
      </c>
      <c r="C1554" t="s">
        <v>31</v>
      </c>
      <c r="D1554" t="s">
        <v>32</v>
      </c>
      <c r="E1554">
        <v>7000000</v>
      </c>
      <c r="F1554">
        <v>18300000</v>
      </c>
      <c r="G1554">
        <v>6</v>
      </c>
      <c r="H1554">
        <v>541</v>
      </c>
      <c r="I1554">
        <v>6300000</v>
      </c>
      <c r="J1554">
        <v>6400000</v>
      </c>
      <c r="K1554">
        <v>20800000</v>
      </c>
      <c r="L1554">
        <v>8300000</v>
      </c>
      <c r="M1554" t="s">
        <v>35</v>
      </c>
      <c r="N1554">
        <f t="shared" si="145"/>
        <v>0</v>
      </c>
      <c r="O1554" t="str">
        <f t="shared" si="144"/>
        <v>Low</v>
      </c>
      <c r="P1554" t="str">
        <f t="shared" si="146"/>
        <v>High</v>
      </c>
      <c r="Q1554" t="str">
        <f t="shared" si="147"/>
        <v>Low Loan</v>
      </c>
      <c r="R1554">
        <f t="shared" si="148"/>
        <v>41800000</v>
      </c>
      <c r="S1554" t="str">
        <f t="shared" si="149"/>
        <v>Strong</v>
      </c>
    </row>
    <row r="1555" spans="1:19" x14ac:dyDescent="0.25">
      <c r="A1555">
        <v>1554</v>
      </c>
      <c r="B1555">
        <v>1</v>
      </c>
      <c r="C1555" t="s">
        <v>30</v>
      </c>
      <c r="D1555" t="s">
        <v>32</v>
      </c>
      <c r="E1555">
        <v>3700000</v>
      </c>
      <c r="F1555">
        <v>13600000</v>
      </c>
      <c r="G1555">
        <v>16</v>
      </c>
      <c r="H1555">
        <v>608</v>
      </c>
      <c r="I1555">
        <v>400000</v>
      </c>
      <c r="J1555">
        <v>2200000</v>
      </c>
      <c r="K1555">
        <v>13400000</v>
      </c>
      <c r="L1555">
        <v>2800000</v>
      </c>
      <c r="M1555" t="s">
        <v>34</v>
      </c>
      <c r="N1555">
        <f t="shared" si="145"/>
        <v>1</v>
      </c>
      <c r="O1555" t="str">
        <f t="shared" si="144"/>
        <v>Low</v>
      </c>
      <c r="P1555" t="str">
        <f t="shared" si="146"/>
        <v>High</v>
      </c>
      <c r="Q1555" t="str">
        <f t="shared" si="147"/>
        <v>Low Loan</v>
      </c>
      <c r="R1555">
        <f t="shared" si="148"/>
        <v>18800000</v>
      </c>
      <c r="S1555" t="str">
        <f t="shared" si="149"/>
        <v>Strong</v>
      </c>
    </row>
    <row r="1556" spans="1:19" x14ac:dyDescent="0.25">
      <c r="A1556">
        <v>1555</v>
      </c>
      <c r="B1556">
        <v>3</v>
      </c>
      <c r="C1556" t="s">
        <v>31</v>
      </c>
      <c r="D1556" t="s">
        <v>33</v>
      </c>
      <c r="E1556">
        <v>4500000</v>
      </c>
      <c r="F1556">
        <v>13100000</v>
      </c>
      <c r="G1556">
        <v>12</v>
      </c>
      <c r="H1556">
        <v>570</v>
      </c>
      <c r="I1556">
        <v>10500000</v>
      </c>
      <c r="J1556">
        <v>2000000</v>
      </c>
      <c r="K1556">
        <v>10100000</v>
      </c>
      <c r="L1556">
        <v>5800000</v>
      </c>
      <c r="M1556" t="s">
        <v>34</v>
      </c>
      <c r="N1556">
        <f t="shared" si="145"/>
        <v>1</v>
      </c>
      <c r="O1556" t="str">
        <f t="shared" si="144"/>
        <v>Low</v>
      </c>
      <c r="P1556" t="str">
        <f t="shared" si="146"/>
        <v>High</v>
      </c>
      <c r="Q1556" t="str">
        <f t="shared" si="147"/>
        <v>Low Loan</v>
      </c>
      <c r="R1556">
        <f t="shared" si="148"/>
        <v>28400000</v>
      </c>
      <c r="S1556" t="str">
        <f t="shared" si="149"/>
        <v>Strong</v>
      </c>
    </row>
    <row r="1557" spans="1:19" x14ac:dyDescent="0.25">
      <c r="A1557">
        <v>1556</v>
      </c>
      <c r="B1557">
        <v>3</v>
      </c>
      <c r="C1557" t="s">
        <v>30</v>
      </c>
      <c r="D1557" t="s">
        <v>32</v>
      </c>
      <c r="E1557">
        <v>200000</v>
      </c>
      <c r="F1557">
        <v>800000</v>
      </c>
      <c r="G1557">
        <v>18</v>
      </c>
      <c r="H1557">
        <v>752</v>
      </c>
      <c r="I1557">
        <v>200000</v>
      </c>
      <c r="J1557">
        <v>200000</v>
      </c>
      <c r="K1557">
        <v>300000</v>
      </c>
      <c r="L1557">
        <v>200000</v>
      </c>
      <c r="M1557" t="s">
        <v>34</v>
      </c>
      <c r="N1557">
        <f t="shared" si="145"/>
        <v>1</v>
      </c>
      <c r="O1557" t="str">
        <f t="shared" si="144"/>
        <v>Excellent</v>
      </c>
      <c r="P1557" t="str">
        <f t="shared" si="146"/>
        <v>Low</v>
      </c>
      <c r="Q1557" t="str">
        <f t="shared" si="147"/>
        <v>Low Loan</v>
      </c>
      <c r="R1557">
        <f t="shared" si="148"/>
        <v>900000</v>
      </c>
      <c r="S1557" t="str">
        <f t="shared" si="149"/>
        <v>Weak</v>
      </c>
    </row>
    <row r="1558" spans="1:19" x14ac:dyDescent="0.25">
      <c r="A1558">
        <v>1557</v>
      </c>
      <c r="B1558">
        <v>5</v>
      </c>
      <c r="C1558" t="s">
        <v>31</v>
      </c>
      <c r="D1558" t="s">
        <v>33</v>
      </c>
      <c r="E1558">
        <v>5600000</v>
      </c>
      <c r="F1558">
        <v>20500000</v>
      </c>
      <c r="G1558">
        <v>8</v>
      </c>
      <c r="H1558">
        <v>873</v>
      </c>
      <c r="I1558">
        <v>5500000</v>
      </c>
      <c r="J1558">
        <v>9500000</v>
      </c>
      <c r="K1558">
        <v>19400000</v>
      </c>
      <c r="L1558">
        <v>7800000</v>
      </c>
      <c r="M1558" t="s">
        <v>34</v>
      </c>
      <c r="N1558">
        <f t="shared" si="145"/>
        <v>1</v>
      </c>
      <c r="O1558" t="str">
        <f t="shared" si="144"/>
        <v>Excellent</v>
      </c>
      <c r="P1558" t="str">
        <f t="shared" si="146"/>
        <v>High</v>
      </c>
      <c r="Q1558" t="str">
        <f t="shared" si="147"/>
        <v>High Loan</v>
      </c>
      <c r="R1558">
        <f t="shared" si="148"/>
        <v>42200000</v>
      </c>
      <c r="S1558" t="str">
        <f t="shared" si="149"/>
        <v>Strong</v>
      </c>
    </row>
    <row r="1559" spans="1:19" x14ac:dyDescent="0.25">
      <c r="A1559">
        <v>1558</v>
      </c>
      <c r="B1559">
        <v>5</v>
      </c>
      <c r="C1559" t="s">
        <v>30</v>
      </c>
      <c r="D1559" t="s">
        <v>32</v>
      </c>
      <c r="E1559">
        <v>5400000</v>
      </c>
      <c r="F1559">
        <v>18600000</v>
      </c>
      <c r="G1559">
        <v>2</v>
      </c>
      <c r="H1559">
        <v>538</v>
      </c>
      <c r="I1559">
        <v>7700000</v>
      </c>
      <c r="J1559">
        <v>2700000</v>
      </c>
      <c r="K1559">
        <v>18800000</v>
      </c>
      <c r="L1559">
        <v>4000000</v>
      </c>
      <c r="M1559" t="s">
        <v>34</v>
      </c>
      <c r="N1559">
        <f t="shared" si="145"/>
        <v>1</v>
      </c>
      <c r="O1559" t="str">
        <f t="shared" si="144"/>
        <v>Low</v>
      </c>
      <c r="P1559" t="str">
        <f t="shared" si="146"/>
        <v>High</v>
      </c>
      <c r="Q1559" t="str">
        <f t="shared" si="147"/>
        <v>Low Loan</v>
      </c>
      <c r="R1559">
        <f t="shared" si="148"/>
        <v>33200000</v>
      </c>
      <c r="S1559" t="str">
        <f t="shared" si="149"/>
        <v>Strong</v>
      </c>
    </row>
    <row r="1560" spans="1:19" x14ac:dyDescent="0.25">
      <c r="A1560">
        <v>1559</v>
      </c>
      <c r="B1560">
        <v>4</v>
      </c>
      <c r="C1560" t="s">
        <v>31</v>
      </c>
      <c r="D1560" t="s">
        <v>32</v>
      </c>
      <c r="E1560">
        <v>300000</v>
      </c>
      <c r="F1560">
        <v>1000000</v>
      </c>
      <c r="G1560">
        <v>10</v>
      </c>
      <c r="H1560">
        <v>819</v>
      </c>
      <c r="I1560">
        <v>700000</v>
      </c>
      <c r="J1560">
        <v>300000</v>
      </c>
      <c r="K1560">
        <v>900000</v>
      </c>
      <c r="L1560">
        <v>200000</v>
      </c>
      <c r="M1560" t="s">
        <v>34</v>
      </c>
      <c r="N1560">
        <f t="shared" si="145"/>
        <v>1</v>
      </c>
      <c r="O1560" t="str">
        <f t="shared" si="144"/>
        <v>Excellent</v>
      </c>
      <c r="P1560" t="str">
        <f t="shared" si="146"/>
        <v>Middle</v>
      </c>
      <c r="Q1560" t="str">
        <f t="shared" si="147"/>
        <v>Low Loan</v>
      </c>
      <c r="R1560">
        <f t="shared" si="148"/>
        <v>2100000</v>
      </c>
      <c r="S1560" t="str">
        <f t="shared" si="149"/>
        <v>Weak</v>
      </c>
    </row>
    <row r="1561" spans="1:19" x14ac:dyDescent="0.25">
      <c r="A1561">
        <v>1560</v>
      </c>
      <c r="B1561">
        <v>1</v>
      </c>
      <c r="C1561" t="s">
        <v>30</v>
      </c>
      <c r="D1561" t="s">
        <v>33</v>
      </c>
      <c r="E1561">
        <v>7500000</v>
      </c>
      <c r="F1561">
        <v>29800000</v>
      </c>
      <c r="G1561">
        <v>18</v>
      </c>
      <c r="H1561">
        <v>770</v>
      </c>
      <c r="I1561">
        <v>1400000</v>
      </c>
      <c r="J1561">
        <v>5200000</v>
      </c>
      <c r="K1561">
        <v>28000000</v>
      </c>
      <c r="L1561">
        <v>8700000</v>
      </c>
      <c r="M1561" t="s">
        <v>34</v>
      </c>
      <c r="N1561">
        <f t="shared" si="145"/>
        <v>1</v>
      </c>
      <c r="O1561" t="str">
        <f t="shared" si="144"/>
        <v>Excellent</v>
      </c>
      <c r="P1561" t="str">
        <f t="shared" si="146"/>
        <v>High</v>
      </c>
      <c r="Q1561" t="str">
        <f t="shared" si="147"/>
        <v>High Loan</v>
      </c>
      <c r="R1561">
        <f t="shared" si="148"/>
        <v>43300000</v>
      </c>
      <c r="S1561" t="str">
        <f t="shared" si="149"/>
        <v>Strong</v>
      </c>
    </row>
    <row r="1562" spans="1:19" x14ac:dyDescent="0.25">
      <c r="A1562">
        <v>1561</v>
      </c>
      <c r="B1562">
        <v>5</v>
      </c>
      <c r="C1562" t="s">
        <v>31</v>
      </c>
      <c r="D1562" t="s">
        <v>33</v>
      </c>
      <c r="E1562">
        <v>2500000</v>
      </c>
      <c r="F1562">
        <v>9600000</v>
      </c>
      <c r="G1562">
        <v>6</v>
      </c>
      <c r="H1562">
        <v>345</v>
      </c>
      <c r="I1562">
        <v>1900000</v>
      </c>
      <c r="J1562">
        <v>1900000</v>
      </c>
      <c r="K1562">
        <v>6800000</v>
      </c>
      <c r="L1562">
        <v>2600000</v>
      </c>
      <c r="M1562" t="s">
        <v>35</v>
      </c>
      <c r="N1562">
        <f t="shared" si="145"/>
        <v>0</v>
      </c>
      <c r="O1562" t="str">
        <f t="shared" si="144"/>
        <v>Low</v>
      </c>
      <c r="P1562" t="str">
        <f t="shared" si="146"/>
        <v>High</v>
      </c>
      <c r="Q1562" t="str">
        <f t="shared" si="147"/>
        <v>Low Loan</v>
      </c>
      <c r="R1562">
        <f t="shared" si="148"/>
        <v>13200000</v>
      </c>
      <c r="S1562" t="str">
        <f t="shared" si="149"/>
        <v>Strong</v>
      </c>
    </row>
    <row r="1563" spans="1:19" x14ac:dyDescent="0.25">
      <c r="A1563">
        <v>1562</v>
      </c>
      <c r="B1563">
        <v>4</v>
      </c>
      <c r="C1563" t="s">
        <v>30</v>
      </c>
      <c r="D1563" t="s">
        <v>33</v>
      </c>
      <c r="E1563">
        <v>3100000</v>
      </c>
      <c r="F1563">
        <v>8100000</v>
      </c>
      <c r="G1563">
        <v>12</v>
      </c>
      <c r="H1563">
        <v>730</v>
      </c>
      <c r="I1563">
        <v>6300000</v>
      </c>
      <c r="J1563">
        <v>4500000</v>
      </c>
      <c r="K1563">
        <v>9000000</v>
      </c>
      <c r="L1563">
        <v>4500000</v>
      </c>
      <c r="M1563" t="s">
        <v>34</v>
      </c>
      <c r="N1563">
        <f t="shared" si="145"/>
        <v>1</v>
      </c>
      <c r="O1563" t="str">
        <f t="shared" si="144"/>
        <v>Good</v>
      </c>
      <c r="P1563" t="str">
        <f t="shared" si="146"/>
        <v>High</v>
      </c>
      <c r="Q1563" t="str">
        <f t="shared" si="147"/>
        <v>Low Loan</v>
      </c>
      <c r="R1563">
        <f t="shared" si="148"/>
        <v>24300000</v>
      </c>
      <c r="S1563" t="str">
        <f t="shared" si="149"/>
        <v>Strong</v>
      </c>
    </row>
    <row r="1564" spans="1:19" x14ac:dyDescent="0.25">
      <c r="A1564">
        <v>1563</v>
      </c>
      <c r="B1564">
        <v>1</v>
      </c>
      <c r="C1564" t="s">
        <v>30</v>
      </c>
      <c r="D1564" t="s">
        <v>33</v>
      </c>
      <c r="E1564">
        <v>7600000</v>
      </c>
      <c r="F1564">
        <v>19300000</v>
      </c>
      <c r="G1564">
        <v>20</v>
      </c>
      <c r="H1564">
        <v>835</v>
      </c>
      <c r="I1564">
        <v>5800000</v>
      </c>
      <c r="J1564">
        <v>2300000</v>
      </c>
      <c r="K1564">
        <v>22000000</v>
      </c>
      <c r="L1564">
        <v>8200000</v>
      </c>
      <c r="M1564" t="s">
        <v>34</v>
      </c>
      <c r="N1564">
        <f t="shared" si="145"/>
        <v>1</v>
      </c>
      <c r="O1564" t="str">
        <f t="shared" si="144"/>
        <v>Excellent</v>
      </c>
      <c r="P1564" t="str">
        <f t="shared" si="146"/>
        <v>High</v>
      </c>
      <c r="Q1564" t="str">
        <f t="shared" si="147"/>
        <v>Low Loan</v>
      </c>
      <c r="R1564">
        <f t="shared" si="148"/>
        <v>38300000</v>
      </c>
      <c r="S1564" t="str">
        <f t="shared" si="149"/>
        <v>Strong</v>
      </c>
    </row>
    <row r="1565" spans="1:19" x14ac:dyDescent="0.25">
      <c r="A1565">
        <v>1564</v>
      </c>
      <c r="B1565">
        <v>3</v>
      </c>
      <c r="C1565" t="s">
        <v>31</v>
      </c>
      <c r="D1565" t="s">
        <v>33</v>
      </c>
      <c r="E1565">
        <v>500000</v>
      </c>
      <c r="F1565">
        <v>1700000</v>
      </c>
      <c r="G1565">
        <v>2</v>
      </c>
      <c r="H1565">
        <v>811</v>
      </c>
      <c r="I1565">
        <v>500000</v>
      </c>
      <c r="J1565">
        <v>500000</v>
      </c>
      <c r="K1565">
        <v>1400000</v>
      </c>
      <c r="L1565">
        <v>200000</v>
      </c>
      <c r="M1565" t="s">
        <v>34</v>
      </c>
      <c r="N1565">
        <f t="shared" si="145"/>
        <v>1</v>
      </c>
      <c r="O1565" t="str">
        <f t="shared" si="144"/>
        <v>Excellent</v>
      </c>
      <c r="P1565" t="str">
        <f t="shared" si="146"/>
        <v>Middle</v>
      </c>
      <c r="Q1565" t="str">
        <f t="shared" si="147"/>
        <v>Low Loan</v>
      </c>
      <c r="R1565">
        <f t="shared" si="148"/>
        <v>2600000</v>
      </c>
      <c r="S1565" t="str">
        <f t="shared" si="149"/>
        <v>Weak</v>
      </c>
    </row>
    <row r="1566" spans="1:19" x14ac:dyDescent="0.25">
      <c r="A1566">
        <v>1565</v>
      </c>
      <c r="B1566">
        <v>2</v>
      </c>
      <c r="C1566" t="s">
        <v>31</v>
      </c>
      <c r="D1566" t="s">
        <v>32</v>
      </c>
      <c r="E1566">
        <v>2700000</v>
      </c>
      <c r="F1566">
        <v>5900000</v>
      </c>
      <c r="G1566">
        <v>14</v>
      </c>
      <c r="H1566">
        <v>662</v>
      </c>
      <c r="I1566">
        <v>3200000</v>
      </c>
      <c r="J1566">
        <v>1600000</v>
      </c>
      <c r="K1566">
        <v>7300000</v>
      </c>
      <c r="L1566">
        <v>3800000</v>
      </c>
      <c r="M1566" t="s">
        <v>34</v>
      </c>
      <c r="N1566">
        <f t="shared" si="145"/>
        <v>1</v>
      </c>
      <c r="O1566" t="str">
        <f t="shared" si="144"/>
        <v>Medium</v>
      </c>
      <c r="P1566" t="str">
        <f t="shared" si="146"/>
        <v>High</v>
      </c>
      <c r="Q1566" t="str">
        <f t="shared" si="147"/>
        <v>Low Loan</v>
      </c>
      <c r="R1566">
        <f t="shared" si="148"/>
        <v>15900000</v>
      </c>
      <c r="S1566" t="str">
        <f t="shared" si="149"/>
        <v>Strong</v>
      </c>
    </row>
    <row r="1567" spans="1:19" x14ac:dyDescent="0.25">
      <c r="A1567">
        <v>1566</v>
      </c>
      <c r="B1567">
        <v>2</v>
      </c>
      <c r="C1567" t="s">
        <v>31</v>
      </c>
      <c r="D1567" t="s">
        <v>33</v>
      </c>
      <c r="E1567">
        <v>3500000</v>
      </c>
      <c r="F1567">
        <v>13300000</v>
      </c>
      <c r="G1567">
        <v>4</v>
      </c>
      <c r="H1567">
        <v>420</v>
      </c>
      <c r="I1567">
        <v>6400000</v>
      </c>
      <c r="J1567">
        <v>1700000</v>
      </c>
      <c r="K1567">
        <v>8000000</v>
      </c>
      <c r="L1567">
        <v>2300000</v>
      </c>
      <c r="M1567" t="s">
        <v>34</v>
      </c>
      <c r="N1567">
        <f t="shared" si="145"/>
        <v>1</v>
      </c>
      <c r="O1567" t="str">
        <f t="shared" si="144"/>
        <v>Low</v>
      </c>
      <c r="P1567" t="str">
        <f t="shared" si="146"/>
        <v>High</v>
      </c>
      <c r="Q1567" t="str">
        <f t="shared" si="147"/>
        <v>Low Loan</v>
      </c>
      <c r="R1567">
        <f t="shared" si="148"/>
        <v>18400000</v>
      </c>
      <c r="S1567" t="str">
        <f t="shared" si="149"/>
        <v>Strong</v>
      </c>
    </row>
    <row r="1568" spans="1:19" x14ac:dyDescent="0.25">
      <c r="A1568">
        <v>1567</v>
      </c>
      <c r="B1568">
        <v>5</v>
      </c>
      <c r="C1568" t="s">
        <v>31</v>
      </c>
      <c r="D1568" t="s">
        <v>32</v>
      </c>
      <c r="E1568">
        <v>3700000</v>
      </c>
      <c r="F1568">
        <v>11700000</v>
      </c>
      <c r="G1568">
        <v>4</v>
      </c>
      <c r="H1568">
        <v>413</v>
      </c>
      <c r="I1568">
        <v>8400000</v>
      </c>
      <c r="J1568">
        <v>5500000</v>
      </c>
      <c r="K1568">
        <v>12000000</v>
      </c>
      <c r="L1568">
        <v>2700000</v>
      </c>
      <c r="M1568" t="s">
        <v>34</v>
      </c>
      <c r="N1568">
        <f t="shared" si="145"/>
        <v>1</v>
      </c>
      <c r="O1568" t="str">
        <f t="shared" si="144"/>
        <v>Low</v>
      </c>
      <c r="P1568" t="str">
        <f t="shared" si="146"/>
        <v>High</v>
      </c>
      <c r="Q1568" t="str">
        <f t="shared" si="147"/>
        <v>Low Loan</v>
      </c>
      <c r="R1568">
        <f t="shared" si="148"/>
        <v>28600000</v>
      </c>
      <c r="S1568" t="str">
        <f t="shared" si="149"/>
        <v>Strong</v>
      </c>
    </row>
    <row r="1569" spans="1:19" x14ac:dyDescent="0.25">
      <c r="A1569">
        <v>1568</v>
      </c>
      <c r="B1569">
        <v>2</v>
      </c>
      <c r="C1569" t="s">
        <v>31</v>
      </c>
      <c r="D1569" t="s">
        <v>33</v>
      </c>
      <c r="E1569">
        <v>5600000</v>
      </c>
      <c r="F1569">
        <v>20000000</v>
      </c>
      <c r="G1569">
        <v>10</v>
      </c>
      <c r="H1569">
        <v>367</v>
      </c>
      <c r="I1569">
        <v>13700000</v>
      </c>
      <c r="J1569">
        <v>5000000</v>
      </c>
      <c r="K1569">
        <v>19100000</v>
      </c>
      <c r="L1569">
        <v>6000000</v>
      </c>
      <c r="M1569" t="s">
        <v>35</v>
      </c>
      <c r="N1569">
        <f t="shared" si="145"/>
        <v>0</v>
      </c>
      <c r="O1569" t="str">
        <f t="shared" si="144"/>
        <v>Low</v>
      </c>
      <c r="P1569" t="str">
        <f t="shared" si="146"/>
        <v>High</v>
      </c>
      <c r="Q1569" t="str">
        <f t="shared" si="147"/>
        <v>High Loan</v>
      </c>
      <c r="R1569">
        <f t="shared" si="148"/>
        <v>43800000</v>
      </c>
      <c r="S1569" t="str">
        <f t="shared" si="149"/>
        <v>Strong</v>
      </c>
    </row>
    <row r="1570" spans="1:19" x14ac:dyDescent="0.25">
      <c r="A1570">
        <v>1569</v>
      </c>
      <c r="B1570">
        <v>5</v>
      </c>
      <c r="C1570" t="s">
        <v>31</v>
      </c>
      <c r="D1570" t="s">
        <v>33</v>
      </c>
      <c r="E1570">
        <v>4800000</v>
      </c>
      <c r="F1570">
        <v>16400000</v>
      </c>
      <c r="G1570">
        <v>14</v>
      </c>
      <c r="H1570">
        <v>390</v>
      </c>
      <c r="I1570">
        <v>8400000</v>
      </c>
      <c r="J1570">
        <v>2400000</v>
      </c>
      <c r="K1570">
        <v>9500000</v>
      </c>
      <c r="L1570">
        <v>4000000</v>
      </c>
      <c r="M1570" t="s">
        <v>35</v>
      </c>
      <c r="N1570">
        <f t="shared" si="145"/>
        <v>0</v>
      </c>
      <c r="O1570" t="str">
        <f t="shared" si="144"/>
        <v>Low</v>
      </c>
      <c r="P1570" t="str">
        <f t="shared" si="146"/>
        <v>High</v>
      </c>
      <c r="Q1570" t="str">
        <f t="shared" si="147"/>
        <v>Low Loan</v>
      </c>
      <c r="R1570">
        <f t="shared" si="148"/>
        <v>24300000</v>
      </c>
      <c r="S1570" t="str">
        <f t="shared" si="149"/>
        <v>Strong</v>
      </c>
    </row>
    <row r="1571" spans="1:19" x14ac:dyDescent="0.25">
      <c r="A1571">
        <v>1570</v>
      </c>
      <c r="B1571">
        <v>4</v>
      </c>
      <c r="C1571" t="s">
        <v>31</v>
      </c>
      <c r="D1571" t="s">
        <v>33</v>
      </c>
      <c r="E1571">
        <v>5200000</v>
      </c>
      <c r="F1571">
        <v>12200000</v>
      </c>
      <c r="G1571">
        <v>2</v>
      </c>
      <c r="H1571">
        <v>602</v>
      </c>
      <c r="I1571">
        <v>10300000</v>
      </c>
      <c r="J1571">
        <v>800000</v>
      </c>
      <c r="K1571">
        <v>20500000</v>
      </c>
      <c r="L1571">
        <v>7700000</v>
      </c>
      <c r="M1571" t="s">
        <v>34</v>
      </c>
      <c r="N1571">
        <f t="shared" si="145"/>
        <v>1</v>
      </c>
      <c r="O1571" t="str">
        <f t="shared" si="144"/>
        <v>Low</v>
      </c>
      <c r="P1571" t="str">
        <f t="shared" si="146"/>
        <v>High</v>
      </c>
      <c r="Q1571" t="str">
        <f t="shared" si="147"/>
        <v>Low Loan</v>
      </c>
      <c r="R1571">
        <f t="shared" si="148"/>
        <v>39300000</v>
      </c>
      <c r="S1571" t="str">
        <f t="shared" si="149"/>
        <v>Strong</v>
      </c>
    </row>
    <row r="1572" spans="1:19" x14ac:dyDescent="0.25">
      <c r="A1572">
        <v>1571</v>
      </c>
      <c r="B1572">
        <v>3</v>
      </c>
      <c r="C1572" t="s">
        <v>30</v>
      </c>
      <c r="D1572" t="s">
        <v>32</v>
      </c>
      <c r="E1572">
        <v>2900000</v>
      </c>
      <c r="F1572">
        <v>11500000</v>
      </c>
      <c r="G1572">
        <v>16</v>
      </c>
      <c r="H1572">
        <v>843</v>
      </c>
      <c r="I1572">
        <v>2300000</v>
      </c>
      <c r="J1572">
        <v>2600000</v>
      </c>
      <c r="K1572">
        <v>10700000</v>
      </c>
      <c r="L1572">
        <v>4300000</v>
      </c>
      <c r="M1572" t="s">
        <v>34</v>
      </c>
      <c r="N1572">
        <f t="shared" si="145"/>
        <v>1</v>
      </c>
      <c r="O1572" t="str">
        <f t="shared" si="144"/>
        <v>Excellent</v>
      </c>
      <c r="P1572" t="str">
        <f t="shared" si="146"/>
        <v>High</v>
      </c>
      <c r="Q1572" t="str">
        <f t="shared" si="147"/>
        <v>Low Loan</v>
      </c>
      <c r="R1572">
        <f t="shared" si="148"/>
        <v>19900000</v>
      </c>
      <c r="S1572" t="str">
        <f t="shared" si="149"/>
        <v>Strong</v>
      </c>
    </row>
    <row r="1573" spans="1:19" x14ac:dyDescent="0.25">
      <c r="A1573">
        <v>1572</v>
      </c>
      <c r="B1573">
        <v>1</v>
      </c>
      <c r="C1573" t="s">
        <v>30</v>
      </c>
      <c r="D1573" t="s">
        <v>32</v>
      </c>
      <c r="E1573">
        <v>2700000</v>
      </c>
      <c r="F1573">
        <v>6800000</v>
      </c>
      <c r="G1573">
        <v>20</v>
      </c>
      <c r="H1573">
        <v>713</v>
      </c>
      <c r="I1573">
        <v>500000</v>
      </c>
      <c r="J1573">
        <v>3300000</v>
      </c>
      <c r="K1573">
        <v>6100000</v>
      </c>
      <c r="L1573">
        <v>1900000</v>
      </c>
      <c r="M1573" t="s">
        <v>34</v>
      </c>
      <c r="N1573">
        <f t="shared" si="145"/>
        <v>1</v>
      </c>
      <c r="O1573" t="str">
        <f t="shared" si="144"/>
        <v>Good</v>
      </c>
      <c r="P1573" t="str">
        <f t="shared" si="146"/>
        <v>High</v>
      </c>
      <c r="Q1573" t="str">
        <f t="shared" si="147"/>
        <v>Low Loan</v>
      </c>
      <c r="R1573">
        <f t="shared" si="148"/>
        <v>11800000</v>
      </c>
      <c r="S1573" t="str">
        <f t="shared" si="149"/>
        <v>Strong</v>
      </c>
    </row>
    <row r="1574" spans="1:19" x14ac:dyDescent="0.25">
      <c r="A1574">
        <v>1573</v>
      </c>
      <c r="B1574">
        <v>3</v>
      </c>
      <c r="C1574" t="s">
        <v>30</v>
      </c>
      <c r="D1574" t="s">
        <v>32</v>
      </c>
      <c r="E1574">
        <v>5000000</v>
      </c>
      <c r="F1574">
        <v>16200000</v>
      </c>
      <c r="G1574">
        <v>8</v>
      </c>
      <c r="H1574">
        <v>591</v>
      </c>
      <c r="I1574">
        <v>1900000</v>
      </c>
      <c r="J1574">
        <v>3400000</v>
      </c>
      <c r="K1574">
        <v>14000000</v>
      </c>
      <c r="L1574">
        <v>5000000</v>
      </c>
      <c r="M1574" t="s">
        <v>34</v>
      </c>
      <c r="N1574">
        <f t="shared" si="145"/>
        <v>1</v>
      </c>
      <c r="O1574" t="str">
        <f t="shared" si="144"/>
        <v>Low</v>
      </c>
      <c r="P1574" t="str">
        <f t="shared" si="146"/>
        <v>High</v>
      </c>
      <c r="Q1574" t="str">
        <f t="shared" si="147"/>
        <v>Low Loan</v>
      </c>
      <c r="R1574">
        <f t="shared" si="148"/>
        <v>24300000</v>
      </c>
      <c r="S1574" t="str">
        <f t="shared" si="149"/>
        <v>Strong</v>
      </c>
    </row>
    <row r="1575" spans="1:19" x14ac:dyDescent="0.25">
      <c r="A1575">
        <v>1574</v>
      </c>
      <c r="B1575">
        <v>2</v>
      </c>
      <c r="C1575" t="s">
        <v>31</v>
      </c>
      <c r="D1575" t="s">
        <v>33</v>
      </c>
      <c r="E1575">
        <v>2700000</v>
      </c>
      <c r="F1575">
        <v>9400000</v>
      </c>
      <c r="G1575">
        <v>14</v>
      </c>
      <c r="H1575">
        <v>701</v>
      </c>
      <c r="I1575">
        <v>400000</v>
      </c>
      <c r="J1575">
        <v>3400000</v>
      </c>
      <c r="K1575">
        <v>9900000</v>
      </c>
      <c r="L1575">
        <v>1900000</v>
      </c>
      <c r="M1575" t="s">
        <v>34</v>
      </c>
      <c r="N1575">
        <f t="shared" si="145"/>
        <v>1</v>
      </c>
      <c r="O1575" t="str">
        <f t="shared" si="144"/>
        <v>Good</v>
      </c>
      <c r="P1575" t="str">
        <f t="shared" si="146"/>
        <v>High</v>
      </c>
      <c r="Q1575" t="str">
        <f t="shared" si="147"/>
        <v>Low Loan</v>
      </c>
      <c r="R1575">
        <f t="shared" si="148"/>
        <v>15600000</v>
      </c>
      <c r="S1575" t="str">
        <f t="shared" si="149"/>
        <v>Strong</v>
      </c>
    </row>
    <row r="1576" spans="1:19" x14ac:dyDescent="0.25">
      <c r="A1576">
        <v>1575</v>
      </c>
      <c r="B1576">
        <v>4</v>
      </c>
      <c r="C1576" t="s">
        <v>31</v>
      </c>
      <c r="D1576" t="s">
        <v>33</v>
      </c>
      <c r="E1576">
        <v>2800000</v>
      </c>
      <c r="F1576">
        <v>10000000</v>
      </c>
      <c r="G1576">
        <v>12</v>
      </c>
      <c r="H1576">
        <v>655</v>
      </c>
      <c r="I1576">
        <v>4900000</v>
      </c>
      <c r="J1576">
        <v>3600000</v>
      </c>
      <c r="K1576">
        <v>8500000</v>
      </c>
      <c r="L1576">
        <v>3300000</v>
      </c>
      <c r="M1576" t="s">
        <v>34</v>
      </c>
      <c r="N1576">
        <f t="shared" si="145"/>
        <v>1</v>
      </c>
      <c r="O1576" t="str">
        <f t="shared" si="144"/>
        <v>Medium</v>
      </c>
      <c r="P1576" t="str">
        <f t="shared" si="146"/>
        <v>High</v>
      </c>
      <c r="Q1576" t="str">
        <f t="shared" si="147"/>
        <v>Low Loan</v>
      </c>
      <c r="R1576">
        <f t="shared" si="148"/>
        <v>20300000</v>
      </c>
      <c r="S1576" t="str">
        <f t="shared" si="149"/>
        <v>Strong</v>
      </c>
    </row>
    <row r="1577" spans="1:19" x14ac:dyDescent="0.25">
      <c r="A1577">
        <v>1576</v>
      </c>
      <c r="B1577">
        <v>3</v>
      </c>
      <c r="C1577" t="s">
        <v>31</v>
      </c>
      <c r="D1577" t="s">
        <v>33</v>
      </c>
      <c r="E1577">
        <v>7300000</v>
      </c>
      <c r="F1577">
        <v>20000000</v>
      </c>
      <c r="G1577">
        <v>18</v>
      </c>
      <c r="H1577">
        <v>720</v>
      </c>
      <c r="I1577">
        <v>15500000</v>
      </c>
      <c r="J1577">
        <v>9900000</v>
      </c>
      <c r="K1577">
        <v>23000000</v>
      </c>
      <c r="L1577">
        <v>9800000</v>
      </c>
      <c r="M1577" t="s">
        <v>34</v>
      </c>
      <c r="N1577">
        <f t="shared" si="145"/>
        <v>1</v>
      </c>
      <c r="O1577" t="str">
        <f t="shared" si="144"/>
        <v>Good</v>
      </c>
      <c r="P1577" t="str">
        <f t="shared" si="146"/>
        <v>High</v>
      </c>
      <c r="Q1577" t="str">
        <f t="shared" si="147"/>
        <v>High Loan</v>
      </c>
      <c r="R1577">
        <f t="shared" si="148"/>
        <v>58200000</v>
      </c>
      <c r="S1577" t="str">
        <f t="shared" si="149"/>
        <v>Strong</v>
      </c>
    </row>
    <row r="1578" spans="1:19" x14ac:dyDescent="0.25">
      <c r="A1578">
        <v>1577</v>
      </c>
      <c r="B1578">
        <v>0</v>
      </c>
      <c r="C1578" t="s">
        <v>30</v>
      </c>
      <c r="D1578" t="s">
        <v>33</v>
      </c>
      <c r="E1578">
        <v>5900000</v>
      </c>
      <c r="F1578">
        <v>15100000</v>
      </c>
      <c r="G1578">
        <v>10</v>
      </c>
      <c r="H1578">
        <v>794</v>
      </c>
      <c r="I1578">
        <v>6000000</v>
      </c>
      <c r="J1578">
        <v>4300000</v>
      </c>
      <c r="K1578">
        <v>14900000</v>
      </c>
      <c r="L1578">
        <v>5400000</v>
      </c>
      <c r="M1578" t="s">
        <v>34</v>
      </c>
      <c r="N1578">
        <f t="shared" si="145"/>
        <v>1</v>
      </c>
      <c r="O1578" t="str">
        <f t="shared" si="144"/>
        <v>Excellent</v>
      </c>
      <c r="P1578" t="str">
        <f t="shared" si="146"/>
        <v>High</v>
      </c>
      <c r="Q1578" t="str">
        <f t="shared" si="147"/>
        <v>Low Loan</v>
      </c>
      <c r="R1578">
        <f t="shared" si="148"/>
        <v>30600000</v>
      </c>
      <c r="S1578" t="str">
        <f t="shared" si="149"/>
        <v>Strong</v>
      </c>
    </row>
    <row r="1579" spans="1:19" x14ac:dyDescent="0.25">
      <c r="A1579">
        <v>1578</v>
      </c>
      <c r="B1579">
        <v>0</v>
      </c>
      <c r="C1579" t="s">
        <v>30</v>
      </c>
      <c r="D1579" t="s">
        <v>32</v>
      </c>
      <c r="E1579">
        <v>8100000</v>
      </c>
      <c r="F1579">
        <v>21300000</v>
      </c>
      <c r="G1579">
        <v>2</v>
      </c>
      <c r="H1579">
        <v>392</v>
      </c>
      <c r="I1579">
        <v>14200000</v>
      </c>
      <c r="J1579">
        <v>6600000</v>
      </c>
      <c r="K1579">
        <v>31500000</v>
      </c>
      <c r="L1579">
        <v>11000000</v>
      </c>
      <c r="M1579" t="s">
        <v>35</v>
      </c>
      <c r="N1579">
        <f t="shared" si="145"/>
        <v>0</v>
      </c>
      <c r="O1579" t="str">
        <f t="shared" si="144"/>
        <v>Low</v>
      </c>
      <c r="P1579" t="str">
        <f t="shared" si="146"/>
        <v>High</v>
      </c>
      <c r="Q1579" t="str">
        <f t="shared" si="147"/>
        <v>High Loan</v>
      </c>
      <c r="R1579">
        <f t="shared" si="148"/>
        <v>63300000</v>
      </c>
      <c r="S1579" t="str">
        <f t="shared" si="149"/>
        <v>Strong</v>
      </c>
    </row>
    <row r="1580" spans="1:19" x14ac:dyDescent="0.25">
      <c r="A1580">
        <v>1579</v>
      </c>
      <c r="B1580">
        <v>3</v>
      </c>
      <c r="C1580" t="s">
        <v>30</v>
      </c>
      <c r="D1580" t="s">
        <v>33</v>
      </c>
      <c r="E1580">
        <v>1900000</v>
      </c>
      <c r="F1580">
        <v>7100000</v>
      </c>
      <c r="G1580">
        <v>6</v>
      </c>
      <c r="H1580">
        <v>583</v>
      </c>
      <c r="I1580">
        <v>400000</v>
      </c>
      <c r="J1580">
        <v>2800000</v>
      </c>
      <c r="K1580">
        <v>6500000</v>
      </c>
      <c r="L1580">
        <v>2000000</v>
      </c>
      <c r="M1580" t="s">
        <v>34</v>
      </c>
      <c r="N1580">
        <f t="shared" si="145"/>
        <v>1</v>
      </c>
      <c r="O1580" t="str">
        <f t="shared" si="144"/>
        <v>Low</v>
      </c>
      <c r="P1580" t="str">
        <f t="shared" si="146"/>
        <v>High</v>
      </c>
      <c r="Q1580" t="str">
        <f t="shared" si="147"/>
        <v>Low Loan</v>
      </c>
      <c r="R1580">
        <f t="shared" si="148"/>
        <v>11700000</v>
      </c>
      <c r="S1580" t="str">
        <f t="shared" si="149"/>
        <v>Strong</v>
      </c>
    </row>
    <row r="1581" spans="1:19" x14ac:dyDescent="0.25">
      <c r="A1581">
        <v>1580</v>
      </c>
      <c r="B1581">
        <v>5</v>
      </c>
      <c r="C1581" t="s">
        <v>30</v>
      </c>
      <c r="D1581" t="s">
        <v>32</v>
      </c>
      <c r="E1581">
        <v>1800000</v>
      </c>
      <c r="F1581">
        <v>6800000</v>
      </c>
      <c r="G1581">
        <v>18</v>
      </c>
      <c r="H1581">
        <v>457</v>
      </c>
      <c r="I1581">
        <v>2200000</v>
      </c>
      <c r="J1581">
        <v>1100000</v>
      </c>
      <c r="K1581">
        <v>3800000</v>
      </c>
      <c r="L1581">
        <v>1400000</v>
      </c>
      <c r="M1581" t="s">
        <v>35</v>
      </c>
      <c r="N1581">
        <f t="shared" si="145"/>
        <v>0</v>
      </c>
      <c r="O1581" t="str">
        <f t="shared" si="144"/>
        <v>Low</v>
      </c>
      <c r="P1581" t="str">
        <f t="shared" si="146"/>
        <v>High</v>
      </c>
      <c r="Q1581" t="str">
        <f t="shared" si="147"/>
        <v>Low Loan</v>
      </c>
      <c r="R1581">
        <f t="shared" si="148"/>
        <v>8500000</v>
      </c>
      <c r="S1581" t="str">
        <f t="shared" si="149"/>
        <v>Moderate</v>
      </c>
    </row>
    <row r="1582" spans="1:19" x14ac:dyDescent="0.25">
      <c r="A1582">
        <v>1581</v>
      </c>
      <c r="B1582">
        <v>0</v>
      </c>
      <c r="C1582" t="s">
        <v>31</v>
      </c>
      <c r="D1582" t="s">
        <v>33</v>
      </c>
      <c r="E1582">
        <v>7600000</v>
      </c>
      <c r="F1582">
        <v>17800000</v>
      </c>
      <c r="G1582">
        <v>14</v>
      </c>
      <c r="H1582">
        <v>570</v>
      </c>
      <c r="I1582">
        <v>15200000</v>
      </c>
      <c r="J1582">
        <v>12100000</v>
      </c>
      <c r="K1582">
        <v>21500000</v>
      </c>
      <c r="L1582">
        <v>9900000</v>
      </c>
      <c r="M1582" t="s">
        <v>34</v>
      </c>
      <c r="N1582">
        <f t="shared" si="145"/>
        <v>1</v>
      </c>
      <c r="O1582" t="str">
        <f t="shared" si="144"/>
        <v>Low</v>
      </c>
      <c r="P1582" t="str">
        <f t="shared" si="146"/>
        <v>High</v>
      </c>
      <c r="Q1582" t="str">
        <f t="shared" si="147"/>
        <v>Low Loan</v>
      </c>
      <c r="R1582">
        <f t="shared" si="148"/>
        <v>58700000</v>
      </c>
      <c r="S1582" t="str">
        <f t="shared" si="149"/>
        <v>Strong</v>
      </c>
    </row>
    <row r="1583" spans="1:19" x14ac:dyDescent="0.25">
      <c r="A1583">
        <v>1582</v>
      </c>
      <c r="B1583">
        <v>1</v>
      </c>
      <c r="C1583" t="s">
        <v>30</v>
      </c>
      <c r="D1583" t="s">
        <v>32</v>
      </c>
      <c r="E1583">
        <v>9100000</v>
      </c>
      <c r="F1583">
        <v>30100000</v>
      </c>
      <c r="G1583">
        <v>14</v>
      </c>
      <c r="H1583">
        <v>890</v>
      </c>
      <c r="I1583">
        <v>17800000</v>
      </c>
      <c r="J1583">
        <v>12400000</v>
      </c>
      <c r="K1583">
        <v>32500000</v>
      </c>
      <c r="L1583">
        <v>7500000</v>
      </c>
      <c r="M1583" t="s">
        <v>34</v>
      </c>
      <c r="N1583">
        <f t="shared" si="145"/>
        <v>1</v>
      </c>
      <c r="O1583" t="str">
        <f t="shared" si="144"/>
        <v>Excellent</v>
      </c>
      <c r="P1583" t="str">
        <f t="shared" si="146"/>
        <v>High</v>
      </c>
      <c r="Q1583" t="str">
        <f t="shared" si="147"/>
        <v>High Loan</v>
      </c>
      <c r="R1583">
        <f t="shared" si="148"/>
        <v>70200000</v>
      </c>
      <c r="S1583" t="str">
        <f t="shared" si="149"/>
        <v>Strong</v>
      </c>
    </row>
    <row r="1584" spans="1:19" x14ac:dyDescent="0.25">
      <c r="A1584">
        <v>1583</v>
      </c>
      <c r="B1584">
        <v>2</v>
      </c>
      <c r="C1584" t="s">
        <v>31</v>
      </c>
      <c r="D1584" t="s">
        <v>33</v>
      </c>
      <c r="E1584">
        <v>5300000</v>
      </c>
      <c r="F1584">
        <v>12300000</v>
      </c>
      <c r="G1584">
        <v>14</v>
      </c>
      <c r="H1584">
        <v>472</v>
      </c>
      <c r="I1584">
        <v>10000000</v>
      </c>
      <c r="J1584">
        <v>1600000</v>
      </c>
      <c r="K1584">
        <v>20400000</v>
      </c>
      <c r="L1584">
        <v>3300000</v>
      </c>
      <c r="M1584" t="s">
        <v>35</v>
      </c>
      <c r="N1584">
        <f t="shared" si="145"/>
        <v>0</v>
      </c>
      <c r="O1584" t="str">
        <f t="shared" si="144"/>
        <v>Low</v>
      </c>
      <c r="P1584" t="str">
        <f t="shared" si="146"/>
        <v>High</v>
      </c>
      <c r="Q1584" t="str">
        <f t="shared" si="147"/>
        <v>Low Loan</v>
      </c>
      <c r="R1584">
        <f t="shared" si="148"/>
        <v>35300000</v>
      </c>
      <c r="S1584" t="str">
        <f t="shared" si="149"/>
        <v>Strong</v>
      </c>
    </row>
    <row r="1585" spans="1:19" x14ac:dyDescent="0.25">
      <c r="A1585">
        <v>1584</v>
      </c>
      <c r="B1585">
        <v>2</v>
      </c>
      <c r="C1585" t="s">
        <v>31</v>
      </c>
      <c r="D1585" t="s">
        <v>32</v>
      </c>
      <c r="E1585">
        <v>3700000</v>
      </c>
      <c r="F1585">
        <v>10900000</v>
      </c>
      <c r="G1585">
        <v>12</v>
      </c>
      <c r="H1585">
        <v>788</v>
      </c>
      <c r="I1585">
        <v>1700000</v>
      </c>
      <c r="J1585">
        <v>700000</v>
      </c>
      <c r="K1585">
        <v>12200000</v>
      </c>
      <c r="L1585">
        <v>2600000</v>
      </c>
      <c r="M1585" t="s">
        <v>34</v>
      </c>
      <c r="N1585">
        <f t="shared" si="145"/>
        <v>1</v>
      </c>
      <c r="O1585" t="str">
        <f t="shared" si="144"/>
        <v>Excellent</v>
      </c>
      <c r="P1585" t="str">
        <f t="shared" si="146"/>
        <v>High</v>
      </c>
      <c r="Q1585" t="str">
        <f t="shared" si="147"/>
        <v>Low Loan</v>
      </c>
      <c r="R1585">
        <f t="shared" si="148"/>
        <v>17200000</v>
      </c>
      <c r="S1585" t="str">
        <f t="shared" si="149"/>
        <v>Strong</v>
      </c>
    </row>
    <row r="1586" spans="1:19" x14ac:dyDescent="0.25">
      <c r="A1586">
        <v>1585</v>
      </c>
      <c r="B1586">
        <v>0</v>
      </c>
      <c r="C1586" t="s">
        <v>31</v>
      </c>
      <c r="D1586" t="s">
        <v>32</v>
      </c>
      <c r="E1586">
        <v>9500000</v>
      </c>
      <c r="F1586">
        <v>35300000</v>
      </c>
      <c r="G1586">
        <v>6</v>
      </c>
      <c r="H1586">
        <v>605</v>
      </c>
      <c r="I1586">
        <v>10000000</v>
      </c>
      <c r="J1586">
        <v>12700000</v>
      </c>
      <c r="K1586">
        <v>31100000</v>
      </c>
      <c r="L1586">
        <v>7000000</v>
      </c>
      <c r="M1586" t="s">
        <v>34</v>
      </c>
      <c r="N1586">
        <f t="shared" si="145"/>
        <v>1</v>
      </c>
      <c r="O1586" t="str">
        <f t="shared" si="144"/>
        <v>Low</v>
      </c>
      <c r="P1586" t="str">
        <f t="shared" si="146"/>
        <v>High</v>
      </c>
      <c r="Q1586" t="str">
        <f t="shared" si="147"/>
        <v>High Loan</v>
      </c>
      <c r="R1586">
        <f t="shared" si="148"/>
        <v>60800000</v>
      </c>
      <c r="S1586" t="str">
        <f t="shared" si="149"/>
        <v>Strong</v>
      </c>
    </row>
    <row r="1587" spans="1:19" x14ac:dyDescent="0.25">
      <c r="A1587">
        <v>1586</v>
      </c>
      <c r="B1587">
        <v>3</v>
      </c>
      <c r="C1587" t="s">
        <v>30</v>
      </c>
      <c r="D1587" t="s">
        <v>32</v>
      </c>
      <c r="E1587">
        <v>8300000</v>
      </c>
      <c r="F1587">
        <v>30500000</v>
      </c>
      <c r="G1587">
        <v>10</v>
      </c>
      <c r="H1587">
        <v>473</v>
      </c>
      <c r="I1587">
        <v>13300000</v>
      </c>
      <c r="J1587">
        <v>9400000</v>
      </c>
      <c r="K1587">
        <v>23300000</v>
      </c>
      <c r="L1587">
        <v>11800000</v>
      </c>
      <c r="M1587" t="s">
        <v>35</v>
      </c>
      <c r="N1587">
        <f t="shared" si="145"/>
        <v>0</v>
      </c>
      <c r="O1587" t="str">
        <f t="shared" si="144"/>
        <v>Low</v>
      </c>
      <c r="P1587" t="str">
        <f t="shared" si="146"/>
        <v>High</v>
      </c>
      <c r="Q1587" t="str">
        <f t="shared" si="147"/>
        <v>High Loan</v>
      </c>
      <c r="R1587">
        <f t="shared" si="148"/>
        <v>57800000</v>
      </c>
      <c r="S1587" t="str">
        <f t="shared" si="149"/>
        <v>Strong</v>
      </c>
    </row>
    <row r="1588" spans="1:19" x14ac:dyDescent="0.25">
      <c r="A1588">
        <v>1587</v>
      </c>
      <c r="B1588">
        <v>5</v>
      </c>
      <c r="C1588" t="s">
        <v>30</v>
      </c>
      <c r="D1588" t="s">
        <v>32</v>
      </c>
      <c r="E1588">
        <v>6400000</v>
      </c>
      <c r="F1588">
        <v>21500000</v>
      </c>
      <c r="G1588">
        <v>16</v>
      </c>
      <c r="H1588">
        <v>728</v>
      </c>
      <c r="I1588">
        <v>300000</v>
      </c>
      <c r="J1588">
        <v>5200000</v>
      </c>
      <c r="K1588">
        <v>17400000</v>
      </c>
      <c r="L1588">
        <v>9600000</v>
      </c>
      <c r="M1588" t="s">
        <v>34</v>
      </c>
      <c r="N1588">
        <f t="shared" si="145"/>
        <v>1</v>
      </c>
      <c r="O1588" t="str">
        <f t="shared" si="144"/>
        <v>Good</v>
      </c>
      <c r="P1588" t="str">
        <f t="shared" si="146"/>
        <v>High</v>
      </c>
      <c r="Q1588" t="str">
        <f t="shared" si="147"/>
        <v>High Loan</v>
      </c>
      <c r="R1588">
        <f t="shared" si="148"/>
        <v>32500000</v>
      </c>
      <c r="S1588" t="str">
        <f t="shared" si="149"/>
        <v>Strong</v>
      </c>
    </row>
    <row r="1589" spans="1:19" x14ac:dyDescent="0.25">
      <c r="A1589">
        <v>1588</v>
      </c>
      <c r="B1589">
        <v>5</v>
      </c>
      <c r="C1589" t="s">
        <v>30</v>
      </c>
      <c r="D1589" t="s">
        <v>33</v>
      </c>
      <c r="E1589">
        <v>5300000</v>
      </c>
      <c r="F1589">
        <v>17800000</v>
      </c>
      <c r="G1589">
        <v>16</v>
      </c>
      <c r="H1589">
        <v>505</v>
      </c>
      <c r="I1589">
        <v>9200000</v>
      </c>
      <c r="J1589">
        <v>8500000</v>
      </c>
      <c r="K1589">
        <v>14600000</v>
      </c>
      <c r="L1589">
        <v>4100000</v>
      </c>
      <c r="M1589" t="s">
        <v>35</v>
      </c>
      <c r="N1589">
        <f t="shared" si="145"/>
        <v>0</v>
      </c>
      <c r="O1589" t="str">
        <f t="shared" si="144"/>
        <v>Low</v>
      </c>
      <c r="P1589" t="str">
        <f t="shared" si="146"/>
        <v>High</v>
      </c>
      <c r="Q1589" t="str">
        <f t="shared" si="147"/>
        <v>Low Loan</v>
      </c>
      <c r="R1589">
        <f t="shared" si="148"/>
        <v>36400000</v>
      </c>
      <c r="S1589" t="str">
        <f t="shared" si="149"/>
        <v>Strong</v>
      </c>
    </row>
    <row r="1590" spans="1:19" x14ac:dyDescent="0.25">
      <c r="A1590">
        <v>1589</v>
      </c>
      <c r="B1590">
        <v>0</v>
      </c>
      <c r="C1590" t="s">
        <v>30</v>
      </c>
      <c r="D1590" t="s">
        <v>33</v>
      </c>
      <c r="E1590">
        <v>5600000</v>
      </c>
      <c r="F1590">
        <v>19300000</v>
      </c>
      <c r="G1590">
        <v>6</v>
      </c>
      <c r="H1590">
        <v>407</v>
      </c>
      <c r="I1590">
        <v>3400000</v>
      </c>
      <c r="J1590">
        <v>3600000</v>
      </c>
      <c r="K1590">
        <v>14200000</v>
      </c>
      <c r="L1590">
        <v>8400000</v>
      </c>
      <c r="M1590" t="s">
        <v>35</v>
      </c>
      <c r="N1590">
        <f t="shared" si="145"/>
        <v>0</v>
      </c>
      <c r="O1590" t="str">
        <f t="shared" si="144"/>
        <v>Low</v>
      </c>
      <c r="P1590" t="str">
        <f t="shared" si="146"/>
        <v>High</v>
      </c>
      <c r="Q1590" t="str">
        <f t="shared" si="147"/>
        <v>Low Loan</v>
      </c>
      <c r="R1590">
        <f t="shared" si="148"/>
        <v>29600000</v>
      </c>
      <c r="S1590" t="str">
        <f t="shared" si="149"/>
        <v>Strong</v>
      </c>
    </row>
    <row r="1591" spans="1:19" x14ac:dyDescent="0.25">
      <c r="A1591">
        <v>1590</v>
      </c>
      <c r="B1591">
        <v>1</v>
      </c>
      <c r="C1591" t="s">
        <v>30</v>
      </c>
      <c r="D1591" t="s">
        <v>33</v>
      </c>
      <c r="E1591">
        <v>900000</v>
      </c>
      <c r="F1591">
        <v>1700000</v>
      </c>
      <c r="G1591">
        <v>18</v>
      </c>
      <c r="H1591">
        <v>464</v>
      </c>
      <c r="I1591">
        <v>1300000</v>
      </c>
      <c r="J1591">
        <v>0</v>
      </c>
      <c r="K1591">
        <v>1900000</v>
      </c>
      <c r="L1591">
        <v>700000</v>
      </c>
      <c r="M1591" t="s">
        <v>35</v>
      </c>
      <c r="N1591">
        <f t="shared" si="145"/>
        <v>0</v>
      </c>
      <c r="O1591" t="str">
        <f t="shared" si="144"/>
        <v>Low</v>
      </c>
      <c r="P1591" t="str">
        <f t="shared" si="146"/>
        <v>High</v>
      </c>
      <c r="Q1591" t="str">
        <f t="shared" si="147"/>
        <v>Low Loan</v>
      </c>
      <c r="R1591">
        <f t="shared" si="148"/>
        <v>3900000</v>
      </c>
      <c r="S1591" t="str">
        <f t="shared" si="149"/>
        <v>Weak</v>
      </c>
    </row>
    <row r="1592" spans="1:19" x14ac:dyDescent="0.25">
      <c r="A1592">
        <v>1591</v>
      </c>
      <c r="B1592">
        <v>0</v>
      </c>
      <c r="C1592" t="s">
        <v>30</v>
      </c>
      <c r="D1592" t="s">
        <v>33</v>
      </c>
      <c r="E1592">
        <v>2400000</v>
      </c>
      <c r="F1592">
        <v>7200000</v>
      </c>
      <c r="G1592">
        <v>20</v>
      </c>
      <c r="H1592">
        <v>514</v>
      </c>
      <c r="I1592">
        <v>4100000</v>
      </c>
      <c r="J1592">
        <v>2100000</v>
      </c>
      <c r="K1592">
        <v>6700000</v>
      </c>
      <c r="L1592">
        <v>1800000</v>
      </c>
      <c r="M1592" t="s">
        <v>35</v>
      </c>
      <c r="N1592">
        <f t="shared" si="145"/>
        <v>0</v>
      </c>
      <c r="O1592" t="str">
        <f t="shared" si="144"/>
        <v>Low</v>
      </c>
      <c r="P1592" t="str">
        <f t="shared" si="146"/>
        <v>High</v>
      </c>
      <c r="Q1592" t="str">
        <f t="shared" si="147"/>
        <v>Low Loan</v>
      </c>
      <c r="R1592">
        <f t="shared" si="148"/>
        <v>14700000</v>
      </c>
      <c r="S1592" t="str">
        <f t="shared" si="149"/>
        <v>Strong</v>
      </c>
    </row>
    <row r="1593" spans="1:19" x14ac:dyDescent="0.25">
      <c r="A1593">
        <v>1592</v>
      </c>
      <c r="B1593">
        <v>1</v>
      </c>
      <c r="C1593" t="s">
        <v>30</v>
      </c>
      <c r="D1593" t="s">
        <v>32</v>
      </c>
      <c r="E1593">
        <v>9500000</v>
      </c>
      <c r="F1593">
        <v>23000000</v>
      </c>
      <c r="G1593">
        <v>10</v>
      </c>
      <c r="H1593">
        <v>627</v>
      </c>
      <c r="I1593">
        <v>28500000</v>
      </c>
      <c r="J1593">
        <v>11500000</v>
      </c>
      <c r="K1593">
        <v>21700000</v>
      </c>
      <c r="L1593">
        <v>9100000</v>
      </c>
      <c r="M1593" t="s">
        <v>34</v>
      </c>
      <c r="N1593">
        <f t="shared" si="145"/>
        <v>1</v>
      </c>
      <c r="O1593" t="str">
        <f t="shared" si="144"/>
        <v>Low</v>
      </c>
      <c r="P1593" t="str">
        <f t="shared" si="146"/>
        <v>High</v>
      </c>
      <c r="Q1593" t="str">
        <f t="shared" si="147"/>
        <v>High Loan</v>
      </c>
      <c r="R1593">
        <f t="shared" si="148"/>
        <v>70800000</v>
      </c>
      <c r="S1593" t="str">
        <f t="shared" si="149"/>
        <v>Strong</v>
      </c>
    </row>
    <row r="1594" spans="1:19" x14ac:dyDescent="0.25">
      <c r="A1594">
        <v>1593</v>
      </c>
      <c r="B1594">
        <v>2</v>
      </c>
      <c r="C1594" t="s">
        <v>31</v>
      </c>
      <c r="D1594" t="s">
        <v>33</v>
      </c>
      <c r="E1594">
        <v>7400000</v>
      </c>
      <c r="F1594">
        <v>14900000</v>
      </c>
      <c r="G1594">
        <v>20</v>
      </c>
      <c r="H1594">
        <v>627</v>
      </c>
      <c r="I1594">
        <v>15900000</v>
      </c>
      <c r="J1594">
        <v>10100000</v>
      </c>
      <c r="K1594">
        <v>19000000</v>
      </c>
      <c r="L1594">
        <v>10300000</v>
      </c>
      <c r="M1594" t="s">
        <v>34</v>
      </c>
      <c r="N1594">
        <f t="shared" si="145"/>
        <v>1</v>
      </c>
      <c r="O1594" t="str">
        <f t="shared" si="144"/>
        <v>Low</v>
      </c>
      <c r="P1594" t="str">
        <f t="shared" si="146"/>
        <v>High</v>
      </c>
      <c r="Q1594" t="str">
        <f t="shared" si="147"/>
        <v>Low Loan</v>
      </c>
      <c r="R1594">
        <f t="shared" si="148"/>
        <v>55300000</v>
      </c>
      <c r="S1594" t="str">
        <f t="shared" si="149"/>
        <v>Strong</v>
      </c>
    </row>
    <row r="1595" spans="1:19" x14ac:dyDescent="0.25">
      <c r="A1595">
        <v>1594</v>
      </c>
      <c r="B1595">
        <v>4</v>
      </c>
      <c r="C1595" t="s">
        <v>31</v>
      </c>
      <c r="D1595" t="s">
        <v>33</v>
      </c>
      <c r="E1595">
        <v>1500000</v>
      </c>
      <c r="F1595">
        <v>3200000</v>
      </c>
      <c r="G1595">
        <v>10</v>
      </c>
      <c r="H1595">
        <v>858</v>
      </c>
      <c r="I1595">
        <v>1500000</v>
      </c>
      <c r="J1595">
        <v>0</v>
      </c>
      <c r="K1595">
        <v>4700000</v>
      </c>
      <c r="L1595">
        <v>1700000</v>
      </c>
      <c r="M1595" t="s">
        <v>34</v>
      </c>
      <c r="N1595">
        <f t="shared" si="145"/>
        <v>1</v>
      </c>
      <c r="O1595" t="str">
        <f t="shared" si="144"/>
        <v>Excellent</v>
      </c>
      <c r="P1595" t="str">
        <f t="shared" si="146"/>
        <v>High</v>
      </c>
      <c r="Q1595" t="str">
        <f t="shared" si="147"/>
        <v>Low Loan</v>
      </c>
      <c r="R1595">
        <f t="shared" si="148"/>
        <v>7900000</v>
      </c>
      <c r="S1595" t="str">
        <f t="shared" si="149"/>
        <v>Moderate</v>
      </c>
    </row>
    <row r="1596" spans="1:19" x14ac:dyDescent="0.25">
      <c r="A1596">
        <v>1595</v>
      </c>
      <c r="B1596">
        <v>3</v>
      </c>
      <c r="C1596" t="s">
        <v>30</v>
      </c>
      <c r="D1596" t="s">
        <v>33</v>
      </c>
      <c r="E1596">
        <v>8800000</v>
      </c>
      <c r="F1596">
        <v>30200000</v>
      </c>
      <c r="G1596">
        <v>8</v>
      </c>
      <c r="H1596">
        <v>607</v>
      </c>
      <c r="I1596">
        <v>13600000</v>
      </c>
      <c r="J1596">
        <v>12700000</v>
      </c>
      <c r="K1596">
        <v>21500000</v>
      </c>
      <c r="L1596">
        <v>5900000</v>
      </c>
      <c r="M1596" t="s">
        <v>34</v>
      </c>
      <c r="N1596">
        <f t="shared" si="145"/>
        <v>1</v>
      </c>
      <c r="O1596" t="str">
        <f t="shared" si="144"/>
        <v>Low</v>
      </c>
      <c r="P1596" t="str">
        <f t="shared" si="146"/>
        <v>High</v>
      </c>
      <c r="Q1596" t="str">
        <f t="shared" si="147"/>
        <v>High Loan</v>
      </c>
      <c r="R1596">
        <f t="shared" si="148"/>
        <v>53700000</v>
      </c>
      <c r="S1596" t="str">
        <f t="shared" si="149"/>
        <v>Strong</v>
      </c>
    </row>
    <row r="1597" spans="1:19" x14ac:dyDescent="0.25">
      <c r="A1597">
        <v>1596</v>
      </c>
      <c r="B1597">
        <v>5</v>
      </c>
      <c r="C1597" t="s">
        <v>31</v>
      </c>
      <c r="D1597" t="s">
        <v>33</v>
      </c>
      <c r="E1597">
        <v>4900000</v>
      </c>
      <c r="F1597">
        <v>14300000</v>
      </c>
      <c r="G1597">
        <v>4</v>
      </c>
      <c r="H1597">
        <v>663</v>
      </c>
      <c r="I1597">
        <v>8500000</v>
      </c>
      <c r="J1597">
        <v>6100000</v>
      </c>
      <c r="K1597">
        <v>19600000</v>
      </c>
      <c r="L1597">
        <v>5500000</v>
      </c>
      <c r="M1597" t="s">
        <v>34</v>
      </c>
      <c r="N1597">
        <f t="shared" si="145"/>
        <v>1</v>
      </c>
      <c r="O1597" t="str">
        <f t="shared" si="144"/>
        <v>Medium</v>
      </c>
      <c r="P1597" t="str">
        <f t="shared" si="146"/>
        <v>High</v>
      </c>
      <c r="Q1597" t="str">
        <f t="shared" si="147"/>
        <v>Low Loan</v>
      </c>
      <c r="R1597">
        <f t="shared" si="148"/>
        <v>39700000</v>
      </c>
      <c r="S1597" t="str">
        <f t="shared" si="149"/>
        <v>Strong</v>
      </c>
    </row>
    <row r="1598" spans="1:19" x14ac:dyDescent="0.25">
      <c r="A1598">
        <v>1597</v>
      </c>
      <c r="B1598">
        <v>1</v>
      </c>
      <c r="C1598" t="s">
        <v>31</v>
      </c>
      <c r="D1598" t="s">
        <v>33</v>
      </c>
      <c r="E1598">
        <v>8100000</v>
      </c>
      <c r="F1598">
        <v>26900000</v>
      </c>
      <c r="G1598">
        <v>6</v>
      </c>
      <c r="H1598">
        <v>522</v>
      </c>
      <c r="I1598">
        <v>23000000</v>
      </c>
      <c r="J1598">
        <v>2100000</v>
      </c>
      <c r="K1598">
        <v>18700000</v>
      </c>
      <c r="L1598">
        <v>4200000</v>
      </c>
      <c r="M1598" t="s">
        <v>35</v>
      </c>
      <c r="N1598">
        <f t="shared" si="145"/>
        <v>0</v>
      </c>
      <c r="O1598" t="str">
        <f t="shared" si="144"/>
        <v>Low</v>
      </c>
      <c r="P1598" t="str">
        <f t="shared" si="146"/>
        <v>High</v>
      </c>
      <c r="Q1598" t="str">
        <f t="shared" si="147"/>
        <v>High Loan</v>
      </c>
      <c r="R1598">
        <f t="shared" si="148"/>
        <v>48000000</v>
      </c>
      <c r="S1598" t="str">
        <f t="shared" si="149"/>
        <v>Strong</v>
      </c>
    </row>
    <row r="1599" spans="1:19" x14ac:dyDescent="0.25">
      <c r="A1599">
        <v>1598</v>
      </c>
      <c r="B1599">
        <v>2</v>
      </c>
      <c r="C1599" t="s">
        <v>31</v>
      </c>
      <c r="D1599" t="s">
        <v>33</v>
      </c>
      <c r="E1599">
        <v>2300000</v>
      </c>
      <c r="F1599">
        <v>9100000</v>
      </c>
      <c r="G1599">
        <v>20</v>
      </c>
      <c r="H1599">
        <v>610</v>
      </c>
      <c r="I1599">
        <v>3700000</v>
      </c>
      <c r="J1599">
        <v>600000</v>
      </c>
      <c r="K1599">
        <v>7800000</v>
      </c>
      <c r="L1599">
        <v>3400000</v>
      </c>
      <c r="M1599" t="s">
        <v>34</v>
      </c>
      <c r="N1599">
        <f t="shared" si="145"/>
        <v>1</v>
      </c>
      <c r="O1599" t="str">
        <f t="shared" si="144"/>
        <v>Low</v>
      </c>
      <c r="P1599" t="str">
        <f t="shared" si="146"/>
        <v>High</v>
      </c>
      <c r="Q1599" t="str">
        <f t="shared" si="147"/>
        <v>Low Loan</v>
      </c>
      <c r="R1599">
        <f t="shared" si="148"/>
        <v>15500000</v>
      </c>
      <c r="S1599" t="str">
        <f t="shared" si="149"/>
        <v>Strong</v>
      </c>
    </row>
    <row r="1600" spans="1:19" x14ac:dyDescent="0.25">
      <c r="A1600">
        <v>1599</v>
      </c>
      <c r="B1600">
        <v>5</v>
      </c>
      <c r="C1600" t="s">
        <v>31</v>
      </c>
      <c r="D1600" t="s">
        <v>33</v>
      </c>
      <c r="E1600">
        <v>3000000</v>
      </c>
      <c r="F1600">
        <v>6600000</v>
      </c>
      <c r="G1600">
        <v>16</v>
      </c>
      <c r="H1600">
        <v>462</v>
      </c>
      <c r="I1600">
        <v>5500000</v>
      </c>
      <c r="J1600">
        <v>3500000</v>
      </c>
      <c r="K1600">
        <v>9100000</v>
      </c>
      <c r="L1600">
        <v>3600000</v>
      </c>
      <c r="M1600" t="s">
        <v>35</v>
      </c>
      <c r="N1600">
        <f t="shared" si="145"/>
        <v>0</v>
      </c>
      <c r="O1600" t="str">
        <f t="shared" si="144"/>
        <v>Low</v>
      </c>
      <c r="P1600" t="str">
        <f t="shared" si="146"/>
        <v>High</v>
      </c>
      <c r="Q1600" t="str">
        <f t="shared" si="147"/>
        <v>Low Loan</v>
      </c>
      <c r="R1600">
        <f t="shared" si="148"/>
        <v>21700000</v>
      </c>
      <c r="S1600" t="str">
        <f t="shared" si="149"/>
        <v>Strong</v>
      </c>
    </row>
    <row r="1601" spans="1:19" x14ac:dyDescent="0.25">
      <c r="A1601">
        <v>1600</v>
      </c>
      <c r="B1601">
        <v>2</v>
      </c>
      <c r="C1601" t="s">
        <v>31</v>
      </c>
      <c r="D1601" t="s">
        <v>33</v>
      </c>
      <c r="E1601">
        <v>3900000</v>
      </c>
      <c r="F1601">
        <v>9300000</v>
      </c>
      <c r="G1601">
        <v>8</v>
      </c>
      <c r="H1601">
        <v>591</v>
      </c>
      <c r="I1601">
        <v>10900000</v>
      </c>
      <c r="J1601">
        <v>2700000</v>
      </c>
      <c r="K1601">
        <v>9600000</v>
      </c>
      <c r="L1601">
        <v>3300000</v>
      </c>
      <c r="M1601" t="s">
        <v>34</v>
      </c>
      <c r="N1601">
        <f t="shared" si="145"/>
        <v>1</v>
      </c>
      <c r="O1601" t="str">
        <f t="shared" si="144"/>
        <v>Low</v>
      </c>
      <c r="P1601" t="str">
        <f t="shared" si="146"/>
        <v>High</v>
      </c>
      <c r="Q1601" t="str">
        <f t="shared" si="147"/>
        <v>Low Loan</v>
      </c>
      <c r="R1601">
        <f t="shared" si="148"/>
        <v>26500000</v>
      </c>
      <c r="S1601" t="str">
        <f t="shared" si="149"/>
        <v>Strong</v>
      </c>
    </row>
    <row r="1602" spans="1:19" x14ac:dyDescent="0.25">
      <c r="A1602">
        <v>1601</v>
      </c>
      <c r="B1602">
        <v>4</v>
      </c>
      <c r="C1602" t="s">
        <v>30</v>
      </c>
      <c r="D1602" t="s">
        <v>33</v>
      </c>
      <c r="E1602">
        <v>1700000</v>
      </c>
      <c r="F1602">
        <v>6500000</v>
      </c>
      <c r="G1602">
        <v>20</v>
      </c>
      <c r="H1602">
        <v>636</v>
      </c>
      <c r="I1602">
        <v>1700000</v>
      </c>
      <c r="J1602">
        <v>900000</v>
      </c>
      <c r="K1602">
        <v>6200000</v>
      </c>
      <c r="L1602">
        <v>2300000</v>
      </c>
      <c r="M1602" t="s">
        <v>34</v>
      </c>
      <c r="N1602">
        <f t="shared" si="145"/>
        <v>1</v>
      </c>
      <c r="O1602" t="str">
        <f t="shared" ref="O1602:O1665" si="150">IF(H1602&lt;650,"Low",
 IF(H1602&lt;700,"Medium",
 IF(H1602&lt;750,"Good","Excellent")))</f>
        <v>Low</v>
      </c>
      <c r="P1602" t="str">
        <f t="shared" si="146"/>
        <v>High</v>
      </c>
      <c r="Q1602" t="str">
        <f t="shared" si="147"/>
        <v>Low Loan</v>
      </c>
      <c r="R1602">
        <f t="shared" si="148"/>
        <v>11100000</v>
      </c>
      <c r="S1602" t="str">
        <f t="shared" si="149"/>
        <v>Strong</v>
      </c>
    </row>
    <row r="1603" spans="1:19" x14ac:dyDescent="0.25">
      <c r="A1603">
        <v>1602</v>
      </c>
      <c r="B1603">
        <v>0</v>
      </c>
      <c r="C1603" t="s">
        <v>31</v>
      </c>
      <c r="D1603" t="s">
        <v>33</v>
      </c>
      <c r="E1603">
        <v>2100000</v>
      </c>
      <c r="F1603">
        <v>4900000</v>
      </c>
      <c r="G1603">
        <v>10</v>
      </c>
      <c r="H1603">
        <v>359</v>
      </c>
      <c r="I1603">
        <v>1000000</v>
      </c>
      <c r="J1603">
        <v>800000</v>
      </c>
      <c r="K1603">
        <v>6100000</v>
      </c>
      <c r="L1603">
        <v>1000000</v>
      </c>
      <c r="M1603" t="s">
        <v>35</v>
      </c>
      <c r="N1603">
        <f t="shared" ref="N1603:N1666" si="151">IF(TRIM(CLEAN(M1603))="Approved",1,0)</f>
        <v>0</v>
      </c>
      <c r="O1603" t="str">
        <f t="shared" si="150"/>
        <v>Low</v>
      </c>
      <c r="P1603" t="str">
        <f t="shared" ref="P1603:P1666" si="152">IF(E1603&lt;300000,"Low",
 IF(E1603&lt;700000,"Middle","High"))</f>
        <v>High</v>
      </c>
      <c r="Q1603" t="str">
        <f t="shared" ref="Q1603:Q1666" si="153">IF(F1603&lt;20000000,"Low Loan","High Loan")</f>
        <v>Low Loan</v>
      </c>
      <c r="R1603">
        <f t="shared" ref="R1603:R1666" si="154">I1603+J1603+K1603+L1603</f>
        <v>8900000</v>
      </c>
      <c r="S1603" t="str">
        <f t="shared" ref="S1603:S1666" si="155">IF(R1603&lt;5000000,"Weak",
 IF(R1603&lt;10000000,"Moderate","Strong"))</f>
        <v>Moderate</v>
      </c>
    </row>
    <row r="1604" spans="1:19" x14ac:dyDescent="0.25">
      <c r="A1604">
        <v>1603</v>
      </c>
      <c r="B1604">
        <v>4</v>
      </c>
      <c r="C1604" t="s">
        <v>30</v>
      </c>
      <c r="D1604" t="s">
        <v>33</v>
      </c>
      <c r="E1604">
        <v>9700000</v>
      </c>
      <c r="F1604">
        <v>25000000</v>
      </c>
      <c r="G1604">
        <v>4</v>
      </c>
      <c r="H1604">
        <v>542</v>
      </c>
      <c r="I1604">
        <v>9800000</v>
      </c>
      <c r="J1604">
        <v>12000000</v>
      </c>
      <c r="K1604">
        <v>29300000</v>
      </c>
      <c r="L1604">
        <v>13400000</v>
      </c>
      <c r="M1604" t="s">
        <v>35</v>
      </c>
      <c r="N1604">
        <f t="shared" si="151"/>
        <v>0</v>
      </c>
      <c r="O1604" t="str">
        <f t="shared" si="150"/>
        <v>Low</v>
      </c>
      <c r="P1604" t="str">
        <f t="shared" si="152"/>
        <v>High</v>
      </c>
      <c r="Q1604" t="str">
        <f t="shared" si="153"/>
        <v>High Loan</v>
      </c>
      <c r="R1604">
        <f t="shared" si="154"/>
        <v>64500000</v>
      </c>
      <c r="S1604" t="str">
        <f t="shared" si="155"/>
        <v>Strong</v>
      </c>
    </row>
    <row r="1605" spans="1:19" x14ac:dyDescent="0.25">
      <c r="A1605">
        <v>1604</v>
      </c>
      <c r="B1605">
        <v>5</v>
      </c>
      <c r="C1605" t="s">
        <v>31</v>
      </c>
      <c r="D1605" t="s">
        <v>33</v>
      </c>
      <c r="E1605">
        <v>3500000</v>
      </c>
      <c r="F1605">
        <v>11800000</v>
      </c>
      <c r="G1605">
        <v>4</v>
      </c>
      <c r="H1605">
        <v>642</v>
      </c>
      <c r="I1605">
        <v>2300000</v>
      </c>
      <c r="J1605">
        <v>2900000</v>
      </c>
      <c r="K1605">
        <v>11900000</v>
      </c>
      <c r="L1605">
        <v>3600000</v>
      </c>
      <c r="M1605" t="s">
        <v>34</v>
      </c>
      <c r="N1605">
        <f t="shared" si="151"/>
        <v>1</v>
      </c>
      <c r="O1605" t="str">
        <f t="shared" si="150"/>
        <v>Low</v>
      </c>
      <c r="P1605" t="str">
        <f t="shared" si="152"/>
        <v>High</v>
      </c>
      <c r="Q1605" t="str">
        <f t="shared" si="153"/>
        <v>Low Loan</v>
      </c>
      <c r="R1605">
        <f t="shared" si="154"/>
        <v>20700000</v>
      </c>
      <c r="S1605" t="str">
        <f t="shared" si="155"/>
        <v>Strong</v>
      </c>
    </row>
    <row r="1606" spans="1:19" x14ac:dyDescent="0.25">
      <c r="A1606">
        <v>1605</v>
      </c>
      <c r="B1606">
        <v>5</v>
      </c>
      <c r="C1606" t="s">
        <v>31</v>
      </c>
      <c r="D1606" t="s">
        <v>33</v>
      </c>
      <c r="E1606">
        <v>1500000</v>
      </c>
      <c r="F1606">
        <v>5500000</v>
      </c>
      <c r="G1606">
        <v>4</v>
      </c>
      <c r="H1606">
        <v>414</v>
      </c>
      <c r="I1606">
        <v>800000</v>
      </c>
      <c r="J1606">
        <v>1400000</v>
      </c>
      <c r="K1606">
        <v>2900000</v>
      </c>
      <c r="L1606">
        <v>1200000</v>
      </c>
      <c r="M1606" t="s">
        <v>34</v>
      </c>
      <c r="N1606">
        <f t="shared" si="151"/>
        <v>1</v>
      </c>
      <c r="O1606" t="str">
        <f t="shared" si="150"/>
        <v>Low</v>
      </c>
      <c r="P1606" t="str">
        <f t="shared" si="152"/>
        <v>High</v>
      </c>
      <c r="Q1606" t="str">
        <f t="shared" si="153"/>
        <v>Low Loan</v>
      </c>
      <c r="R1606">
        <f t="shared" si="154"/>
        <v>6300000</v>
      </c>
      <c r="S1606" t="str">
        <f t="shared" si="155"/>
        <v>Moderate</v>
      </c>
    </row>
    <row r="1607" spans="1:19" x14ac:dyDescent="0.25">
      <c r="A1607">
        <v>1606</v>
      </c>
      <c r="B1607">
        <v>3</v>
      </c>
      <c r="C1607" t="s">
        <v>31</v>
      </c>
      <c r="D1607" t="s">
        <v>33</v>
      </c>
      <c r="E1607">
        <v>8800000</v>
      </c>
      <c r="F1607">
        <v>26200000</v>
      </c>
      <c r="G1607">
        <v>20</v>
      </c>
      <c r="H1607">
        <v>865</v>
      </c>
      <c r="I1607">
        <v>19300000</v>
      </c>
      <c r="J1607">
        <v>9800000</v>
      </c>
      <c r="K1607">
        <v>27700000</v>
      </c>
      <c r="L1607">
        <v>12500000</v>
      </c>
      <c r="M1607" t="s">
        <v>34</v>
      </c>
      <c r="N1607">
        <f t="shared" si="151"/>
        <v>1</v>
      </c>
      <c r="O1607" t="str">
        <f t="shared" si="150"/>
        <v>Excellent</v>
      </c>
      <c r="P1607" t="str">
        <f t="shared" si="152"/>
        <v>High</v>
      </c>
      <c r="Q1607" t="str">
        <f t="shared" si="153"/>
        <v>High Loan</v>
      </c>
      <c r="R1607">
        <f t="shared" si="154"/>
        <v>69300000</v>
      </c>
      <c r="S1607" t="str">
        <f t="shared" si="155"/>
        <v>Strong</v>
      </c>
    </row>
    <row r="1608" spans="1:19" x14ac:dyDescent="0.25">
      <c r="A1608">
        <v>1607</v>
      </c>
      <c r="B1608">
        <v>3</v>
      </c>
      <c r="C1608" t="s">
        <v>30</v>
      </c>
      <c r="D1608" t="s">
        <v>32</v>
      </c>
      <c r="E1608">
        <v>900000</v>
      </c>
      <c r="F1608">
        <v>3100000</v>
      </c>
      <c r="G1608">
        <v>10</v>
      </c>
      <c r="H1608">
        <v>369</v>
      </c>
      <c r="I1608">
        <v>1400000</v>
      </c>
      <c r="J1608">
        <v>100000</v>
      </c>
      <c r="K1608">
        <v>1700000</v>
      </c>
      <c r="L1608">
        <v>500000</v>
      </c>
      <c r="M1608" t="s">
        <v>35</v>
      </c>
      <c r="N1608">
        <f t="shared" si="151"/>
        <v>0</v>
      </c>
      <c r="O1608" t="str">
        <f t="shared" si="150"/>
        <v>Low</v>
      </c>
      <c r="P1608" t="str">
        <f t="shared" si="152"/>
        <v>High</v>
      </c>
      <c r="Q1608" t="str">
        <f t="shared" si="153"/>
        <v>Low Loan</v>
      </c>
      <c r="R1608">
        <f t="shared" si="154"/>
        <v>3700000</v>
      </c>
      <c r="S1608" t="str">
        <f t="shared" si="155"/>
        <v>Weak</v>
      </c>
    </row>
    <row r="1609" spans="1:19" x14ac:dyDescent="0.25">
      <c r="A1609">
        <v>1608</v>
      </c>
      <c r="B1609">
        <v>0</v>
      </c>
      <c r="C1609" t="s">
        <v>30</v>
      </c>
      <c r="D1609" t="s">
        <v>33</v>
      </c>
      <c r="E1609">
        <v>3500000</v>
      </c>
      <c r="F1609">
        <v>10800000</v>
      </c>
      <c r="G1609">
        <v>14</v>
      </c>
      <c r="H1609">
        <v>838</v>
      </c>
      <c r="I1609">
        <v>4700000</v>
      </c>
      <c r="J1609">
        <v>6800000</v>
      </c>
      <c r="K1609">
        <v>13900000</v>
      </c>
      <c r="L1609">
        <v>1700000</v>
      </c>
      <c r="M1609" t="s">
        <v>34</v>
      </c>
      <c r="N1609">
        <f t="shared" si="151"/>
        <v>1</v>
      </c>
      <c r="O1609" t="str">
        <f t="shared" si="150"/>
        <v>Excellent</v>
      </c>
      <c r="P1609" t="str">
        <f t="shared" si="152"/>
        <v>High</v>
      </c>
      <c r="Q1609" t="str">
        <f t="shared" si="153"/>
        <v>Low Loan</v>
      </c>
      <c r="R1609">
        <f t="shared" si="154"/>
        <v>27100000</v>
      </c>
      <c r="S1609" t="str">
        <f t="shared" si="155"/>
        <v>Strong</v>
      </c>
    </row>
    <row r="1610" spans="1:19" x14ac:dyDescent="0.25">
      <c r="A1610">
        <v>1609</v>
      </c>
      <c r="B1610">
        <v>5</v>
      </c>
      <c r="C1610" t="s">
        <v>31</v>
      </c>
      <c r="D1610" t="s">
        <v>32</v>
      </c>
      <c r="E1610">
        <v>5500000</v>
      </c>
      <c r="F1610">
        <v>21200000</v>
      </c>
      <c r="G1610">
        <v>4</v>
      </c>
      <c r="H1610">
        <v>582</v>
      </c>
      <c r="I1610">
        <v>12100000</v>
      </c>
      <c r="J1610">
        <v>8300000</v>
      </c>
      <c r="K1610">
        <v>17100000</v>
      </c>
      <c r="L1610">
        <v>3100000</v>
      </c>
      <c r="M1610" t="s">
        <v>34</v>
      </c>
      <c r="N1610">
        <f t="shared" si="151"/>
        <v>1</v>
      </c>
      <c r="O1610" t="str">
        <f t="shared" si="150"/>
        <v>Low</v>
      </c>
      <c r="P1610" t="str">
        <f t="shared" si="152"/>
        <v>High</v>
      </c>
      <c r="Q1610" t="str">
        <f t="shared" si="153"/>
        <v>High Loan</v>
      </c>
      <c r="R1610">
        <f t="shared" si="154"/>
        <v>40600000</v>
      </c>
      <c r="S1610" t="str">
        <f t="shared" si="155"/>
        <v>Strong</v>
      </c>
    </row>
    <row r="1611" spans="1:19" x14ac:dyDescent="0.25">
      <c r="A1611">
        <v>1610</v>
      </c>
      <c r="B1611">
        <v>5</v>
      </c>
      <c r="C1611" t="s">
        <v>31</v>
      </c>
      <c r="D1611" t="s">
        <v>33</v>
      </c>
      <c r="E1611">
        <v>9800000</v>
      </c>
      <c r="F1611">
        <v>23200000</v>
      </c>
      <c r="G1611">
        <v>10</v>
      </c>
      <c r="H1611">
        <v>416</v>
      </c>
      <c r="I1611">
        <v>11000000</v>
      </c>
      <c r="J1611">
        <v>17300000</v>
      </c>
      <c r="K1611">
        <v>21600000</v>
      </c>
      <c r="L1611">
        <v>8500000</v>
      </c>
      <c r="M1611" t="s">
        <v>35</v>
      </c>
      <c r="N1611">
        <f t="shared" si="151"/>
        <v>0</v>
      </c>
      <c r="O1611" t="str">
        <f t="shared" si="150"/>
        <v>Low</v>
      </c>
      <c r="P1611" t="str">
        <f t="shared" si="152"/>
        <v>High</v>
      </c>
      <c r="Q1611" t="str">
        <f t="shared" si="153"/>
        <v>High Loan</v>
      </c>
      <c r="R1611">
        <f t="shared" si="154"/>
        <v>58400000</v>
      </c>
      <c r="S1611" t="str">
        <f t="shared" si="155"/>
        <v>Strong</v>
      </c>
    </row>
    <row r="1612" spans="1:19" x14ac:dyDescent="0.25">
      <c r="A1612">
        <v>1611</v>
      </c>
      <c r="B1612">
        <v>5</v>
      </c>
      <c r="C1612" t="s">
        <v>30</v>
      </c>
      <c r="D1612" t="s">
        <v>32</v>
      </c>
      <c r="E1612">
        <v>2100000</v>
      </c>
      <c r="F1612">
        <v>5500000</v>
      </c>
      <c r="G1612">
        <v>20</v>
      </c>
      <c r="H1612">
        <v>705</v>
      </c>
      <c r="I1612">
        <v>5400000</v>
      </c>
      <c r="J1612">
        <v>1400000</v>
      </c>
      <c r="K1612">
        <v>4600000</v>
      </c>
      <c r="L1612">
        <v>1200000</v>
      </c>
      <c r="M1612" t="s">
        <v>34</v>
      </c>
      <c r="N1612">
        <f t="shared" si="151"/>
        <v>1</v>
      </c>
      <c r="O1612" t="str">
        <f t="shared" si="150"/>
        <v>Good</v>
      </c>
      <c r="P1612" t="str">
        <f t="shared" si="152"/>
        <v>High</v>
      </c>
      <c r="Q1612" t="str">
        <f t="shared" si="153"/>
        <v>Low Loan</v>
      </c>
      <c r="R1612">
        <f t="shared" si="154"/>
        <v>12600000</v>
      </c>
      <c r="S1612" t="str">
        <f t="shared" si="155"/>
        <v>Strong</v>
      </c>
    </row>
    <row r="1613" spans="1:19" x14ac:dyDescent="0.25">
      <c r="A1613">
        <v>1612</v>
      </c>
      <c r="B1613">
        <v>0</v>
      </c>
      <c r="C1613" t="s">
        <v>30</v>
      </c>
      <c r="D1613" t="s">
        <v>32</v>
      </c>
      <c r="E1613">
        <v>1800000</v>
      </c>
      <c r="F1613">
        <v>5700000</v>
      </c>
      <c r="G1613">
        <v>18</v>
      </c>
      <c r="H1613">
        <v>306</v>
      </c>
      <c r="I1613">
        <v>500000</v>
      </c>
      <c r="J1613">
        <v>700000</v>
      </c>
      <c r="K1613">
        <v>5600000</v>
      </c>
      <c r="L1613">
        <v>1700000</v>
      </c>
      <c r="M1613" t="s">
        <v>35</v>
      </c>
      <c r="N1613">
        <f t="shared" si="151"/>
        <v>0</v>
      </c>
      <c r="O1613" t="str">
        <f t="shared" si="150"/>
        <v>Low</v>
      </c>
      <c r="P1613" t="str">
        <f t="shared" si="152"/>
        <v>High</v>
      </c>
      <c r="Q1613" t="str">
        <f t="shared" si="153"/>
        <v>Low Loan</v>
      </c>
      <c r="R1613">
        <f t="shared" si="154"/>
        <v>8500000</v>
      </c>
      <c r="S1613" t="str">
        <f t="shared" si="155"/>
        <v>Moderate</v>
      </c>
    </row>
    <row r="1614" spans="1:19" x14ac:dyDescent="0.25">
      <c r="A1614">
        <v>1613</v>
      </c>
      <c r="B1614">
        <v>5</v>
      </c>
      <c r="C1614" t="s">
        <v>30</v>
      </c>
      <c r="D1614" t="s">
        <v>33</v>
      </c>
      <c r="E1614">
        <v>5800000</v>
      </c>
      <c r="F1614">
        <v>13000000</v>
      </c>
      <c r="G1614">
        <v>8</v>
      </c>
      <c r="H1614">
        <v>851</v>
      </c>
      <c r="I1614">
        <v>6700000</v>
      </c>
      <c r="J1614">
        <v>8700000</v>
      </c>
      <c r="K1614">
        <v>17700000</v>
      </c>
      <c r="L1614">
        <v>4100000</v>
      </c>
      <c r="M1614" t="s">
        <v>34</v>
      </c>
      <c r="N1614">
        <f t="shared" si="151"/>
        <v>1</v>
      </c>
      <c r="O1614" t="str">
        <f t="shared" si="150"/>
        <v>Excellent</v>
      </c>
      <c r="P1614" t="str">
        <f t="shared" si="152"/>
        <v>High</v>
      </c>
      <c r="Q1614" t="str">
        <f t="shared" si="153"/>
        <v>Low Loan</v>
      </c>
      <c r="R1614">
        <f t="shared" si="154"/>
        <v>37200000</v>
      </c>
      <c r="S1614" t="str">
        <f t="shared" si="155"/>
        <v>Strong</v>
      </c>
    </row>
    <row r="1615" spans="1:19" x14ac:dyDescent="0.25">
      <c r="A1615">
        <v>1614</v>
      </c>
      <c r="B1615">
        <v>5</v>
      </c>
      <c r="C1615" t="s">
        <v>30</v>
      </c>
      <c r="D1615" t="s">
        <v>32</v>
      </c>
      <c r="E1615">
        <v>6700000</v>
      </c>
      <c r="F1615">
        <v>17200000</v>
      </c>
      <c r="G1615">
        <v>18</v>
      </c>
      <c r="H1615">
        <v>613</v>
      </c>
      <c r="I1615">
        <v>9700000</v>
      </c>
      <c r="J1615">
        <v>6800000</v>
      </c>
      <c r="K1615">
        <v>24600000</v>
      </c>
      <c r="L1615">
        <v>7100000</v>
      </c>
      <c r="M1615" t="s">
        <v>34</v>
      </c>
      <c r="N1615">
        <f t="shared" si="151"/>
        <v>1</v>
      </c>
      <c r="O1615" t="str">
        <f t="shared" si="150"/>
        <v>Low</v>
      </c>
      <c r="P1615" t="str">
        <f t="shared" si="152"/>
        <v>High</v>
      </c>
      <c r="Q1615" t="str">
        <f t="shared" si="153"/>
        <v>Low Loan</v>
      </c>
      <c r="R1615">
        <f t="shared" si="154"/>
        <v>48200000</v>
      </c>
      <c r="S1615" t="str">
        <f t="shared" si="155"/>
        <v>Strong</v>
      </c>
    </row>
    <row r="1616" spans="1:19" x14ac:dyDescent="0.25">
      <c r="A1616">
        <v>1615</v>
      </c>
      <c r="B1616">
        <v>3</v>
      </c>
      <c r="C1616" t="s">
        <v>30</v>
      </c>
      <c r="D1616" t="s">
        <v>32</v>
      </c>
      <c r="E1616">
        <v>4300000</v>
      </c>
      <c r="F1616">
        <v>16300000</v>
      </c>
      <c r="G1616">
        <v>10</v>
      </c>
      <c r="H1616">
        <v>366</v>
      </c>
      <c r="I1616">
        <v>6900000</v>
      </c>
      <c r="J1616">
        <v>6700000</v>
      </c>
      <c r="K1616">
        <v>12300000</v>
      </c>
      <c r="L1616">
        <v>5500000</v>
      </c>
      <c r="M1616" t="s">
        <v>35</v>
      </c>
      <c r="N1616">
        <f t="shared" si="151"/>
        <v>0</v>
      </c>
      <c r="O1616" t="str">
        <f t="shared" si="150"/>
        <v>Low</v>
      </c>
      <c r="P1616" t="str">
        <f t="shared" si="152"/>
        <v>High</v>
      </c>
      <c r="Q1616" t="str">
        <f t="shared" si="153"/>
        <v>Low Loan</v>
      </c>
      <c r="R1616">
        <f t="shared" si="154"/>
        <v>31400000</v>
      </c>
      <c r="S1616" t="str">
        <f t="shared" si="155"/>
        <v>Strong</v>
      </c>
    </row>
    <row r="1617" spans="1:19" x14ac:dyDescent="0.25">
      <c r="A1617">
        <v>1616</v>
      </c>
      <c r="B1617">
        <v>1</v>
      </c>
      <c r="C1617" t="s">
        <v>30</v>
      </c>
      <c r="D1617" t="s">
        <v>32</v>
      </c>
      <c r="E1617">
        <v>1200000</v>
      </c>
      <c r="F1617">
        <v>2800000</v>
      </c>
      <c r="G1617">
        <v>12</v>
      </c>
      <c r="H1617">
        <v>431</v>
      </c>
      <c r="I1617">
        <v>900000</v>
      </c>
      <c r="J1617">
        <v>400000</v>
      </c>
      <c r="K1617">
        <v>2900000</v>
      </c>
      <c r="L1617">
        <v>900000</v>
      </c>
      <c r="M1617" t="s">
        <v>35</v>
      </c>
      <c r="N1617">
        <f t="shared" si="151"/>
        <v>0</v>
      </c>
      <c r="O1617" t="str">
        <f t="shared" si="150"/>
        <v>Low</v>
      </c>
      <c r="P1617" t="str">
        <f t="shared" si="152"/>
        <v>High</v>
      </c>
      <c r="Q1617" t="str">
        <f t="shared" si="153"/>
        <v>Low Loan</v>
      </c>
      <c r="R1617">
        <f t="shared" si="154"/>
        <v>5100000</v>
      </c>
      <c r="S1617" t="str">
        <f t="shared" si="155"/>
        <v>Moderate</v>
      </c>
    </row>
    <row r="1618" spans="1:19" x14ac:dyDescent="0.25">
      <c r="A1618">
        <v>1617</v>
      </c>
      <c r="B1618">
        <v>5</v>
      </c>
      <c r="C1618" t="s">
        <v>31</v>
      </c>
      <c r="D1618" t="s">
        <v>33</v>
      </c>
      <c r="E1618">
        <v>9700000</v>
      </c>
      <c r="F1618">
        <v>25900000</v>
      </c>
      <c r="G1618">
        <v>2</v>
      </c>
      <c r="H1618">
        <v>754</v>
      </c>
      <c r="I1618">
        <v>9000000</v>
      </c>
      <c r="J1618">
        <v>10000000</v>
      </c>
      <c r="K1618">
        <v>28500000</v>
      </c>
      <c r="L1618">
        <v>6700000</v>
      </c>
      <c r="M1618" t="s">
        <v>34</v>
      </c>
      <c r="N1618">
        <f t="shared" si="151"/>
        <v>1</v>
      </c>
      <c r="O1618" t="str">
        <f t="shared" si="150"/>
        <v>Excellent</v>
      </c>
      <c r="P1618" t="str">
        <f t="shared" si="152"/>
        <v>High</v>
      </c>
      <c r="Q1618" t="str">
        <f t="shared" si="153"/>
        <v>High Loan</v>
      </c>
      <c r="R1618">
        <f t="shared" si="154"/>
        <v>54200000</v>
      </c>
      <c r="S1618" t="str">
        <f t="shared" si="155"/>
        <v>Strong</v>
      </c>
    </row>
    <row r="1619" spans="1:19" x14ac:dyDescent="0.25">
      <c r="A1619">
        <v>1618</v>
      </c>
      <c r="B1619">
        <v>5</v>
      </c>
      <c r="C1619" t="s">
        <v>30</v>
      </c>
      <c r="D1619" t="s">
        <v>33</v>
      </c>
      <c r="E1619">
        <v>5400000</v>
      </c>
      <c r="F1619">
        <v>11200000</v>
      </c>
      <c r="G1619">
        <v>10</v>
      </c>
      <c r="H1619">
        <v>447</v>
      </c>
      <c r="I1619">
        <v>300000</v>
      </c>
      <c r="J1619">
        <v>7900000</v>
      </c>
      <c r="K1619">
        <v>21400000</v>
      </c>
      <c r="L1619">
        <v>6000000</v>
      </c>
      <c r="M1619" t="s">
        <v>35</v>
      </c>
      <c r="N1619">
        <f t="shared" si="151"/>
        <v>0</v>
      </c>
      <c r="O1619" t="str">
        <f t="shared" si="150"/>
        <v>Low</v>
      </c>
      <c r="P1619" t="str">
        <f t="shared" si="152"/>
        <v>High</v>
      </c>
      <c r="Q1619" t="str">
        <f t="shared" si="153"/>
        <v>Low Loan</v>
      </c>
      <c r="R1619">
        <f t="shared" si="154"/>
        <v>35600000</v>
      </c>
      <c r="S1619" t="str">
        <f t="shared" si="155"/>
        <v>Strong</v>
      </c>
    </row>
    <row r="1620" spans="1:19" x14ac:dyDescent="0.25">
      <c r="A1620">
        <v>1619</v>
      </c>
      <c r="B1620">
        <v>1</v>
      </c>
      <c r="C1620" t="s">
        <v>31</v>
      </c>
      <c r="D1620" t="s">
        <v>33</v>
      </c>
      <c r="E1620">
        <v>5300000</v>
      </c>
      <c r="F1620">
        <v>14100000</v>
      </c>
      <c r="G1620">
        <v>14</v>
      </c>
      <c r="H1620">
        <v>510</v>
      </c>
      <c r="I1620">
        <v>13300000</v>
      </c>
      <c r="J1620">
        <v>10400000</v>
      </c>
      <c r="K1620">
        <v>18900000</v>
      </c>
      <c r="L1620">
        <v>7800000</v>
      </c>
      <c r="M1620" t="s">
        <v>35</v>
      </c>
      <c r="N1620">
        <f t="shared" si="151"/>
        <v>0</v>
      </c>
      <c r="O1620" t="str">
        <f t="shared" si="150"/>
        <v>Low</v>
      </c>
      <c r="P1620" t="str">
        <f t="shared" si="152"/>
        <v>High</v>
      </c>
      <c r="Q1620" t="str">
        <f t="shared" si="153"/>
        <v>Low Loan</v>
      </c>
      <c r="R1620">
        <f t="shared" si="154"/>
        <v>50400000</v>
      </c>
      <c r="S1620" t="str">
        <f t="shared" si="155"/>
        <v>Strong</v>
      </c>
    </row>
    <row r="1621" spans="1:19" x14ac:dyDescent="0.25">
      <c r="A1621">
        <v>1620</v>
      </c>
      <c r="B1621">
        <v>1</v>
      </c>
      <c r="C1621" t="s">
        <v>30</v>
      </c>
      <c r="D1621" t="s">
        <v>32</v>
      </c>
      <c r="E1621">
        <v>7300000</v>
      </c>
      <c r="F1621">
        <v>24200000</v>
      </c>
      <c r="G1621">
        <v>20</v>
      </c>
      <c r="H1621">
        <v>324</v>
      </c>
      <c r="I1621">
        <v>12900000</v>
      </c>
      <c r="J1621">
        <v>3700000</v>
      </c>
      <c r="K1621">
        <v>18400000</v>
      </c>
      <c r="L1621">
        <v>9000000</v>
      </c>
      <c r="M1621" t="s">
        <v>35</v>
      </c>
      <c r="N1621">
        <f t="shared" si="151"/>
        <v>0</v>
      </c>
      <c r="O1621" t="str">
        <f t="shared" si="150"/>
        <v>Low</v>
      </c>
      <c r="P1621" t="str">
        <f t="shared" si="152"/>
        <v>High</v>
      </c>
      <c r="Q1621" t="str">
        <f t="shared" si="153"/>
        <v>High Loan</v>
      </c>
      <c r="R1621">
        <f t="shared" si="154"/>
        <v>44000000</v>
      </c>
      <c r="S1621" t="str">
        <f t="shared" si="155"/>
        <v>Strong</v>
      </c>
    </row>
    <row r="1622" spans="1:19" x14ac:dyDescent="0.25">
      <c r="A1622">
        <v>1621</v>
      </c>
      <c r="B1622">
        <v>5</v>
      </c>
      <c r="C1622" t="s">
        <v>30</v>
      </c>
      <c r="D1622" t="s">
        <v>32</v>
      </c>
      <c r="E1622">
        <v>9500000</v>
      </c>
      <c r="F1622">
        <v>19200000</v>
      </c>
      <c r="G1622">
        <v>2</v>
      </c>
      <c r="H1622">
        <v>523</v>
      </c>
      <c r="I1622">
        <v>13500000</v>
      </c>
      <c r="J1622">
        <v>1500000</v>
      </c>
      <c r="K1622">
        <v>21000000</v>
      </c>
      <c r="L1622">
        <v>6700000</v>
      </c>
      <c r="M1622" t="s">
        <v>35</v>
      </c>
      <c r="N1622">
        <f t="shared" si="151"/>
        <v>0</v>
      </c>
      <c r="O1622" t="str">
        <f t="shared" si="150"/>
        <v>Low</v>
      </c>
      <c r="P1622" t="str">
        <f t="shared" si="152"/>
        <v>High</v>
      </c>
      <c r="Q1622" t="str">
        <f t="shared" si="153"/>
        <v>Low Loan</v>
      </c>
      <c r="R1622">
        <f t="shared" si="154"/>
        <v>42700000</v>
      </c>
      <c r="S1622" t="str">
        <f t="shared" si="155"/>
        <v>Strong</v>
      </c>
    </row>
    <row r="1623" spans="1:19" x14ac:dyDescent="0.25">
      <c r="A1623">
        <v>1622</v>
      </c>
      <c r="B1623">
        <v>0</v>
      </c>
      <c r="C1623" t="s">
        <v>31</v>
      </c>
      <c r="D1623" t="s">
        <v>33</v>
      </c>
      <c r="E1623">
        <v>7200000</v>
      </c>
      <c r="F1623">
        <v>15600000</v>
      </c>
      <c r="G1623">
        <v>2</v>
      </c>
      <c r="H1623">
        <v>362</v>
      </c>
      <c r="I1623">
        <v>2700000</v>
      </c>
      <c r="J1623">
        <v>2400000</v>
      </c>
      <c r="K1623">
        <v>20800000</v>
      </c>
      <c r="L1623">
        <v>5900000</v>
      </c>
      <c r="M1623" t="s">
        <v>35</v>
      </c>
      <c r="N1623">
        <f t="shared" si="151"/>
        <v>0</v>
      </c>
      <c r="O1623" t="str">
        <f t="shared" si="150"/>
        <v>Low</v>
      </c>
      <c r="P1623" t="str">
        <f t="shared" si="152"/>
        <v>High</v>
      </c>
      <c r="Q1623" t="str">
        <f t="shared" si="153"/>
        <v>Low Loan</v>
      </c>
      <c r="R1623">
        <f t="shared" si="154"/>
        <v>31800000</v>
      </c>
      <c r="S1623" t="str">
        <f t="shared" si="155"/>
        <v>Strong</v>
      </c>
    </row>
    <row r="1624" spans="1:19" x14ac:dyDescent="0.25">
      <c r="A1624">
        <v>1623</v>
      </c>
      <c r="B1624">
        <v>3</v>
      </c>
      <c r="C1624" t="s">
        <v>30</v>
      </c>
      <c r="D1624" t="s">
        <v>33</v>
      </c>
      <c r="E1624">
        <v>9000000</v>
      </c>
      <c r="F1624">
        <v>32900000</v>
      </c>
      <c r="G1624">
        <v>6</v>
      </c>
      <c r="H1624">
        <v>657</v>
      </c>
      <c r="I1624">
        <v>9900000</v>
      </c>
      <c r="J1624">
        <v>600000</v>
      </c>
      <c r="K1624">
        <v>29200000</v>
      </c>
      <c r="L1624">
        <v>12000000</v>
      </c>
      <c r="M1624" t="s">
        <v>34</v>
      </c>
      <c r="N1624">
        <f t="shared" si="151"/>
        <v>1</v>
      </c>
      <c r="O1624" t="str">
        <f t="shared" si="150"/>
        <v>Medium</v>
      </c>
      <c r="P1624" t="str">
        <f t="shared" si="152"/>
        <v>High</v>
      </c>
      <c r="Q1624" t="str">
        <f t="shared" si="153"/>
        <v>High Loan</v>
      </c>
      <c r="R1624">
        <f t="shared" si="154"/>
        <v>51700000</v>
      </c>
      <c r="S1624" t="str">
        <f t="shared" si="155"/>
        <v>Strong</v>
      </c>
    </row>
    <row r="1625" spans="1:19" x14ac:dyDescent="0.25">
      <c r="A1625">
        <v>1624</v>
      </c>
      <c r="B1625">
        <v>5</v>
      </c>
      <c r="C1625" t="s">
        <v>31</v>
      </c>
      <c r="D1625" t="s">
        <v>32</v>
      </c>
      <c r="E1625">
        <v>6500000</v>
      </c>
      <c r="F1625">
        <v>23300000</v>
      </c>
      <c r="G1625">
        <v>12</v>
      </c>
      <c r="H1625">
        <v>790</v>
      </c>
      <c r="I1625">
        <v>600000</v>
      </c>
      <c r="J1625">
        <v>9700000</v>
      </c>
      <c r="K1625">
        <v>15500000</v>
      </c>
      <c r="L1625">
        <v>9500000</v>
      </c>
      <c r="M1625" t="s">
        <v>34</v>
      </c>
      <c r="N1625">
        <f t="shared" si="151"/>
        <v>1</v>
      </c>
      <c r="O1625" t="str">
        <f t="shared" si="150"/>
        <v>Excellent</v>
      </c>
      <c r="P1625" t="str">
        <f t="shared" si="152"/>
        <v>High</v>
      </c>
      <c r="Q1625" t="str">
        <f t="shared" si="153"/>
        <v>High Loan</v>
      </c>
      <c r="R1625">
        <f t="shared" si="154"/>
        <v>35300000</v>
      </c>
      <c r="S1625" t="str">
        <f t="shared" si="155"/>
        <v>Strong</v>
      </c>
    </row>
    <row r="1626" spans="1:19" x14ac:dyDescent="0.25">
      <c r="A1626">
        <v>1625</v>
      </c>
      <c r="B1626">
        <v>1</v>
      </c>
      <c r="C1626" t="s">
        <v>30</v>
      </c>
      <c r="D1626" t="s">
        <v>33</v>
      </c>
      <c r="E1626">
        <v>9500000</v>
      </c>
      <c r="F1626">
        <v>30500000</v>
      </c>
      <c r="G1626">
        <v>18</v>
      </c>
      <c r="H1626">
        <v>500</v>
      </c>
      <c r="I1626">
        <v>1300000</v>
      </c>
      <c r="J1626">
        <v>3300000</v>
      </c>
      <c r="K1626">
        <v>20500000</v>
      </c>
      <c r="L1626">
        <v>5500000</v>
      </c>
      <c r="M1626" t="s">
        <v>35</v>
      </c>
      <c r="N1626">
        <f t="shared" si="151"/>
        <v>0</v>
      </c>
      <c r="O1626" t="str">
        <f t="shared" si="150"/>
        <v>Low</v>
      </c>
      <c r="P1626" t="str">
        <f t="shared" si="152"/>
        <v>High</v>
      </c>
      <c r="Q1626" t="str">
        <f t="shared" si="153"/>
        <v>High Loan</v>
      </c>
      <c r="R1626">
        <f t="shared" si="154"/>
        <v>30600000</v>
      </c>
      <c r="S1626" t="str">
        <f t="shared" si="155"/>
        <v>Strong</v>
      </c>
    </row>
    <row r="1627" spans="1:19" x14ac:dyDescent="0.25">
      <c r="A1627">
        <v>1626</v>
      </c>
      <c r="B1627">
        <v>2</v>
      </c>
      <c r="C1627" t="s">
        <v>31</v>
      </c>
      <c r="D1627" t="s">
        <v>33</v>
      </c>
      <c r="E1627">
        <v>9900000</v>
      </c>
      <c r="F1627">
        <v>33200000</v>
      </c>
      <c r="G1627">
        <v>4</v>
      </c>
      <c r="H1627">
        <v>465</v>
      </c>
      <c r="I1627">
        <v>26300000</v>
      </c>
      <c r="J1627">
        <v>17000000</v>
      </c>
      <c r="K1627">
        <v>24400000</v>
      </c>
      <c r="L1627">
        <v>5000000</v>
      </c>
      <c r="M1627" t="s">
        <v>34</v>
      </c>
      <c r="N1627">
        <f t="shared" si="151"/>
        <v>1</v>
      </c>
      <c r="O1627" t="str">
        <f t="shared" si="150"/>
        <v>Low</v>
      </c>
      <c r="P1627" t="str">
        <f t="shared" si="152"/>
        <v>High</v>
      </c>
      <c r="Q1627" t="str">
        <f t="shared" si="153"/>
        <v>High Loan</v>
      </c>
      <c r="R1627">
        <f t="shared" si="154"/>
        <v>72700000</v>
      </c>
      <c r="S1627" t="str">
        <f t="shared" si="155"/>
        <v>Strong</v>
      </c>
    </row>
    <row r="1628" spans="1:19" x14ac:dyDescent="0.25">
      <c r="A1628">
        <v>1627</v>
      </c>
      <c r="B1628">
        <v>4</v>
      </c>
      <c r="C1628" t="s">
        <v>31</v>
      </c>
      <c r="D1628" t="s">
        <v>32</v>
      </c>
      <c r="E1628">
        <v>2900000</v>
      </c>
      <c r="F1628">
        <v>8700000</v>
      </c>
      <c r="G1628">
        <v>6</v>
      </c>
      <c r="H1628">
        <v>409</v>
      </c>
      <c r="I1628">
        <v>3700000</v>
      </c>
      <c r="J1628">
        <v>5500000</v>
      </c>
      <c r="K1628">
        <v>8200000</v>
      </c>
      <c r="L1628">
        <v>2200000</v>
      </c>
      <c r="M1628" t="s">
        <v>35</v>
      </c>
      <c r="N1628">
        <f t="shared" si="151"/>
        <v>0</v>
      </c>
      <c r="O1628" t="str">
        <f t="shared" si="150"/>
        <v>Low</v>
      </c>
      <c r="P1628" t="str">
        <f t="shared" si="152"/>
        <v>High</v>
      </c>
      <c r="Q1628" t="str">
        <f t="shared" si="153"/>
        <v>Low Loan</v>
      </c>
      <c r="R1628">
        <f t="shared" si="154"/>
        <v>19600000</v>
      </c>
      <c r="S1628" t="str">
        <f t="shared" si="155"/>
        <v>Strong</v>
      </c>
    </row>
    <row r="1629" spans="1:19" x14ac:dyDescent="0.25">
      <c r="A1629">
        <v>1628</v>
      </c>
      <c r="B1629">
        <v>4</v>
      </c>
      <c r="C1629" t="s">
        <v>30</v>
      </c>
      <c r="D1629" t="s">
        <v>33</v>
      </c>
      <c r="E1629">
        <v>700000</v>
      </c>
      <c r="F1629">
        <v>1800000</v>
      </c>
      <c r="G1629">
        <v>20</v>
      </c>
      <c r="H1629">
        <v>626</v>
      </c>
      <c r="I1629">
        <v>500000</v>
      </c>
      <c r="J1629">
        <v>600000</v>
      </c>
      <c r="K1629">
        <v>1400000</v>
      </c>
      <c r="L1629">
        <v>300000</v>
      </c>
      <c r="M1629" t="s">
        <v>34</v>
      </c>
      <c r="N1629">
        <f t="shared" si="151"/>
        <v>1</v>
      </c>
      <c r="O1629" t="str">
        <f t="shared" si="150"/>
        <v>Low</v>
      </c>
      <c r="P1629" t="str">
        <f t="shared" si="152"/>
        <v>High</v>
      </c>
      <c r="Q1629" t="str">
        <f t="shared" si="153"/>
        <v>Low Loan</v>
      </c>
      <c r="R1629">
        <f t="shared" si="154"/>
        <v>2800000</v>
      </c>
      <c r="S1629" t="str">
        <f t="shared" si="155"/>
        <v>Weak</v>
      </c>
    </row>
    <row r="1630" spans="1:19" x14ac:dyDescent="0.25">
      <c r="A1630">
        <v>1629</v>
      </c>
      <c r="B1630">
        <v>5</v>
      </c>
      <c r="C1630" t="s">
        <v>31</v>
      </c>
      <c r="D1630" t="s">
        <v>32</v>
      </c>
      <c r="E1630">
        <v>4200000</v>
      </c>
      <c r="F1630">
        <v>13400000</v>
      </c>
      <c r="G1630">
        <v>16</v>
      </c>
      <c r="H1630">
        <v>545</v>
      </c>
      <c r="I1630">
        <v>9800000</v>
      </c>
      <c r="J1630">
        <v>8200000</v>
      </c>
      <c r="K1630">
        <v>12500000</v>
      </c>
      <c r="L1630">
        <v>3500000</v>
      </c>
      <c r="M1630" t="s">
        <v>35</v>
      </c>
      <c r="N1630">
        <f t="shared" si="151"/>
        <v>0</v>
      </c>
      <c r="O1630" t="str">
        <f t="shared" si="150"/>
        <v>Low</v>
      </c>
      <c r="P1630" t="str">
        <f t="shared" si="152"/>
        <v>High</v>
      </c>
      <c r="Q1630" t="str">
        <f t="shared" si="153"/>
        <v>Low Loan</v>
      </c>
      <c r="R1630">
        <f t="shared" si="154"/>
        <v>34000000</v>
      </c>
      <c r="S1630" t="str">
        <f t="shared" si="155"/>
        <v>Strong</v>
      </c>
    </row>
    <row r="1631" spans="1:19" x14ac:dyDescent="0.25">
      <c r="A1631">
        <v>1630</v>
      </c>
      <c r="B1631">
        <v>3</v>
      </c>
      <c r="C1631" t="s">
        <v>31</v>
      </c>
      <c r="D1631" t="s">
        <v>32</v>
      </c>
      <c r="E1631">
        <v>4200000</v>
      </c>
      <c r="F1631">
        <v>11400000</v>
      </c>
      <c r="G1631">
        <v>10</v>
      </c>
      <c r="H1631">
        <v>654</v>
      </c>
      <c r="I1631">
        <v>8800000</v>
      </c>
      <c r="J1631">
        <v>400000</v>
      </c>
      <c r="K1631">
        <v>16200000</v>
      </c>
      <c r="L1631">
        <v>5700000</v>
      </c>
      <c r="M1631" t="s">
        <v>34</v>
      </c>
      <c r="N1631">
        <f t="shared" si="151"/>
        <v>1</v>
      </c>
      <c r="O1631" t="str">
        <f t="shared" si="150"/>
        <v>Medium</v>
      </c>
      <c r="P1631" t="str">
        <f t="shared" si="152"/>
        <v>High</v>
      </c>
      <c r="Q1631" t="str">
        <f t="shared" si="153"/>
        <v>Low Loan</v>
      </c>
      <c r="R1631">
        <f t="shared" si="154"/>
        <v>31100000</v>
      </c>
      <c r="S1631" t="str">
        <f t="shared" si="155"/>
        <v>Strong</v>
      </c>
    </row>
    <row r="1632" spans="1:19" x14ac:dyDescent="0.25">
      <c r="A1632">
        <v>1631</v>
      </c>
      <c r="B1632">
        <v>0</v>
      </c>
      <c r="C1632" t="s">
        <v>31</v>
      </c>
      <c r="D1632" t="s">
        <v>32</v>
      </c>
      <c r="E1632">
        <v>7600000</v>
      </c>
      <c r="F1632">
        <v>26500000</v>
      </c>
      <c r="G1632">
        <v>6</v>
      </c>
      <c r="H1632">
        <v>515</v>
      </c>
      <c r="I1632">
        <v>6200000</v>
      </c>
      <c r="J1632">
        <v>14900000</v>
      </c>
      <c r="K1632">
        <v>22000000</v>
      </c>
      <c r="L1632">
        <v>4000000</v>
      </c>
      <c r="M1632" t="s">
        <v>35</v>
      </c>
      <c r="N1632">
        <f t="shared" si="151"/>
        <v>0</v>
      </c>
      <c r="O1632" t="str">
        <f t="shared" si="150"/>
        <v>Low</v>
      </c>
      <c r="P1632" t="str">
        <f t="shared" si="152"/>
        <v>High</v>
      </c>
      <c r="Q1632" t="str">
        <f t="shared" si="153"/>
        <v>High Loan</v>
      </c>
      <c r="R1632">
        <f t="shared" si="154"/>
        <v>47100000</v>
      </c>
      <c r="S1632" t="str">
        <f t="shared" si="155"/>
        <v>Strong</v>
      </c>
    </row>
    <row r="1633" spans="1:19" x14ac:dyDescent="0.25">
      <c r="A1633">
        <v>1632</v>
      </c>
      <c r="B1633">
        <v>2</v>
      </c>
      <c r="C1633" t="s">
        <v>30</v>
      </c>
      <c r="D1633" t="s">
        <v>33</v>
      </c>
      <c r="E1633">
        <v>7100000</v>
      </c>
      <c r="F1633">
        <v>18800000</v>
      </c>
      <c r="G1633">
        <v>12</v>
      </c>
      <c r="H1633">
        <v>838</v>
      </c>
      <c r="I1633">
        <v>1100000</v>
      </c>
      <c r="J1633">
        <v>5200000</v>
      </c>
      <c r="K1633">
        <v>16600000</v>
      </c>
      <c r="L1633">
        <v>4900000</v>
      </c>
      <c r="M1633" t="s">
        <v>34</v>
      </c>
      <c r="N1633">
        <f t="shared" si="151"/>
        <v>1</v>
      </c>
      <c r="O1633" t="str">
        <f t="shared" si="150"/>
        <v>Excellent</v>
      </c>
      <c r="P1633" t="str">
        <f t="shared" si="152"/>
        <v>High</v>
      </c>
      <c r="Q1633" t="str">
        <f t="shared" si="153"/>
        <v>Low Loan</v>
      </c>
      <c r="R1633">
        <f t="shared" si="154"/>
        <v>27800000</v>
      </c>
      <c r="S1633" t="str">
        <f t="shared" si="155"/>
        <v>Strong</v>
      </c>
    </row>
    <row r="1634" spans="1:19" x14ac:dyDescent="0.25">
      <c r="A1634">
        <v>1633</v>
      </c>
      <c r="B1634">
        <v>1</v>
      </c>
      <c r="C1634" t="s">
        <v>31</v>
      </c>
      <c r="D1634" t="s">
        <v>33</v>
      </c>
      <c r="E1634">
        <v>4700000</v>
      </c>
      <c r="F1634">
        <v>16000000</v>
      </c>
      <c r="G1634">
        <v>14</v>
      </c>
      <c r="H1634">
        <v>406</v>
      </c>
      <c r="I1634">
        <v>4000000</v>
      </c>
      <c r="J1634">
        <v>5300000</v>
      </c>
      <c r="K1634">
        <v>14300000</v>
      </c>
      <c r="L1634">
        <v>3300000</v>
      </c>
      <c r="M1634" t="s">
        <v>35</v>
      </c>
      <c r="N1634">
        <f t="shared" si="151"/>
        <v>0</v>
      </c>
      <c r="O1634" t="str">
        <f t="shared" si="150"/>
        <v>Low</v>
      </c>
      <c r="P1634" t="str">
        <f t="shared" si="152"/>
        <v>High</v>
      </c>
      <c r="Q1634" t="str">
        <f t="shared" si="153"/>
        <v>Low Loan</v>
      </c>
      <c r="R1634">
        <f t="shared" si="154"/>
        <v>26900000</v>
      </c>
      <c r="S1634" t="str">
        <f t="shared" si="155"/>
        <v>Strong</v>
      </c>
    </row>
    <row r="1635" spans="1:19" x14ac:dyDescent="0.25">
      <c r="A1635">
        <v>1634</v>
      </c>
      <c r="B1635">
        <v>0</v>
      </c>
      <c r="C1635" t="s">
        <v>30</v>
      </c>
      <c r="D1635" t="s">
        <v>33</v>
      </c>
      <c r="E1635">
        <v>9800000</v>
      </c>
      <c r="F1635">
        <v>23200000</v>
      </c>
      <c r="G1635">
        <v>10</v>
      </c>
      <c r="H1635">
        <v>573</v>
      </c>
      <c r="I1635">
        <v>23900000</v>
      </c>
      <c r="J1635">
        <v>3300000</v>
      </c>
      <c r="K1635">
        <v>23600000</v>
      </c>
      <c r="L1635">
        <v>14600000</v>
      </c>
      <c r="M1635" t="s">
        <v>34</v>
      </c>
      <c r="N1635">
        <f t="shared" si="151"/>
        <v>1</v>
      </c>
      <c r="O1635" t="str">
        <f t="shared" si="150"/>
        <v>Low</v>
      </c>
      <c r="P1635" t="str">
        <f t="shared" si="152"/>
        <v>High</v>
      </c>
      <c r="Q1635" t="str">
        <f t="shared" si="153"/>
        <v>High Loan</v>
      </c>
      <c r="R1635">
        <f t="shared" si="154"/>
        <v>65400000</v>
      </c>
      <c r="S1635" t="str">
        <f t="shared" si="155"/>
        <v>Strong</v>
      </c>
    </row>
    <row r="1636" spans="1:19" x14ac:dyDescent="0.25">
      <c r="A1636">
        <v>1635</v>
      </c>
      <c r="B1636">
        <v>0</v>
      </c>
      <c r="C1636" t="s">
        <v>30</v>
      </c>
      <c r="D1636" t="s">
        <v>33</v>
      </c>
      <c r="E1636">
        <v>9800000</v>
      </c>
      <c r="F1636">
        <v>38700000</v>
      </c>
      <c r="G1636">
        <v>2</v>
      </c>
      <c r="H1636">
        <v>611</v>
      </c>
      <c r="I1636">
        <v>6600000</v>
      </c>
      <c r="J1636">
        <v>10400000</v>
      </c>
      <c r="K1636">
        <v>33000000</v>
      </c>
      <c r="L1636">
        <v>6000000</v>
      </c>
      <c r="M1636" t="s">
        <v>34</v>
      </c>
      <c r="N1636">
        <f t="shared" si="151"/>
        <v>1</v>
      </c>
      <c r="O1636" t="str">
        <f t="shared" si="150"/>
        <v>Low</v>
      </c>
      <c r="P1636" t="str">
        <f t="shared" si="152"/>
        <v>High</v>
      </c>
      <c r="Q1636" t="str">
        <f t="shared" si="153"/>
        <v>High Loan</v>
      </c>
      <c r="R1636">
        <f t="shared" si="154"/>
        <v>56000000</v>
      </c>
      <c r="S1636" t="str">
        <f t="shared" si="155"/>
        <v>Strong</v>
      </c>
    </row>
    <row r="1637" spans="1:19" x14ac:dyDescent="0.25">
      <c r="A1637">
        <v>1636</v>
      </c>
      <c r="B1637">
        <v>0</v>
      </c>
      <c r="C1637" t="s">
        <v>31</v>
      </c>
      <c r="D1637" t="s">
        <v>32</v>
      </c>
      <c r="E1637">
        <v>5100000</v>
      </c>
      <c r="F1637">
        <v>13400000</v>
      </c>
      <c r="G1637">
        <v>16</v>
      </c>
      <c r="H1637">
        <v>649</v>
      </c>
      <c r="I1637">
        <v>6800000</v>
      </c>
      <c r="J1637">
        <v>1600000</v>
      </c>
      <c r="K1637">
        <v>15700000</v>
      </c>
      <c r="L1637">
        <v>3900000</v>
      </c>
      <c r="M1637" t="s">
        <v>34</v>
      </c>
      <c r="N1637">
        <f t="shared" si="151"/>
        <v>1</v>
      </c>
      <c r="O1637" t="str">
        <f t="shared" si="150"/>
        <v>Low</v>
      </c>
      <c r="P1637" t="str">
        <f t="shared" si="152"/>
        <v>High</v>
      </c>
      <c r="Q1637" t="str">
        <f t="shared" si="153"/>
        <v>Low Loan</v>
      </c>
      <c r="R1637">
        <f t="shared" si="154"/>
        <v>28000000</v>
      </c>
      <c r="S1637" t="str">
        <f t="shared" si="155"/>
        <v>Strong</v>
      </c>
    </row>
    <row r="1638" spans="1:19" x14ac:dyDescent="0.25">
      <c r="A1638">
        <v>1637</v>
      </c>
      <c r="B1638">
        <v>0</v>
      </c>
      <c r="C1638" t="s">
        <v>31</v>
      </c>
      <c r="D1638" t="s">
        <v>33</v>
      </c>
      <c r="E1638">
        <v>3300000</v>
      </c>
      <c r="F1638">
        <v>7700000</v>
      </c>
      <c r="G1638">
        <v>12</v>
      </c>
      <c r="H1638">
        <v>775</v>
      </c>
      <c r="I1638">
        <v>8200000</v>
      </c>
      <c r="J1638">
        <v>2100000</v>
      </c>
      <c r="K1638">
        <v>7400000</v>
      </c>
      <c r="L1638">
        <v>4200000</v>
      </c>
      <c r="M1638" t="s">
        <v>34</v>
      </c>
      <c r="N1638">
        <f t="shared" si="151"/>
        <v>1</v>
      </c>
      <c r="O1638" t="str">
        <f t="shared" si="150"/>
        <v>Excellent</v>
      </c>
      <c r="P1638" t="str">
        <f t="shared" si="152"/>
        <v>High</v>
      </c>
      <c r="Q1638" t="str">
        <f t="shared" si="153"/>
        <v>Low Loan</v>
      </c>
      <c r="R1638">
        <f t="shared" si="154"/>
        <v>21900000</v>
      </c>
      <c r="S1638" t="str">
        <f t="shared" si="155"/>
        <v>Strong</v>
      </c>
    </row>
    <row r="1639" spans="1:19" x14ac:dyDescent="0.25">
      <c r="A1639">
        <v>1638</v>
      </c>
      <c r="B1639">
        <v>3</v>
      </c>
      <c r="C1639" t="s">
        <v>30</v>
      </c>
      <c r="D1639" t="s">
        <v>32</v>
      </c>
      <c r="E1639">
        <v>4500000</v>
      </c>
      <c r="F1639">
        <v>12500000</v>
      </c>
      <c r="G1639">
        <v>12</v>
      </c>
      <c r="H1639">
        <v>469</v>
      </c>
      <c r="I1639">
        <v>4100000</v>
      </c>
      <c r="J1639">
        <v>7600000</v>
      </c>
      <c r="K1639">
        <v>14200000</v>
      </c>
      <c r="L1639">
        <v>3400000</v>
      </c>
      <c r="M1639" t="s">
        <v>35</v>
      </c>
      <c r="N1639">
        <f t="shared" si="151"/>
        <v>0</v>
      </c>
      <c r="O1639" t="str">
        <f t="shared" si="150"/>
        <v>Low</v>
      </c>
      <c r="P1639" t="str">
        <f t="shared" si="152"/>
        <v>High</v>
      </c>
      <c r="Q1639" t="str">
        <f t="shared" si="153"/>
        <v>Low Loan</v>
      </c>
      <c r="R1639">
        <f t="shared" si="154"/>
        <v>29300000</v>
      </c>
      <c r="S1639" t="str">
        <f t="shared" si="155"/>
        <v>Strong</v>
      </c>
    </row>
    <row r="1640" spans="1:19" x14ac:dyDescent="0.25">
      <c r="A1640">
        <v>1639</v>
      </c>
      <c r="B1640">
        <v>0</v>
      </c>
      <c r="C1640" t="s">
        <v>30</v>
      </c>
      <c r="D1640" t="s">
        <v>33</v>
      </c>
      <c r="E1640">
        <v>3900000</v>
      </c>
      <c r="F1640">
        <v>12800000</v>
      </c>
      <c r="G1640">
        <v>18</v>
      </c>
      <c r="H1640">
        <v>587</v>
      </c>
      <c r="I1640">
        <v>4500000</v>
      </c>
      <c r="J1640">
        <v>5300000</v>
      </c>
      <c r="K1640">
        <v>12600000</v>
      </c>
      <c r="L1640">
        <v>5000000</v>
      </c>
      <c r="M1640" t="s">
        <v>34</v>
      </c>
      <c r="N1640">
        <f t="shared" si="151"/>
        <v>1</v>
      </c>
      <c r="O1640" t="str">
        <f t="shared" si="150"/>
        <v>Low</v>
      </c>
      <c r="P1640" t="str">
        <f t="shared" si="152"/>
        <v>High</v>
      </c>
      <c r="Q1640" t="str">
        <f t="shared" si="153"/>
        <v>Low Loan</v>
      </c>
      <c r="R1640">
        <f t="shared" si="154"/>
        <v>27400000</v>
      </c>
      <c r="S1640" t="str">
        <f t="shared" si="155"/>
        <v>Strong</v>
      </c>
    </row>
    <row r="1641" spans="1:19" x14ac:dyDescent="0.25">
      <c r="A1641">
        <v>1640</v>
      </c>
      <c r="B1641">
        <v>3</v>
      </c>
      <c r="C1641" t="s">
        <v>30</v>
      </c>
      <c r="D1641" t="s">
        <v>33</v>
      </c>
      <c r="E1641">
        <v>3200000</v>
      </c>
      <c r="F1641">
        <v>9900000</v>
      </c>
      <c r="G1641">
        <v>10</v>
      </c>
      <c r="H1641">
        <v>316</v>
      </c>
      <c r="I1641">
        <v>9100000</v>
      </c>
      <c r="J1641">
        <v>5500000</v>
      </c>
      <c r="K1641">
        <v>8800000</v>
      </c>
      <c r="L1641">
        <v>3600000</v>
      </c>
      <c r="M1641" t="s">
        <v>35</v>
      </c>
      <c r="N1641">
        <f t="shared" si="151"/>
        <v>0</v>
      </c>
      <c r="O1641" t="str">
        <f t="shared" si="150"/>
        <v>Low</v>
      </c>
      <c r="P1641" t="str">
        <f t="shared" si="152"/>
        <v>High</v>
      </c>
      <c r="Q1641" t="str">
        <f t="shared" si="153"/>
        <v>Low Loan</v>
      </c>
      <c r="R1641">
        <f t="shared" si="154"/>
        <v>27000000</v>
      </c>
      <c r="S1641" t="str">
        <f t="shared" si="155"/>
        <v>Strong</v>
      </c>
    </row>
    <row r="1642" spans="1:19" x14ac:dyDescent="0.25">
      <c r="A1642">
        <v>1641</v>
      </c>
      <c r="B1642">
        <v>2</v>
      </c>
      <c r="C1642" t="s">
        <v>30</v>
      </c>
      <c r="D1642" t="s">
        <v>32</v>
      </c>
      <c r="E1642">
        <v>3200000</v>
      </c>
      <c r="F1642">
        <v>10400000</v>
      </c>
      <c r="G1642">
        <v>10</v>
      </c>
      <c r="H1642">
        <v>556</v>
      </c>
      <c r="I1642">
        <v>8200000</v>
      </c>
      <c r="J1642">
        <v>5600000</v>
      </c>
      <c r="K1642">
        <v>11500000</v>
      </c>
      <c r="L1642">
        <v>4500000</v>
      </c>
      <c r="M1642" t="s">
        <v>34</v>
      </c>
      <c r="N1642">
        <f t="shared" si="151"/>
        <v>1</v>
      </c>
      <c r="O1642" t="str">
        <f t="shared" si="150"/>
        <v>Low</v>
      </c>
      <c r="P1642" t="str">
        <f t="shared" si="152"/>
        <v>High</v>
      </c>
      <c r="Q1642" t="str">
        <f t="shared" si="153"/>
        <v>Low Loan</v>
      </c>
      <c r="R1642">
        <f t="shared" si="154"/>
        <v>29800000</v>
      </c>
      <c r="S1642" t="str">
        <f t="shared" si="155"/>
        <v>Strong</v>
      </c>
    </row>
    <row r="1643" spans="1:19" x14ac:dyDescent="0.25">
      <c r="A1643">
        <v>1642</v>
      </c>
      <c r="B1643">
        <v>2</v>
      </c>
      <c r="C1643" t="s">
        <v>31</v>
      </c>
      <c r="D1643" t="s">
        <v>32</v>
      </c>
      <c r="E1643">
        <v>9600000</v>
      </c>
      <c r="F1643">
        <v>31200000</v>
      </c>
      <c r="G1643">
        <v>12</v>
      </c>
      <c r="H1643">
        <v>578</v>
      </c>
      <c r="I1643">
        <v>9900000</v>
      </c>
      <c r="J1643">
        <v>2200000</v>
      </c>
      <c r="K1643">
        <v>26500000</v>
      </c>
      <c r="L1643">
        <v>13500000</v>
      </c>
      <c r="M1643" t="s">
        <v>34</v>
      </c>
      <c r="N1643">
        <f t="shared" si="151"/>
        <v>1</v>
      </c>
      <c r="O1643" t="str">
        <f t="shared" si="150"/>
        <v>Low</v>
      </c>
      <c r="P1643" t="str">
        <f t="shared" si="152"/>
        <v>High</v>
      </c>
      <c r="Q1643" t="str">
        <f t="shared" si="153"/>
        <v>High Loan</v>
      </c>
      <c r="R1643">
        <f t="shared" si="154"/>
        <v>52100000</v>
      </c>
      <c r="S1643" t="str">
        <f t="shared" si="155"/>
        <v>Strong</v>
      </c>
    </row>
    <row r="1644" spans="1:19" x14ac:dyDescent="0.25">
      <c r="A1644">
        <v>1643</v>
      </c>
      <c r="B1644">
        <v>2</v>
      </c>
      <c r="C1644" t="s">
        <v>31</v>
      </c>
      <c r="D1644" t="s">
        <v>33</v>
      </c>
      <c r="E1644">
        <v>8700000</v>
      </c>
      <c r="F1644">
        <v>18900000</v>
      </c>
      <c r="G1644">
        <v>2</v>
      </c>
      <c r="H1644">
        <v>554</v>
      </c>
      <c r="I1644">
        <v>3900000</v>
      </c>
      <c r="J1644">
        <v>1900000</v>
      </c>
      <c r="K1644">
        <v>18000000</v>
      </c>
      <c r="L1644">
        <v>11500000</v>
      </c>
      <c r="M1644" t="s">
        <v>34</v>
      </c>
      <c r="N1644">
        <f t="shared" si="151"/>
        <v>1</v>
      </c>
      <c r="O1644" t="str">
        <f t="shared" si="150"/>
        <v>Low</v>
      </c>
      <c r="P1644" t="str">
        <f t="shared" si="152"/>
        <v>High</v>
      </c>
      <c r="Q1644" t="str">
        <f t="shared" si="153"/>
        <v>Low Loan</v>
      </c>
      <c r="R1644">
        <f t="shared" si="154"/>
        <v>35300000</v>
      </c>
      <c r="S1644" t="str">
        <f t="shared" si="155"/>
        <v>Strong</v>
      </c>
    </row>
    <row r="1645" spans="1:19" x14ac:dyDescent="0.25">
      <c r="A1645">
        <v>1644</v>
      </c>
      <c r="B1645">
        <v>2</v>
      </c>
      <c r="C1645" t="s">
        <v>31</v>
      </c>
      <c r="D1645" t="s">
        <v>33</v>
      </c>
      <c r="E1645">
        <v>1900000</v>
      </c>
      <c r="F1645">
        <v>6800000</v>
      </c>
      <c r="G1645">
        <v>6</v>
      </c>
      <c r="H1645">
        <v>892</v>
      </c>
      <c r="I1645">
        <v>2600000</v>
      </c>
      <c r="J1645">
        <v>2200000</v>
      </c>
      <c r="K1645">
        <v>6400000</v>
      </c>
      <c r="L1645">
        <v>900000</v>
      </c>
      <c r="M1645" t="s">
        <v>34</v>
      </c>
      <c r="N1645">
        <f t="shared" si="151"/>
        <v>1</v>
      </c>
      <c r="O1645" t="str">
        <f t="shared" si="150"/>
        <v>Excellent</v>
      </c>
      <c r="P1645" t="str">
        <f t="shared" si="152"/>
        <v>High</v>
      </c>
      <c r="Q1645" t="str">
        <f t="shared" si="153"/>
        <v>Low Loan</v>
      </c>
      <c r="R1645">
        <f t="shared" si="154"/>
        <v>12100000</v>
      </c>
      <c r="S1645" t="str">
        <f t="shared" si="155"/>
        <v>Strong</v>
      </c>
    </row>
    <row r="1646" spans="1:19" x14ac:dyDescent="0.25">
      <c r="A1646">
        <v>1645</v>
      </c>
      <c r="B1646">
        <v>2</v>
      </c>
      <c r="C1646" t="s">
        <v>31</v>
      </c>
      <c r="D1646" t="s">
        <v>33</v>
      </c>
      <c r="E1646">
        <v>2900000</v>
      </c>
      <c r="F1646">
        <v>10200000</v>
      </c>
      <c r="G1646">
        <v>10</v>
      </c>
      <c r="H1646">
        <v>315</v>
      </c>
      <c r="I1646">
        <v>8100000</v>
      </c>
      <c r="J1646">
        <v>400000</v>
      </c>
      <c r="K1646">
        <v>6500000</v>
      </c>
      <c r="L1646">
        <v>1600000</v>
      </c>
      <c r="M1646" t="s">
        <v>35</v>
      </c>
      <c r="N1646">
        <f t="shared" si="151"/>
        <v>0</v>
      </c>
      <c r="O1646" t="str">
        <f t="shared" si="150"/>
        <v>Low</v>
      </c>
      <c r="P1646" t="str">
        <f t="shared" si="152"/>
        <v>High</v>
      </c>
      <c r="Q1646" t="str">
        <f t="shared" si="153"/>
        <v>Low Loan</v>
      </c>
      <c r="R1646">
        <f t="shared" si="154"/>
        <v>16600000</v>
      </c>
      <c r="S1646" t="str">
        <f t="shared" si="155"/>
        <v>Strong</v>
      </c>
    </row>
    <row r="1647" spans="1:19" x14ac:dyDescent="0.25">
      <c r="A1647">
        <v>1646</v>
      </c>
      <c r="B1647">
        <v>0</v>
      </c>
      <c r="C1647" t="s">
        <v>31</v>
      </c>
      <c r="D1647" t="s">
        <v>32</v>
      </c>
      <c r="E1647">
        <v>6200000</v>
      </c>
      <c r="F1647">
        <v>12900000</v>
      </c>
      <c r="G1647">
        <v>10</v>
      </c>
      <c r="H1647">
        <v>695</v>
      </c>
      <c r="I1647">
        <v>1900000</v>
      </c>
      <c r="J1647">
        <v>3700000</v>
      </c>
      <c r="K1647">
        <v>22200000</v>
      </c>
      <c r="L1647">
        <v>4200000</v>
      </c>
      <c r="M1647" t="s">
        <v>34</v>
      </c>
      <c r="N1647">
        <f t="shared" si="151"/>
        <v>1</v>
      </c>
      <c r="O1647" t="str">
        <f t="shared" si="150"/>
        <v>Medium</v>
      </c>
      <c r="P1647" t="str">
        <f t="shared" si="152"/>
        <v>High</v>
      </c>
      <c r="Q1647" t="str">
        <f t="shared" si="153"/>
        <v>Low Loan</v>
      </c>
      <c r="R1647">
        <f t="shared" si="154"/>
        <v>32000000</v>
      </c>
      <c r="S1647" t="str">
        <f t="shared" si="155"/>
        <v>Strong</v>
      </c>
    </row>
    <row r="1648" spans="1:19" x14ac:dyDescent="0.25">
      <c r="A1648">
        <v>1647</v>
      </c>
      <c r="B1648">
        <v>0</v>
      </c>
      <c r="C1648" t="s">
        <v>31</v>
      </c>
      <c r="D1648" t="s">
        <v>32</v>
      </c>
      <c r="E1648">
        <v>5900000</v>
      </c>
      <c r="F1648">
        <v>20300000</v>
      </c>
      <c r="G1648">
        <v>4</v>
      </c>
      <c r="H1648">
        <v>806</v>
      </c>
      <c r="I1648">
        <v>300000</v>
      </c>
      <c r="J1648">
        <v>3700000</v>
      </c>
      <c r="K1648">
        <v>16400000</v>
      </c>
      <c r="L1648">
        <v>4800000</v>
      </c>
      <c r="M1648" t="s">
        <v>34</v>
      </c>
      <c r="N1648">
        <f t="shared" si="151"/>
        <v>1</v>
      </c>
      <c r="O1648" t="str">
        <f t="shared" si="150"/>
        <v>Excellent</v>
      </c>
      <c r="P1648" t="str">
        <f t="shared" si="152"/>
        <v>High</v>
      </c>
      <c r="Q1648" t="str">
        <f t="shared" si="153"/>
        <v>High Loan</v>
      </c>
      <c r="R1648">
        <f t="shared" si="154"/>
        <v>25200000</v>
      </c>
      <c r="S1648" t="str">
        <f t="shared" si="155"/>
        <v>Strong</v>
      </c>
    </row>
    <row r="1649" spans="1:19" x14ac:dyDescent="0.25">
      <c r="A1649">
        <v>1648</v>
      </c>
      <c r="B1649">
        <v>4</v>
      </c>
      <c r="C1649" t="s">
        <v>31</v>
      </c>
      <c r="D1649" t="s">
        <v>33</v>
      </c>
      <c r="E1649">
        <v>3200000</v>
      </c>
      <c r="F1649">
        <v>12800000</v>
      </c>
      <c r="G1649">
        <v>8</v>
      </c>
      <c r="H1649">
        <v>638</v>
      </c>
      <c r="I1649">
        <v>4300000</v>
      </c>
      <c r="J1649">
        <v>2600000</v>
      </c>
      <c r="K1649">
        <v>8000000</v>
      </c>
      <c r="L1649">
        <v>3800000</v>
      </c>
      <c r="M1649" t="s">
        <v>34</v>
      </c>
      <c r="N1649">
        <f t="shared" si="151"/>
        <v>1</v>
      </c>
      <c r="O1649" t="str">
        <f t="shared" si="150"/>
        <v>Low</v>
      </c>
      <c r="P1649" t="str">
        <f t="shared" si="152"/>
        <v>High</v>
      </c>
      <c r="Q1649" t="str">
        <f t="shared" si="153"/>
        <v>Low Loan</v>
      </c>
      <c r="R1649">
        <f t="shared" si="154"/>
        <v>18700000</v>
      </c>
      <c r="S1649" t="str">
        <f t="shared" si="155"/>
        <v>Strong</v>
      </c>
    </row>
    <row r="1650" spans="1:19" x14ac:dyDescent="0.25">
      <c r="A1650">
        <v>1649</v>
      </c>
      <c r="B1650">
        <v>1</v>
      </c>
      <c r="C1650" t="s">
        <v>31</v>
      </c>
      <c r="D1650" t="s">
        <v>33</v>
      </c>
      <c r="E1650">
        <v>1300000</v>
      </c>
      <c r="F1650">
        <v>5000000</v>
      </c>
      <c r="G1650">
        <v>4</v>
      </c>
      <c r="H1650">
        <v>610</v>
      </c>
      <c r="I1650">
        <v>3400000</v>
      </c>
      <c r="J1650">
        <v>800000</v>
      </c>
      <c r="K1650">
        <v>4500000</v>
      </c>
      <c r="L1650">
        <v>900000</v>
      </c>
      <c r="M1650" t="s">
        <v>34</v>
      </c>
      <c r="N1650">
        <f t="shared" si="151"/>
        <v>1</v>
      </c>
      <c r="O1650" t="str">
        <f t="shared" si="150"/>
        <v>Low</v>
      </c>
      <c r="P1650" t="str">
        <f t="shared" si="152"/>
        <v>High</v>
      </c>
      <c r="Q1650" t="str">
        <f t="shared" si="153"/>
        <v>Low Loan</v>
      </c>
      <c r="R1650">
        <f t="shared" si="154"/>
        <v>9600000</v>
      </c>
      <c r="S1650" t="str">
        <f t="shared" si="155"/>
        <v>Moderate</v>
      </c>
    </row>
    <row r="1651" spans="1:19" x14ac:dyDescent="0.25">
      <c r="A1651">
        <v>1650</v>
      </c>
      <c r="B1651">
        <v>2</v>
      </c>
      <c r="C1651" t="s">
        <v>31</v>
      </c>
      <c r="D1651" t="s">
        <v>33</v>
      </c>
      <c r="E1651">
        <v>1300000</v>
      </c>
      <c r="F1651">
        <v>3200000</v>
      </c>
      <c r="G1651">
        <v>4</v>
      </c>
      <c r="H1651">
        <v>810</v>
      </c>
      <c r="I1651">
        <v>3800000</v>
      </c>
      <c r="J1651">
        <v>2100000</v>
      </c>
      <c r="K1651">
        <v>4300000</v>
      </c>
      <c r="L1651">
        <v>800000</v>
      </c>
      <c r="M1651" t="s">
        <v>34</v>
      </c>
      <c r="N1651">
        <f t="shared" si="151"/>
        <v>1</v>
      </c>
      <c r="O1651" t="str">
        <f t="shared" si="150"/>
        <v>Excellent</v>
      </c>
      <c r="P1651" t="str">
        <f t="shared" si="152"/>
        <v>High</v>
      </c>
      <c r="Q1651" t="str">
        <f t="shared" si="153"/>
        <v>Low Loan</v>
      </c>
      <c r="R1651">
        <f t="shared" si="154"/>
        <v>11000000</v>
      </c>
      <c r="S1651" t="str">
        <f t="shared" si="155"/>
        <v>Strong</v>
      </c>
    </row>
    <row r="1652" spans="1:19" x14ac:dyDescent="0.25">
      <c r="A1652">
        <v>1651</v>
      </c>
      <c r="B1652">
        <v>1</v>
      </c>
      <c r="C1652" t="s">
        <v>30</v>
      </c>
      <c r="D1652" t="s">
        <v>32</v>
      </c>
      <c r="E1652">
        <v>8700000</v>
      </c>
      <c r="F1652">
        <v>33200000</v>
      </c>
      <c r="G1652">
        <v>4</v>
      </c>
      <c r="H1652">
        <v>866</v>
      </c>
      <c r="I1652">
        <v>19600000</v>
      </c>
      <c r="J1652">
        <v>15900000</v>
      </c>
      <c r="K1652">
        <v>23700000</v>
      </c>
      <c r="L1652">
        <v>10500000</v>
      </c>
      <c r="M1652" t="s">
        <v>34</v>
      </c>
      <c r="N1652">
        <f t="shared" si="151"/>
        <v>1</v>
      </c>
      <c r="O1652" t="str">
        <f t="shared" si="150"/>
        <v>Excellent</v>
      </c>
      <c r="P1652" t="str">
        <f t="shared" si="152"/>
        <v>High</v>
      </c>
      <c r="Q1652" t="str">
        <f t="shared" si="153"/>
        <v>High Loan</v>
      </c>
      <c r="R1652">
        <f t="shared" si="154"/>
        <v>69700000</v>
      </c>
      <c r="S1652" t="str">
        <f t="shared" si="155"/>
        <v>Strong</v>
      </c>
    </row>
    <row r="1653" spans="1:19" x14ac:dyDescent="0.25">
      <c r="A1653">
        <v>1652</v>
      </c>
      <c r="B1653">
        <v>3</v>
      </c>
      <c r="C1653" t="s">
        <v>31</v>
      </c>
      <c r="D1653" t="s">
        <v>32</v>
      </c>
      <c r="E1653">
        <v>6300000</v>
      </c>
      <c r="F1653">
        <v>23800000</v>
      </c>
      <c r="G1653">
        <v>10</v>
      </c>
      <c r="H1653">
        <v>760</v>
      </c>
      <c r="I1653">
        <v>12700000</v>
      </c>
      <c r="J1653">
        <v>1300000</v>
      </c>
      <c r="K1653">
        <v>18400000</v>
      </c>
      <c r="L1653">
        <v>8800000</v>
      </c>
      <c r="M1653" t="s">
        <v>34</v>
      </c>
      <c r="N1653">
        <f t="shared" si="151"/>
        <v>1</v>
      </c>
      <c r="O1653" t="str">
        <f t="shared" si="150"/>
        <v>Excellent</v>
      </c>
      <c r="P1653" t="str">
        <f t="shared" si="152"/>
        <v>High</v>
      </c>
      <c r="Q1653" t="str">
        <f t="shared" si="153"/>
        <v>High Loan</v>
      </c>
      <c r="R1653">
        <f t="shared" si="154"/>
        <v>41200000</v>
      </c>
      <c r="S1653" t="str">
        <f t="shared" si="155"/>
        <v>Strong</v>
      </c>
    </row>
    <row r="1654" spans="1:19" x14ac:dyDescent="0.25">
      <c r="A1654">
        <v>1653</v>
      </c>
      <c r="B1654">
        <v>3</v>
      </c>
      <c r="C1654" t="s">
        <v>30</v>
      </c>
      <c r="D1654" t="s">
        <v>32</v>
      </c>
      <c r="E1654">
        <v>4300000</v>
      </c>
      <c r="F1654">
        <v>11200000</v>
      </c>
      <c r="G1654">
        <v>6</v>
      </c>
      <c r="H1654">
        <v>556</v>
      </c>
      <c r="I1654">
        <v>11000000</v>
      </c>
      <c r="J1654">
        <v>4300000</v>
      </c>
      <c r="K1654">
        <v>14500000</v>
      </c>
      <c r="L1654">
        <v>5100000</v>
      </c>
      <c r="M1654" t="s">
        <v>34</v>
      </c>
      <c r="N1654">
        <f t="shared" si="151"/>
        <v>1</v>
      </c>
      <c r="O1654" t="str">
        <f t="shared" si="150"/>
        <v>Low</v>
      </c>
      <c r="P1654" t="str">
        <f t="shared" si="152"/>
        <v>High</v>
      </c>
      <c r="Q1654" t="str">
        <f t="shared" si="153"/>
        <v>Low Loan</v>
      </c>
      <c r="R1654">
        <f t="shared" si="154"/>
        <v>34900000</v>
      </c>
      <c r="S1654" t="str">
        <f t="shared" si="155"/>
        <v>Strong</v>
      </c>
    </row>
    <row r="1655" spans="1:19" x14ac:dyDescent="0.25">
      <c r="A1655">
        <v>1654</v>
      </c>
      <c r="B1655">
        <v>3</v>
      </c>
      <c r="C1655" t="s">
        <v>31</v>
      </c>
      <c r="D1655" t="s">
        <v>33</v>
      </c>
      <c r="E1655">
        <v>6400000</v>
      </c>
      <c r="F1655">
        <v>23500000</v>
      </c>
      <c r="G1655">
        <v>12</v>
      </c>
      <c r="H1655">
        <v>684</v>
      </c>
      <c r="I1655">
        <v>17200000</v>
      </c>
      <c r="J1655">
        <v>10300000</v>
      </c>
      <c r="K1655">
        <v>25300000</v>
      </c>
      <c r="L1655">
        <v>7400000</v>
      </c>
      <c r="M1655" t="s">
        <v>34</v>
      </c>
      <c r="N1655">
        <f t="shared" si="151"/>
        <v>1</v>
      </c>
      <c r="O1655" t="str">
        <f t="shared" si="150"/>
        <v>Medium</v>
      </c>
      <c r="P1655" t="str">
        <f t="shared" si="152"/>
        <v>High</v>
      </c>
      <c r="Q1655" t="str">
        <f t="shared" si="153"/>
        <v>High Loan</v>
      </c>
      <c r="R1655">
        <f t="shared" si="154"/>
        <v>60200000</v>
      </c>
      <c r="S1655" t="str">
        <f t="shared" si="155"/>
        <v>Strong</v>
      </c>
    </row>
    <row r="1656" spans="1:19" x14ac:dyDescent="0.25">
      <c r="A1656">
        <v>1655</v>
      </c>
      <c r="B1656">
        <v>5</v>
      </c>
      <c r="C1656" t="s">
        <v>31</v>
      </c>
      <c r="D1656" t="s">
        <v>33</v>
      </c>
      <c r="E1656">
        <v>7700000</v>
      </c>
      <c r="F1656">
        <v>25800000</v>
      </c>
      <c r="G1656">
        <v>18</v>
      </c>
      <c r="H1656">
        <v>578</v>
      </c>
      <c r="I1656">
        <v>5000000</v>
      </c>
      <c r="J1656">
        <v>7700000</v>
      </c>
      <c r="K1656">
        <v>27200000</v>
      </c>
      <c r="L1656">
        <v>10600000</v>
      </c>
      <c r="M1656" t="s">
        <v>34</v>
      </c>
      <c r="N1656">
        <f t="shared" si="151"/>
        <v>1</v>
      </c>
      <c r="O1656" t="str">
        <f t="shared" si="150"/>
        <v>Low</v>
      </c>
      <c r="P1656" t="str">
        <f t="shared" si="152"/>
        <v>High</v>
      </c>
      <c r="Q1656" t="str">
        <f t="shared" si="153"/>
        <v>High Loan</v>
      </c>
      <c r="R1656">
        <f t="shared" si="154"/>
        <v>50500000</v>
      </c>
      <c r="S1656" t="str">
        <f t="shared" si="155"/>
        <v>Strong</v>
      </c>
    </row>
    <row r="1657" spans="1:19" x14ac:dyDescent="0.25">
      <c r="A1657">
        <v>1656</v>
      </c>
      <c r="B1657">
        <v>2</v>
      </c>
      <c r="C1657" t="s">
        <v>31</v>
      </c>
      <c r="D1657" t="s">
        <v>32</v>
      </c>
      <c r="E1657">
        <v>6900000</v>
      </c>
      <c r="F1657">
        <v>23900000</v>
      </c>
      <c r="G1657">
        <v>12</v>
      </c>
      <c r="H1657">
        <v>814</v>
      </c>
      <c r="I1657">
        <v>13000000</v>
      </c>
      <c r="J1657">
        <v>1900000</v>
      </c>
      <c r="K1657">
        <v>26600000</v>
      </c>
      <c r="L1657">
        <v>6000000</v>
      </c>
      <c r="M1657" t="s">
        <v>34</v>
      </c>
      <c r="N1657">
        <f t="shared" si="151"/>
        <v>1</v>
      </c>
      <c r="O1657" t="str">
        <f t="shared" si="150"/>
        <v>Excellent</v>
      </c>
      <c r="P1657" t="str">
        <f t="shared" si="152"/>
        <v>High</v>
      </c>
      <c r="Q1657" t="str">
        <f t="shared" si="153"/>
        <v>High Loan</v>
      </c>
      <c r="R1657">
        <f t="shared" si="154"/>
        <v>47500000</v>
      </c>
      <c r="S1657" t="str">
        <f t="shared" si="155"/>
        <v>Strong</v>
      </c>
    </row>
    <row r="1658" spans="1:19" x14ac:dyDescent="0.25">
      <c r="A1658">
        <v>1657</v>
      </c>
      <c r="B1658">
        <v>0</v>
      </c>
      <c r="C1658" t="s">
        <v>31</v>
      </c>
      <c r="D1658" t="s">
        <v>32</v>
      </c>
      <c r="E1658">
        <v>4200000</v>
      </c>
      <c r="F1658">
        <v>14800000</v>
      </c>
      <c r="G1658">
        <v>20</v>
      </c>
      <c r="H1658">
        <v>510</v>
      </c>
      <c r="I1658">
        <v>9200000</v>
      </c>
      <c r="J1658">
        <v>5700000</v>
      </c>
      <c r="K1658">
        <v>11900000</v>
      </c>
      <c r="L1658">
        <v>2600000</v>
      </c>
      <c r="M1658" t="s">
        <v>35</v>
      </c>
      <c r="N1658">
        <f t="shared" si="151"/>
        <v>0</v>
      </c>
      <c r="O1658" t="str">
        <f t="shared" si="150"/>
        <v>Low</v>
      </c>
      <c r="P1658" t="str">
        <f t="shared" si="152"/>
        <v>High</v>
      </c>
      <c r="Q1658" t="str">
        <f t="shared" si="153"/>
        <v>Low Loan</v>
      </c>
      <c r="R1658">
        <f t="shared" si="154"/>
        <v>29400000</v>
      </c>
      <c r="S1658" t="str">
        <f t="shared" si="155"/>
        <v>Strong</v>
      </c>
    </row>
    <row r="1659" spans="1:19" x14ac:dyDescent="0.25">
      <c r="A1659">
        <v>1658</v>
      </c>
      <c r="B1659">
        <v>4</v>
      </c>
      <c r="C1659" t="s">
        <v>31</v>
      </c>
      <c r="D1659" t="s">
        <v>32</v>
      </c>
      <c r="E1659">
        <v>3900000</v>
      </c>
      <c r="F1659">
        <v>9000000</v>
      </c>
      <c r="G1659">
        <v>2</v>
      </c>
      <c r="H1659">
        <v>674</v>
      </c>
      <c r="I1659">
        <v>8700000</v>
      </c>
      <c r="J1659">
        <v>5700000</v>
      </c>
      <c r="K1659">
        <v>14000000</v>
      </c>
      <c r="L1659">
        <v>3100000</v>
      </c>
      <c r="M1659" t="s">
        <v>34</v>
      </c>
      <c r="N1659">
        <f t="shared" si="151"/>
        <v>1</v>
      </c>
      <c r="O1659" t="str">
        <f t="shared" si="150"/>
        <v>Medium</v>
      </c>
      <c r="P1659" t="str">
        <f t="shared" si="152"/>
        <v>High</v>
      </c>
      <c r="Q1659" t="str">
        <f t="shared" si="153"/>
        <v>Low Loan</v>
      </c>
      <c r="R1659">
        <f t="shared" si="154"/>
        <v>31500000</v>
      </c>
      <c r="S1659" t="str">
        <f t="shared" si="155"/>
        <v>Strong</v>
      </c>
    </row>
    <row r="1660" spans="1:19" x14ac:dyDescent="0.25">
      <c r="A1660">
        <v>1659</v>
      </c>
      <c r="B1660">
        <v>0</v>
      </c>
      <c r="C1660" t="s">
        <v>30</v>
      </c>
      <c r="D1660" t="s">
        <v>33</v>
      </c>
      <c r="E1660">
        <v>2000000</v>
      </c>
      <c r="F1660">
        <v>4900000</v>
      </c>
      <c r="G1660">
        <v>14</v>
      </c>
      <c r="H1660">
        <v>570</v>
      </c>
      <c r="I1660">
        <v>3800000</v>
      </c>
      <c r="J1660">
        <v>300000</v>
      </c>
      <c r="K1660">
        <v>6600000</v>
      </c>
      <c r="L1660">
        <v>1300000</v>
      </c>
      <c r="M1660" t="s">
        <v>34</v>
      </c>
      <c r="N1660">
        <f t="shared" si="151"/>
        <v>1</v>
      </c>
      <c r="O1660" t="str">
        <f t="shared" si="150"/>
        <v>Low</v>
      </c>
      <c r="P1660" t="str">
        <f t="shared" si="152"/>
        <v>High</v>
      </c>
      <c r="Q1660" t="str">
        <f t="shared" si="153"/>
        <v>Low Loan</v>
      </c>
      <c r="R1660">
        <f t="shared" si="154"/>
        <v>12000000</v>
      </c>
      <c r="S1660" t="str">
        <f t="shared" si="155"/>
        <v>Strong</v>
      </c>
    </row>
    <row r="1661" spans="1:19" x14ac:dyDescent="0.25">
      <c r="A1661">
        <v>1660</v>
      </c>
      <c r="B1661">
        <v>1</v>
      </c>
      <c r="C1661" t="s">
        <v>31</v>
      </c>
      <c r="D1661" t="s">
        <v>32</v>
      </c>
      <c r="E1661">
        <v>500000</v>
      </c>
      <c r="F1661">
        <v>1700000</v>
      </c>
      <c r="G1661">
        <v>2</v>
      </c>
      <c r="H1661">
        <v>680</v>
      </c>
      <c r="I1661">
        <v>700000</v>
      </c>
      <c r="J1661">
        <v>800000</v>
      </c>
      <c r="K1661">
        <v>1400000</v>
      </c>
      <c r="L1661">
        <v>700000</v>
      </c>
      <c r="M1661" t="s">
        <v>34</v>
      </c>
      <c r="N1661">
        <f t="shared" si="151"/>
        <v>1</v>
      </c>
      <c r="O1661" t="str">
        <f t="shared" si="150"/>
        <v>Medium</v>
      </c>
      <c r="P1661" t="str">
        <f t="shared" si="152"/>
        <v>Middle</v>
      </c>
      <c r="Q1661" t="str">
        <f t="shared" si="153"/>
        <v>Low Loan</v>
      </c>
      <c r="R1661">
        <f t="shared" si="154"/>
        <v>3600000</v>
      </c>
      <c r="S1661" t="str">
        <f t="shared" si="155"/>
        <v>Weak</v>
      </c>
    </row>
    <row r="1662" spans="1:19" x14ac:dyDescent="0.25">
      <c r="A1662">
        <v>1661</v>
      </c>
      <c r="B1662">
        <v>0</v>
      </c>
      <c r="C1662" t="s">
        <v>30</v>
      </c>
      <c r="D1662" t="s">
        <v>32</v>
      </c>
      <c r="E1662">
        <v>3500000</v>
      </c>
      <c r="F1662">
        <v>8800000</v>
      </c>
      <c r="G1662">
        <v>12</v>
      </c>
      <c r="H1662">
        <v>803</v>
      </c>
      <c r="I1662">
        <v>5400000</v>
      </c>
      <c r="J1662">
        <v>300000</v>
      </c>
      <c r="K1662">
        <v>8400000</v>
      </c>
      <c r="L1662">
        <v>3400000</v>
      </c>
      <c r="M1662" t="s">
        <v>34</v>
      </c>
      <c r="N1662">
        <f t="shared" si="151"/>
        <v>1</v>
      </c>
      <c r="O1662" t="str">
        <f t="shared" si="150"/>
        <v>Excellent</v>
      </c>
      <c r="P1662" t="str">
        <f t="shared" si="152"/>
        <v>High</v>
      </c>
      <c r="Q1662" t="str">
        <f t="shared" si="153"/>
        <v>Low Loan</v>
      </c>
      <c r="R1662">
        <f t="shared" si="154"/>
        <v>17500000</v>
      </c>
      <c r="S1662" t="str">
        <f t="shared" si="155"/>
        <v>Strong</v>
      </c>
    </row>
    <row r="1663" spans="1:19" x14ac:dyDescent="0.25">
      <c r="A1663">
        <v>1662</v>
      </c>
      <c r="B1663">
        <v>2</v>
      </c>
      <c r="C1663" t="s">
        <v>31</v>
      </c>
      <c r="D1663" t="s">
        <v>33</v>
      </c>
      <c r="E1663">
        <v>3100000</v>
      </c>
      <c r="F1663">
        <v>10700000</v>
      </c>
      <c r="G1663">
        <v>16</v>
      </c>
      <c r="H1663">
        <v>357</v>
      </c>
      <c r="I1663">
        <v>9200000</v>
      </c>
      <c r="J1663">
        <v>1900000</v>
      </c>
      <c r="K1663">
        <v>7700000</v>
      </c>
      <c r="L1663">
        <v>3800000</v>
      </c>
      <c r="M1663" t="s">
        <v>35</v>
      </c>
      <c r="N1663">
        <f t="shared" si="151"/>
        <v>0</v>
      </c>
      <c r="O1663" t="str">
        <f t="shared" si="150"/>
        <v>Low</v>
      </c>
      <c r="P1663" t="str">
        <f t="shared" si="152"/>
        <v>High</v>
      </c>
      <c r="Q1663" t="str">
        <f t="shared" si="153"/>
        <v>Low Loan</v>
      </c>
      <c r="R1663">
        <f t="shared" si="154"/>
        <v>22600000</v>
      </c>
      <c r="S1663" t="str">
        <f t="shared" si="155"/>
        <v>Strong</v>
      </c>
    </row>
    <row r="1664" spans="1:19" x14ac:dyDescent="0.25">
      <c r="A1664">
        <v>1663</v>
      </c>
      <c r="B1664">
        <v>3</v>
      </c>
      <c r="C1664" t="s">
        <v>31</v>
      </c>
      <c r="D1664" t="s">
        <v>33</v>
      </c>
      <c r="E1664">
        <v>4900000</v>
      </c>
      <c r="F1664">
        <v>19000000</v>
      </c>
      <c r="G1664">
        <v>4</v>
      </c>
      <c r="H1664">
        <v>575</v>
      </c>
      <c r="I1664">
        <v>14100000</v>
      </c>
      <c r="J1664">
        <v>9100000</v>
      </c>
      <c r="K1664">
        <v>16500000</v>
      </c>
      <c r="L1664">
        <v>4600000</v>
      </c>
      <c r="M1664" t="s">
        <v>34</v>
      </c>
      <c r="N1664">
        <f t="shared" si="151"/>
        <v>1</v>
      </c>
      <c r="O1664" t="str">
        <f t="shared" si="150"/>
        <v>Low</v>
      </c>
      <c r="P1664" t="str">
        <f t="shared" si="152"/>
        <v>High</v>
      </c>
      <c r="Q1664" t="str">
        <f t="shared" si="153"/>
        <v>Low Loan</v>
      </c>
      <c r="R1664">
        <f t="shared" si="154"/>
        <v>44300000</v>
      </c>
      <c r="S1664" t="str">
        <f t="shared" si="155"/>
        <v>Strong</v>
      </c>
    </row>
    <row r="1665" spans="1:19" x14ac:dyDescent="0.25">
      <c r="A1665">
        <v>1664</v>
      </c>
      <c r="B1665">
        <v>1</v>
      </c>
      <c r="C1665" t="s">
        <v>31</v>
      </c>
      <c r="D1665" t="s">
        <v>32</v>
      </c>
      <c r="E1665">
        <v>1000000</v>
      </c>
      <c r="F1665">
        <v>3600000</v>
      </c>
      <c r="G1665">
        <v>4</v>
      </c>
      <c r="H1665">
        <v>546</v>
      </c>
      <c r="I1665">
        <v>2500000</v>
      </c>
      <c r="J1665">
        <v>0</v>
      </c>
      <c r="K1665">
        <v>2600000</v>
      </c>
      <c r="L1665">
        <v>500000</v>
      </c>
      <c r="M1665" t="s">
        <v>34</v>
      </c>
      <c r="N1665">
        <f t="shared" si="151"/>
        <v>1</v>
      </c>
      <c r="O1665" t="str">
        <f t="shared" si="150"/>
        <v>Low</v>
      </c>
      <c r="P1665" t="str">
        <f t="shared" si="152"/>
        <v>High</v>
      </c>
      <c r="Q1665" t="str">
        <f t="shared" si="153"/>
        <v>Low Loan</v>
      </c>
      <c r="R1665">
        <f t="shared" si="154"/>
        <v>5600000</v>
      </c>
      <c r="S1665" t="str">
        <f t="shared" si="155"/>
        <v>Moderate</v>
      </c>
    </row>
    <row r="1666" spans="1:19" x14ac:dyDescent="0.25">
      <c r="A1666">
        <v>1665</v>
      </c>
      <c r="B1666">
        <v>2</v>
      </c>
      <c r="C1666" t="s">
        <v>30</v>
      </c>
      <c r="D1666" t="s">
        <v>32</v>
      </c>
      <c r="E1666">
        <v>6700000</v>
      </c>
      <c r="F1666">
        <v>21400000</v>
      </c>
      <c r="G1666">
        <v>8</v>
      </c>
      <c r="H1666">
        <v>370</v>
      </c>
      <c r="I1666">
        <v>3200000</v>
      </c>
      <c r="J1666">
        <v>11800000</v>
      </c>
      <c r="K1666">
        <v>20100000</v>
      </c>
      <c r="L1666">
        <v>8600000</v>
      </c>
      <c r="M1666" t="s">
        <v>35</v>
      </c>
      <c r="N1666">
        <f t="shared" si="151"/>
        <v>0</v>
      </c>
      <c r="O1666" t="str">
        <f t="shared" ref="O1666:O1729" si="156">IF(H1666&lt;650,"Low",
 IF(H1666&lt;700,"Medium",
 IF(H1666&lt;750,"Good","Excellent")))</f>
        <v>Low</v>
      </c>
      <c r="P1666" t="str">
        <f t="shared" si="152"/>
        <v>High</v>
      </c>
      <c r="Q1666" t="str">
        <f t="shared" si="153"/>
        <v>High Loan</v>
      </c>
      <c r="R1666">
        <f t="shared" si="154"/>
        <v>43700000</v>
      </c>
      <c r="S1666" t="str">
        <f t="shared" si="155"/>
        <v>Strong</v>
      </c>
    </row>
    <row r="1667" spans="1:19" x14ac:dyDescent="0.25">
      <c r="A1667">
        <v>1666</v>
      </c>
      <c r="B1667">
        <v>1</v>
      </c>
      <c r="C1667" t="s">
        <v>30</v>
      </c>
      <c r="D1667" t="s">
        <v>32</v>
      </c>
      <c r="E1667">
        <v>4100000</v>
      </c>
      <c r="F1667">
        <v>9400000</v>
      </c>
      <c r="G1667">
        <v>6</v>
      </c>
      <c r="H1667">
        <v>713</v>
      </c>
      <c r="I1667">
        <v>0</v>
      </c>
      <c r="J1667">
        <v>1000000</v>
      </c>
      <c r="K1667">
        <v>11100000</v>
      </c>
      <c r="L1667">
        <v>3100000</v>
      </c>
      <c r="M1667" t="s">
        <v>34</v>
      </c>
      <c r="N1667">
        <f t="shared" ref="N1667:N1730" si="157">IF(TRIM(CLEAN(M1667))="Approved",1,0)</f>
        <v>1</v>
      </c>
      <c r="O1667" t="str">
        <f t="shared" si="156"/>
        <v>Good</v>
      </c>
      <c r="P1667" t="str">
        <f t="shared" ref="P1667:P1730" si="158">IF(E1667&lt;300000,"Low",
 IF(E1667&lt;700000,"Middle","High"))</f>
        <v>High</v>
      </c>
      <c r="Q1667" t="str">
        <f t="shared" ref="Q1667:Q1730" si="159">IF(F1667&lt;20000000,"Low Loan","High Loan")</f>
        <v>Low Loan</v>
      </c>
      <c r="R1667">
        <f t="shared" ref="R1667:R1730" si="160">I1667+J1667+K1667+L1667</f>
        <v>15200000</v>
      </c>
      <c r="S1667" t="str">
        <f t="shared" ref="S1667:S1730" si="161">IF(R1667&lt;5000000,"Weak",
 IF(R1667&lt;10000000,"Moderate","Strong"))</f>
        <v>Strong</v>
      </c>
    </row>
    <row r="1668" spans="1:19" x14ac:dyDescent="0.25">
      <c r="A1668">
        <v>1667</v>
      </c>
      <c r="B1668">
        <v>4</v>
      </c>
      <c r="C1668" t="s">
        <v>31</v>
      </c>
      <c r="D1668" t="s">
        <v>33</v>
      </c>
      <c r="E1668">
        <v>1600000</v>
      </c>
      <c r="F1668">
        <v>3800000</v>
      </c>
      <c r="G1668">
        <v>2</v>
      </c>
      <c r="H1668">
        <v>896</v>
      </c>
      <c r="I1668">
        <v>1200000</v>
      </c>
      <c r="J1668">
        <v>400000</v>
      </c>
      <c r="K1668">
        <v>4800000</v>
      </c>
      <c r="L1668">
        <v>2000000</v>
      </c>
      <c r="M1668" t="s">
        <v>34</v>
      </c>
      <c r="N1668">
        <f t="shared" si="157"/>
        <v>1</v>
      </c>
      <c r="O1668" t="str">
        <f t="shared" si="156"/>
        <v>Excellent</v>
      </c>
      <c r="P1668" t="str">
        <f t="shared" si="158"/>
        <v>High</v>
      </c>
      <c r="Q1668" t="str">
        <f t="shared" si="159"/>
        <v>Low Loan</v>
      </c>
      <c r="R1668">
        <f t="shared" si="160"/>
        <v>8400000</v>
      </c>
      <c r="S1668" t="str">
        <f t="shared" si="161"/>
        <v>Moderate</v>
      </c>
    </row>
    <row r="1669" spans="1:19" x14ac:dyDescent="0.25">
      <c r="A1669">
        <v>1668</v>
      </c>
      <c r="B1669">
        <v>3</v>
      </c>
      <c r="C1669" t="s">
        <v>30</v>
      </c>
      <c r="D1669" t="s">
        <v>33</v>
      </c>
      <c r="E1669">
        <v>2400000</v>
      </c>
      <c r="F1669">
        <v>9200000</v>
      </c>
      <c r="G1669">
        <v>14</v>
      </c>
      <c r="H1669">
        <v>626</v>
      </c>
      <c r="I1669">
        <v>300000</v>
      </c>
      <c r="J1669">
        <v>3600000</v>
      </c>
      <c r="K1669">
        <v>8500000</v>
      </c>
      <c r="L1669">
        <v>2000000</v>
      </c>
      <c r="M1669" t="s">
        <v>34</v>
      </c>
      <c r="N1669">
        <f t="shared" si="157"/>
        <v>1</v>
      </c>
      <c r="O1669" t="str">
        <f t="shared" si="156"/>
        <v>Low</v>
      </c>
      <c r="P1669" t="str">
        <f t="shared" si="158"/>
        <v>High</v>
      </c>
      <c r="Q1669" t="str">
        <f t="shared" si="159"/>
        <v>Low Loan</v>
      </c>
      <c r="R1669">
        <f t="shared" si="160"/>
        <v>14400000</v>
      </c>
      <c r="S1669" t="str">
        <f t="shared" si="161"/>
        <v>Strong</v>
      </c>
    </row>
    <row r="1670" spans="1:19" x14ac:dyDescent="0.25">
      <c r="A1670">
        <v>1669</v>
      </c>
      <c r="B1670">
        <v>0</v>
      </c>
      <c r="C1670" t="s">
        <v>30</v>
      </c>
      <c r="D1670" t="s">
        <v>32</v>
      </c>
      <c r="E1670">
        <v>2200000</v>
      </c>
      <c r="F1670">
        <v>6400000</v>
      </c>
      <c r="G1670">
        <v>4</v>
      </c>
      <c r="H1670">
        <v>854</v>
      </c>
      <c r="I1670">
        <v>900000</v>
      </c>
      <c r="J1670">
        <v>1600000</v>
      </c>
      <c r="K1670">
        <v>6500000</v>
      </c>
      <c r="L1670">
        <v>1300000</v>
      </c>
      <c r="M1670" t="s">
        <v>34</v>
      </c>
      <c r="N1670">
        <f t="shared" si="157"/>
        <v>1</v>
      </c>
      <c r="O1670" t="str">
        <f t="shared" si="156"/>
        <v>Excellent</v>
      </c>
      <c r="P1670" t="str">
        <f t="shared" si="158"/>
        <v>High</v>
      </c>
      <c r="Q1670" t="str">
        <f t="shared" si="159"/>
        <v>Low Loan</v>
      </c>
      <c r="R1670">
        <f t="shared" si="160"/>
        <v>10300000</v>
      </c>
      <c r="S1670" t="str">
        <f t="shared" si="161"/>
        <v>Strong</v>
      </c>
    </row>
    <row r="1671" spans="1:19" x14ac:dyDescent="0.25">
      <c r="A1671">
        <v>1670</v>
      </c>
      <c r="B1671">
        <v>4</v>
      </c>
      <c r="C1671" t="s">
        <v>30</v>
      </c>
      <c r="D1671" t="s">
        <v>32</v>
      </c>
      <c r="E1671">
        <v>3200000</v>
      </c>
      <c r="F1671">
        <v>8400000</v>
      </c>
      <c r="G1671">
        <v>18</v>
      </c>
      <c r="H1671">
        <v>802</v>
      </c>
      <c r="I1671">
        <v>400000</v>
      </c>
      <c r="J1671">
        <v>0</v>
      </c>
      <c r="K1671">
        <v>9100000</v>
      </c>
      <c r="L1671">
        <v>4700000</v>
      </c>
      <c r="M1671" t="s">
        <v>34</v>
      </c>
      <c r="N1671">
        <f t="shared" si="157"/>
        <v>1</v>
      </c>
      <c r="O1671" t="str">
        <f t="shared" si="156"/>
        <v>Excellent</v>
      </c>
      <c r="P1671" t="str">
        <f t="shared" si="158"/>
        <v>High</v>
      </c>
      <c r="Q1671" t="str">
        <f t="shared" si="159"/>
        <v>Low Loan</v>
      </c>
      <c r="R1671">
        <f t="shared" si="160"/>
        <v>14200000</v>
      </c>
      <c r="S1671" t="str">
        <f t="shared" si="161"/>
        <v>Strong</v>
      </c>
    </row>
    <row r="1672" spans="1:19" x14ac:dyDescent="0.25">
      <c r="A1672">
        <v>1671</v>
      </c>
      <c r="B1672">
        <v>4</v>
      </c>
      <c r="C1672" t="s">
        <v>31</v>
      </c>
      <c r="D1672" t="s">
        <v>33</v>
      </c>
      <c r="E1672">
        <v>1600000</v>
      </c>
      <c r="F1672">
        <v>4400000</v>
      </c>
      <c r="G1672">
        <v>20</v>
      </c>
      <c r="H1672">
        <v>382</v>
      </c>
      <c r="I1672">
        <v>1700000</v>
      </c>
      <c r="J1672">
        <v>300000</v>
      </c>
      <c r="K1672">
        <v>5200000</v>
      </c>
      <c r="L1672">
        <v>1900000</v>
      </c>
      <c r="M1672" t="s">
        <v>35</v>
      </c>
      <c r="N1672">
        <f t="shared" si="157"/>
        <v>0</v>
      </c>
      <c r="O1672" t="str">
        <f t="shared" si="156"/>
        <v>Low</v>
      </c>
      <c r="P1672" t="str">
        <f t="shared" si="158"/>
        <v>High</v>
      </c>
      <c r="Q1672" t="str">
        <f t="shared" si="159"/>
        <v>Low Loan</v>
      </c>
      <c r="R1672">
        <f t="shared" si="160"/>
        <v>9100000</v>
      </c>
      <c r="S1672" t="str">
        <f t="shared" si="161"/>
        <v>Moderate</v>
      </c>
    </row>
    <row r="1673" spans="1:19" x14ac:dyDescent="0.25">
      <c r="A1673">
        <v>1672</v>
      </c>
      <c r="B1673">
        <v>2</v>
      </c>
      <c r="C1673" t="s">
        <v>31</v>
      </c>
      <c r="D1673" t="s">
        <v>32</v>
      </c>
      <c r="E1673">
        <v>3900000</v>
      </c>
      <c r="F1673">
        <v>14900000</v>
      </c>
      <c r="G1673">
        <v>6</v>
      </c>
      <c r="H1673">
        <v>415</v>
      </c>
      <c r="I1673">
        <v>2200000</v>
      </c>
      <c r="J1673">
        <v>4300000</v>
      </c>
      <c r="K1673">
        <v>9500000</v>
      </c>
      <c r="L1673">
        <v>4600000</v>
      </c>
      <c r="M1673" t="s">
        <v>35</v>
      </c>
      <c r="N1673">
        <f t="shared" si="157"/>
        <v>0</v>
      </c>
      <c r="O1673" t="str">
        <f t="shared" si="156"/>
        <v>Low</v>
      </c>
      <c r="P1673" t="str">
        <f t="shared" si="158"/>
        <v>High</v>
      </c>
      <c r="Q1673" t="str">
        <f t="shared" si="159"/>
        <v>Low Loan</v>
      </c>
      <c r="R1673">
        <f t="shared" si="160"/>
        <v>20600000</v>
      </c>
      <c r="S1673" t="str">
        <f t="shared" si="161"/>
        <v>Strong</v>
      </c>
    </row>
    <row r="1674" spans="1:19" x14ac:dyDescent="0.25">
      <c r="A1674">
        <v>1673</v>
      </c>
      <c r="B1674">
        <v>5</v>
      </c>
      <c r="C1674" t="s">
        <v>30</v>
      </c>
      <c r="D1674" t="s">
        <v>33</v>
      </c>
      <c r="E1674">
        <v>2000000</v>
      </c>
      <c r="F1674">
        <v>6300000</v>
      </c>
      <c r="G1674">
        <v>4</v>
      </c>
      <c r="H1674">
        <v>366</v>
      </c>
      <c r="I1674">
        <v>5300000</v>
      </c>
      <c r="J1674">
        <v>2200000</v>
      </c>
      <c r="K1674">
        <v>5400000</v>
      </c>
      <c r="L1674">
        <v>2800000</v>
      </c>
      <c r="M1674" t="s">
        <v>34</v>
      </c>
      <c r="N1674">
        <f t="shared" si="157"/>
        <v>1</v>
      </c>
      <c r="O1674" t="str">
        <f t="shared" si="156"/>
        <v>Low</v>
      </c>
      <c r="P1674" t="str">
        <f t="shared" si="158"/>
        <v>High</v>
      </c>
      <c r="Q1674" t="str">
        <f t="shared" si="159"/>
        <v>Low Loan</v>
      </c>
      <c r="R1674">
        <f t="shared" si="160"/>
        <v>15700000</v>
      </c>
      <c r="S1674" t="str">
        <f t="shared" si="161"/>
        <v>Strong</v>
      </c>
    </row>
    <row r="1675" spans="1:19" x14ac:dyDescent="0.25">
      <c r="A1675">
        <v>1674</v>
      </c>
      <c r="B1675">
        <v>1</v>
      </c>
      <c r="C1675" t="s">
        <v>30</v>
      </c>
      <c r="D1675" t="s">
        <v>33</v>
      </c>
      <c r="E1675">
        <v>7600000</v>
      </c>
      <c r="F1675">
        <v>25400000</v>
      </c>
      <c r="G1675">
        <v>10</v>
      </c>
      <c r="H1675">
        <v>595</v>
      </c>
      <c r="I1675">
        <v>7900000</v>
      </c>
      <c r="J1675">
        <v>400000</v>
      </c>
      <c r="K1675">
        <v>24900000</v>
      </c>
      <c r="L1675">
        <v>11000000</v>
      </c>
      <c r="M1675" t="s">
        <v>34</v>
      </c>
      <c r="N1675">
        <f t="shared" si="157"/>
        <v>1</v>
      </c>
      <c r="O1675" t="str">
        <f t="shared" si="156"/>
        <v>Low</v>
      </c>
      <c r="P1675" t="str">
        <f t="shared" si="158"/>
        <v>High</v>
      </c>
      <c r="Q1675" t="str">
        <f t="shared" si="159"/>
        <v>High Loan</v>
      </c>
      <c r="R1675">
        <f t="shared" si="160"/>
        <v>44200000</v>
      </c>
      <c r="S1675" t="str">
        <f t="shared" si="161"/>
        <v>Strong</v>
      </c>
    </row>
    <row r="1676" spans="1:19" x14ac:dyDescent="0.25">
      <c r="A1676">
        <v>1675</v>
      </c>
      <c r="B1676">
        <v>1</v>
      </c>
      <c r="C1676" t="s">
        <v>31</v>
      </c>
      <c r="D1676" t="s">
        <v>32</v>
      </c>
      <c r="E1676">
        <v>9800000</v>
      </c>
      <c r="F1676">
        <v>21300000</v>
      </c>
      <c r="G1676">
        <v>2</v>
      </c>
      <c r="H1676">
        <v>356</v>
      </c>
      <c r="I1676">
        <v>23000000</v>
      </c>
      <c r="J1676">
        <v>12300000</v>
      </c>
      <c r="K1676">
        <v>25700000</v>
      </c>
      <c r="L1676">
        <v>14600000</v>
      </c>
      <c r="M1676" t="s">
        <v>35</v>
      </c>
      <c r="N1676">
        <f t="shared" si="157"/>
        <v>0</v>
      </c>
      <c r="O1676" t="str">
        <f t="shared" si="156"/>
        <v>Low</v>
      </c>
      <c r="P1676" t="str">
        <f t="shared" si="158"/>
        <v>High</v>
      </c>
      <c r="Q1676" t="str">
        <f t="shared" si="159"/>
        <v>High Loan</v>
      </c>
      <c r="R1676">
        <f t="shared" si="160"/>
        <v>75600000</v>
      </c>
      <c r="S1676" t="str">
        <f t="shared" si="161"/>
        <v>Strong</v>
      </c>
    </row>
    <row r="1677" spans="1:19" x14ac:dyDescent="0.25">
      <c r="A1677">
        <v>1676</v>
      </c>
      <c r="B1677">
        <v>5</v>
      </c>
      <c r="C1677" t="s">
        <v>31</v>
      </c>
      <c r="D1677" t="s">
        <v>32</v>
      </c>
      <c r="E1677">
        <v>7900000</v>
      </c>
      <c r="F1677">
        <v>29900000</v>
      </c>
      <c r="G1677">
        <v>6</v>
      </c>
      <c r="H1677">
        <v>568</v>
      </c>
      <c r="I1677">
        <v>5800000</v>
      </c>
      <c r="J1677">
        <v>13900000</v>
      </c>
      <c r="K1677">
        <v>15900000</v>
      </c>
      <c r="L1677">
        <v>8700000</v>
      </c>
      <c r="M1677" t="s">
        <v>34</v>
      </c>
      <c r="N1677">
        <f t="shared" si="157"/>
        <v>1</v>
      </c>
      <c r="O1677" t="str">
        <f t="shared" si="156"/>
        <v>Low</v>
      </c>
      <c r="P1677" t="str">
        <f t="shared" si="158"/>
        <v>High</v>
      </c>
      <c r="Q1677" t="str">
        <f t="shared" si="159"/>
        <v>High Loan</v>
      </c>
      <c r="R1677">
        <f t="shared" si="160"/>
        <v>44300000</v>
      </c>
      <c r="S1677" t="str">
        <f t="shared" si="161"/>
        <v>Strong</v>
      </c>
    </row>
    <row r="1678" spans="1:19" x14ac:dyDescent="0.25">
      <c r="A1678">
        <v>1677</v>
      </c>
      <c r="B1678">
        <v>1</v>
      </c>
      <c r="C1678" t="s">
        <v>30</v>
      </c>
      <c r="D1678" t="s">
        <v>32</v>
      </c>
      <c r="E1678">
        <v>1600000</v>
      </c>
      <c r="F1678">
        <v>4000000</v>
      </c>
      <c r="G1678">
        <v>10</v>
      </c>
      <c r="H1678">
        <v>615</v>
      </c>
      <c r="I1678">
        <v>2200000</v>
      </c>
      <c r="J1678">
        <v>2700000</v>
      </c>
      <c r="K1678">
        <v>5500000</v>
      </c>
      <c r="L1678">
        <v>1400000</v>
      </c>
      <c r="M1678" t="s">
        <v>34</v>
      </c>
      <c r="N1678">
        <f t="shared" si="157"/>
        <v>1</v>
      </c>
      <c r="O1678" t="str">
        <f t="shared" si="156"/>
        <v>Low</v>
      </c>
      <c r="P1678" t="str">
        <f t="shared" si="158"/>
        <v>High</v>
      </c>
      <c r="Q1678" t="str">
        <f t="shared" si="159"/>
        <v>Low Loan</v>
      </c>
      <c r="R1678">
        <f t="shared" si="160"/>
        <v>11800000</v>
      </c>
      <c r="S1678" t="str">
        <f t="shared" si="161"/>
        <v>Strong</v>
      </c>
    </row>
    <row r="1679" spans="1:19" x14ac:dyDescent="0.25">
      <c r="A1679">
        <v>1678</v>
      </c>
      <c r="B1679">
        <v>1</v>
      </c>
      <c r="C1679" t="s">
        <v>30</v>
      </c>
      <c r="D1679" t="s">
        <v>33</v>
      </c>
      <c r="E1679">
        <v>6400000</v>
      </c>
      <c r="F1679">
        <v>13900000</v>
      </c>
      <c r="G1679">
        <v>12</v>
      </c>
      <c r="H1679">
        <v>313</v>
      </c>
      <c r="I1679">
        <v>18600000</v>
      </c>
      <c r="J1679">
        <v>6300000</v>
      </c>
      <c r="K1679">
        <v>18600000</v>
      </c>
      <c r="L1679">
        <v>4900000</v>
      </c>
      <c r="M1679" t="s">
        <v>35</v>
      </c>
      <c r="N1679">
        <f t="shared" si="157"/>
        <v>0</v>
      </c>
      <c r="O1679" t="str">
        <f t="shared" si="156"/>
        <v>Low</v>
      </c>
      <c r="P1679" t="str">
        <f t="shared" si="158"/>
        <v>High</v>
      </c>
      <c r="Q1679" t="str">
        <f t="shared" si="159"/>
        <v>Low Loan</v>
      </c>
      <c r="R1679">
        <f t="shared" si="160"/>
        <v>48400000</v>
      </c>
      <c r="S1679" t="str">
        <f t="shared" si="161"/>
        <v>Strong</v>
      </c>
    </row>
    <row r="1680" spans="1:19" x14ac:dyDescent="0.25">
      <c r="A1680">
        <v>1679</v>
      </c>
      <c r="B1680">
        <v>1</v>
      </c>
      <c r="C1680" t="s">
        <v>30</v>
      </c>
      <c r="D1680" t="s">
        <v>33</v>
      </c>
      <c r="E1680">
        <v>6400000</v>
      </c>
      <c r="F1680">
        <v>17900000</v>
      </c>
      <c r="G1680">
        <v>6</v>
      </c>
      <c r="H1680">
        <v>575</v>
      </c>
      <c r="I1680">
        <v>6600000</v>
      </c>
      <c r="J1680">
        <v>7600000</v>
      </c>
      <c r="K1680">
        <v>23100000</v>
      </c>
      <c r="L1680">
        <v>5300000</v>
      </c>
      <c r="M1680" t="s">
        <v>34</v>
      </c>
      <c r="N1680">
        <f t="shared" si="157"/>
        <v>1</v>
      </c>
      <c r="O1680" t="str">
        <f t="shared" si="156"/>
        <v>Low</v>
      </c>
      <c r="P1680" t="str">
        <f t="shared" si="158"/>
        <v>High</v>
      </c>
      <c r="Q1680" t="str">
        <f t="shared" si="159"/>
        <v>Low Loan</v>
      </c>
      <c r="R1680">
        <f t="shared" si="160"/>
        <v>42600000</v>
      </c>
      <c r="S1680" t="str">
        <f t="shared" si="161"/>
        <v>Strong</v>
      </c>
    </row>
    <row r="1681" spans="1:19" x14ac:dyDescent="0.25">
      <c r="A1681">
        <v>1680</v>
      </c>
      <c r="B1681">
        <v>4</v>
      </c>
      <c r="C1681" t="s">
        <v>30</v>
      </c>
      <c r="D1681" t="s">
        <v>32</v>
      </c>
      <c r="E1681">
        <v>1600000</v>
      </c>
      <c r="F1681">
        <v>5500000</v>
      </c>
      <c r="G1681">
        <v>10</v>
      </c>
      <c r="H1681">
        <v>577</v>
      </c>
      <c r="I1681">
        <v>400000</v>
      </c>
      <c r="J1681">
        <v>1200000</v>
      </c>
      <c r="K1681">
        <v>4100000</v>
      </c>
      <c r="L1681">
        <v>1400000</v>
      </c>
      <c r="M1681" t="s">
        <v>34</v>
      </c>
      <c r="N1681">
        <f t="shared" si="157"/>
        <v>1</v>
      </c>
      <c r="O1681" t="str">
        <f t="shared" si="156"/>
        <v>Low</v>
      </c>
      <c r="P1681" t="str">
        <f t="shared" si="158"/>
        <v>High</v>
      </c>
      <c r="Q1681" t="str">
        <f t="shared" si="159"/>
        <v>Low Loan</v>
      </c>
      <c r="R1681">
        <f t="shared" si="160"/>
        <v>7100000</v>
      </c>
      <c r="S1681" t="str">
        <f t="shared" si="161"/>
        <v>Moderate</v>
      </c>
    </row>
    <row r="1682" spans="1:19" x14ac:dyDescent="0.25">
      <c r="A1682">
        <v>1681</v>
      </c>
      <c r="B1682">
        <v>0</v>
      </c>
      <c r="C1682" t="s">
        <v>30</v>
      </c>
      <c r="D1682" t="s">
        <v>32</v>
      </c>
      <c r="E1682">
        <v>9200000</v>
      </c>
      <c r="F1682">
        <v>30700000</v>
      </c>
      <c r="G1682">
        <v>10</v>
      </c>
      <c r="H1682">
        <v>455</v>
      </c>
      <c r="I1682">
        <v>24900000</v>
      </c>
      <c r="J1682">
        <v>2000000</v>
      </c>
      <c r="K1682">
        <v>32900000</v>
      </c>
      <c r="L1682">
        <v>5200000</v>
      </c>
      <c r="M1682" t="s">
        <v>35</v>
      </c>
      <c r="N1682">
        <f t="shared" si="157"/>
        <v>0</v>
      </c>
      <c r="O1682" t="str">
        <f t="shared" si="156"/>
        <v>Low</v>
      </c>
      <c r="P1682" t="str">
        <f t="shared" si="158"/>
        <v>High</v>
      </c>
      <c r="Q1682" t="str">
        <f t="shared" si="159"/>
        <v>High Loan</v>
      </c>
      <c r="R1682">
        <f t="shared" si="160"/>
        <v>65000000</v>
      </c>
      <c r="S1682" t="str">
        <f t="shared" si="161"/>
        <v>Strong</v>
      </c>
    </row>
    <row r="1683" spans="1:19" x14ac:dyDescent="0.25">
      <c r="A1683">
        <v>1682</v>
      </c>
      <c r="B1683">
        <v>1</v>
      </c>
      <c r="C1683" t="s">
        <v>31</v>
      </c>
      <c r="D1683" t="s">
        <v>32</v>
      </c>
      <c r="E1683">
        <v>7800000</v>
      </c>
      <c r="F1683">
        <v>24900000</v>
      </c>
      <c r="G1683">
        <v>6</v>
      </c>
      <c r="H1683">
        <v>500</v>
      </c>
      <c r="I1683">
        <v>15300000</v>
      </c>
      <c r="J1683">
        <v>10000000</v>
      </c>
      <c r="K1683">
        <v>16500000</v>
      </c>
      <c r="L1683">
        <v>4500000</v>
      </c>
      <c r="M1683" t="s">
        <v>35</v>
      </c>
      <c r="N1683">
        <f t="shared" si="157"/>
        <v>0</v>
      </c>
      <c r="O1683" t="str">
        <f t="shared" si="156"/>
        <v>Low</v>
      </c>
      <c r="P1683" t="str">
        <f t="shared" si="158"/>
        <v>High</v>
      </c>
      <c r="Q1683" t="str">
        <f t="shared" si="159"/>
        <v>High Loan</v>
      </c>
      <c r="R1683">
        <f t="shared" si="160"/>
        <v>46300000</v>
      </c>
      <c r="S1683" t="str">
        <f t="shared" si="161"/>
        <v>Strong</v>
      </c>
    </row>
    <row r="1684" spans="1:19" x14ac:dyDescent="0.25">
      <c r="A1684">
        <v>1683</v>
      </c>
      <c r="B1684">
        <v>1</v>
      </c>
      <c r="C1684" t="s">
        <v>31</v>
      </c>
      <c r="D1684" t="s">
        <v>33</v>
      </c>
      <c r="E1684">
        <v>4000000</v>
      </c>
      <c r="F1684">
        <v>9400000</v>
      </c>
      <c r="G1684">
        <v>8</v>
      </c>
      <c r="H1684">
        <v>509</v>
      </c>
      <c r="I1684">
        <v>1000000</v>
      </c>
      <c r="J1684">
        <v>4100000</v>
      </c>
      <c r="K1684">
        <v>10800000</v>
      </c>
      <c r="L1684">
        <v>5500000</v>
      </c>
      <c r="M1684" t="s">
        <v>35</v>
      </c>
      <c r="N1684">
        <f t="shared" si="157"/>
        <v>0</v>
      </c>
      <c r="O1684" t="str">
        <f t="shared" si="156"/>
        <v>Low</v>
      </c>
      <c r="P1684" t="str">
        <f t="shared" si="158"/>
        <v>High</v>
      </c>
      <c r="Q1684" t="str">
        <f t="shared" si="159"/>
        <v>Low Loan</v>
      </c>
      <c r="R1684">
        <f t="shared" si="160"/>
        <v>21400000</v>
      </c>
      <c r="S1684" t="str">
        <f t="shared" si="161"/>
        <v>Strong</v>
      </c>
    </row>
    <row r="1685" spans="1:19" x14ac:dyDescent="0.25">
      <c r="A1685">
        <v>1684</v>
      </c>
      <c r="B1685">
        <v>2</v>
      </c>
      <c r="C1685" t="s">
        <v>31</v>
      </c>
      <c r="D1685" t="s">
        <v>33</v>
      </c>
      <c r="E1685">
        <v>6100000</v>
      </c>
      <c r="F1685">
        <v>19400000</v>
      </c>
      <c r="G1685">
        <v>8</v>
      </c>
      <c r="H1685">
        <v>379</v>
      </c>
      <c r="I1685">
        <v>5300000</v>
      </c>
      <c r="J1685">
        <v>10800000</v>
      </c>
      <c r="K1685">
        <v>14300000</v>
      </c>
      <c r="L1685">
        <v>4100000</v>
      </c>
      <c r="M1685" t="s">
        <v>35</v>
      </c>
      <c r="N1685">
        <f t="shared" si="157"/>
        <v>0</v>
      </c>
      <c r="O1685" t="str">
        <f t="shared" si="156"/>
        <v>Low</v>
      </c>
      <c r="P1685" t="str">
        <f t="shared" si="158"/>
        <v>High</v>
      </c>
      <c r="Q1685" t="str">
        <f t="shared" si="159"/>
        <v>Low Loan</v>
      </c>
      <c r="R1685">
        <f t="shared" si="160"/>
        <v>34500000</v>
      </c>
      <c r="S1685" t="str">
        <f t="shared" si="161"/>
        <v>Strong</v>
      </c>
    </row>
    <row r="1686" spans="1:19" x14ac:dyDescent="0.25">
      <c r="A1686">
        <v>1685</v>
      </c>
      <c r="B1686">
        <v>5</v>
      </c>
      <c r="C1686" t="s">
        <v>30</v>
      </c>
      <c r="D1686" t="s">
        <v>32</v>
      </c>
      <c r="E1686">
        <v>7100000</v>
      </c>
      <c r="F1686">
        <v>14500000</v>
      </c>
      <c r="G1686">
        <v>14</v>
      </c>
      <c r="H1686">
        <v>664</v>
      </c>
      <c r="I1686">
        <v>5300000</v>
      </c>
      <c r="J1686">
        <v>12900000</v>
      </c>
      <c r="K1686">
        <v>15700000</v>
      </c>
      <c r="L1686">
        <v>9200000</v>
      </c>
      <c r="M1686" t="s">
        <v>34</v>
      </c>
      <c r="N1686">
        <f t="shared" si="157"/>
        <v>1</v>
      </c>
      <c r="O1686" t="str">
        <f t="shared" si="156"/>
        <v>Medium</v>
      </c>
      <c r="P1686" t="str">
        <f t="shared" si="158"/>
        <v>High</v>
      </c>
      <c r="Q1686" t="str">
        <f t="shared" si="159"/>
        <v>Low Loan</v>
      </c>
      <c r="R1686">
        <f t="shared" si="160"/>
        <v>43100000</v>
      </c>
      <c r="S1686" t="str">
        <f t="shared" si="161"/>
        <v>Strong</v>
      </c>
    </row>
    <row r="1687" spans="1:19" x14ac:dyDescent="0.25">
      <c r="A1687">
        <v>1686</v>
      </c>
      <c r="B1687">
        <v>0</v>
      </c>
      <c r="C1687" t="s">
        <v>31</v>
      </c>
      <c r="D1687" t="s">
        <v>33</v>
      </c>
      <c r="E1687">
        <v>2500000</v>
      </c>
      <c r="F1687">
        <v>9900000</v>
      </c>
      <c r="G1687">
        <v>6</v>
      </c>
      <c r="H1687">
        <v>623</v>
      </c>
      <c r="I1687">
        <v>6000000</v>
      </c>
      <c r="J1687">
        <v>1800000</v>
      </c>
      <c r="K1687">
        <v>6200000</v>
      </c>
      <c r="L1687">
        <v>1800000</v>
      </c>
      <c r="M1687" t="s">
        <v>34</v>
      </c>
      <c r="N1687">
        <f t="shared" si="157"/>
        <v>1</v>
      </c>
      <c r="O1687" t="str">
        <f t="shared" si="156"/>
        <v>Low</v>
      </c>
      <c r="P1687" t="str">
        <f t="shared" si="158"/>
        <v>High</v>
      </c>
      <c r="Q1687" t="str">
        <f t="shared" si="159"/>
        <v>Low Loan</v>
      </c>
      <c r="R1687">
        <f t="shared" si="160"/>
        <v>15800000</v>
      </c>
      <c r="S1687" t="str">
        <f t="shared" si="161"/>
        <v>Strong</v>
      </c>
    </row>
    <row r="1688" spans="1:19" x14ac:dyDescent="0.25">
      <c r="A1688">
        <v>1687</v>
      </c>
      <c r="B1688">
        <v>5</v>
      </c>
      <c r="C1688" t="s">
        <v>30</v>
      </c>
      <c r="D1688" t="s">
        <v>32</v>
      </c>
      <c r="E1688">
        <v>3200000</v>
      </c>
      <c r="F1688">
        <v>8700000</v>
      </c>
      <c r="G1688">
        <v>16</v>
      </c>
      <c r="H1688">
        <v>558</v>
      </c>
      <c r="I1688">
        <v>2600000</v>
      </c>
      <c r="J1688">
        <v>2500000</v>
      </c>
      <c r="K1688">
        <v>9100000</v>
      </c>
      <c r="L1688">
        <v>1800000</v>
      </c>
      <c r="M1688" t="s">
        <v>34</v>
      </c>
      <c r="N1688">
        <f t="shared" si="157"/>
        <v>1</v>
      </c>
      <c r="O1688" t="str">
        <f t="shared" si="156"/>
        <v>Low</v>
      </c>
      <c r="P1688" t="str">
        <f t="shared" si="158"/>
        <v>High</v>
      </c>
      <c r="Q1688" t="str">
        <f t="shared" si="159"/>
        <v>Low Loan</v>
      </c>
      <c r="R1688">
        <f t="shared" si="160"/>
        <v>16000000</v>
      </c>
      <c r="S1688" t="str">
        <f t="shared" si="161"/>
        <v>Strong</v>
      </c>
    </row>
    <row r="1689" spans="1:19" x14ac:dyDescent="0.25">
      <c r="A1689">
        <v>1688</v>
      </c>
      <c r="B1689">
        <v>4</v>
      </c>
      <c r="C1689" t="s">
        <v>30</v>
      </c>
      <c r="D1689" t="s">
        <v>32</v>
      </c>
      <c r="E1689">
        <v>1700000</v>
      </c>
      <c r="F1689">
        <v>4300000</v>
      </c>
      <c r="G1689">
        <v>18</v>
      </c>
      <c r="H1689">
        <v>580</v>
      </c>
      <c r="I1689">
        <v>1500000</v>
      </c>
      <c r="J1689">
        <v>2400000</v>
      </c>
      <c r="K1689">
        <v>6600000</v>
      </c>
      <c r="L1689">
        <v>1700000</v>
      </c>
      <c r="M1689" t="s">
        <v>34</v>
      </c>
      <c r="N1689">
        <f t="shared" si="157"/>
        <v>1</v>
      </c>
      <c r="O1689" t="str">
        <f t="shared" si="156"/>
        <v>Low</v>
      </c>
      <c r="P1689" t="str">
        <f t="shared" si="158"/>
        <v>High</v>
      </c>
      <c r="Q1689" t="str">
        <f t="shared" si="159"/>
        <v>Low Loan</v>
      </c>
      <c r="R1689">
        <f t="shared" si="160"/>
        <v>12200000</v>
      </c>
      <c r="S1689" t="str">
        <f t="shared" si="161"/>
        <v>Strong</v>
      </c>
    </row>
    <row r="1690" spans="1:19" x14ac:dyDescent="0.25">
      <c r="A1690">
        <v>1689</v>
      </c>
      <c r="B1690">
        <v>4</v>
      </c>
      <c r="C1690" t="s">
        <v>30</v>
      </c>
      <c r="D1690" t="s">
        <v>32</v>
      </c>
      <c r="E1690">
        <v>6300000</v>
      </c>
      <c r="F1690">
        <v>17600000</v>
      </c>
      <c r="G1690">
        <v>6</v>
      </c>
      <c r="H1690">
        <v>612</v>
      </c>
      <c r="I1690">
        <v>16000000</v>
      </c>
      <c r="J1690">
        <v>3300000</v>
      </c>
      <c r="K1690">
        <v>23500000</v>
      </c>
      <c r="L1690">
        <v>3200000</v>
      </c>
      <c r="M1690" t="s">
        <v>34</v>
      </c>
      <c r="N1690">
        <f t="shared" si="157"/>
        <v>1</v>
      </c>
      <c r="O1690" t="str">
        <f t="shared" si="156"/>
        <v>Low</v>
      </c>
      <c r="P1690" t="str">
        <f t="shared" si="158"/>
        <v>High</v>
      </c>
      <c r="Q1690" t="str">
        <f t="shared" si="159"/>
        <v>Low Loan</v>
      </c>
      <c r="R1690">
        <f t="shared" si="160"/>
        <v>46000000</v>
      </c>
      <c r="S1690" t="str">
        <f t="shared" si="161"/>
        <v>Strong</v>
      </c>
    </row>
    <row r="1691" spans="1:19" x14ac:dyDescent="0.25">
      <c r="A1691">
        <v>1690</v>
      </c>
      <c r="B1691">
        <v>4</v>
      </c>
      <c r="C1691" t="s">
        <v>30</v>
      </c>
      <c r="D1691" t="s">
        <v>33</v>
      </c>
      <c r="E1691">
        <v>700000</v>
      </c>
      <c r="F1691">
        <v>2400000</v>
      </c>
      <c r="G1691">
        <v>14</v>
      </c>
      <c r="H1691">
        <v>705</v>
      </c>
      <c r="I1691">
        <v>0</v>
      </c>
      <c r="J1691">
        <v>100000</v>
      </c>
      <c r="K1691">
        <v>2000000</v>
      </c>
      <c r="L1691">
        <v>700000</v>
      </c>
      <c r="M1691" t="s">
        <v>34</v>
      </c>
      <c r="N1691">
        <f t="shared" si="157"/>
        <v>1</v>
      </c>
      <c r="O1691" t="str">
        <f t="shared" si="156"/>
        <v>Good</v>
      </c>
      <c r="P1691" t="str">
        <f t="shared" si="158"/>
        <v>High</v>
      </c>
      <c r="Q1691" t="str">
        <f t="shared" si="159"/>
        <v>Low Loan</v>
      </c>
      <c r="R1691">
        <f t="shared" si="160"/>
        <v>2800000</v>
      </c>
      <c r="S1691" t="str">
        <f t="shared" si="161"/>
        <v>Weak</v>
      </c>
    </row>
    <row r="1692" spans="1:19" x14ac:dyDescent="0.25">
      <c r="A1692">
        <v>1691</v>
      </c>
      <c r="B1692">
        <v>4</v>
      </c>
      <c r="C1692" t="s">
        <v>30</v>
      </c>
      <c r="D1692" t="s">
        <v>33</v>
      </c>
      <c r="E1692">
        <v>1100000</v>
      </c>
      <c r="F1692">
        <v>2700000</v>
      </c>
      <c r="G1692">
        <v>18</v>
      </c>
      <c r="H1692">
        <v>301</v>
      </c>
      <c r="I1692">
        <v>2800000</v>
      </c>
      <c r="J1692">
        <v>1600000</v>
      </c>
      <c r="K1692">
        <v>3300000</v>
      </c>
      <c r="L1692">
        <v>1500000</v>
      </c>
      <c r="M1692" t="s">
        <v>35</v>
      </c>
      <c r="N1692">
        <f t="shared" si="157"/>
        <v>0</v>
      </c>
      <c r="O1692" t="str">
        <f t="shared" si="156"/>
        <v>Low</v>
      </c>
      <c r="P1692" t="str">
        <f t="shared" si="158"/>
        <v>High</v>
      </c>
      <c r="Q1692" t="str">
        <f t="shared" si="159"/>
        <v>Low Loan</v>
      </c>
      <c r="R1692">
        <f t="shared" si="160"/>
        <v>9200000</v>
      </c>
      <c r="S1692" t="str">
        <f t="shared" si="161"/>
        <v>Moderate</v>
      </c>
    </row>
    <row r="1693" spans="1:19" x14ac:dyDescent="0.25">
      <c r="A1693">
        <v>1692</v>
      </c>
      <c r="B1693">
        <v>1</v>
      </c>
      <c r="C1693" t="s">
        <v>31</v>
      </c>
      <c r="D1693" t="s">
        <v>33</v>
      </c>
      <c r="E1693">
        <v>8900000</v>
      </c>
      <c r="F1693">
        <v>32000000</v>
      </c>
      <c r="G1693">
        <v>16</v>
      </c>
      <c r="H1693">
        <v>711</v>
      </c>
      <c r="I1693">
        <v>4300000</v>
      </c>
      <c r="J1693">
        <v>1200000</v>
      </c>
      <c r="K1693">
        <v>22100000</v>
      </c>
      <c r="L1693">
        <v>5200000</v>
      </c>
      <c r="M1693" t="s">
        <v>34</v>
      </c>
      <c r="N1693">
        <f t="shared" si="157"/>
        <v>1</v>
      </c>
      <c r="O1693" t="str">
        <f t="shared" si="156"/>
        <v>Good</v>
      </c>
      <c r="P1693" t="str">
        <f t="shared" si="158"/>
        <v>High</v>
      </c>
      <c r="Q1693" t="str">
        <f t="shared" si="159"/>
        <v>High Loan</v>
      </c>
      <c r="R1693">
        <f t="shared" si="160"/>
        <v>32800000</v>
      </c>
      <c r="S1693" t="str">
        <f t="shared" si="161"/>
        <v>Strong</v>
      </c>
    </row>
    <row r="1694" spans="1:19" x14ac:dyDescent="0.25">
      <c r="A1694">
        <v>1693</v>
      </c>
      <c r="B1694">
        <v>3</v>
      </c>
      <c r="C1694" t="s">
        <v>30</v>
      </c>
      <c r="D1694" t="s">
        <v>32</v>
      </c>
      <c r="E1694">
        <v>300000</v>
      </c>
      <c r="F1694">
        <v>700000</v>
      </c>
      <c r="G1694">
        <v>20</v>
      </c>
      <c r="H1694">
        <v>735</v>
      </c>
      <c r="I1694">
        <v>900000</v>
      </c>
      <c r="J1694">
        <v>200000</v>
      </c>
      <c r="K1694">
        <v>900000</v>
      </c>
      <c r="L1694">
        <v>400000</v>
      </c>
      <c r="M1694" t="s">
        <v>34</v>
      </c>
      <c r="N1694">
        <f t="shared" si="157"/>
        <v>1</v>
      </c>
      <c r="O1694" t="str">
        <f t="shared" si="156"/>
        <v>Good</v>
      </c>
      <c r="P1694" t="str">
        <f t="shared" si="158"/>
        <v>Middle</v>
      </c>
      <c r="Q1694" t="str">
        <f t="shared" si="159"/>
        <v>Low Loan</v>
      </c>
      <c r="R1694">
        <f t="shared" si="160"/>
        <v>2400000</v>
      </c>
      <c r="S1694" t="str">
        <f t="shared" si="161"/>
        <v>Weak</v>
      </c>
    </row>
    <row r="1695" spans="1:19" x14ac:dyDescent="0.25">
      <c r="A1695">
        <v>1694</v>
      </c>
      <c r="B1695">
        <v>1</v>
      </c>
      <c r="C1695" t="s">
        <v>31</v>
      </c>
      <c r="D1695" t="s">
        <v>32</v>
      </c>
      <c r="E1695">
        <v>2200000</v>
      </c>
      <c r="F1695">
        <v>5200000</v>
      </c>
      <c r="G1695">
        <v>14</v>
      </c>
      <c r="H1695">
        <v>682</v>
      </c>
      <c r="I1695">
        <v>2600000</v>
      </c>
      <c r="J1695">
        <v>600000</v>
      </c>
      <c r="K1695">
        <v>6100000</v>
      </c>
      <c r="L1695">
        <v>1800000</v>
      </c>
      <c r="M1695" t="s">
        <v>34</v>
      </c>
      <c r="N1695">
        <f t="shared" si="157"/>
        <v>1</v>
      </c>
      <c r="O1695" t="str">
        <f t="shared" si="156"/>
        <v>Medium</v>
      </c>
      <c r="P1695" t="str">
        <f t="shared" si="158"/>
        <v>High</v>
      </c>
      <c r="Q1695" t="str">
        <f t="shared" si="159"/>
        <v>Low Loan</v>
      </c>
      <c r="R1695">
        <f t="shared" si="160"/>
        <v>11100000</v>
      </c>
      <c r="S1695" t="str">
        <f t="shared" si="161"/>
        <v>Strong</v>
      </c>
    </row>
    <row r="1696" spans="1:19" x14ac:dyDescent="0.25">
      <c r="A1696">
        <v>1695</v>
      </c>
      <c r="B1696">
        <v>3</v>
      </c>
      <c r="C1696" t="s">
        <v>31</v>
      </c>
      <c r="D1696" t="s">
        <v>32</v>
      </c>
      <c r="E1696">
        <v>3400000</v>
      </c>
      <c r="F1696">
        <v>13500000</v>
      </c>
      <c r="G1696">
        <v>10</v>
      </c>
      <c r="H1696">
        <v>348</v>
      </c>
      <c r="I1696">
        <v>7900000</v>
      </c>
      <c r="J1696">
        <v>3700000</v>
      </c>
      <c r="K1696">
        <v>8200000</v>
      </c>
      <c r="L1696">
        <v>4700000</v>
      </c>
      <c r="M1696" t="s">
        <v>35</v>
      </c>
      <c r="N1696">
        <f t="shared" si="157"/>
        <v>0</v>
      </c>
      <c r="O1696" t="str">
        <f t="shared" si="156"/>
        <v>Low</v>
      </c>
      <c r="P1696" t="str">
        <f t="shared" si="158"/>
        <v>High</v>
      </c>
      <c r="Q1696" t="str">
        <f t="shared" si="159"/>
        <v>Low Loan</v>
      </c>
      <c r="R1696">
        <f t="shared" si="160"/>
        <v>24500000</v>
      </c>
      <c r="S1696" t="str">
        <f t="shared" si="161"/>
        <v>Strong</v>
      </c>
    </row>
    <row r="1697" spans="1:19" x14ac:dyDescent="0.25">
      <c r="A1697">
        <v>1696</v>
      </c>
      <c r="B1697">
        <v>0</v>
      </c>
      <c r="C1697" t="s">
        <v>30</v>
      </c>
      <c r="D1697" t="s">
        <v>33</v>
      </c>
      <c r="E1697">
        <v>7900000</v>
      </c>
      <c r="F1697">
        <v>23500000</v>
      </c>
      <c r="G1697">
        <v>20</v>
      </c>
      <c r="H1697">
        <v>750</v>
      </c>
      <c r="I1697">
        <v>16800000</v>
      </c>
      <c r="J1697">
        <v>15300000</v>
      </c>
      <c r="K1697">
        <v>21200000</v>
      </c>
      <c r="L1697">
        <v>4000000</v>
      </c>
      <c r="M1697" t="s">
        <v>34</v>
      </c>
      <c r="N1697">
        <f t="shared" si="157"/>
        <v>1</v>
      </c>
      <c r="O1697" t="str">
        <f t="shared" si="156"/>
        <v>Excellent</v>
      </c>
      <c r="P1697" t="str">
        <f t="shared" si="158"/>
        <v>High</v>
      </c>
      <c r="Q1697" t="str">
        <f t="shared" si="159"/>
        <v>High Loan</v>
      </c>
      <c r="R1697">
        <f t="shared" si="160"/>
        <v>57300000</v>
      </c>
      <c r="S1697" t="str">
        <f t="shared" si="161"/>
        <v>Strong</v>
      </c>
    </row>
    <row r="1698" spans="1:19" x14ac:dyDescent="0.25">
      <c r="A1698">
        <v>1697</v>
      </c>
      <c r="B1698">
        <v>3</v>
      </c>
      <c r="C1698" t="s">
        <v>31</v>
      </c>
      <c r="D1698" t="s">
        <v>33</v>
      </c>
      <c r="E1698">
        <v>5800000</v>
      </c>
      <c r="F1698">
        <v>18200000</v>
      </c>
      <c r="G1698">
        <v>16</v>
      </c>
      <c r="H1698">
        <v>835</v>
      </c>
      <c r="I1698">
        <v>1000000</v>
      </c>
      <c r="J1698">
        <v>6100000</v>
      </c>
      <c r="K1698">
        <v>14600000</v>
      </c>
      <c r="L1698">
        <v>7900000</v>
      </c>
      <c r="M1698" t="s">
        <v>34</v>
      </c>
      <c r="N1698">
        <f t="shared" si="157"/>
        <v>1</v>
      </c>
      <c r="O1698" t="str">
        <f t="shared" si="156"/>
        <v>Excellent</v>
      </c>
      <c r="P1698" t="str">
        <f t="shared" si="158"/>
        <v>High</v>
      </c>
      <c r="Q1698" t="str">
        <f t="shared" si="159"/>
        <v>Low Loan</v>
      </c>
      <c r="R1698">
        <f t="shared" si="160"/>
        <v>29600000</v>
      </c>
      <c r="S1698" t="str">
        <f t="shared" si="161"/>
        <v>Strong</v>
      </c>
    </row>
    <row r="1699" spans="1:19" x14ac:dyDescent="0.25">
      <c r="A1699">
        <v>1698</v>
      </c>
      <c r="B1699">
        <v>0</v>
      </c>
      <c r="C1699" t="s">
        <v>30</v>
      </c>
      <c r="D1699" t="s">
        <v>33</v>
      </c>
      <c r="E1699">
        <v>9400000</v>
      </c>
      <c r="F1699">
        <v>20000000</v>
      </c>
      <c r="G1699">
        <v>6</v>
      </c>
      <c r="H1699">
        <v>389</v>
      </c>
      <c r="I1699">
        <v>16000000</v>
      </c>
      <c r="J1699">
        <v>7100000</v>
      </c>
      <c r="K1699">
        <v>19400000</v>
      </c>
      <c r="L1699">
        <v>10200000</v>
      </c>
      <c r="M1699" t="s">
        <v>35</v>
      </c>
      <c r="N1699">
        <f t="shared" si="157"/>
        <v>0</v>
      </c>
      <c r="O1699" t="str">
        <f t="shared" si="156"/>
        <v>Low</v>
      </c>
      <c r="P1699" t="str">
        <f t="shared" si="158"/>
        <v>High</v>
      </c>
      <c r="Q1699" t="str">
        <f t="shared" si="159"/>
        <v>High Loan</v>
      </c>
      <c r="R1699">
        <f t="shared" si="160"/>
        <v>52700000</v>
      </c>
      <c r="S1699" t="str">
        <f t="shared" si="161"/>
        <v>Strong</v>
      </c>
    </row>
    <row r="1700" spans="1:19" x14ac:dyDescent="0.25">
      <c r="A1700">
        <v>1699</v>
      </c>
      <c r="B1700">
        <v>2</v>
      </c>
      <c r="C1700" t="s">
        <v>30</v>
      </c>
      <c r="D1700" t="s">
        <v>32</v>
      </c>
      <c r="E1700">
        <v>4800000</v>
      </c>
      <c r="F1700">
        <v>18900000</v>
      </c>
      <c r="G1700">
        <v>4</v>
      </c>
      <c r="H1700">
        <v>866</v>
      </c>
      <c r="I1700">
        <v>10200000</v>
      </c>
      <c r="J1700">
        <v>6000000</v>
      </c>
      <c r="K1700">
        <v>13900000</v>
      </c>
      <c r="L1700">
        <v>5900000</v>
      </c>
      <c r="M1700" t="s">
        <v>34</v>
      </c>
      <c r="N1700">
        <f t="shared" si="157"/>
        <v>1</v>
      </c>
      <c r="O1700" t="str">
        <f t="shared" si="156"/>
        <v>Excellent</v>
      </c>
      <c r="P1700" t="str">
        <f t="shared" si="158"/>
        <v>High</v>
      </c>
      <c r="Q1700" t="str">
        <f t="shared" si="159"/>
        <v>Low Loan</v>
      </c>
      <c r="R1700">
        <f t="shared" si="160"/>
        <v>36000000</v>
      </c>
      <c r="S1700" t="str">
        <f t="shared" si="161"/>
        <v>Strong</v>
      </c>
    </row>
    <row r="1701" spans="1:19" x14ac:dyDescent="0.25">
      <c r="A1701">
        <v>1700</v>
      </c>
      <c r="B1701">
        <v>3</v>
      </c>
      <c r="C1701" t="s">
        <v>31</v>
      </c>
      <c r="D1701" t="s">
        <v>32</v>
      </c>
      <c r="E1701">
        <v>7600000</v>
      </c>
      <c r="F1701">
        <v>26600000</v>
      </c>
      <c r="G1701">
        <v>4</v>
      </c>
      <c r="H1701">
        <v>689</v>
      </c>
      <c r="I1701">
        <v>5300000</v>
      </c>
      <c r="J1701">
        <v>600000</v>
      </c>
      <c r="K1701">
        <v>24300000</v>
      </c>
      <c r="L1701">
        <v>8600000</v>
      </c>
      <c r="M1701" t="s">
        <v>34</v>
      </c>
      <c r="N1701">
        <f t="shared" si="157"/>
        <v>1</v>
      </c>
      <c r="O1701" t="str">
        <f t="shared" si="156"/>
        <v>Medium</v>
      </c>
      <c r="P1701" t="str">
        <f t="shared" si="158"/>
        <v>High</v>
      </c>
      <c r="Q1701" t="str">
        <f t="shared" si="159"/>
        <v>High Loan</v>
      </c>
      <c r="R1701">
        <f t="shared" si="160"/>
        <v>38800000</v>
      </c>
      <c r="S1701" t="str">
        <f t="shared" si="161"/>
        <v>Strong</v>
      </c>
    </row>
    <row r="1702" spans="1:19" x14ac:dyDescent="0.25">
      <c r="A1702">
        <v>1701</v>
      </c>
      <c r="B1702">
        <v>0</v>
      </c>
      <c r="C1702" t="s">
        <v>31</v>
      </c>
      <c r="D1702" t="s">
        <v>32</v>
      </c>
      <c r="E1702">
        <v>5900000</v>
      </c>
      <c r="F1702">
        <v>17600000</v>
      </c>
      <c r="G1702">
        <v>16</v>
      </c>
      <c r="H1702">
        <v>645</v>
      </c>
      <c r="I1702">
        <v>13000000</v>
      </c>
      <c r="J1702">
        <v>3100000</v>
      </c>
      <c r="K1702">
        <v>23400000</v>
      </c>
      <c r="L1702">
        <v>8600000</v>
      </c>
      <c r="M1702" t="s">
        <v>34</v>
      </c>
      <c r="N1702">
        <f t="shared" si="157"/>
        <v>1</v>
      </c>
      <c r="O1702" t="str">
        <f t="shared" si="156"/>
        <v>Low</v>
      </c>
      <c r="P1702" t="str">
        <f t="shared" si="158"/>
        <v>High</v>
      </c>
      <c r="Q1702" t="str">
        <f t="shared" si="159"/>
        <v>Low Loan</v>
      </c>
      <c r="R1702">
        <f t="shared" si="160"/>
        <v>48100000</v>
      </c>
      <c r="S1702" t="str">
        <f t="shared" si="161"/>
        <v>Strong</v>
      </c>
    </row>
    <row r="1703" spans="1:19" x14ac:dyDescent="0.25">
      <c r="A1703">
        <v>1702</v>
      </c>
      <c r="B1703">
        <v>1</v>
      </c>
      <c r="C1703" t="s">
        <v>30</v>
      </c>
      <c r="D1703" t="s">
        <v>33</v>
      </c>
      <c r="E1703">
        <v>4300000</v>
      </c>
      <c r="F1703">
        <v>10100000</v>
      </c>
      <c r="G1703">
        <v>2</v>
      </c>
      <c r="H1703">
        <v>797</v>
      </c>
      <c r="I1703">
        <v>4400000</v>
      </c>
      <c r="J1703">
        <v>4500000</v>
      </c>
      <c r="K1703">
        <v>16300000</v>
      </c>
      <c r="L1703">
        <v>4700000</v>
      </c>
      <c r="M1703" t="s">
        <v>34</v>
      </c>
      <c r="N1703">
        <f t="shared" si="157"/>
        <v>1</v>
      </c>
      <c r="O1703" t="str">
        <f t="shared" si="156"/>
        <v>Excellent</v>
      </c>
      <c r="P1703" t="str">
        <f t="shared" si="158"/>
        <v>High</v>
      </c>
      <c r="Q1703" t="str">
        <f t="shared" si="159"/>
        <v>Low Loan</v>
      </c>
      <c r="R1703">
        <f t="shared" si="160"/>
        <v>29900000</v>
      </c>
      <c r="S1703" t="str">
        <f t="shared" si="161"/>
        <v>Strong</v>
      </c>
    </row>
    <row r="1704" spans="1:19" x14ac:dyDescent="0.25">
      <c r="A1704">
        <v>1703</v>
      </c>
      <c r="B1704">
        <v>5</v>
      </c>
      <c r="C1704" t="s">
        <v>30</v>
      </c>
      <c r="D1704" t="s">
        <v>32</v>
      </c>
      <c r="E1704">
        <v>6100000</v>
      </c>
      <c r="F1704">
        <v>17800000</v>
      </c>
      <c r="G1704">
        <v>6</v>
      </c>
      <c r="H1704">
        <v>849</v>
      </c>
      <c r="I1704">
        <v>2900000</v>
      </c>
      <c r="J1704">
        <v>10900000</v>
      </c>
      <c r="K1704">
        <v>16100000</v>
      </c>
      <c r="L1704">
        <v>7800000</v>
      </c>
      <c r="M1704" t="s">
        <v>34</v>
      </c>
      <c r="N1704">
        <f t="shared" si="157"/>
        <v>1</v>
      </c>
      <c r="O1704" t="str">
        <f t="shared" si="156"/>
        <v>Excellent</v>
      </c>
      <c r="P1704" t="str">
        <f t="shared" si="158"/>
        <v>High</v>
      </c>
      <c r="Q1704" t="str">
        <f t="shared" si="159"/>
        <v>Low Loan</v>
      </c>
      <c r="R1704">
        <f t="shared" si="160"/>
        <v>37700000</v>
      </c>
      <c r="S1704" t="str">
        <f t="shared" si="161"/>
        <v>Strong</v>
      </c>
    </row>
    <row r="1705" spans="1:19" x14ac:dyDescent="0.25">
      <c r="A1705">
        <v>1704</v>
      </c>
      <c r="B1705">
        <v>5</v>
      </c>
      <c r="C1705" t="s">
        <v>30</v>
      </c>
      <c r="D1705" t="s">
        <v>32</v>
      </c>
      <c r="E1705">
        <v>5400000</v>
      </c>
      <c r="F1705">
        <v>19700000</v>
      </c>
      <c r="G1705">
        <v>20</v>
      </c>
      <c r="H1705">
        <v>423</v>
      </c>
      <c r="I1705">
        <v>6500000</v>
      </c>
      <c r="J1705">
        <v>10000000</v>
      </c>
      <c r="K1705">
        <v>15700000</v>
      </c>
      <c r="L1705">
        <v>7300000</v>
      </c>
      <c r="M1705" t="s">
        <v>35</v>
      </c>
      <c r="N1705">
        <f t="shared" si="157"/>
        <v>0</v>
      </c>
      <c r="O1705" t="str">
        <f t="shared" si="156"/>
        <v>Low</v>
      </c>
      <c r="P1705" t="str">
        <f t="shared" si="158"/>
        <v>High</v>
      </c>
      <c r="Q1705" t="str">
        <f t="shared" si="159"/>
        <v>Low Loan</v>
      </c>
      <c r="R1705">
        <f t="shared" si="160"/>
        <v>39500000</v>
      </c>
      <c r="S1705" t="str">
        <f t="shared" si="161"/>
        <v>Strong</v>
      </c>
    </row>
    <row r="1706" spans="1:19" x14ac:dyDescent="0.25">
      <c r="A1706">
        <v>1705</v>
      </c>
      <c r="B1706">
        <v>1</v>
      </c>
      <c r="C1706" t="s">
        <v>31</v>
      </c>
      <c r="D1706" t="s">
        <v>33</v>
      </c>
      <c r="E1706">
        <v>5200000</v>
      </c>
      <c r="F1706">
        <v>11200000</v>
      </c>
      <c r="G1706">
        <v>2</v>
      </c>
      <c r="H1706">
        <v>370</v>
      </c>
      <c r="I1706">
        <v>9900000</v>
      </c>
      <c r="J1706">
        <v>10200000</v>
      </c>
      <c r="K1706">
        <v>16700000</v>
      </c>
      <c r="L1706">
        <v>6400000</v>
      </c>
      <c r="M1706" t="s">
        <v>35</v>
      </c>
      <c r="N1706">
        <f t="shared" si="157"/>
        <v>0</v>
      </c>
      <c r="O1706" t="str">
        <f t="shared" si="156"/>
        <v>Low</v>
      </c>
      <c r="P1706" t="str">
        <f t="shared" si="158"/>
        <v>High</v>
      </c>
      <c r="Q1706" t="str">
        <f t="shared" si="159"/>
        <v>Low Loan</v>
      </c>
      <c r="R1706">
        <f t="shared" si="160"/>
        <v>43200000</v>
      </c>
      <c r="S1706" t="str">
        <f t="shared" si="161"/>
        <v>Strong</v>
      </c>
    </row>
    <row r="1707" spans="1:19" x14ac:dyDescent="0.25">
      <c r="A1707">
        <v>1706</v>
      </c>
      <c r="B1707">
        <v>5</v>
      </c>
      <c r="C1707" t="s">
        <v>31</v>
      </c>
      <c r="D1707" t="s">
        <v>32</v>
      </c>
      <c r="E1707">
        <v>8500000</v>
      </c>
      <c r="F1707">
        <v>31300000</v>
      </c>
      <c r="G1707">
        <v>12</v>
      </c>
      <c r="H1707">
        <v>378</v>
      </c>
      <c r="I1707">
        <v>21400000</v>
      </c>
      <c r="J1707">
        <v>13100000</v>
      </c>
      <c r="K1707">
        <v>30400000</v>
      </c>
      <c r="L1707">
        <v>8800000</v>
      </c>
      <c r="M1707" t="s">
        <v>35</v>
      </c>
      <c r="N1707">
        <f t="shared" si="157"/>
        <v>0</v>
      </c>
      <c r="O1707" t="str">
        <f t="shared" si="156"/>
        <v>Low</v>
      </c>
      <c r="P1707" t="str">
        <f t="shared" si="158"/>
        <v>High</v>
      </c>
      <c r="Q1707" t="str">
        <f t="shared" si="159"/>
        <v>High Loan</v>
      </c>
      <c r="R1707">
        <f t="shared" si="160"/>
        <v>73700000</v>
      </c>
      <c r="S1707" t="str">
        <f t="shared" si="161"/>
        <v>Strong</v>
      </c>
    </row>
    <row r="1708" spans="1:19" x14ac:dyDescent="0.25">
      <c r="A1708">
        <v>1707</v>
      </c>
      <c r="B1708">
        <v>4</v>
      </c>
      <c r="C1708" t="s">
        <v>31</v>
      </c>
      <c r="D1708" t="s">
        <v>32</v>
      </c>
      <c r="E1708">
        <v>900000</v>
      </c>
      <c r="F1708">
        <v>1900000</v>
      </c>
      <c r="G1708">
        <v>20</v>
      </c>
      <c r="H1708">
        <v>417</v>
      </c>
      <c r="I1708">
        <v>1000000</v>
      </c>
      <c r="J1708">
        <v>800000</v>
      </c>
      <c r="K1708">
        <v>2800000</v>
      </c>
      <c r="L1708">
        <v>900000</v>
      </c>
      <c r="M1708" t="s">
        <v>35</v>
      </c>
      <c r="N1708">
        <f t="shared" si="157"/>
        <v>0</v>
      </c>
      <c r="O1708" t="str">
        <f t="shared" si="156"/>
        <v>Low</v>
      </c>
      <c r="P1708" t="str">
        <f t="shared" si="158"/>
        <v>High</v>
      </c>
      <c r="Q1708" t="str">
        <f t="shared" si="159"/>
        <v>Low Loan</v>
      </c>
      <c r="R1708">
        <f t="shared" si="160"/>
        <v>5500000</v>
      </c>
      <c r="S1708" t="str">
        <f t="shared" si="161"/>
        <v>Moderate</v>
      </c>
    </row>
    <row r="1709" spans="1:19" x14ac:dyDescent="0.25">
      <c r="A1709">
        <v>1708</v>
      </c>
      <c r="B1709">
        <v>1</v>
      </c>
      <c r="C1709" t="s">
        <v>31</v>
      </c>
      <c r="D1709" t="s">
        <v>32</v>
      </c>
      <c r="E1709">
        <v>1400000</v>
      </c>
      <c r="F1709">
        <v>4100000</v>
      </c>
      <c r="G1709">
        <v>20</v>
      </c>
      <c r="H1709">
        <v>530</v>
      </c>
      <c r="I1709">
        <v>1200000</v>
      </c>
      <c r="J1709">
        <v>1100000</v>
      </c>
      <c r="K1709">
        <v>3000000</v>
      </c>
      <c r="L1709">
        <v>1900000</v>
      </c>
      <c r="M1709" t="s">
        <v>35</v>
      </c>
      <c r="N1709">
        <f t="shared" si="157"/>
        <v>0</v>
      </c>
      <c r="O1709" t="str">
        <f t="shared" si="156"/>
        <v>Low</v>
      </c>
      <c r="P1709" t="str">
        <f t="shared" si="158"/>
        <v>High</v>
      </c>
      <c r="Q1709" t="str">
        <f t="shared" si="159"/>
        <v>Low Loan</v>
      </c>
      <c r="R1709">
        <f t="shared" si="160"/>
        <v>7200000</v>
      </c>
      <c r="S1709" t="str">
        <f t="shared" si="161"/>
        <v>Moderate</v>
      </c>
    </row>
    <row r="1710" spans="1:19" x14ac:dyDescent="0.25">
      <c r="A1710">
        <v>1709</v>
      </c>
      <c r="B1710">
        <v>1</v>
      </c>
      <c r="C1710" t="s">
        <v>31</v>
      </c>
      <c r="D1710" t="s">
        <v>33</v>
      </c>
      <c r="E1710">
        <v>2400000</v>
      </c>
      <c r="F1710">
        <v>9300000</v>
      </c>
      <c r="G1710">
        <v>20</v>
      </c>
      <c r="H1710">
        <v>543</v>
      </c>
      <c r="I1710">
        <v>700000</v>
      </c>
      <c r="J1710">
        <v>800000</v>
      </c>
      <c r="K1710">
        <v>5000000</v>
      </c>
      <c r="L1710">
        <v>3400000</v>
      </c>
      <c r="M1710" t="s">
        <v>35</v>
      </c>
      <c r="N1710">
        <f t="shared" si="157"/>
        <v>0</v>
      </c>
      <c r="O1710" t="str">
        <f t="shared" si="156"/>
        <v>Low</v>
      </c>
      <c r="P1710" t="str">
        <f t="shared" si="158"/>
        <v>High</v>
      </c>
      <c r="Q1710" t="str">
        <f t="shared" si="159"/>
        <v>Low Loan</v>
      </c>
      <c r="R1710">
        <f t="shared" si="160"/>
        <v>9900000</v>
      </c>
      <c r="S1710" t="str">
        <f t="shared" si="161"/>
        <v>Moderate</v>
      </c>
    </row>
    <row r="1711" spans="1:19" x14ac:dyDescent="0.25">
      <c r="A1711">
        <v>1710</v>
      </c>
      <c r="B1711">
        <v>4</v>
      </c>
      <c r="C1711" t="s">
        <v>30</v>
      </c>
      <c r="D1711" t="s">
        <v>32</v>
      </c>
      <c r="E1711">
        <v>6300000</v>
      </c>
      <c r="F1711">
        <v>15000000</v>
      </c>
      <c r="G1711">
        <v>18</v>
      </c>
      <c r="H1711">
        <v>750</v>
      </c>
      <c r="I1711">
        <v>800000</v>
      </c>
      <c r="J1711">
        <v>6500000</v>
      </c>
      <c r="K1711">
        <v>15400000</v>
      </c>
      <c r="L1711">
        <v>7700000</v>
      </c>
      <c r="M1711" t="s">
        <v>34</v>
      </c>
      <c r="N1711">
        <f t="shared" si="157"/>
        <v>1</v>
      </c>
      <c r="O1711" t="str">
        <f t="shared" si="156"/>
        <v>Excellent</v>
      </c>
      <c r="P1711" t="str">
        <f t="shared" si="158"/>
        <v>High</v>
      </c>
      <c r="Q1711" t="str">
        <f t="shared" si="159"/>
        <v>Low Loan</v>
      </c>
      <c r="R1711">
        <f t="shared" si="160"/>
        <v>30400000</v>
      </c>
      <c r="S1711" t="str">
        <f t="shared" si="161"/>
        <v>Strong</v>
      </c>
    </row>
    <row r="1712" spans="1:19" x14ac:dyDescent="0.25">
      <c r="A1712">
        <v>1711</v>
      </c>
      <c r="B1712">
        <v>1</v>
      </c>
      <c r="C1712" t="s">
        <v>30</v>
      </c>
      <c r="D1712" t="s">
        <v>32</v>
      </c>
      <c r="E1712">
        <v>3100000</v>
      </c>
      <c r="F1712">
        <v>7600000</v>
      </c>
      <c r="G1712">
        <v>20</v>
      </c>
      <c r="H1712">
        <v>346</v>
      </c>
      <c r="I1712">
        <v>700000</v>
      </c>
      <c r="J1712">
        <v>4600000</v>
      </c>
      <c r="K1712">
        <v>8100000</v>
      </c>
      <c r="L1712">
        <v>4400000</v>
      </c>
      <c r="M1712" t="s">
        <v>35</v>
      </c>
      <c r="N1712">
        <f t="shared" si="157"/>
        <v>0</v>
      </c>
      <c r="O1712" t="str">
        <f t="shared" si="156"/>
        <v>Low</v>
      </c>
      <c r="P1712" t="str">
        <f t="shared" si="158"/>
        <v>High</v>
      </c>
      <c r="Q1712" t="str">
        <f t="shared" si="159"/>
        <v>Low Loan</v>
      </c>
      <c r="R1712">
        <f t="shared" si="160"/>
        <v>17800000</v>
      </c>
      <c r="S1712" t="str">
        <f t="shared" si="161"/>
        <v>Strong</v>
      </c>
    </row>
    <row r="1713" spans="1:19" x14ac:dyDescent="0.25">
      <c r="A1713">
        <v>1712</v>
      </c>
      <c r="B1713">
        <v>4</v>
      </c>
      <c r="C1713" t="s">
        <v>30</v>
      </c>
      <c r="D1713" t="s">
        <v>33</v>
      </c>
      <c r="E1713">
        <v>6900000</v>
      </c>
      <c r="F1713">
        <v>19000000</v>
      </c>
      <c r="G1713">
        <v>14</v>
      </c>
      <c r="H1713">
        <v>330</v>
      </c>
      <c r="I1713">
        <v>9300000</v>
      </c>
      <c r="J1713">
        <v>7100000</v>
      </c>
      <c r="K1713">
        <v>18800000</v>
      </c>
      <c r="L1713">
        <v>8400000</v>
      </c>
      <c r="M1713" t="s">
        <v>35</v>
      </c>
      <c r="N1713">
        <f t="shared" si="157"/>
        <v>0</v>
      </c>
      <c r="O1713" t="str">
        <f t="shared" si="156"/>
        <v>Low</v>
      </c>
      <c r="P1713" t="str">
        <f t="shared" si="158"/>
        <v>High</v>
      </c>
      <c r="Q1713" t="str">
        <f t="shared" si="159"/>
        <v>Low Loan</v>
      </c>
      <c r="R1713">
        <f t="shared" si="160"/>
        <v>43600000</v>
      </c>
      <c r="S1713" t="str">
        <f t="shared" si="161"/>
        <v>Strong</v>
      </c>
    </row>
    <row r="1714" spans="1:19" x14ac:dyDescent="0.25">
      <c r="A1714">
        <v>1713</v>
      </c>
      <c r="B1714">
        <v>2</v>
      </c>
      <c r="C1714" t="s">
        <v>31</v>
      </c>
      <c r="D1714" t="s">
        <v>33</v>
      </c>
      <c r="E1714">
        <v>3000000</v>
      </c>
      <c r="F1714">
        <v>7400000</v>
      </c>
      <c r="G1714">
        <v>10</v>
      </c>
      <c r="H1714">
        <v>712</v>
      </c>
      <c r="I1714">
        <v>5100000</v>
      </c>
      <c r="J1714">
        <v>1000000</v>
      </c>
      <c r="K1714">
        <v>11600000</v>
      </c>
      <c r="L1714">
        <v>3800000</v>
      </c>
      <c r="M1714" t="s">
        <v>34</v>
      </c>
      <c r="N1714">
        <f t="shared" si="157"/>
        <v>1</v>
      </c>
      <c r="O1714" t="str">
        <f t="shared" si="156"/>
        <v>Good</v>
      </c>
      <c r="P1714" t="str">
        <f t="shared" si="158"/>
        <v>High</v>
      </c>
      <c r="Q1714" t="str">
        <f t="shared" si="159"/>
        <v>Low Loan</v>
      </c>
      <c r="R1714">
        <f t="shared" si="160"/>
        <v>21500000</v>
      </c>
      <c r="S1714" t="str">
        <f t="shared" si="161"/>
        <v>Strong</v>
      </c>
    </row>
    <row r="1715" spans="1:19" x14ac:dyDescent="0.25">
      <c r="A1715">
        <v>1714</v>
      </c>
      <c r="B1715">
        <v>0</v>
      </c>
      <c r="C1715" t="s">
        <v>31</v>
      </c>
      <c r="D1715" t="s">
        <v>32</v>
      </c>
      <c r="E1715">
        <v>3100000</v>
      </c>
      <c r="F1715">
        <v>10100000</v>
      </c>
      <c r="G1715">
        <v>14</v>
      </c>
      <c r="H1715">
        <v>376</v>
      </c>
      <c r="I1715">
        <v>6400000</v>
      </c>
      <c r="J1715">
        <v>2600000</v>
      </c>
      <c r="K1715">
        <v>11600000</v>
      </c>
      <c r="L1715">
        <v>4300000</v>
      </c>
      <c r="M1715" t="s">
        <v>35</v>
      </c>
      <c r="N1715">
        <f t="shared" si="157"/>
        <v>0</v>
      </c>
      <c r="O1715" t="str">
        <f t="shared" si="156"/>
        <v>Low</v>
      </c>
      <c r="P1715" t="str">
        <f t="shared" si="158"/>
        <v>High</v>
      </c>
      <c r="Q1715" t="str">
        <f t="shared" si="159"/>
        <v>Low Loan</v>
      </c>
      <c r="R1715">
        <f t="shared" si="160"/>
        <v>24900000</v>
      </c>
      <c r="S1715" t="str">
        <f t="shared" si="161"/>
        <v>Strong</v>
      </c>
    </row>
    <row r="1716" spans="1:19" x14ac:dyDescent="0.25">
      <c r="A1716">
        <v>1715</v>
      </c>
      <c r="B1716">
        <v>4</v>
      </c>
      <c r="C1716" t="s">
        <v>31</v>
      </c>
      <c r="D1716" t="s">
        <v>32</v>
      </c>
      <c r="E1716">
        <v>600000</v>
      </c>
      <c r="F1716">
        <v>1200000</v>
      </c>
      <c r="G1716">
        <v>14</v>
      </c>
      <c r="H1716">
        <v>338</v>
      </c>
      <c r="I1716">
        <v>500000</v>
      </c>
      <c r="J1716">
        <v>500000</v>
      </c>
      <c r="K1716">
        <v>2300000</v>
      </c>
      <c r="L1716">
        <v>500000</v>
      </c>
      <c r="M1716" t="s">
        <v>35</v>
      </c>
      <c r="N1716">
        <f t="shared" si="157"/>
        <v>0</v>
      </c>
      <c r="O1716" t="str">
        <f t="shared" si="156"/>
        <v>Low</v>
      </c>
      <c r="P1716" t="str">
        <f t="shared" si="158"/>
        <v>Middle</v>
      </c>
      <c r="Q1716" t="str">
        <f t="shared" si="159"/>
        <v>Low Loan</v>
      </c>
      <c r="R1716">
        <f t="shared" si="160"/>
        <v>3800000</v>
      </c>
      <c r="S1716" t="str">
        <f t="shared" si="161"/>
        <v>Weak</v>
      </c>
    </row>
    <row r="1717" spans="1:19" x14ac:dyDescent="0.25">
      <c r="A1717">
        <v>1716</v>
      </c>
      <c r="B1717">
        <v>4</v>
      </c>
      <c r="C1717" t="s">
        <v>31</v>
      </c>
      <c r="D1717" t="s">
        <v>33</v>
      </c>
      <c r="E1717">
        <v>4700000</v>
      </c>
      <c r="F1717">
        <v>13700000</v>
      </c>
      <c r="G1717">
        <v>14</v>
      </c>
      <c r="H1717">
        <v>600</v>
      </c>
      <c r="I1717">
        <v>12100000</v>
      </c>
      <c r="J1717">
        <v>8400000</v>
      </c>
      <c r="K1717">
        <v>17700000</v>
      </c>
      <c r="L1717">
        <v>5000000</v>
      </c>
      <c r="M1717" t="s">
        <v>34</v>
      </c>
      <c r="N1717">
        <f t="shared" si="157"/>
        <v>1</v>
      </c>
      <c r="O1717" t="str">
        <f t="shared" si="156"/>
        <v>Low</v>
      </c>
      <c r="P1717" t="str">
        <f t="shared" si="158"/>
        <v>High</v>
      </c>
      <c r="Q1717" t="str">
        <f t="shared" si="159"/>
        <v>Low Loan</v>
      </c>
      <c r="R1717">
        <f t="shared" si="160"/>
        <v>43200000</v>
      </c>
      <c r="S1717" t="str">
        <f t="shared" si="161"/>
        <v>Strong</v>
      </c>
    </row>
    <row r="1718" spans="1:19" x14ac:dyDescent="0.25">
      <c r="A1718">
        <v>1717</v>
      </c>
      <c r="B1718">
        <v>1</v>
      </c>
      <c r="C1718" t="s">
        <v>30</v>
      </c>
      <c r="D1718" t="s">
        <v>32</v>
      </c>
      <c r="E1718">
        <v>2500000</v>
      </c>
      <c r="F1718">
        <v>6900000</v>
      </c>
      <c r="G1718">
        <v>20</v>
      </c>
      <c r="H1718">
        <v>495</v>
      </c>
      <c r="I1718">
        <v>4800000</v>
      </c>
      <c r="J1718">
        <v>3300000</v>
      </c>
      <c r="K1718">
        <v>5700000</v>
      </c>
      <c r="L1718">
        <v>3700000</v>
      </c>
      <c r="M1718" t="s">
        <v>35</v>
      </c>
      <c r="N1718">
        <f t="shared" si="157"/>
        <v>0</v>
      </c>
      <c r="O1718" t="str">
        <f t="shared" si="156"/>
        <v>Low</v>
      </c>
      <c r="P1718" t="str">
        <f t="shared" si="158"/>
        <v>High</v>
      </c>
      <c r="Q1718" t="str">
        <f t="shared" si="159"/>
        <v>Low Loan</v>
      </c>
      <c r="R1718">
        <f t="shared" si="160"/>
        <v>17500000</v>
      </c>
      <c r="S1718" t="str">
        <f t="shared" si="161"/>
        <v>Strong</v>
      </c>
    </row>
    <row r="1719" spans="1:19" x14ac:dyDescent="0.25">
      <c r="A1719">
        <v>1718</v>
      </c>
      <c r="B1719">
        <v>0</v>
      </c>
      <c r="C1719" t="s">
        <v>30</v>
      </c>
      <c r="D1719" t="s">
        <v>32</v>
      </c>
      <c r="E1719">
        <v>9700000</v>
      </c>
      <c r="F1719">
        <v>30400000</v>
      </c>
      <c r="G1719">
        <v>4</v>
      </c>
      <c r="H1719">
        <v>300</v>
      </c>
      <c r="I1719">
        <v>17100000</v>
      </c>
      <c r="J1719">
        <v>16600000</v>
      </c>
      <c r="K1719">
        <v>38100000</v>
      </c>
      <c r="L1719">
        <v>9200000</v>
      </c>
      <c r="M1719" t="s">
        <v>34</v>
      </c>
      <c r="N1719">
        <f t="shared" si="157"/>
        <v>1</v>
      </c>
      <c r="O1719" t="str">
        <f t="shared" si="156"/>
        <v>Low</v>
      </c>
      <c r="P1719" t="str">
        <f t="shared" si="158"/>
        <v>High</v>
      </c>
      <c r="Q1719" t="str">
        <f t="shared" si="159"/>
        <v>High Loan</v>
      </c>
      <c r="R1719">
        <f t="shared" si="160"/>
        <v>81000000</v>
      </c>
      <c r="S1719" t="str">
        <f t="shared" si="161"/>
        <v>Strong</v>
      </c>
    </row>
    <row r="1720" spans="1:19" x14ac:dyDescent="0.25">
      <c r="A1720">
        <v>1719</v>
      </c>
      <c r="B1720">
        <v>4</v>
      </c>
      <c r="C1720" t="s">
        <v>31</v>
      </c>
      <c r="D1720" t="s">
        <v>33</v>
      </c>
      <c r="E1720">
        <v>7600000</v>
      </c>
      <c r="F1720">
        <v>20000000</v>
      </c>
      <c r="G1720">
        <v>18</v>
      </c>
      <c r="H1720">
        <v>691</v>
      </c>
      <c r="I1720">
        <v>5000000</v>
      </c>
      <c r="J1720">
        <v>8700000</v>
      </c>
      <c r="K1720">
        <v>23400000</v>
      </c>
      <c r="L1720">
        <v>11200000</v>
      </c>
      <c r="M1720" t="s">
        <v>34</v>
      </c>
      <c r="N1720">
        <f t="shared" si="157"/>
        <v>1</v>
      </c>
      <c r="O1720" t="str">
        <f t="shared" si="156"/>
        <v>Medium</v>
      </c>
      <c r="P1720" t="str">
        <f t="shared" si="158"/>
        <v>High</v>
      </c>
      <c r="Q1720" t="str">
        <f t="shared" si="159"/>
        <v>High Loan</v>
      </c>
      <c r="R1720">
        <f t="shared" si="160"/>
        <v>48300000</v>
      </c>
      <c r="S1720" t="str">
        <f t="shared" si="161"/>
        <v>Strong</v>
      </c>
    </row>
    <row r="1721" spans="1:19" x14ac:dyDescent="0.25">
      <c r="A1721">
        <v>1720</v>
      </c>
      <c r="B1721">
        <v>1</v>
      </c>
      <c r="C1721" t="s">
        <v>30</v>
      </c>
      <c r="D1721" t="s">
        <v>32</v>
      </c>
      <c r="E1721">
        <v>8400000</v>
      </c>
      <c r="F1721">
        <v>24700000</v>
      </c>
      <c r="G1721">
        <v>8</v>
      </c>
      <c r="H1721">
        <v>519</v>
      </c>
      <c r="I1721">
        <v>12900000</v>
      </c>
      <c r="J1721">
        <v>16700000</v>
      </c>
      <c r="K1721">
        <v>17300000</v>
      </c>
      <c r="L1721">
        <v>6000000</v>
      </c>
      <c r="M1721" t="s">
        <v>35</v>
      </c>
      <c r="N1721">
        <f t="shared" si="157"/>
        <v>0</v>
      </c>
      <c r="O1721" t="str">
        <f t="shared" si="156"/>
        <v>Low</v>
      </c>
      <c r="P1721" t="str">
        <f t="shared" si="158"/>
        <v>High</v>
      </c>
      <c r="Q1721" t="str">
        <f t="shared" si="159"/>
        <v>High Loan</v>
      </c>
      <c r="R1721">
        <f t="shared" si="160"/>
        <v>52900000</v>
      </c>
      <c r="S1721" t="str">
        <f t="shared" si="161"/>
        <v>Strong</v>
      </c>
    </row>
    <row r="1722" spans="1:19" x14ac:dyDescent="0.25">
      <c r="A1722">
        <v>1721</v>
      </c>
      <c r="B1722">
        <v>3</v>
      </c>
      <c r="C1722" t="s">
        <v>30</v>
      </c>
      <c r="D1722" t="s">
        <v>33</v>
      </c>
      <c r="E1722">
        <v>3800000</v>
      </c>
      <c r="F1722">
        <v>15100000</v>
      </c>
      <c r="G1722">
        <v>20</v>
      </c>
      <c r="H1722">
        <v>540</v>
      </c>
      <c r="I1722">
        <v>9400000</v>
      </c>
      <c r="J1722">
        <v>1000000</v>
      </c>
      <c r="K1722">
        <v>9300000</v>
      </c>
      <c r="L1722">
        <v>3600000</v>
      </c>
      <c r="M1722" t="s">
        <v>35</v>
      </c>
      <c r="N1722">
        <f t="shared" si="157"/>
        <v>0</v>
      </c>
      <c r="O1722" t="str">
        <f t="shared" si="156"/>
        <v>Low</v>
      </c>
      <c r="P1722" t="str">
        <f t="shared" si="158"/>
        <v>High</v>
      </c>
      <c r="Q1722" t="str">
        <f t="shared" si="159"/>
        <v>Low Loan</v>
      </c>
      <c r="R1722">
        <f t="shared" si="160"/>
        <v>23300000</v>
      </c>
      <c r="S1722" t="str">
        <f t="shared" si="161"/>
        <v>Strong</v>
      </c>
    </row>
    <row r="1723" spans="1:19" x14ac:dyDescent="0.25">
      <c r="A1723">
        <v>1722</v>
      </c>
      <c r="B1723">
        <v>3</v>
      </c>
      <c r="C1723" t="s">
        <v>31</v>
      </c>
      <c r="D1723" t="s">
        <v>33</v>
      </c>
      <c r="E1723">
        <v>3100000</v>
      </c>
      <c r="F1723">
        <v>11400000</v>
      </c>
      <c r="G1723">
        <v>16</v>
      </c>
      <c r="H1723">
        <v>562</v>
      </c>
      <c r="I1723">
        <v>3600000</v>
      </c>
      <c r="J1723">
        <v>3600000</v>
      </c>
      <c r="K1723">
        <v>7200000</v>
      </c>
      <c r="L1723">
        <v>3100000</v>
      </c>
      <c r="M1723" t="s">
        <v>34</v>
      </c>
      <c r="N1723">
        <f t="shared" si="157"/>
        <v>1</v>
      </c>
      <c r="O1723" t="str">
        <f t="shared" si="156"/>
        <v>Low</v>
      </c>
      <c r="P1723" t="str">
        <f t="shared" si="158"/>
        <v>High</v>
      </c>
      <c r="Q1723" t="str">
        <f t="shared" si="159"/>
        <v>Low Loan</v>
      </c>
      <c r="R1723">
        <f t="shared" si="160"/>
        <v>17500000</v>
      </c>
      <c r="S1723" t="str">
        <f t="shared" si="161"/>
        <v>Strong</v>
      </c>
    </row>
    <row r="1724" spans="1:19" x14ac:dyDescent="0.25">
      <c r="A1724">
        <v>1723</v>
      </c>
      <c r="B1724">
        <v>2</v>
      </c>
      <c r="C1724" t="s">
        <v>31</v>
      </c>
      <c r="D1724" t="s">
        <v>32</v>
      </c>
      <c r="E1724">
        <v>5700000</v>
      </c>
      <c r="F1724">
        <v>21300000</v>
      </c>
      <c r="G1724">
        <v>10</v>
      </c>
      <c r="H1724">
        <v>323</v>
      </c>
      <c r="I1724">
        <v>1600000</v>
      </c>
      <c r="J1724">
        <v>11200000</v>
      </c>
      <c r="K1724">
        <v>16200000</v>
      </c>
      <c r="L1724">
        <v>5100000</v>
      </c>
      <c r="M1724" t="s">
        <v>35</v>
      </c>
      <c r="N1724">
        <f t="shared" si="157"/>
        <v>0</v>
      </c>
      <c r="O1724" t="str">
        <f t="shared" si="156"/>
        <v>Low</v>
      </c>
      <c r="P1724" t="str">
        <f t="shared" si="158"/>
        <v>High</v>
      </c>
      <c r="Q1724" t="str">
        <f t="shared" si="159"/>
        <v>High Loan</v>
      </c>
      <c r="R1724">
        <f t="shared" si="160"/>
        <v>34100000</v>
      </c>
      <c r="S1724" t="str">
        <f t="shared" si="161"/>
        <v>Strong</v>
      </c>
    </row>
    <row r="1725" spans="1:19" x14ac:dyDescent="0.25">
      <c r="A1725">
        <v>1724</v>
      </c>
      <c r="B1725">
        <v>1</v>
      </c>
      <c r="C1725" t="s">
        <v>30</v>
      </c>
      <c r="D1725" t="s">
        <v>33</v>
      </c>
      <c r="E1725">
        <v>5500000</v>
      </c>
      <c r="F1725">
        <v>19700000</v>
      </c>
      <c r="G1725">
        <v>10</v>
      </c>
      <c r="H1725">
        <v>312</v>
      </c>
      <c r="I1725">
        <v>12800000</v>
      </c>
      <c r="J1725">
        <v>4800000</v>
      </c>
      <c r="K1725">
        <v>19500000</v>
      </c>
      <c r="L1725">
        <v>3300000</v>
      </c>
      <c r="M1725" t="s">
        <v>35</v>
      </c>
      <c r="N1725">
        <f t="shared" si="157"/>
        <v>0</v>
      </c>
      <c r="O1725" t="str">
        <f t="shared" si="156"/>
        <v>Low</v>
      </c>
      <c r="P1725" t="str">
        <f t="shared" si="158"/>
        <v>High</v>
      </c>
      <c r="Q1725" t="str">
        <f t="shared" si="159"/>
        <v>Low Loan</v>
      </c>
      <c r="R1725">
        <f t="shared" si="160"/>
        <v>40400000</v>
      </c>
      <c r="S1725" t="str">
        <f t="shared" si="161"/>
        <v>Strong</v>
      </c>
    </row>
    <row r="1726" spans="1:19" x14ac:dyDescent="0.25">
      <c r="A1726">
        <v>1725</v>
      </c>
      <c r="B1726">
        <v>1</v>
      </c>
      <c r="C1726" t="s">
        <v>31</v>
      </c>
      <c r="D1726" t="s">
        <v>33</v>
      </c>
      <c r="E1726">
        <v>200000</v>
      </c>
      <c r="F1726">
        <v>600000</v>
      </c>
      <c r="G1726">
        <v>2</v>
      </c>
      <c r="H1726">
        <v>511</v>
      </c>
      <c r="I1726">
        <v>500000</v>
      </c>
      <c r="J1726">
        <v>100000</v>
      </c>
      <c r="K1726">
        <v>800000</v>
      </c>
      <c r="L1726">
        <v>200000</v>
      </c>
      <c r="M1726" t="s">
        <v>34</v>
      </c>
      <c r="N1726">
        <f t="shared" si="157"/>
        <v>1</v>
      </c>
      <c r="O1726" t="str">
        <f t="shared" si="156"/>
        <v>Low</v>
      </c>
      <c r="P1726" t="str">
        <f t="shared" si="158"/>
        <v>Low</v>
      </c>
      <c r="Q1726" t="str">
        <f t="shared" si="159"/>
        <v>Low Loan</v>
      </c>
      <c r="R1726">
        <f t="shared" si="160"/>
        <v>1600000</v>
      </c>
      <c r="S1726" t="str">
        <f t="shared" si="161"/>
        <v>Weak</v>
      </c>
    </row>
    <row r="1727" spans="1:19" x14ac:dyDescent="0.25">
      <c r="A1727">
        <v>1726</v>
      </c>
      <c r="B1727">
        <v>3</v>
      </c>
      <c r="C1727" t="s">
        <v>31</v>
      </c>
      <c r="D1727" t="s">
        <v>33</v>
      </c>
      <c r="E1727">
        <v>3700000</v>
      </c>
      <c r="F1727">
        <v>13800000</v>
      </c>
      <c r="G1727">
        <v>10</v>
      </c>
      <c r="H1727">
        <v>621</v>
      </c>
      <c r="I1727">
        <v>4000000</v>
      </c>
      <c r="J1727">
        <v>800000</v>
      </c>
      <c r="K1727">
        <v>11900000</v>
      </c>
      <c r="L1727">
        <v>5300000</v>
      </c>
      <c r="M1727" t="s">
        <v>34</v>
      </c>
      <c r="N1727">
        <f t="shared" si="157"/>
        <v>1</v>
      </c>
      <c r="O1727" t="str">
        <f t="shared" si="156"/>
        <v>Low</v>
      </c>
      <c r="P1727" t="str">
        <f t="shared" si="158"/>
        <v>High</v>
      </c>
      <c r="Q1727" t="str">
        <f t="shared" si="159"/>
        <v>Low Loan</v>
      </c>
      <c r="R1727">
        <f t="shared" si="160"/>
        <v>22000000</v>
      </c>
      <c r="S1727" t="str">
        <f t="shared" si="161"/>
        <v>Strong</v>
      </c>
    </row>
    <row r="1728" spans="1:19" x14ac:dyDescent="0.25">
      <c r="A1728">
        <v>1727</v>
      </c>
      <c r="B1728">
        <v>2</v>
      </c>
      <c r="C1728" t="s">
        <v>31</v>
      </c>
      <c r="D1728" t="s">
        <v>33</v>
      </c>
      <c r="E1728">
        <v>1600000</v>
      </c>
      <c r="F1728">
        <v>4300000</v>
      </c>
      <c r="G1728">
        <v>20</v>
      </c>
      <c r="H1728">
        <v>512</v>
      </c>
      <c r="I1728">
        <v>3200000</v>
      </c>
      <c r="J1728">
        <v>2500000</v>
      </c>
      <c r="K1728">
        <v>6300000</v>
      </c>
      <c r="L1728">
        <v>900000</v>
      </c>
      <c r="M1728" t="s">
        <v>35</v>
      </c>
      <c r="N1728">
        <f t="shared" si="157"/>
        <v>0</v>
      </c>
      <c r="O1728" t="str">
        <f t="shared" si="156"/>
        <v>Low</v>
      </c>
      <c r="P1728" t="str">
        <f t="shared" si="158"/>
        <v>High</v>
      </c>
      <c r="Q1728" t="str">
        <f t="shared" si="159"/>
        <v>Low Loan</v>
      </c>
      <c r="R1728">
        <f t="shared" si="160"/>
        <v>12900000</v>
      </c>
      <c r="S1728" t="str">
        <f t="shared" si="161"/>
        <v>Strong</v>
      </c>
    </row>
    <row r="1729" spans="1:19" x14ac:dyDescent="0.25">
      <c r="A1729">
        <v>1728</v>
      </c>
      <c r="B1729">
        <v>4</v>
      </c>
      <c r="C1729" t="s">
        <v>30</v>
      </c>
      <c r="D1729" t="s">
        <v>32</v>
      </c>
      <c r="E1729">
        <v>3900000</v>
      </c>
      <c r="F1729">
        <v>11000000</v>
      </c>
      <c r="G1729">
        <v>2</v>
      </c>
      <c r="H1729">
        <v>786</v>
      </c>
      <c r="I1729">
        <v>7900000</v>
      </c>
      <c r="J1729">
        <v>1600000</v>
      </c>
      <c r="K1729">
        <v>10700000</v>
      </c>
      <c r="L1729">
        <v>2100000</v>
      </c>
      <c r="M1729" t="s">
        <v>34</v>
      </c>
      <c r="N1729">
        <f t="shared" si="157"/>
        <v>1</v>
      </c>
      <c r="O1729" t="str">
        <f t="shared" si="156"/>
        <v>Excellent</v>
      </c>
      <c r="P1729" t="str">
        <f t="shared" si="158"/>
        <v>High</v>
      </c>
      <c r="Q1729" t="str">
        <f t="shared" si="159"/>
        <v>Low Loan</v>
      </c>
      <c r="R1729">
        <f t="shared" si="160"/>
        <v>22300000</v>
      </c>
      <c r="S1729" t="str">
        <f t="shared" si="161"/>
        <v>Strong</v>
      </c>
    </row>
    <row r="1730" spans="1:19" x14ac:dyDescent="0.25">
      <c r="A1730">
        <v>1729</v>
      </c>
      <c r="B1730">
        <v>3</v>
      </c>
      <c r="C1730" t="s">
        <v>31</v>
      </c>
      <c r="D1730" t="s">
        <v>33</v>
      </c>
      <c r="E1730">
        <v>700000</v>
      </c>
      <c r="F1730">
        <v>1600000</v>
      </c>
      <c r="G1730">
        <v>18</v>
      </c>
      <c r="H1730">
        <v>303</v>
      </c>
      <c r="I1730">
        <v>600000</v>
      </c>
      <c r="J1730">
        <v>500000</v>
      </c>
      <c r="K1730">
        <v>2000000</v>
      </c>
      <c r="L1730">
        <v>600000</v>
      </c>
      <c r="M1730" t="s">
        <v>35</v>
      </c>
      <c r="N1730">
        <f t="shared" si="157"/>
        <v>0</v>
      </c>
      <c r="O1730" t="str">
        <f t="shared" ref="O1730:O1793" si="162">IF(H1730&lt;650,"Low",
 IF(H1730&lt;700,"Medium",
 IF(H1730&lt;750,"Good","Excellent")))</f>
        <v>Low</v>
      </c>
      <c r="P1730" t="str">
        <f t="shared" si="158"/>
        <v>High</v>
      </c>
      <c r="Q1730" t="str">
        <f t="shared" si="159"/>
        <v>Low Loan</v>
      </c>
      <c r="R1730">
        <f t="shared" si="160"/>
        <v>3700000</v>
      </c>
      <c r="S1730" t="str">
        <f t="shared" si="161"/>
        <v>Weak</v>
      </c>
    </row>
    <row r="1731" spans="1:19" x14ac:dyDescent="0.25">
      <c r="A1731">
        <v>1730</v>
      </c>
      <c r="B1731">
        <v>3</v>
      </c>
      <c r="C1731" t="s">
        <v>30</v>
      </c>
      <c r="D1731" t="s">
        <v>33</v>
      </c>
      <c r="E1731">
        <v>5800000</v>
      </c>
      <c r="F1731">
        <v>16700000</v>
      </c>
      <c r="G1731">
        <v>18</v>
      </c>
      <c r="H1731">
        <v>633</v>
      </c>
      <c r="I1731">
        <v>8100000</v>
      </c>
      <c r="J1731">
        <v>8400000</v>
      </c>
      <c r="K1731">
        <v>14700000</v>
      </c>
      <c r="L1731">
        <v>3700000</v>
      </c>
      <c r="M1731" t="s">
        <v>34</v>
      </c>
      <c r="N1731">
        <f t="shared" ref="N1731:N1794" si="163">IF(TRIM(CLEAN(M1731))="Approved",1,0)</f>
        <v>1</v>
      </c>
      <c r="O1731" t="str">
        <f t="shared" si="162"/>
        <v>Low</v>
      </c>
      <c r="P1731" t="str">
        <f t="shared" ref="P1731:P1794" si="164">IF(E1731&lt;300000,"Low",
 IF(E1731&lt;700000,"Middle","High"))</f>
        <v>High</v>
      </c>
      <c r="Q1731" t="str">
        <f t="shared" ref="Q1731:Q1794" si="165">IF(F1731&lt;20000000,"Low Loan","High Loan")</f>
        <v>Low Loan</v>
      </c>
      <c r="R1731">
        <f t="shared" ref="R1731:R1794" si="166">I1731+J1731+K1731+L1731</f>
        <v>34900000</v>
      </c>
      <c r="S1731" t="str">
        <f t="shared" ref="S1731:S1794" si="167">IF(R1731&lt;5000000,"Weak",
 IF(R1731&lt;10000000,"Moderate","Strong"))</f>
        <v>Strong</v>
      </c>
    </row>
    <row r="1732" spans="1:19" x14ac:dyDescent="0.25">
      <c r="A1732">
        <v>1731</v>
      </c>
      <c r="B1732">
        <v>4</v>
      </c>
      <c r="C1732" t="s">
        <v>30</v>
      </c>
      <c r="D1732" t="s">
        <v>33</v>
      </c>
      <c r="E1732">
        <v>3800000</v>
      </c>
      <c r="F1732">
        <v>14000000</v>
      </c>
      <c r="G1732">
        <v>6</v>
      </c>
      <c r="H1732">
        <v>711</v>
      </c>
      <c r="I1732">
        <v>9500000</v>
      </c>
      <c r="J1732">
        <v>7300000</v>
      </c>
      <c r="K1732">
        <v>14500000</v>
      </c>
      <c r="L1732">
        <v>3100000</v>
      </c>
      <c r="M1732" t="s">
        <v>34</v>
      </c>
      <c r="N1732">
        <f t="shared" si="163"/>
        <v>1</v>
      </c>
      <c r="O1732" t="str">
        <f t="shared" si="162"/>
        <v>Good</v>
      </c>
      <c r="P1732" t="str">
        <f t="shared" si="164"/>
        <v>High</v>
      </c>
      <c r="Q1732" t="str">
        <f t="shared" si="165"/>
        <v>Low Loan</v>
      </c>
      <c r="R1732">
        <f t="shared" si="166"/>
        <v>34400000</v>
      </c>
      <c r="S1732" t="str">
        <f t="shared" si="167"/>
        <v>Strong</v>
      </c>
    </row>
    <row r="1733" spans="1:19" x14ac:dyDescent="0.25">
      <c r="A1733">
        <v>1732</v>
      </c>
      <c r="B1733">
        <v>2</v>
      </c>
      <c r="C1733" t="s">
        <v>30</v>
      </c>
      <c r="D1733" t="s">
        <v>32</v>
      </c>
      <c r="E1733">
        <v>6400000</v>
      </c>
      <c r="F1733">
        <v>16900000</v>
      </c>
      <c r="G1733">
        <v>16</v>
      </c>
      <c r="H1733">
        <v>472</v>
      </c>
      <c r="I1733">
        <v>11100000</v>
      </c>
      <c r="J1733">
        <v>6000000</v>
      </c>
      <c r="K1733">
        <v>16300000</v>
      </c>
      <c r="L1733">
        <v>4500000</v>
      </c>
      <c r="M1733" t="s">
        <v>35</v>
      </c>
      <c r="N1733">
        <f t="shared" si="163"/>
        <v>0</v>
      </c>
      <c r="O1733" t="str">
        <f t="shared" si="162"/>
        <v>Low</v>
      </c>
      <c r="P1733" t="str">
        <f t="shared" si="164"/>
        <v>High</v>
      </c>
      <c r="Q1733" t="str">
        <f t="shared" si="165"/>
        <v>Low Loan</v>
      </c>
      <c r="R1733">
        <f t="shared" si="166"/>
        <v>37900000</v>
      </c>
      <c r="S1733" t="str">
        <f t="shared" si="167"/>
        <v>Strong</v>
      </c>
    </row>
    <row r="1734" spans="1:19" x14ac:dyDescent="0.25">
      <c r="A1734">
        <v>1733</v>
      </c>
      <c r="B1734">
        <v>1</v>
      </c>
      <c r="C1734" t="s">
        <v>30</v>
      </c>
      <c r="D1734" t="s">
        <v>33</v>
      </c>
      <c r="E1734">
        <v>5500000</v>
      </c>
      <c r="F1734">
        <v>12100000</v>
      </c>
      <c r="G1734">
        <v>4</v>
      </c>
      <c r="H1734">
        <v>350</v>
      </c>
      <c r="I1734">
        <v>6300000</v>
      </c>
      <c r="J1734">
        <v>9200000</v>
      </c>
      <c r="K1734">
        <v>17200000</v>
      </c>
      <c r="L1734">
        <v>6900000</v>
      </c>
      <c r="M1734" t="s">
        <v>35</v>
      </c>
      <c r="N1734">
        <f t="shared" si="163"/>
        <v>0</v>
      </c>
      <c r="O1734" t="str">
        <f t="shared" si="162"/>
        <v>Low</v>
      </c>
      <c r="P1734" t="str">
        <f t="shared" si="164"/>
        <v>High</v>
      </c>
      <c r="Q1734" t="str">
        <f t="shared" si="165"/>
        <v>Low Loan</v>
      </c>
      <c r="R1734">
        <f t="shared" si="166"/>
        <v>39600000</v>
      </c>
      <c r="S1734" t="str">
        <f t="shared" si="167"/>
        <v>Strong</v>
      </c>
    </row>
    <row r="1735" spans="1:19" x14ac:dyDescent="0.25">
      <c r="A1735">
        <v>1734</v>
      </c>
      <c r="B1735">
        <v>1</v>
      </c>
      <c r="C1735" t="s">
        <v>31</v>
      </c>
      <c r="D1735" t="s">
        <v>33</v>
      </c>
      <c r="E1735">
        <v>6800000</v>
      </c>
      <c r="F1735">
        <v>13700000</v>
      </c>
      <c r="G1735">
        <v>10</v>
      </c>
      <c r="H1735">
        <v>879</v>
      </c>
      <c r="I1735">
        <v>500000</v>
      </c>
      <c r="J1735">
        <v>2600000</v>
      </c>
      <c r="K1735">
        <v>22000000</v>
      </c>
      <c r="L1735">
        <v>6800000</v>
      </c>
      <c r="M1735" t="s">
        <v>34</v>
      </c>
      <c r="N1735">
        <f t="shared" si="163"/>
        <v>1</v>
      </c>
      <c r="O1735" t="str">
        <f t="shared" si="162"/>
        <v>Excellent</v>
      </c>
      <c r="P1735" t="str">
        <f t="shared" si="164"/>
        <v>High</v>
      </c>
      <c r="Q1735" t="str">
        <f t="shared" si="165"/>
        <v>Low Loan</v>
      </c>
      <c r="R1735">
        <f t="shared" si="166"/>
        <v>31900000</v>
      </c>
      <c r="S1735" t="str">
        <f t="shared" si="167"/>
        <v>Strong</v>
      </c>
    </row>
    <row r="1736" spans="1:19" x14ac:dyDescent="0.25">
      <c r="A1736">
        <v>1735</v>
      </c>
      <c r="B1736">
        <v>4</v>
      </c>
      <c r="C1736" t="s">
        <v>31</v>
      </c>
      <c r="D1736" t="s">
        <v>32</v>
      </c>
      <c r="E1736">
        <v>6700000</v>
      </c>
      <c r="F1736">
        <v>13400000</v>
      </c>
      <c r="G1736">
        <v>10</v>
      </c>
      <c r="H1736">
        <v>436</v>
      </c>
      <c r="I1736">
        <v>3600000</v>
      </c>
      <c r="J1736">
        <v>1200000</v>
      </c>
      <c r="K1736">
        <v>23200000</v>
      </c>
      <c r="L1736">
        <v>7500000</v>
      </c>
      <c r="M1736" t="s">
        <v>35</v>
      </c>
      <c r="N1736">
        <f t="shared" si="163"/>
        <v>0</v>
      </c>
      <c r="O1736" t="str">
        <f t="shared" si="162"/>
        <v>Low</v>
      </c>
      <c r="P1736" t="str">
        <f t="shared" si="164"/>
        <v>High</v>
      </c>
      <c r="Q1736" t="str">
        <f t="shared" si="165"/>
        <v>Low Loan</v>
      </c>
      <c r="R1736">
        <f t="shared" si="166"/>
        <v>35500000</v>
      </c>
      <c r="S1736" t="str">
        <f t="shared" si="167"/>
        <v>Strong</v>
      </c>
    </row>
    <row r="1737" spans="1:19" x14ac:dyDescent="0.25">
      <c r="A1737">
        <v>1736</v>
      </c>
      <c r="B1737">
        <v>1</v>
      </c>
      <c r="C1737" t="s">
        <v>30</v>
      </c>
      <c r="D1737" t="s">
        <v>33</v>
      </c>
      <c r="E1737">
        <v>5300000</v>
      </c>
      <c r="F1737">
        <v>11500000</v>
      </c>
      <c r="G1737">
        <v>14</v>
      </c>
      <c r="H1737">
        <v>848</v>
      </c>
      <c r="I1737">
        <v>1300000</v>
      </c>
      <c r="J1737">
        <v>3600000</v>
      </c>
      <c r="K1737">
        <v>14700000</v>
      </c>
      <c r="L1737">
        <v>5700000</v>
      </c>
      <c r="M1737" t="s">
        <v>34</v>
      </c>
      <c r="N1737">
        <f t="shared" si="163"/>
        <v>1</v>
      </c>
      <c r="O1737" t="str">
        <f t="shared" si="162"/>
        <v>Excellent</v>
      </c>
      <c r="P1737" t="str">
        <f t="shared" si="164"/>
        <v>High</v>
      </c>
      <c r="Q1737" t="str">
        <f t="shared" si="165"/>
        <v>Low Loan</v>
      </c>
      <c r="R1737">
        <f t="shared" si="166"/>
        <v>25300000</v>
      </c>
      <c r="S1737" t="str">
        <f t="shared" si="167"/>
        <v>Strong</v>
      </c>
    </row>
    <row r="1738" spans="1:19" x14ac:dyDescent="0.25">
      <c r="A1738">
        <v>1737</v>
      </c>
      <c r="B1738">
        <v>2</v>
      </c>
      <c r="C1738" t="s">
        <v>30</v>
      </c>
      <c r="D1738" t="s">
        <v>32</v>
      </c>
      <c r="E1738">
        <v>6600000</v>
      </c>
      <c r="F1738">
        <v>23200000</v>
      </c>
      <c r="G1738">
        <v>16</v>
      </c>
      <c r="H1738">
        <v>555</v>
      </c>
      <c r="I1738">
        <v>9900000</v>
      </c>
      <c r="J1738">
        <v>6500000</v>
      </c>
      <c r="K1738">
        <v>23300000</v>
      </c>
      <c r="L1738">
        <v>3300000</v>
      </c>
      <c r="M1738" t="s">
        <v>34</v>
      </c>
      <c r="N1738">
        <f t="shared" si="163"/>
        <v>1</v>
      </c>
      <c r="O1738" t="str">
        <f t="shared" si="162"/>
        <v>Low</v>
      </c>
      <c r="P1738" t="str">
        <f t="shared" si="164"/>
        <v>High</v>
      </c>
      <c r="Q1738" t="str">
        <f t="shared" si="165"/>
        <v>High Loan</v>
      </c>
      <c r="R1738">
        <f t="shared" si="166"/>
        <v>43000000</v>
      </c>
      <c r="S1738" t="str">
        <f t="shared" si="167"/>
        <v>Strong</v>
      </c>
    </row>
    <row r="1739" spans="1:19" x14ac:dyDescent="0.25">
      <c r="A1739">
        <v>1738</v>
      </c>
      <c r="B1739">
        <v>2</v>
      </c>
      <c r="C1739" t="s">
        <v>30</v>
      </c>
      <c r="D1739" t="s">
        <v>32</v>
      </c>
      <c r="E1739">
        <v>6600000</v>
      </c>
      <c r="F1739">
        <v>13100000</v>
      </c>
      <c r="G1739">
        <v>20</v>
      </c>
      <c r="H1739">
        <v>885</v>
      </c>
      <c r="I1739">
        <v>10900000</v>
      </c>
      <c r="J1739">
        <v>4300000</v>
      </c>
      <c r="K1739">
        <v>20600000</v>
      </c>
      <c r="L1739">
        <v>6200000</v>
      </c>
      <c r="M1739" t="s">
        <v>34</v>
      </c>
      <c r="N1739">
        <f t="shared" si="163"/>
        <v>1</v>
      </c>
      <c r="O1739" t="str">
        <f t="shared" si="162"/>
        <v>Excellent</v>
      </c>
      <c r="P1739" t="str">
        <f t="shared" si="164"/>
        <v>High</v>
      </c>
      <c r="Q1739" t="str">
        <f t="shared" si="165"/>
        <v>Low Loan</v>
      </c>
      <c r="R1739">
        <f t="shared" si="166"/>
        <v>42000000</v>
      </c>
      <c r="S1739" t="str">
        <f t="shared" si="167"/>
        <v>Strong</v>
      </c>
    </row>
    <row r="1740" spans="1:19" x14ac:dyDescent="0.25">
      <c r="A1740">
        <v>1739</v>
      </c>
      <c r="B1740">
        <v>0</v>
      </c>
      <c r="C1740" t="s">
        <v>31</v>
      </c>
      <c r="D1740" t="s">
        <v>32</v>
      </c>
      <c r="E1740">
        <v>7600000</v>
      </c>
      <c r="F1740">
        <v>25200000</v>
      </c>
      <c r="G1740">
        <v>6</v>
      </c>
      <c r="H1740">
        <v>888</v>
      </c>
      <c r="I1740">
        <v>12700000</v>
      </c>
      <c r="J1740">
        <v>10900000</v>
      </c>
      <c r="K1740">
        <v>24500000</v>
      </c>
      <c r="L1740">
        <v>7500000</v>
      </c>
      <c r="M1740" t="s">
        <v>34</v>
      </c>
      <c r="N1740">
        <f t="shared" si="163"/>
        <v>1</v>
      </c>
      <c r="O1740" t="str">
        <f t="shared" si="162"/>
        <v>Excellent</v>
      </c>
      <c r="P1740" t="str">
        <f t="shared" si="164"/>
        <v>High</v>
      </c>
      <c r="Q1740" t="str">
        <f t="shared" si="165"/>
        <v>High Loan</v>
      </c>
      <c r="R1740">
        <f t="shared" si="166"/>
        <v>55600000</v>
      </c>
      <c r="S1740" t="str">
        <f t="shared" si="167"/>
        <v>Strong</v>
      </c>
    </row>
    <row r="1741" spans="1:19" x14ac:dyDescent="0.25">
      <c r="A1741">
        <v>1740</v>
      </c>
      <c r="B1741">
        <v>4</v>
      </c>
      <c r="C1741" t="s">
        <v>31</v>
      </c>
      <c r="D1741" t="s">
        <v>33</v>
      </c>
      <c r="E1741">
        <v>2500000</v>
      </c>
      <c r="F1741">
        <v>6100000</v>
      </c>
      <c r="G1741">
        <v>20</v>
      </c>
      <c r="H1741">
        <v>478</v>
      </c>
      <c r="I1741">
        <v>5900000</v>
      </c>
      <c r="J1741">
        <v>800000</v>
      </c>
      <c r="K1741">
        <v>9500000</v>
      </c>
      <c r="L1741">
        <v>3200000</v>
      </c>
      <c r="M1741" t="s">
        <v>35</v>
      </c>
      <c r="N1741">
        <f t="shared" si="163"/>
        <v>0</v>
      </c>
      <c r="O1741" t="str">
        <f t="shared" si="162"/>
        <v>Low</v>
      </c>
      <c r="P1741" t="str">
        <f t="shared" si="164"/>
        <v>High</v>
      </c>
      <c r="Q1741" t="str">
        <f t="shared" si="165"/>
        <v>Low Loan</v>
      </c>
      <c r="R1741">
        <f t="shared" si="166"/>
        <v>19400000</v>
      </c>
      <c r="S1741" t="str">
        <f t="shared" si="167"/>
        <v>Strong</v>
      </c>
    </row>
    <row r="1742" spans="1:19" x14ac:dyDescent="0.25">
      <c r="A1742">
        <v>1741</v>
      </c>
      <c r="B1742">
        <v>4</v>
      </c>
      <c r="C1742" t="s">
        <v>31</v>
      </c>
      <c r="D1742" t="s">
        <v>32</v>
      </c>
      <c r="E1742">
        <v>1100000</v>
      </c>
      <c r="F1742">
        <v>2500000</v>
      </c>
      <c r="G1742">
        <v>4</v>
      </c>
      <c r="H1742">
        <v>603</v>
      </c>
      <c r="I1742">
        <v>1900000</v>
      </c>
      <c r="J1742">
        <v>1400000</v>
      </c>
      <c r="K1742">
        <v>3900000</v>
      </c>
      <c r="L1742">
        <v>500000</v>
      </c>
      <c r="M1742" t="s">
        <v>34</v>
      </c>
      <c r="N1742">
        <f t="shared" si="163"/>
        <v>1</v>
      </c>
      <c r="O1742" t="str">
        <f t="shared" si="162"/>
        <v>Low</v>
      </c>
      <c r="P1742" t="str">
        <f t="shared" si="164"/>
        <v>High</v>
      </c>
      <c r="Q1742" t="str">
        <f t="shared" si="165"/>
        <v>Low Loan</v>
      </c>
      <c r="R1742">
        <f t="shared" si="166"/>
        <v>7700000</v>
      </c>
      <c r="S1742" t="str">
        <f t="shared" si="167"/>
        <v>Moderate</v>
      </c>
    </row>
    <row r="1743" spans="1:19" x14ac:dyDescent="0.25">
      <c r="A1743">
        <v>1742</v>
      </c>
      <c r="B1743">
        <v>1</v>
      </c>
      <c r="C1743" t="s">
        <v>31</v>
      </c>
      <c r="D1743" t="s">
        <v>32</v>
      </c>
      <c r="E1743">
        <v>2300000</v>
      </c>
      <c r="F1743">
        <v>8200000</v>
      </c>
      <c r="G1743">
        <v>8</v>
      </c>
      <c r="H1743">
        <v>784</v>
      </c>
      <c r="I1743">
        <v>2000000</v>
      </c>
      <c r="J1743">
        <v>0</v>
      </c>
      <c r="K1743">
        <v>7600000</v>
      </c>
      <c r="L1743">
        <v>1100000</v>
      </c>
      <c r="M1743" t="s">
        <v>34</v>
      </c>
      <c r="N1743">
        <f t="shared" si="163"/>
        <v>1</v>
      </c>
      <c r="O1743" t="str">
        <f t="shared" si="162"/>
        <v>Excellent</v>
      </c>
      <c r="P1743" t="str">
        <f t="shared" si="164"/>
        <v>High</v>
      </c>
      <c r="Q1743" t="str">
        <f t="shared" si="165"/>
        <v>Low Loan</v>
      </c>
      <c r="R1743">
        <f t="shared" si="166"/>
        <v>10700000</v>
      </c>
      <c r="S1743" t="str">
        <f t="shared" si="167"/>
        <v>Strong</v>
      </c>
    </row>
    <row r="1744" spans="1:19" x14ac:dyDescent="0.25">
      <c r="A1744">
        <v>1743</v>
      </c>
      <c r="B1744">
        <v>1</v>
      </c>
      <c r="C1744" t="s">
        <v>30</v>
      </c>
      <c r="D1744" t="s">
        <v>33</v>
      </c>
      <c r="E1744">
        <v>3300000</v>
      </c>
      <c r="F1744">
        <v>11700000</v>
      </c>
      <c r="G1744">
        <v>4</v>
      </c>
      <c r="H1744">
        <v>682</v>
      </c>
      <c r="I1744">
        <v>3500000</v>
      </c>
      <c r="J1744">
        <v>5500000</v>
      </c>
      <c r="K1744">
        <v>12300000</v>
      </c>
      <c r="L1744">
        <v>1600000</v>
      </c>
      <c r="M1744" t="s">
        <v>34</v>
      </c>
      <c r="N1744">
        <f t="shared" si="163"/>
        <v>1</v>
      </c>
      <c r="O1744" t="str">
        <f t="shared" si="162"/>
        <v>Medium</v>
      </c>
      <c r="P1744" t="str">
        <f t="shared" si="164"/>
        <v>High</v>
      </c>
      <c r="Q1744" t="str">
        <f t="shared" si="165"/>
        <v>Low Loan</v>
      </c>
      <c r="R1744">
        <f t="shared" si="166"/>
        <v>22900000</v>
      </c>
      <c r="S1744" t="str">
        <f t="shared" si="167"/>
        <v>Strong</v>
      </c>
    </row>
    <row r="1745" spans="1:19" x14ac:dyDescent="0.25">
      <c r="A1745">
        <v>1744</v>
      </c>
      <c r="B1745">
        <v>4</v>
      </c>
      <c r="C1745" t="s">
        <v>30</v>
      </c>
      <c r="D1745" t="s">
        <v>33</v>
      </c>
      <c r="E1745">
        <v>2600000</v>
      </c>
      <c r="F1745">
        <v>5900000</v>
      </c>
      <c r="G1745">
        <v>6</v>
      </c>
      <c r="H1745">
        <v>471</v>
      </c>
      <c r="I1745">
        <v>3500000</v>
      </c>
      <c r="J1745">
        <v>1900000</v>
      </c>
      <c r="K1745">
        <v>7300000</v>
      </c>
      <c r="L1745">
        <v>3400000</v>
      </c>
      <c r="M1745" t="s">
        <v>35</v>
      </c>
      <c r="N1745">
        <f t="shared" si="163"/>
        <v>0</v>
      </c>
      <c r="O1745" t="str">
        <f t="shared" si="162"/>
        <v>Low</v>
      </c>
      <c r="P1745" t="str">
        <f t="shared" si="164"/>
        <v>High</v>
      </c>
      <c r="Q1745" t="str">
        <f t="shared" si="165"/>
        <v>Low Loan</v>
      </c>
      <c r="R1745">
        <f t="shared" si="166"/>
        <v>16100000</v>
      </c>
      <c r="S1745" t="str">
        <f t="shared" si="167"/>
        <v>Strong</v>
      </c>
    </row>
    <row r="1746" spans="1:19" x14ac:dyDescent="0.25">
      <c r="A1746">
        <v>1745</v>
      </c>
      <c r="B1746">
        <v>4</v>
      </c>
      <c r="C1746" t="s">
        <v>31</v>
      </c>
      <c r="D1746" t="s">
        <v>33</v>
      </c>
      <c r="E1746">
        <v>9300000</v>
      </c>
      <c r="F1746">
        <v>36700000</v>
      </c>
      <c r="G1746">
        <v>20</v>
      </c>
      <c r="H1746">
        <v>808</v>
      </c>
      <c r="I1746">
        <v>16500000</v>
      </c>
      <c r="J1746">
        <v>14700000</v>
      </c>
      <c r="K1746">
        <v>26500000</v>
      </c>
      <c r="L1746">
        <v>7100000</v>
      </c>
      <c r="M1746" t="s">
        <v>34</v>
      </c>
      <c r="N1746">
        <f t="shared" si="163"/>
        <v>1</v>
      </c>
      <c r="O1746" t="str">
        <f t="shared" si="162"/>
        <v>Excellent</v>
      </c>
      <c r="P1746" t="str">
        <f t="shared" si="164"/>
        <v>High</v>
      </c>
      <c r="Q1746" t="str">
        <f t="shared" si="165"/>
        <v>High Loan</v>
      </c>
      <c r="R1746">
        <f t="shared" si="166"/>
        <v>64800000</v>
      </c>
      <c r="S1746" t="str">
        <f t="shared" si="167"/>
        <v>Strong</v>
      </c>
    </row>
    <row r="1747" spans="1:19" x14ac:dyDescent="0.25">
      <c r="A1747">
        <v>1746</v>
      </c>
      <c r="B1747">
        <v>4</v>
      </c>
      <c r="C1747" t="s">
        <v>31</v>
      </c>
      <c r="D1747" t="s">
        <v>32</v>
      </c>
      <c r="E1747">
        <v>5300000</v>
      </c>
      <c r="F1747">
        <v>18500000</v>
      </c>
      <c r="G1747">
        <v>8</v>
      </c>
      <c r="H1747">
        <v>470</v>
      </c>
      <c r="I1747">
        <v>2900000</v>
      </c>
      <c r="J1747">
        <v>9300000</v>
      </c>
      <c r="K1747">
        <v>14900000</v>
      </c>
      <c r="L1747">
        <v>4900000</v>
      </c>
      <c r="M1747" t="s">
        <v>35</v>
      </c>
      <c r="N1747">
        <f t="shared" si="163"/>
        <v>0</v>
      </c>
      <c r="O1747" t="str">
        <f t="shared" si="162"/>
        <v>Low</v>
      </c>
      <c r="P1747" t="str">
        <f t="shared" si="164"/>
        <v>High</v>
      </c>
      <c r="Q1747" t="str">
        <f t="shared" si="165"/>
        <v>Low Loan</v>
      </c>
      <c r="R1747">
        <f t="shared" si="166"/>
        <v>32000000</v>
      </c>
      <c r="S1747" t="str">
        <f t="shared" si="167"/>
        <v>Strong</v>
      </c>
    </row>
    <row r="1748" spans="1:19" x14ac:dyDescent="0.25">
      <c r="A1748">
        <v>1747</v>
      </c>
      <c r="B1748">
        <v>2</v>
      </c>
      <c r="C1748" t="s">
        <v>31</v>
      </c>
      <c r="D1748" t="s">
        <v>32</v>
      </c>
      <c r="E1748">
        <v>5400000</v>
      </c>
      <c r="F1748">
        <v>13800000</v>
      </c>
      <c r="G1748">
        <v>20</v>
      </c>
      <c r="H1748">
        <v>574</v>
      </c>
      <c r="I1748">
        <v>900000</v>
      </c>
      <c r="J1748">
        <v>9200000</v>
      </c>
      <c r="K1748">
        <v>10900000</v>
      </c>
      <c r="L1748">
        <v>3700000</v>
      </c>
      <c r="M1748" t="s">
        <v>34</v>
      </c>
      <c r="N1748">
        <f t="shared" si="163"/>
        <v>1</v>
      </c>
      <c r="O1748" t="str">
        <f t="shared" si="162"/>
        <v>Low</v>
      </c>
      <c r="P1748" t="str">
        <f t="shared" si="164"/>
        <v>High</v>
      </c>
      <c r="Q1748" t="str">
        <f t="shared" si="165"/>
        <v>Low Loan</v>
      </c>
      <c r="R1748">
        <f t="shared" si="166"/>
        <v>24700000</v>
      </c>
      <c r="S1748" t="str">
        <f t="shared" si="167"/>
        <v>Strong</v>
      </c>
    </row>
    <row r="1749" spans="1:19" x14ac:dyDescent="0.25">
      <c r="A1749">
        <v>1748</v>
      </c>
      <c r="B1749">
        <v>4</v>
      </c>
      <c r="C1749" t="s">
        <v>31</v>
      </c>
      <c r="D1749" t="s">
        <v>33</v>
      </c>
      <c r="E1749">
        <v>3500000</v>
      </c>
      <c r="F1749">
        <v>12000000</v>
      </c>
      <c r="G1749">
        <v>8</v>
      </c>
      <c r="H1749">
        <v>314</v>
      </c>
      <c r="I1749">
        <v>7700000</v>
      </c>
      <c r="J1749">
        <v>100000</v>
      </c>
      <c r="K1749">
        <v>12600000</v>
      </c>
      <c r="L1749">
        <v>2700000</v>
      </c>
      <c r="M1749" t="s">
        <v>35</v>
      </c>
      <c r="N1749">
        <f t="shared" si="163"/>
        <v>0</v>
      </c>
      <c r="O1749" t="str">
        <f t="shared" si="162"/>
        <v>Low</v>
      </c>
      <c r="P1749" t="str">
        <f t="shared" si="164"/>
        <v>High</v>
      </c>
      <c r="Q1749" t="str">
        <f t="shared" si="165"/>
        <v>Low Loan</v>
      </c>
      <c r="R1749">
        <f t="shared" si="166"/>
        <v>23100000</v>
      </c>
      <c r="S1749" t="str">
        <f t="shared" si="167"/>
        <v>Strong</v>
      </c>
    </row>
    <row r="1750" spans="1:19" x14ac:dyDescent="0.25">
      <c r="A1750">
        <v>1749</v>
      </c>
      <c r="B1750">
        <v>2</v>
      </c>
      <c r="C1750" t="s">
        <v>30</v>
      </c>
      <c r="D1750" t="s">
        <v>32</v>
      </c>
      <c r="E1750">
        <v>4200000</v>
      </c>
      <c r="F1750">
        <v>10200000</v>
      </c>
      <c r="G1750">
        <v>14</v>
      </c>
      <c r="H1750">
        <v>407</v>
      </c>
      <c r="I1750">
        <v>5900000</v>
      </c>
      <c r="J1750">
        <v>4500000</v>
      </c>
      <c r="K1750">
        <v>12000000</v>
      </c>
      <c r="L1750">
        <v>2500000</v>
      </c>
      <c r="M1750" t="s">
        <v>35</v>
      </c>
      <c r="N1750">
        <f t="shared" si="163"/>
        <v>0</v>
      </c>
      <c r="O1750" t="str">
        <f t="shared" si="162"/>
        <v>Low</v>
      </c>
      <c r="P1750" t="str">
        <f t="shared" si="164"/>
        <v>High</v>
      </c>
      <c r="Q1750" t="str">
        <f t="shared" si="165"/>
        <v>Low Loan</v>
      </c>
      <c r="R1750">
        <f t="shared" si="166"/>
        <v>24900000</v>
      </c>
      <c r="S1750" t="str">
        <f t="shared" si="167"/>
        <v>Strong</v>
      </c>
    </row>
    <row r="1751" spans="1:19" x14ac:dyDescent="0.25">
      <c r="A1751">
        <v>1750</v>
      </c>
      <c r="B1751">
        <v>0</v>
      </c>
      <c r="C1751" t="s">
        <v>31</v>
      </c>
      <c r="D1751" t="s">
        <v>33</v>
      </c>
      <c r="E1751">
        <v>9200000</v>
      </c>
      <c r="F1751">
        <v>34900000</v>
      </c>
      <c r="G1751">
        <v>4</v>
      </c>
      <c r="H1751">
        <v>702</v>
      </c>
      <c r="I1751">
        <v>16900000</v>
      </c>
      <c r="J1751">
        <v>16000000</v>
      </c>
      <c r="K1751">
        <v>24100000</v>
      </c>
      <c r="L1751">
        <v>9800000</v>
      </c>
      <c r="M1751" t="s">
        <v>34</v>
      </c>
      <c r="N1751">
        <f t="shared" si="163"/>
        <v>1</v>
      </c>
      <c r="O1751" t="str">
        <f t="shared" si="162"/>
        <v>Good</v>
      </c>
      <c r="P1751" t="str">
        <f t="shared" si="164"/>
        <v>High</v>
      </c>
      <c r="Q1751" t="str">
        <f t="shared" si="165"/>
        <v>High Loan</v>
      </c>
      <c r="R1751">
        <f t="shared" si="166"/>
        <v>66800000</v>
      </c>
      <c r="S1751" t="str">
        <f t="shared" si="167"/>
        <v>Strong</v>
      </c>
    </row>
    <row r="1752" spans="1:19" x14ac:dyDescent="0.25">
      <c r="A1752">
        <v>1751</v>
      </c>
      <c r="B1752">
        <v>2</v>
      </c>
      <c r="C1752" t="s">
        <v>30</v>
      </c>
      <c r="D1752" t="s">
        <v>32</v>
      </c>
      <c r="E1752">
        <v>4300000</v>
      </c>
      <c r="F1752">
        <v>9800000</v>
      </c>
      <c r="G1752">
        <v>2</v>
      </c>
      <c r="H1752">
        <v>499</v>
      </c>
      <c r="I1752">
        <v>4400000</v>
      </c>
      <c r="J1752">
        <v>4500000</v>
      </c>
      <c r="K1752">
        <v>12600000</v>
      </c>
      <c r="L1752">
        <v>5100000</v>
      </c>
      <c r="M1752" t="s">
        <v>35</v>
      </c>
      <c r="N1752">
        <f t="shared" si="163"/>
        <v>0</v>
      </c>
      <c r="O1752" t="str">
        <f t="shared" si="162"/>
        <v>Low</v>
      </c>
      <c r="P1752" t="str">
        <f t="shared" si="164"/>
        <v>High</v>
      </c>
      <c r="Q1752" t="str">
        <f t="shared" si="165"/>
        <v>Low Loan</v>
      </c>
      <c r="R1752">
        <f t="shared" si="166"/>
        <v>26600000</v>
      </c>
      <c r="S1752" t="str">
        <f t="shared" si="167"/>
        <v>Strong</v>
      </c>
    </row>
    <row r="1753" spans="1:19" x14ac:dyDescent="0.25">
      <c r="A1753">
        <v>1752</v>
      </c>
      <c r="B1753">
        <v>1</v>
      </c>
      <c r="C1753" t="s">
        <v>30</v>
      </c>
      <c r="D1753" t="s">
        <v>33</v>
      </c>
      <c r="E1753">
        <v>7500000</v>
      </c>
      <c r="F1753">
        <v>19900000</v>
      </c>
      <c r="G1753">
        <v>10</v>
      </c>
      <c r="H1753">
        <v>669</v>
      </c>
      <c r="I1753">
        <v>1800000</v>
      </c>
      <c r="J1753">
        <v>8800000</v>
      </c>
      <c r="K1753">
        <v>18100000</v>
      </c>
      <c r="L1753">
        <v>7300000</v>
      </c>
      <c r="M1753" t="s">
        <v>34</v>
      </c>
      <c r="N1753">
        <f t="shared" si="163"/>
        <v>1</v>
      </c>
      <c r="O1753" t="str">
        <f t="shared" si="162"/>
        <v>Medium</v>
      </c>
      <c r="P1753" t="str">
        <f t="shared" si="164"/>
        <v>High</v>
      </c>
      <c r="Q1753" t="str">
        <f t="shared" si="165"/>
        <v>Low Loan</v>
      </c>
      <c r="R1753">
        <f t="shared" si="166"/>
        <v>36000000</v>
      </c>
      <c r="S1753" t="str">
        <f t="shared" si="167"/>
        <v>Strong</v>
      </c>
    </row>
    <row r="1754" spans="1:19" x14ac:dyDescent="0.25">
      <c r="A1754">
        <v>1753</v>
      </c>
      <c r="B1754">
        <v>5</v>
      </c>
      <c r="C1754" t="s">
        <v>31</v>
      </c>
      <c r="D1754" t="s">
        <v>33</v>
      </c>
      <c r="E1754">
        <v>5400000</v>
      </c>
      <c r="F1754">
        <v>18800000</v>
      </c>
      <c r="G1754">
        <v>20</v>
      </c>
      <c r="H1754">
        <v>326</v>
      </c>
      <c r="I1754">
        <v>9700000</v>
      </c>
      <c r="J1754">
        <v>10100000</v>
      </c>
      <c r="K1754">
        <v>14800000</v>
      </c>
      <c r="L1754">
        <v>3200000</v>
      </c>
      <c r="M1754" t="s">
        <v>35</v>
      </c>
      <c r="N1754">
        <f t="shared" si="163"/>
        <v>0</v>
      </c>
      <c r="O1754" t="str">
        <f t="shared" si="162"/>
        <v>Low</v>
      </c>
      <c r="P1754" t="str">
        <f t="shared" si="164"/>
        <v>High</v>
      </c>
      <c r="Q1754" t="str">
        <f t="shared" si="165"/>
        <v>Low Loan</v>
      </c>
      <c r="R1754">
        <f t="shared" si="166"/>
        <v>37800000</v>
      </c>
      <c r="S1754" t="str">
        <f t="shared" si="167"/>
        <v>Strong</v>
      </c>
    </row>
    <row r="1755" spans="1:19" x14ac:dyDescent="0.25">
      <c r="A1755">
        <v>1754</v>
      </c>
      <c r="B1755">
        <v>3</v>
      </c>
      <c r="C1755" t="s">
        <v>31</v>
      </c>
      <c r="D1755" t="s">
        <v>32</v>
      </c>
      <c r="E1755">
        <v>5500000</v>
      </c>
      <c r="F1755">
        <v>16200000</v>
      </c>
      <c r="G1755">
        <v>18</v>
      </c>
      <c r="H1755">
        <v>778</v>
      </c>
      <c r="I1755">
        <v>4700000</v>
      </c>
      <c r="J1755">
        <v>10700000</v>
      </c>
      <c r="K1755">
        <v>15300000</v>
      </c>
      <c r="L1755">
        <v>6100000</v>
      </c>
      <c r="M1755" t="s">
        <v>34</v>
      </c>
      <c r="N1755">
        <f t="shared" si="163"/>
        <v>1</v>
      </c>
      <c r="O1755" t="str">
        <f t="shared" si="162"/>
        <v>Excellent</v>
      </c>
      <c r="P1755" t="str">
        <f t="shared" si="164"/>
        <v>High</v>
      </c>
      <c r="Q1755" t="str">
        <f t="shared" si="165"/>
        <v>Low Loan</v>
      </c>
      <c r="R1755">
        <f t="shared" si="166"/>
        <v>36800000</v>
      </c>
      <c r="S1755" t="str">
        <f t="shared" si="167"/>
        <v>Strong</v>
      </c>
    </row>
    <row r="1756" spans="1:19" x14ac:dyDescent="0.25">
      <c r="A1756">
        <v>1755</v>
      </c>
      <c r="B1756">
        <v>2</v>
      </c>
      <c r="C1756" t="s">
        <v>31</v>
      </c>
      <c r="D1756" t="s">
        <v>33</v>
      </c>
      <c r="E1756">
        <v>2100000</v>
      </c>
      <c r="F1756">
        <v>4500000</v>
      </c>
      <c r="G1756">
        <v>2</v>
      </c>
      <c r="H1756">
        <v>787</v>
      </c>
      <c r="I1756">
        <v>4800000</v>
      </c>
      <c r="J1756">
        <v>2800000</v>
      </c>
      <c r="K1756">
        <v>6000000</v>
      </c>
      <c r="L1756">
        <v>2100000</v>
      </c>
      <c r="M1756" t="s">
        <v>34</v>
      </c>
      <c r="N1756">
        <f t="shared" si="163"/>
        <v>1</v>
      </c>
      <c r="O1756" t="str">
        <f t="shared" si="162"/>
        <v>Excellent</v>
      </c>
      <c r="P1756" t="str">
        <f t="shared" si="164"/>
        <v>High</v>
      </c>
      <c r="Q1756" t="str">
        <f t="shared" si="165"/>
        <v>Low Loan</v>
      </c>
      <c r="R1756">
        <f t="shared" si="166"/>
        <v>15700000</v>
      </c>
      <c r="S1756" t="str">
        <f t="shared" si="167"/>
        <v>Strong</v>
      </c>
    </row>
    <row r="1757" spans="1:19" x14ac:dyDescent="0.25">
      <c r="A1757">
        <v>1756</v>
      </c>
      <c r="B1757">
        <v>0</v>
      </c>
      <c r="C1757" t="s">
        <v>30</v>
      </c>
      <c r="D1757" t="s">
        <v>32</v>
      </c>
      <c r="E1757">
        <v>3700000</v>
      </c>
      <c r="F1757">
        <v>12300000</v>
      </c>
      <c r="G1757">
        <v>16</v>
      </c>
      <c r="H1757">
        <v>831</v>
      </c>
      <c r="I1757">
        <v>8000000</v>
      </c>
      <c r="J1757">
        <v>2200000</v>
      </c>
      <c r="K1757">
        <v>11200000</v>
      </c>
      <c r="L1757">
        <v>2400000</v>
      </c>
      <c r="M1757" t="s">
        <v>34</v>
      </c>
      <c r="N1757">
        <f t="shared" si="163"/>
        <v>1</v>
      </c>
      <c r="O1757" t="str">
        <f t="shared" si="162"/>
        <v>Excellent</v>
      </c>
      <c r="P1757" t="str">
        <f t="shared" si="164"/>
        <v>High</v>
      </c>
      <c r="Q1757" t="str">
        <f t="shared" si="165"/>
        <v>Low Loan</v>
      </c>
      <c r="R1757">
        <f t="shared" si="166"/>
        <v>23800000</v>
      </c>
      <c r="S1757" t="str">
        <f t="shared" si="167"/>
        <v>Strong</v>
      </c>
    </row>
    <row r="1758" spans="1:19" x14ac:dyDescent="0.25">
      <c r="A1758">
        <v>1757</v>
      </c>
      <c r="B1758">
        <v>0</v>
      </c>
      <c r="C1758" t="s">
        <v>30</v>
      </c>
      <c r="D1758" t="s">
        <v>32</v>
      </c>
      <c r="E1758">
        <v>8800000</v>
      </c>
      <c r="F1758">
        <v>32900000</v>
      </c>
      <c r="G1758">
        <v>18</v>
      </c>
      <c r="H1758">
        <v>576</v>
      </c>
      <c r="I1758">
        <v>1300000</v>
      </c>
      <c r="J1758">
        <v>8700000</v>
      </c>
      <c r="K1758">
        <v>32600000</v>
      </c>
      <c r="L1758">
        <v>5600000</v>
      </c>
      <c r="M1758" t="s">
        <v>34</v>
      </c>
      <c r="N1758">
        <f t="shared" si="163"/>
        <v>1</v>
      </c>
      <c r="O1758" t="str">
        <f t="shared" si="162"/>
        <v>Low</v>
      </c>
      <c r="P1758" t="str">
        <f t="shared" si="164"/>
        <v>High</v>
      </c>
      <c r="Q1758" t="str">
        <f t="shared" si="165"/>
        <v>High Loan</v>
      </c>
      <c r="R1758">
        <f t="shared" si="166"/>
        <v>48200000</v>
      </c>
      <c r="S1758" t="str">
        <f t="shared" si="167"/>
        <v>Strong</v>
      </c>
    </row>
    <row r="1759" spans="1:19" x14ac:dyDescent="0.25">
      <c r="A1759">
        <v>1758</v>
      </c>
      <c r="B1759">
        <v>5</v>
      </c>
      <c r="C1759" t="s">
        <v>31</v>
      </c>
      <c r="D1759" t="s">
        <v>32</v>
      </c>
      <c r="E1759">
        <v>5800000</v>
      </c>
      <c r="F1759">
        <v>22800000</v>
      </c>
      <c r="G1759">
        <v>12</v>
      </c>
      <c r="H1759">
        <v>600</v>
      </c>
      <c r="I1759">
        <v>16000000</v>
      </c>
      <c r="J1759">
        <v>1100000</v>
      </c>
      <c r="K1759">
        <v>20700000</v>
      </c>
      <c r="L1759">
        <v>5700000</v>
      </c>
      <c r="M1759" t="s">
        <v>34</v>
      </c>
      <c r="N1759">
        <f t="shared" si="163"/>
        <v>1</v>
      </c>
      <c r="O1759" t="str">
        <f t="shared" si="162"/>
        <v>Low</v>
      </c>
      <c r="P1759" t="str">
        <f t="shared" si="164"/>
        <v>High</v>
      </c>
      <c r="Q1759" t="str">
        <f t="shared" si="165"/>
        <v>High Loan</v>
      </c>
      <c r="R1759">
        <f t="shared" si="166"/>
        <v>43500000</v>
      </c>
      <c r="S1759" t="str">
        <f t="shared" si="167"/>
        <v>Strong</v>
      </c>
    </row>
    <row r="1760" spans="1:19" x14ac:dyDescent="0.25">
      <c r="A1760">
        <v>1759</v>
      </c>
      <c r="B1760">
        <v>4</v>
      </c>
      <c r="C1760" t="s">
        <v>30</v>
      </c>
      <c r="D1760" t="s">
        <v>32</v>
      </c>
      <c r="E1760">
        <v>7900000</v>
      </c>
      <c r="F1760">
        <v>30600000</v>
      </c>
      <c r="G1760">
        <v>2</v>
      </c>
      <c r="H1760">
        <v>569</v>
      </c>
      <c r="I1760">
        <v>7600000</v>
      </c>
      <c r="J1760">
        <v>3400000</v>
      </c>
      <c r="K1760">
        <v>20100000</v>
      </c>
      <c r="L1760">
        <v>7400000</v>
      </c>
      <c r="M1760" t="s">
        <v>34</v>
      </c>
      <c r="N1760">
        <f t="shared" si="163"/>
        <v>1</v>
      </c>
      <c r="O1760" t="str">
        <f t="shared" si="162"/>
        <v>Low</v>
      </c>
      <c r="P1760" t="str">
        <f t="shared" si="164"/>
        <v>High</v>
      </c>
      <c r="Q1760" t="str">
        <f t="shared" si="165"/>
        <v>High Loan</v>
      </c>
      <c r="R1760">
        <f t="shared" si="166"/>
        <v>38500000</v>
      </c>
      <c r="S1760" t="str">
        <f t="shared" si="167"/>
        <v>Strong</v>
      </c>
    </row>
    <row r="1761" spans="1:19" x14ac:dyDescent="0.25">
      <c r="A1761">
        <v>1760</v>
      </c>
      <c r="B1761">
        <v>1</v>
      </c>
      <c r="C1761" t="s">
        <v>31</v>
      </c>
      <c r="D1761" t="s">
        <v>33</v>
      </c>
      <c r="E1761">
        <v>3100000</v>
      </c>
      <c r="F1761">
        <v>6300000</v>
      </c>
      <c r="G1761">
        <v>20</v>
      </c>
      <c r="H1761">
        <v>867</v>
      </c>
      <c r="I1761">
        <v>1900000</v>
      </c>
      <c r="J1761">
        <v>6100000</v>
      </c>
      <c r="K1761">
        <v>6600000</v>
      </c>
      <c r="L1761">
        <v>4000000</v>
      </c>
      <c r="M1761" t="s">
        <v>34</v>
      </c>
      <c r="N1761">
        <f t="shared" si="163"/>
        <v>1</v>
      </c>
      <c r="O1761" t="str">
        <f t="shared" si="162"/>
        <v>Excellent</v>
      </c>
      <c r="P1761" t="str">
        <f t="shared" si="164"/>
        <v>High</v>
      </c>
      <c r="Q1761" t="str">
        <f t="shared" si="165"/>
        <v>Low Loan</v>
      </c>
      <c r="R1761">
        <f t="shared" si="166"/>
        <v>18600000</v>
      </c>
      <c r="S1761" t="str">
        <f t="shared" si="167"/>
        <v>Strong</v>
      </c>
    </row>
    <row r="1762" spans="1:19" x14ac:dyDescent="0.25">
      <c r="A1762">
        <v>1761</v>
      </c>
      <c r="B1762">
        <v>0</v>
      </c>
      <c r="C1762" t="s">
        <v>31</v>
      </c>
      <c r="D1762" t="s">
        <v>32</v>
      </c>
      <c r="E1762">
        <v>4100000</v>
      </c>
      <c r="F1762">
        <v>14500000</v>
      </c>
      <c r="G1762">
        <v>12</v>
      </c>
      <c r="H1762">
        <v>441</v>
      </c>
      <c r="I1762">
        <v>9900000</v>
      </c>
      <c r="J1762">
        <v>300000</v>
      </c>
      <c r="K1762">
        <v>15700000</v>
      </c>
      <c r="L1762">
        <v>3900000</v>
      </c>
      <c r="M1762" t="s">
        <v>35</v>
      </c>
      <c r="N1762">
        <f t="shared" si="163"/>
        <v>0</v>
      </c>
      <c r="O1762" t="str">
        <f t="shared" si="162"/>
        <v>Low</v>
      </c>
      <c r="P1762" t="str">
        <f t="shared" si="164"/>
        <v>High</v>
      </c>
      <c r="Q1762" t="str">
        <f t="shared" si="165"/>
        <v>Low Loan</v>
      </c>
      <c r="R1762">
        <f t="shared" si="166"/>
        <v>29800000</v>
      </c>
      <c r="S1762" t="str">
        <f t="shared" si="167"/>
        <v>Strong</v>
      </c>
    </row>
    <row r="1763" spans="1:19" x14ac:dyDescent="0.25">
      <c r="A1763">
        <v>1762</v>
      </c>
      <c r="B1763">
        <v>2</v>
      </c>
      <c r="C1763" t="s">
        <v>31</v>
      </c>
      <c r="D1763" t="s">
        <v>33</v>
      </c>
      <c r="E1763">
        <v>9800000</v>
      </c>
      <c r="F1763">
        <v>32700000</v>
      </c>
      <c r="G1763">
        <v>2</v>
      </c>
      <c r="H1763">
        <v>304</v>
      </c>
      <c r="I1763">
        <v>4700000</v>
      </c>
      <c r="J1763">
        <v>19000000</v>
      </c>
      <c r="K1763">
        <v>24500000</v>
      </c>
      <c r="L1763">
        <v>8600000</v>
      </c>
      <c r="M1763" t="s">
        <v>34</v>
      </c>
      <c r="N1763">
        <f t="shared" si="163"/>
        <v>1</v>
      </c>
      <c r="O1763" t="str">
        <f t="shared" si="162"/>
        <v>Low</v>
      </c>
      <c r="P1763" t="str">
        <f t="shared" si="164"/>
        <v>High</v>
      </c>
      <c r="Q1763" t="str">
        <f t="shared" si="165"/>
        <v>High Loan</v>
      </c>
      <c r="R1763">
        <f t="shared" si="166"/>
        <v>56800000</v>
      </c>
      <c r="S1763" t="str">
        <f t="shared" si="167"/>
        <v>Strong</v>
      </c>
    </row>
    <row r="1764" spans="1:19" x14ac:dyDescent="0.25">
      <c r="A1764">
        <v>1763</v>
      </c>
      <c r="B1764">
        <v>5</v>
      </c>
      <c r="C1764" t="s">
        <v>31</v>
      </c>
      <c r="D1764" t="s">
        <v>32</v>
      </c>
      <c r="E1764">
        <v>3300000</v>
      </c>
      <c r="F1764">
        <v>8400000</v>
      </c>
      <c r="G1764">
        <v>18</v>
      </c>
      <c r="H1764">
        <v>520</v>
      </c>
      <c r="I1764">
        <v>500000</v>
      </c>
      <c r="J1764">
        <v>6300000</v>
      </c>
      <c r="K1764">
        <v>11000000</v>
      </c>
      <c r="L1764">
        <v>4000000</v>
      </c>
      <c r="M1764" t="s">
        <v>35</v>
      </c>
      <c r="N1764">
        <f t="shared" si="163"/>
        <v>0</v>
      </c>
      <c r="O1764" t="str">
        <f t="shared" si="162"/>
        <v>Low</v>
      </c>
      <c r="P1764" t="str">
        <f t="shared" si="164"/>
        <v>High</v>
      </c>
      <c r="Q1764" t="str">
        <f t="shared" si="165"/>
        <v>Low Loan</v>
      </c>
      <c r="R1764">
        <f t="shared" si="166"/>
        <v>21800000</v>
      </c>
      <c r="S1764" t="str">
        <f t="shared" si="167"/>
        <v>Strong</v>
      </c>
    </row>
    <row r="1765" spans="1:19" x14ac:dyDescent="0.25">
      <c r="A1765">
        <v>1764</v>
      </c>
      <c r="B1765">
        <v>0</v>
      </c>
      <c r="C1765" t="s">
        <v>30</v>
      </c>
      <c r="D1765" t="s">
        <v>32</v>
      </c>
      <c r="E1765">
        <v>2000000</v>
      </c>
      <c r="F1765">
        <v>6200000</v>
      </c>
      <c r="G1765">
        <v>14</v>
      </c>
      <c r="H1765">
        <v>613</v>
      </c>
      <c r="I1765">
        <v>100000</v>
      </c>
      <c r="J1765">
        <v>1800000</v>
      </c>
      <c r="K1765">
        <v>5400000</v>
      </c>
      <c r="L1765">
        <v>1300000</v>
      </c>
      <c r="M1765" t="s">
        <v>34</v>
      </c>
      <c r="N1765">
        <f t="shared" si="163"/>
        <v>1</v>
      </c>
      <c r="O1765" t="str">
        <f t="shared" si="162"/>
        <v>Low</v>
      </c>
      <c r="P1765" t="str">
        <f t="shared" si="164"/>
        <v>High</v>
      </c>
      <c r="Q1765" t="str">
        <f t="shared" si="165"/>
        <v>Low Loan</v>
      </c>
      <c r="R1765">
        <f t="shared" si="166"/>
        <v>8600000</v>
      </c>
      <c r="S1765" t="str">
        <f t="shared" si="167"/>
        <v>Moderate</v>
      </c>
    </row>
    <row r="1766" spans="1:19" x14ac:dyDescent="0.25">
      <c r="A1766">
        <v>1765</v>
      </c>
      <c r="B1766">
        <v>2</v>
      </c>
      <c r="C1766" t="s">
        <v>31</v>
      </c>
      <c r="D1766" t="s">
        <v>33</v>
      </c>
      <c r="E1766">
        <v>600000</v>
      </c>
      <c r="F1766">
        <v>1100000</v>
      </c>
      <c r="G1766">
        <v>8</v>
      </c>
      <c r="H1766">
        <v>885</v>
      </c>
      <c r="I1766">
        <v>700000</v>
      </c>
      <c r="J1766">
        <v>0</v>
      </c>
      <c r="K1766">
        <v>1200000</v>
      </c>
      <c r="L1766">
        <v>300000</v>
      </c>
      <c r="M1766" t="s">
        <v>34</v>
      </c>
      <c r="N1766">
        <f t="shared" si="163"/>
        <v>1</v>
      </c>
      <c r="O1766" t="str">
        <f t="shared" si="162"/>
        <v>Excellent</v>
      </c>
      <c r="P1766" t="str">
        <f t="shared" si="164"/>
        <v>Middle</v>
      </c>
      <c r="Q1766" t="str">
        <f t="shared" si="165"/>
        <v>Low Loan</v>
      </c>
      <c r="R1766">
        <f t="shared" si="166"/>
        <v>2200000</v>
      </c>
      <c r="S1766" t="str">
        <f t="shared" si="167"/>
        <v>Weak</v>
      </c>
    </row>
    <row r="1767" spans="1:19" x14ac:dyDescent="0.25">
      <c r="A1767">
        <v>1766</v>
      </c>
      <c r="B1767">
        <v>4</v>
      </c>
      <c r="C1767" t="s">
        <v>31</v>
      </c>
      <c r="D1767" t="s">
        <v>33</v>
      </c>
      <c r="E1767">
        <v>3600000</v>
      </c>
      <c r="F1767">
        <v>9500000</v>
      </c>
      <c r="G1767">
        <v>2</v>
      </c>
      <c r="H1767">
        <v>841</v>
      </c>
      <c r="I1767">
        <v>4900000</v>
      </c>
      <c r="J1767">
        <v>4400000</v>
      </c>
      <c r="K1767">
        <v>13500000</v>
      </c>
      <c r="L1767">
        <v>2100000</v>
      </c>
      <c r="M1767" t="s">
        <v>34</v>
      </c>
      <c r="N1767">
        <f t="shared" si="163"/>
        <v>1</v>
      </c>
      <c r="O1767" t="str">
        <f t="shared" si="162"/>
        <v>Excellent</v>
      </c>
      <c r="P1767" t="str">
        <f t="shared" si="164"/>
        <v>High</v>
      </c>
      <c r="Q1767" t="str">
        <f t="shared" si="165"/>
        <v>Low Loan</v>
      </c>
      <c r="R1767">
        <f t="shared" si="166"/>
        <v>24900000</v>
      </c>
      <c r="S1767" t="str">
        <f t="shared" si="167"/>
        <v>Strong</v>
      </c>
    </row>
    <row r="1768" spans="1:19" x14ac:dyDescent="0.25">
      <c r="A1768">
        <v>1767</v>
      </c>
      <c r="B1768">
        <v>2</v>
      </c>
      <c r="C1768" t="s">
        <v>31</v>
      </c>
      <c r="D1768" t="s">
        <v>32</v>
      </c>
      <c r="E1768">
        <v>7500000</v>
      </c>
      <c r="F1768">
        <v>29100000</v>
      </c>
      <c r="G1768">
        <v>20</v>
      </c>
      <c r="H1768">
        <v>815</v>
      </c>
      <c r="I1768">
        <v>12400000</v>
      </c>
      <c r="J1768">
        <v>9500000</v>
      </c>
      <c r="K1768">
        <v>25300000</v>
      </c>
      <c r="L1768">
        <v>9100000</v>
      </c>
      <c r="M1768" t="s">
        <v>34</v>
      </c>
      <c r="N1768">
        <f t="shared" si="163"/>
        <v>1</v>
      </c>
      <c r="O1768" t="str">
        <f t="shared" si="162"/>
        <v>Excellent</v>
      </c>
      <c r="P1768" t="str">
        <f t="shared" si="164"/>
        <v>High</v>
      </c>
      <c r="Q1768" t="str">
        <f t="shared" si="165"/>
        <v>High Loan</v>
      </c>
      <c r="R1768">
        <f t="shared" si="166"/>
        <v>56300000</v>
      </c>
      <c r="S1768" t="str">
        <f t="shared" si="167"/>
        <v>Strong</v>
      </c>
    </row>
    <row r="1769" spans="1:19" x14ac:dyDescent="0.25">
      <c r="A1769">
        <v>1768</v>
      </c>
      <c r="B1769">
        <v>5</v>
      </c>
      <c r="C1769" t="s">
        <v>30</v>
      </c>
      <c r="D1769" t="s">
        <v>33</v>
      </c>
      <c r="E1769">
        <v>200000</v>
      </c>
      <c r="F1769">
        <v>400000</v>
      </c>
      <c r="G1769">
        <v>18</v>
      </c>
      <c r="H1769">
        <v>822</v>
      </c>
      <c r="I1769">
        <v>200000</v>
      </c>
      <c r="J1769">
        <v>300000</v>
      </c>
      <c r="K1769">
        <v>600000</v>
      </c>
      <c r="L1769">
        <v>300000</v>
      </c>
      <c r="M1769" t="s">
        <v>34</v>
      </c>
      <c r="N1769">
        <f t="shared" si="163"/>
        <v>1</v>
      </c>
      <c r="O1769" t="str">
        <f t="shared" si="162"/>
        <v>Excellent</v>
      </c>
      <c r="P1769" t="str">
        <f t="shared" si="164"/>
        <v>Low</v>
      </c>
      <c r="Q1769" t="str">
        <f t="shared" si="165"/>
        <v>Low Loan</v>
      </c>
      <c r="R1769">
        <f t="shared" si="166"/>
        <v>1400000</v>
      </c>
      <c r="S1769" t="str">
        <f t="shared" si="167"/>
        <v>Weak</v>
      </c>
    </row>
    <row r="1770" spans="1:19" x14ac:dyDescent="0.25">
      <c r="A1770">
        <v>1769</v>
      </c>
      <c r="B1770">
        <v>4</v>
      </c>
      <c r="C1770" t="s">
        <v>31</v>
      </c>
      <c r="D1770" t="s">
        <v>32</v>
      </c>
      <c r="E1770">
        <v>9900000</v>
      </c>
      <c r="F1770">
        <v>29100000</v>
      </c>
      <c r="G1770">
        <v>18</v>
      </c>
      <c r="H1770">
        <v>772</v>
      </c>
      <c r="I1770">
        <v>24100000</v>
      </c>
      <c r="J1770">
        <v>19400000</v>
      </c>
      <c r="K1770">
        <v>26800000</v>
      </c>
      <c r="L1770">
        <v>11700000</v>
      </c>
      <c r="M1770" t="s">
        <v>34</v>
      </c>
      <c r="N1770">
        <f t="shared" si="163"/>
        <v>1</v>
      </c>
      <c r="O1770" t="str">
        <f t="shared" si="162"/>
        <v>Excellent</v>
      </c>
      <c r="P1770" t="str">
        <f t="shared" si="164"/>
        <v>High</v>
      </c>
      <c r="Q1770" t="str">
        <f t="shared" si="165"/>
        <v>High Loan</v>
      </c>
      <c r="R1770">
        <f t="shared" si="166"/>
        <v>82000000</v>
      </c>
      <c r="S1770" t="str">
        <f t="shared" si="167"/>
        <v>Strong</v>
      </c>
    </row>
    <row r="1771" spans="1:19" x14ac:dyDescent="0.25">
      <c r="A1771">
        <v>1770</v>
      </c>
      <c r="B1771">
        <v>5</v>
      </c>
      <c r="C1771" t="s">
        <v>30</v>
      </c>
      <c r="D1771" t="s">
        <v>33</v>
      </c>
      <c r="E1771">
        <v>6100000</v>
      </c>
      <c r="F1771">
        <v>22500000</v>
      </c>
      <c r="G1771">
        <v>6</v>
      </c>
      <c r="H1771">
        <v>776</v>
      </c>
      <c r="I1771">
        <v>17600000</v>
      </c>
      <c r="J1771">
        <v>9900000</v>
      </c>
      <c r="K1771">
        <v>13800000</v>
      </c>
      <c r="L1771">
        <v>4800000</v>
      </c>
      <c r="M1771" t="s">
        <v>34</v>
      </c>
      <c r="N1771">
        <f t="shared" si="163"/>
        <v>1</v>
      </c>
      <c r="O1771" t="str">
        <f t="shared" si="162"/>
        <v>Excellent</v>
      </c>
      <c r="P1771" t="str">
        <f t="shared" si="164"/>
        <v>High</v>
      </c>
      <c r="Q1771" t="str">
        <f t="shared" si="165"/>
        <v>High Loan</v>
      </c>
      <c r="R1771">
        <f t="shared" si="166"/>
        <v>46100000</v>
      </c>
      <c r="S1771" t="str">
        <f t="shared" si="167"/>
        <v>Strong</v>
      </c>
    </row>
    <row r="1772" spans="1:19" x14ac:dyDescent="0.25">
      <c r="A1772">
        <v>1771</v>
      </c>
      <c r="B1772">
        <v>4</v>
      </c>
      <c r="C1772" t="s">
        <v>31</v>
      </c>
      <c r="D1772" t="s">
        <v>33</v>
      </c>
      <c r="E1772">
        <v>3500000</v>
      </c>
      <c r="F1772">
        <v>10300000</v>
      </c>
      <c r="G1772">
        <v>10</v>
      </c>
      <c r="H1772">
        <v>337</v>
      </c>
      <c r="I1772">
        <v>9000000</v>
      </c>
      <c r="J1772">
        <v>5600000</v>
      </c>
      <c r="K1772">
        <v>10500000</v>
      </c>
      <c r="L1772">
        <v>4500000</v>
      </c>
      <c r="M1772" t="s">
        <v>35</v>
      </c>
      <c r="N1772">
        <f t="shared" si="163"/>
        <v>0</v>
      </c>
      <c r="O1772" t="str">
        <f t="shared" si="162"/>
        <v>Low</v>
      </c>
      <c r="P1772" t="str">
        <f t="shared" si="164"/>
        <v>High</v>
      </c>
      <c r="Q1772" t="str">
        <f t="shared" si="165"/>
        <v>Low Loan</v>
      </c>
      <c r="R1772">
        <f t="shared" si="166"/>
        <v>29600000</v>
      </c>
      <c r="S1772" t="str">
        <f t="shared" si="167"/>
        <v>Strong</v>
      </c>
    </row>
    <row r="1773" spans="1:19" x14ac:dyDescent="0.25">
      <c r="A1773">
        <v>1772</v>
      </c>
      <c r="B1773">
        <v>0</v>
      </c>
      <c r="C1773" t="s">
        <v>31</v>
      </c>
      <c r="D1773" t="s">
        <v>33</v>
      </c>
      <c r="E1773">
        <v>7800000</v>
      </c>
      <c r="F1773">
        <v>19000000</v>
      </c>
      <c r="G1773">
        <v>12</v>
      </c>
      <c r="H1773">
        <v>333</v>
      </c>
      <c r="I1773">
        <v>15400000</v>
      </c>
      <c r="J1773">
        <v>14900000</v>
      </c>
      <c r="K1773">
        <v>30600000</v>
      </c>
      <c r="L1773">
        <v>9600000</v>
      </c>
      <c r="M1773" t="s">
        <v>35</v>
      </c>
      <c r="N1773">
        <f t="shared" si="163"/>
        <v>0</v>
      </c>
      <c r="O1773" t="str">
        <f t="shared" si="162"/>
        <v>Low</v>
      </c>
      <c r="P1773" t="str">
        <f t="shared" si="164"/>
        <v>High</v>
      </c>
      <c r="Q1773" t="str">
        <f t="shared" si="165"/>
        <v>Low Loan</v>
      </c>
      <c r="R1773">
        <f t="shared" si="166"/>
        <v>70500000</v>
      </c>
      <c r="S1773" t="str">
        <f t="shared" si="167"/>
        <v>Strong</v>
      </c>
    </row>
    <row r="1774" spans="1:19" x14ac:dyDescent="0.25">
      <c r="A1774">
        <v>1773</v>
      </c>
      <c r="B1774">
        <v>3</v>
      </c>
      <c r="C1774" t="s">
        <v>31</v>
      </c>
      <c r="D1774" t="s">
        <v>33</v>
      </c>
      <c r="E1774">
        <v>8700000</v>
      </c>
      <c r="F1774">
        <v>29300000</v>
      </c>
      <c r="G1774">
        <v>4</v>
      </c>
      <c r="H1774">
        <v>312</v>
      </c>
      <c r="I1774">
        <v>9000000</v>
      </c>
      <c r="J1774">
        <v>2800000</v>
      </c>
      <c r="K1774">
        <v>30000000</v>
      </c>
      <c r="L1774">
        <v>4900000</v>
      </c>
      <c r="M1774" t="s">
        <v>34</v>
      </c>
      <c r="N1774">
        <f t="shared" si="163"/>
        <v>1</v>
      </c>
      <c r="O1774" t="str">
        <f t="shared" si="162"/>
        <v>Low</v>
      </c>
      <c r="P1774" t="str">
        <f t="shared" si="164"/>
        <v>High</v>
      </c>
      <c r="Q1774" t="str">
        <f t="shared" si="165"/>
        <v>High Loan</v>
      </c>
      <c r="R1774">
        <f t="shared" si="166"/>
        <v>46700000</v>
      </c>
      <c r="S1774" t="str">
        <f t="shared" si="167"/>
        <v>Strong</v>
      </c>
    </row>
    <row r="1775" spans="1:19" x14ac:dyDescent="0.25">
      <c r="A1775">
        <v>1774</v>
      </c>
      <c r="B1775">
        <v>2</v>
      </c>
      <c r="C1775" t="s">
        <v>30</v>
      </c>
      <c r="D1775" t="s">
        <v>33</v>
      </c>
      <c r="E1775">
        <v>5500000</v>
      </c>
      <c r="F1775">
        <v>12400000</v>
      </c>
      <c r="G1775">
        <v>14</v>
      </c>
      <c r="H1775">
        <v>842</v>
      </c>
      <c r="I1775">
        <v>-100000</v>
      </c>
      <c r="J1775">
        <v>6800000</v>
      </c>
      <c r="K1775">
        <v>15800000</v>
      </c>
      <c r="L1775">
        <v>5800000</v>
      </c>
      <c r="M1775" t="s">
        <v>34</v>
      </c>
      <c r="N1775">
        <f t="shared" si="163"/>
        <v>1</v>
      </c>
      <c r="O1775" t="str">
        <f t="shared" si="162"/>
        <v>Excellent</v>
      </c>
      <c r="P1775" t="str">
        <f t="shared" si="164"/>
        <v>High</v>
      </c>
      <c r="Q1775" t="str">
        <f t="shared" si="165"/>
        <v>Low Loan</v>
      </c>
      <c r="R1775">
        <f t="shared" si="166"/>
        <v>28300000</v>
      </c>
      <c r="S1775" t="str">
        <f t="shared" si="167"/>
        <v>Strong</v>
      </c>
    </row>
    <row r="1776" spans="1:19" x14ac:dyDescent="0.25">
      <c r="A1776">
        <v>1775</v>
      </c>
      <c r="B1776">
        <v>3</v>
      </c>
      <c r="C1776" t="s">
        <v>30</v>
      </c>
      <c r="D1776" t="s">
        <v>33</v>
      </c>
      <c r="E1776">
        <v>1800000</v>
      </c>
      <c r="F1776">
        <v>5100000</v>
      </c>
      <c r="G1776">
        <v>8</v>
      </c>
      <c r="H1776">
        <v>790</v>
      </c>
      <c r="I1776">
        <v>100000</v>
      </c>
      <c r="J1776">
        <v>0</v>
      </c>
      <c r="K1776">
        <v>3700000</v>
      </c>
      <c r="L1776">
        <v>2000000</v>
      </c>
      <c r="M1776" t="s">
        <v>34</v>
      </c>
      <c r="N1776">
        <f t="shared" si="163"/>
        <v>1</v>
      </c>
      <c r="O1776" t="str">
        <f t="shared" si="162"/>
        <v>Excellent</v>
      </c>
      <c r="P1776" t="str">
        <f t="shared" si="164"/>
        <v>High</v>
      </c>
      <c r="Q1776" t="str">
        <f t="shared" si="165"/>
        <v>Low Loan</v>
      </c>
      <c r="R1776">
        <f t="shared" si="166"/>
        <v>5800000</v>
      </c>
      <c r="S1776" t="str">
        <f t="shared" si="167"/>
        <v>Moderate</v>
      </c>
    </row>
    <row r="1777" spans="1:19" x14ac:dyDescent="0.25">
      <c r="A1777">
        <v>1776</v>
      </c>
      <c r="B1777">
        <v>2</v>
      </c>
      <c r="C1777" t="s">
        <v>30</v>
      </c>
      <c r="D1777" t="s">
        <v>32</v>
      </c>
      <c r="E1777">
        <v>8000000</v>
      </c>
      <c r="F1777">
        <v>31900000</v>
      </c>
      <c r="G1777">
        <v>16</v>
      </c>
      <c r="H1777">
        <v>806</v>
      </c>
      <c r="I1777">
        <v>19900000</v>
      </c>
      <c r="J1777">
        <v>1800000</v>
      </c>
      <c r="K1777">
        <v>23200000</v>
      </c>
      <c r="L1777">
        <v>5400000</v>
      </c>
      <c r="M1777" t="s">
        <v>34</v>
      </c>
      <c r="N1777">
        <f t="shared" si="163"/>
        <v>1</v>
      </c>
      <c r="O1777" t="str">
        <f t="shared" si="162"/>
        <v>Excellent</v>
      </c>
      <c r="P1777" t="str">
        <f t="shared" si="164"/>
        <v>High</v>
      </c>
      <c r="Q1777" t="str">
        <f t="shared" si="165"/>
        <v>High Loan</v>
      </c>
      <c r="R1777">
        <f t="shared" si="166"/>
        <v>50300000</v>
      </c>
      <c r="S1777" t="str">
        <f t="shared" si="167"/>
        <v>Strong</v>
      </c>
    </row>
    <row r="1778" spans="1:19" x14ac:dyDescent="0.25">
      <c r="A1778">
        <v>1777</v>
      </c>
      <c r="B1778">
        <v>5</v>
      </c>
      <c r="C1778" t="s">
        <v>31</v>
      </c>
      <c r="D1778" t="s">
        <v>33</v>
      </c>
      <c r="E1778">
        <v>7500000</v>
      </c>
      <c r="F1778">
        <v>17000000</v>
      </c>
      <c r="G1778">
        <v>8</v>
      </c>
      <c r="H1778">
        <v>300</v>
      </c>
      <c r="I1778">
        <v>7800000</v>
      </c>
      <c r="J1778">
        <v>8300000</v>
      </c>
      <c r="K1778">
        <v>18900000</v>
      </c>
      <c r="L1778">
        <v>6700000</v>
      </c>
      <c r="M1778" t="s">
        <v>35</v>
      </c>
      <c r="N1778">
        <f t="shared" si="163"/>
        <v>0</v>
      </c>
      <c r="O1778" t="str">
        <f t="shared" si="162"/>
        <v>Low</v>
      </c>
      <c r="P1778" t="str">
        <f t="shared" si="164"/>
        <v>High</v>
      </c>
      <c r="Q1778" t="str">
        <f t="shared" si="165"/>
        <v>Low Loan</v>
      </c>
      <c r="R1778">
        <f t="shared" si="166"/>
        <v>41700000</v>
      </c>
      <c r="S1778" t="str">
        <f t="shared" si="167"/>
        <v>Strong</v>
      </c>
    </row>
    <row r="1779" spans="1:19" x14ac:dyDescent="0.25">
      <c r="A1779">
        <v>1778</v>
      </c>
      <c r="B1779">
        <v>5</v>
      </c>
      <c r="C1779" t="s">
        <v>30</v>
      </c>
      <c r="D1779" t="s">
        <v>33</v>
      </c>
      <c r="E1779">
        <v>3700000</v>
      </c>
      <c r="F1779">
        <v>12000000</v>
      </c>
      <c r="G1779">
        <v>12</v>
      </c>
      <c r="H1779">
        <v>605</v>
      </c>
      <c r="I1779">
        <v>4900000</v>
      </c>
      <c r="J1779">
        <v>1800000</v>
      </c>
      <c r="K1779">
        <v>13200000</v>
      </c>
      <c r="L1779">
        <v>3100000</v>
      </c>
      <c r="M1779" t="s">
        <v>34</v>
      </c>
      <c r="N1779">
        <f t="shared" si="163"/>
        <v>1</v>
      </c>
      <c r="O1779" t="str">
        <f t="shared" si="162"/>
        <v>Low</v>
      </c>
      <c r="P1779" t="str">
        <f t="shared" si="164"/>
        <v>High</v>
      </c>
      <c r="Q1779" t="str">
        <f t="shared" si="165"/>
        <v>Low Loan</v>
      </c>
      <c r="R1779">
        <f t="shared" si="166"/>
        <v>23000000</v>
      </c>
      <c r="S1779" t="str">
        <f t="shared" si="167"/>
        <v>Strong</v>
      </c>
    </row>
    <row r="1780" spans="1:19" x14ac:dyDescent="0.25">
      <c r="A1780">
        <v>1779</v>
      </c>
      <c r="B1780">
        <v>2</v>
      </c>
      <c r="C1780" t="s">
        <v>30</v>
      </c>
      <c r="D1780" t="s">
        <v>33</v>
      </c>
      <c r="E1780">
        <v>1600000</v>
      </c>
      <c r="F1780">
        <v>4700000</v>
      </c>
      <c r="G1780">
        <v>12</v>
      </c>
      <c r="H1780">
        <v>582</v>
      </c>
      <c r="I1780">
        <v>1500000</v>
      </c>
      <c r="J1780">
        <v>1300000</v>
      </c>
      <c r="K1780">
        <v>5200000</v>
      </c>
      <c r="L1780">
        <v>1000000</v>
      </c>
      <c r="M1780" t="s">
        <v>34</v>
      </c>
      <c r="N1780">
        <f t="shared" si="163"/>
        <v>1</v>
      </c>
      <c r="O1780" t="str">
        <f t="shared" si="162"/>
        <v>Low</v>
      </c>
      <c r="P1780" t="str">
        <f t="shared" si="164"/>
        <v>High</v>
      </c>
      <c r="Q1780" t="str">
        <f t="shared" si="165"/>
        <v>Low Loan</v>
      </c>
      <c r="R1780">
        <f t="shared" si="166"/>
        <v>9000000</v>
      </c>
      <c r="S1780" t="str">
        <f t="shared" si="167"/>
        <v>Moderate</v>
      </c>
    </row>
    <row r="1781" spans="1:19" x14ac:dyDescent="0.25">
      <c r="A1781">
        <v>1780</v>
      </c>
      <c r="B1781">
        <v>5</v>
      </c>
      <c r="C1781" t="s">
        <v>30</v>
      </c>
      <c r="D1781" t="s">
        <v>32</v>
      </c>
      <c r="E1781">
        <v>1300000</v>
      </c>
      <c r="F1781">
        <v>2700000</v>
      </c>
      <c r="G1781">
        <v>6</v>
      </c>
      <c r="H1781">
        <v>607</v>
      </c>
      <c r="I1781">
        <v>800000</v>
      </c>
      <c r="J1781">
        <v>1500000</v>
      </c>
      <c r="K1781">
        <v>4700000</v>
      </c>
      <c r="L1781">
        <v>1600000</v>
      </c>
      <c r="M1781" t="s">
        <v>34</v>
      </c>
      <c r="N1781">
        <f t="shared" si="163"/>
        <v>1</v>
      </c>
      <c r="O1781" t="str">
        <f t="shared" si="162"/>
        <v>Low</v>
      </c>
      <c r="P1781" t="str">
        <f t="shared" si="164"/>
        <v>High</v>
      </c>
      <c r="Q1781" t="str">
        <f t="shared" si="165"/>
        <v>Low Loan</v>
      </c>
      <c r="R1781">
        <f t="shared" si="166"/>
        <v>8600000</v>
      </c>
      <c r="S1781" t="str">
        <f t="shared" si="167"/>
        <v>Moderate</v>
      </c>
    </row>
    <row r="1782" spans="1:19" x14ac:dyDescent="0.25">
      <c r="A1782">
        <v>1781</v>
      </c>
      <c r="B1782">
        <v>5</v>
      </c>
      <c r="C1782" t="s">
        <v>30</v>
      </c>
      <c r="D1782" t="s">
        <v>33</v>
      </c>
      <c r="E1782">
        <v>2400000</v>
      </c>
      <c r="F1782">
        <v>8200000</v>
      </c>
      <c r="G1782">
        <v>10</v>
      </c>
      <c r="H1782">
        <v>709</v>
      </c>
      <c r="I1782">
        <v>2100000</v>
      </c>
      <c r="J1782">
        <v>3700000</v>
      </c>
      <c r="K1782">
        <v>8800000</v>
      </c>
      <c r="L1782">
        <v>2800000</v>
      </c>
      <c r="M1782" t="s">
        <v>34</v>
      </c>
      <c r="N1782">
        <f t="shared" si="163"/>
        <v>1</v>
      </c>
      <c r="O1782" t="str">
        <f t="shared" si="162"/>
        <v>Good</v>
      </c>
      <c r="P1782" t="str">
        <f t="shared" si="164"/>
        <v>High</v>
      </c>
      <c r="Q1782" t="str">
        <f t="shared" si="165"/>
        <v>Low Loan</v>
      </c>
      <c r="R1782">
        <f t="shared" si="166"/>
        <v>17400000</v>
      </c>
      <c r="S1782" t="str">
        <f t="shared" si="167"/>
        <v>Strong</v>
      </c>
    </row>
    <row r="1783" spans="1:19" x14ac:dyDescent="0.25">
      <c r="A1783">
        <v>1782</v>
      </c>
      <c r="B1783">
        <v>4</v>
      </c>
      <c r="C1783" t="s">
        <v>30</v>
      </c>
      <c r="D1783" t="s">
        <v>33</v>
      </c>
      <c r="E1783">
        <v>4100000</v>
      </c>
      <c r="F1783">
        <v>11600000</v>
      </c>
      <c r="G1783">
        <v>14</v>
      </c>
      <c r="H1783">
        <v>854</v>
      </c>
      <c r="I1783">
        <v>500000</v>
      </c>
      <c r="J1783">
        <v>6900000</v>
      </c>
      <c r="K1783">
        <v>12700000</v>
      </c>
      <c r="L1783">
        <v>5700000</v>
      </c>
      <c r="M1783" t="s">
        <v>34</v>
      </c>
      <c r="N1783">
        <f t="shared" si="163"/>
        <v>1</v>
      </c>
      <c r="O1783" t="str">
        <f t="shared" si="162"/>
        <v>Excellent</v>
      </c>
      <c r="P1783" t="str">
        <f t="shared" si="164"/>
        <v>High</v>
      </c>
      <c r="Q1783" t="str">
        <f t="shared" si="165"/>
        <v>Low Loan</v>
      </c>
      <c r="R1783">
        <f t="shared" si="166"/>
        <v>25800000</v>
      </c>
      <c r="S1783" t="str">
        <f t="shared" si="167"/>
        <v>Strong</v>
      </c>
    </row>
    <row r="1784" spans="1:19" x14ac:dyDescent="0.25">
      <c r="A1784">
        <v>1783</v>
      </c>
      <c r="B1784">
        <v>2</v>
      </c>
      <c r="C1784" t="s">
        <v>31</v>
      </c>
      <c r="D1784" t="s">
        <v>33</v>
      </c>
      <c r="E1784">
        <v>7300000</v>
      </c>
      <c r="F1784">
        <v>15200000</v>
      </c>
      <c r="G1784">
        <v>20</v>
      </c>
      <c r="H1784">
        <v>776</v>
      </c>
      <c r="I1784">
        <v>14700000</v>
      </c>
      <c r="J1784">
        <v>9600000</v>
      </c>
      <c r="K1784">
        <v>26400000</v>
      </c>
      <c r="L1784">
        <v>4100000</v>
      </c>
      <c r="M1784" t="s">
        <v>34</v>
      </c>
      <c r="N1784">
        <f t="shared" si="163"/>
        <v>1</v>
      </c>
      <c r="O1784" t="str">
        <f t="shared" si="162"/>
        <v>Excellent</v>
      </c>
      <c r="P1784" t="str">
        <f t="shared" si="164"/>
        <v>High</v>
      </c>
      <c r="Q1784" t="str">
        <f t="shared" si="165"/>
        <v>Low Loan</v>
      </c>
      <c r="R1784">
        <f t="shared" si="166"/>
        <v>54800000</v>
      </c>
      <c r="S1784" t="str">
        <f t="shared" si="167"/>
        <v>Strong</v>
      </c>
    </row>
    <row r="1785" spans="1:19" x14ac:dyDescent="0.25">
      <c r="A1785">
        <v>1784</v>
      </c>
      <c r="B1785">
        <v>1</v>
      </c>
      <c r="C1785" t="s">
        <v>30</v>
      </c>
      <c r="D1785" t="s">
        <v>33</v>
      </c>
      <c r="E1785">
        <v>8000000</v>
      </c>
      <c r="F1785">
        <v>24600000</v>
      </c>
      <c r="G1785">
        <v>12</v>
      </c>
      <c r="H1785">
        <v>649</v>
      </c>
      <c r="I1785">
        <v>10800000</v>
      </c>
      <c r="J1785">
        <v>1600000</v>
      </c>
      <c r="K1785">
        <v>21800000</v>
      </c>
      <c r="L1785">
        <v>9200000</v>
      </c>
      <c r="M1785" t="s">
        <v>34</v>
      </c>
      <c r="N1785">
        <f t="shared" si="163"/>
        <v>1</v>
      </c>
      <c r="O1785" t="str">
        <f t="shared" si="162"/>
        <v>Low</v>
      </c>
      <c r="P1785" t="str">
        <f t="shared" si="164"/>
        <v>High</v>
      </c>
      <c r="Q1785" t="str">
        <f t="shared" si="165"/>
        <v>High Loan</v>
      </c>
      <c r="R1785">
        <f t="shared" si="166"/>
        <v>43400000</v>
      </c>
      <c r="S1785" t="str">
        <f t="shared" si="167"/>
        <v>Strong</v>
      </c>
    </row>
    <row r="1786" spans="1:19" x14ac:dyDescent="0.25">
      <c r="A1786">
        <v>1785</v>
      </c>
      <c r="B1786">
        <v>3</v>
      </c>
      <c r="C1786" t="s">
        <v>31</v>
      </c>
      <c r="D1786" t="s">
        <v>32</v>
      </c>
      <c r="E1786">
        <v>7900000</v>
      </c>
      <c r="F1786">
        <v>28000000</v>
      </c>
      <c r="G1786">
        <v>4</v>
      </c>
      <c r="H1786">
        <v>394</v>
      </c>
      <c r="I1786">
        <v>22800000</v>
      </c>
      <c r="J1786">
        <v>13200000</v>
      </c>
      <c r="K1786">
        <v>18200000</v>
      </c>
      <c r="L1786">
        <v>3900000</v>
      </c>
      <c r="M1786" t="s">
        <v>34</v>
      </c>
      <c r="N1786">
        <f t="shared" si="163"/>
        <v>1</v>
      </c>
      <c r="O1786" t="str">
        <f t="shared" si="162"/>
        <v>Low</v>
      </c>
      <c r="P1786" t="str">
        <f t="shared" si="164"/>
        <v>High</v>
      </c>
      <c r="Q1786" t="str">
        <f t="shared" si="165"/>
        <v>High Loan</v>
      </c>
      <c r="R1786">
        <f t="shared" si="166"/>
        <v>58100000</v>
      </c>
      <c r="S1786" t="str">
        <f t="shared" si="167"/>
        <v>Strong</v>
      </c>
    </row>
    <row r="1787" spans="1:19" x14ac:dyDescent="0.25">
      <c r="A1787">
        <v>1786</v>
      </c>
      <c r="B1787">
        <v>4</v>
      </c>
      <c r="C1787" t="s">
        <v>31</v>
      </c>
      <c r="D1787" t="s">
        <v>32</v>
      </c>
      <c r="E1787">
        <v>7200000</v>
      </c>
      <c r="F1787">
        <v>18900000</v>
      </c>
      <c r="G1787">
        <v>16</v>
      </c>
      <c r="H1787">
        <v>371</v>
      </c>
      <c r="I1787">
        <v>6600000</v>
      </c>
      <c r="J1787">
        <v>14100000</v>
      </c>
      <c r="K1787">
        <v>18900000</v>
      </c>
      <c r="L1787">
        <v>4900000</v>
      </c>
      <c r="M1787" t="s">
        <v>35</v>
      </c>
      <c r="N1787">
        <f t="shared" si="163"/>
        <v>0</v>
      </c>
      <c r="O1787" t="str">
        <f t="shared" si="162"/>
        <v>Low</v>
      </c>
      <c r="P1787" t="str">
        <f t="shared" si="164"/>
        <v>High</v>
      </c>
      <c r="Q1787" t="str">
        <f t="shared" si="165"/>
        <v>Low Loan</v>
      </c>
      <c r="R1787">
        <f t="shared" si="166"/>
        <v>44500000</v>
      </c>
      <c r="S1787" t="str">
        <f t="shared" si="167"/>
        <v>Strong</v>
      </c>
    </row>
    <row r="1788" spans="1:19" x14ac:dyDescent="0.25">
      <c r="A1788">
        <v>1787</v>
      </c>
      <c r="B1788">
        <v>3</v>
      </c>
      <c r="C1788" t="s">
        <v>31</v>
      </c>
      <c r="D1788" t="s">
        <v>32</v>
      </c>
      <c r="E1788">
        <v>6200000</v>
      </c>
      <c r="F1788">
        <v>13200000</v>
      </c>
      <c r="G1788">
        <v>14</v>
      </c>
      <c r="H1788">
        <v>707</v>
      </c>
      <c r="I1788">
        <v>17200000</v>
      </c>
      <c r="J1788">
        <v>8900000</v>
      </c>
      <c r="K1788">
        <v>23100000</v>
      </c>
      <c r="L1788">
        <v>4200000</v>
      </c>
      <c r="M1788" t="s">
        <v>34</v>
      </c>
      <c r="N1788">
        <f t="shared" si="163"/>
        <v>1</v>
      </c>
      <c r="O1788" t="str">
        <f t="shared" si="162"/>
        <v>Good</v>
      </c>
      <c r="P1788" t="str">
        <f t="shared" si="164"/>
        <v>High</v>
      </c>
      <c r="Q1788" t="str">
        <f t="shared" si="165"/>
        <v>Low Loan</v>
      </c>
      <c r="R1788">
        <f t="shared" si="166"/>
        <v>53400000</v>
      </c>
      <c r="S1788" t="str">
        <f t="shared" si="167"/>
        <v>Strong</v>
      </c>
    </row>
    <row r="1789" spans="1:19" x14ac:dyDescent="0.25">
      <c r="A1789">
        <v>1788</v>
      </c>
      <c r="B1789">
        <v>2</v>
      </c>
      <c r="C1789" t="s">
        <v>31</v>
      </c>
      <c r="D1789" t="s">
        <v>33</v>
      </c>
      <c r="E1789">
        <v>5700000</v>
      </c>
      <c r="F1789">
        <v>18100000</v>
      </c>
      <c r="G1789">
        <v>20</v>
      </c>
      <c r="H1789">
        <v>491</v>
      </c>
      <c r="I1789">
        <v>6800000</v>
      </c>
      <c r="J1789">
        <v>100000</v>
      </c>
      <c r="K1789">
        <v>17700000</v>
      </c>
      <c r="L1789">
        <v>3900000</v>
      </c>
      <c r="M1789" t="s">
        <v>35</v>
      </c>
      <c r="N1789">
        <f t="shared" si="163"/>
        <v>0</v>
      </c>
      <c r="O1789" t="str">
        <f t="shared" si="162"/>
        <v>Low</v>
      </c>
      <c r="P1789" t="str">
        <f t="shared" si="164"/>
        <v>High</v>
      </c>
      <c r="Q1789" t="str">
        <f t="shared" si="165"/>
        <v>Low Loan</v>
      </c>
      <c r="R1789">
        <f t="shared" si="166"/>
        <v>28500000</v>
      </c>
      <c r="S1789" t="str">
        <f t="shared" si="167"/>
        <v>Strong</v>
      </c>
    </row>
    <row r="1790" spans="1:19" x14ac:dyDescent="0.25">
      <c r="A1790">
        <v>1789</v>
      </c>
      <c r="B1790">
        <v>0</v>
      </c>
      <c r="C1790" t="s">
        <v>30</v>
      </c>
      <c r="D1790" t="s">
        <v>33</v>
      </c>
      <c r="E1790">
        <v>5800000</v>
      </c>
      <c r="F1790">
        <v>14100000</v>
      </c>
      <c r="G1790">
        <v>16</v>
      </c>
      <c r="H1790">
        <v>570</v>
      </c>
      <c r="I1790">
        <v>8200000</v>
      </c>
      <c r="J1790">
        <v>4200000</v>
      </c>
      <c r="K1790">
        <v>16400000</v>
      </c>
      <c r="L1790">
        <v>3700000</v>
      </c>
      <c r="M1790" t="s">
        <v>34</v>
      </c>
      <c r="N1790">
        <f t="shared" si="163"/>
        <v>1</v>
      </c>
      <c r="O1790" t="str">
        <f t="shared" si="162"/>
        <v>Low</v>
      </c>
      <c r="P1790" t="str">
        <f t="shared" si="164"/>
        <v>High</v>
      </c>
      <c r="Q1790" t="str">
        <f t="shared" si="165"/>
        <v>Low Loan</v>
      </c>
      <c r="R1790">
        <f t="shared" si="166"/>
        <v>32500000</v>
      </c>
      <c r="S1790" t="str">
        <f t="shared" si="167"/>
        <v>Strong</v>
      </c>
    </row>
    <row r="1791" spans="1:19" x14ac:dyDescent="0.25">
      <c r="A1791">
        <v>1790</v>
      </c>
      <c r="B1791">
        <v>1</v>
      </c>
      <c r="C1791" t="s">
        <v>31</v>
      </c>
      <c r="D1791" t="s">
        <v>32</v>
      </c>
      <c r="E1791">
        <v>900000</v>
      </c>
      <c r="F1791">
        <v>3500000</v>
      </c>
      <c r="G1791">
        <v>18</v>
      </c>
      <c r="H1791">
        <v>395</v>
      </c>
      <c r="I1791">
        <v>2500000</v>
      </c>
      <c r="J1791">
        <v>800000</v>
      </c>
      <c r="K1791">
        <v>3000000</v>
      </c>
      <c r="L1791">
        <v>1300000</v>
      </c>
      <c r="M1791" t="s">
        <v>35</v>
      </c>
      <c r="N1791">
        <f t="shared" si="163"/>
        <v>0</v>
      </c>
      <c r="O1791" t="str">
        <f t="shared" si="162"/>
        <v>Low</v>
      </c>
      <c r="P1791" t="str">
        <f t="shared" si="164"/>
        <v>High</v>
      </c>
      <c r="Q1791" t="str">
        <f t="shared" si="165"/>
        <v>Low Loan</v>
      </c>
      <c r="R1791">
        <f t="shared" si="166"/>
        <v>7600000</v>
      </c>
      <c r="S1791" t="str">
        <f t="shared" si="167"/>
        <v>Moderate</v>
      </c>
    </row>
    <row r="1792" spans="1:19" x14ac:dyDescent="0.25">
      <c r="A1792">
        <v>1791</v>
      </c>
      <c r="B1792">
        <v>0</v>
      </c>
      <c r="C1792" t="s">
        <v>31</v>
      </c>
      <c r="D1792" t="s">
        <v>33</v>
      </c>
      <c r="E1792">
        <v>2200000</v>
      </c>
      <c r="F1792">
        <v>7500000</v>
      </c>
      <c r="G1792">
        <v>10</v>
      </c>
      <c r="H1792">
        <v>497</v>
      </c>
      <c r="I1792">
        <v>2300000</v>
      </c>
      <c r="J1792">
        <v>2100000</v>
      </c>
      <c r="K1792">
        <v>5700000</v>
      </c>
      <c r="L1792">
        <v>1800000</v>
      </c>
      <c r="M1792" t="s">
        <v>35</v>
      </c>
      <c r="N1792">
        <f t="shared" si="163"/>
        <v>0</v>
      </c>
      <c r="O1792" t="str">
        <f t="shared" si="162"/>
        <v>Low</v>
      </c>
      <c r="P1792" t="str">
        <f t="shared" si="164"/>
        <v>High</v>
      </c>
      <c r="Q1792" t="str">
        <f t="shared" si="165"/>
        <v>Low Loan</v>
      </c>
      <c r="R1792">
        <f t="shared" si="166"/>
        <v>11900000</v>
      </c>
      <c r="S1792" t="str">
        <f t="shared" si="167"/>
        <v>Strong</v>
      </c>
    </row>
    <row r="1793" spans="1:19" x14ac:dyDescent="0.25">
      <c r="A1793">
        <v>1792</v>
      </c>
      <c r="B1793">
        <v>3</v>
      </c>
      <c r="C1793" t="s">
        <v>31</v>
      </c>
      <c r="D1793" t="s">
        <v>33</v>
      </c>
      <c r="E1793">
        <v>1800000</v>
      </c>
      <c r="F1793">
        <v>5300000</v>
      </c>
      <c r="G1793">
        <v>14</v>
      </c>
      <c r="H1793">
        <v>440</v>
      </c>
      <c r="I1793">
        <v>2000000</v>
      </c>
      <c r="J1793">
        <v>100000</v>
      </c>
      <c r="K1793">
        <v>3700000</v>
      </c>
      <c r="L1793">
        <v>1000000</v>
      </c>
      <c r="M1793" t="s">
        <v>35</v>
      </c>
      <c r="N1793">
        <f t="shared" si="163"/>
        <v>0</v>
      </c>
      <c r="O1793" t="str">
        <f t="shared" si="162"/>
        <v>Low</v>
      </c>
      <c r="P1793" t="str">
        <f t="shared" si="164"/>
        <v>High</v>
      </c>
      <c r="Q1793" t="str">
        <f t="shared" si="165"/>
        <v>Low Loan</v>
      </c>
      <c r="R1793">
        <f t="shared" si="166"/>
        <v>6800000</v>
      </c>
      <c r="S1793" t="str">
        <f t="shared" si="167"/>
        <v>Moderate</v>
      </c>
    </row>
    <row r="1794" spans="1:19" x14ac:dyDescent="0.25">
      <c r="A1794">
        <v>1793</v>
      </c>
      <c r="B1794">
        <v>0</v>
      </c>
      <c r="C1794" t="s">
        <v>31</v>
      </c>
      <c r="D1794" t="s">
        <v>33</v>
      </c>
      <c r="E1794">
        <v>800000</v>
      </c>
      <c r="F1794">
        <v>2400000</v>
      </c>
      <c r="G1794">
        <v>16</v>
      </c>
      <c r="H1794">
        <v>825</v>
      </c>
      <c r="I1794">
        <v>700000</v>
      </c>
      <c r="J1794">
        <v>0</v>
      </c>
      <c r="K1794">
        <v>3100000</v>
      </c>
      <c r="L1794">
        <v>1100000</v>
      </c>
      <c r="M1794" t="s">
        <v>34</v>
      </c>
      <c r="N1794">
        <f t="shared" si="163"/>
        <v>1</v>
      </c>
      <c r="O1794" t="str">
        <f t="shared" ref="O1794:O1857" si="168">IF(H1794&lt;650,"Low",
 IF(H1794&lt;700,"Medium",
 IF(H1794&lt;750,"Good","Excellent")))</f>
        <v>Excellent</v>
      </c>
      <c r="P1794" t="str">
        <f t="shared" si="164"/>
        <v>High</v>
      </c>
      <c r="Q1794" t="str">
        <f t="shared" si="165"/>
        <v>Low Loan</v>
      </c>
      <c r="R1794">
        <f t="shared" si="166"/>
        <v>4900000</v>
      </c>
      <c r="S1794" t="str">
        <f t="shared" si="167"/>
        <v>Weak</v>
      </c>
    </row>
    <row r="1795" spans="1:19" x14ac:dyDescent="0.25">
      <c r="A1795">
        <v>1794</v>
      </c>
      <c r="B1795">
        <v>2</v>
      </c>
      <c r="C1795" t="s">
        <v>30</v>
      </c>
      <c r="D1795" t="s">
        <v>33</v>
      </c>
      <c r="E1795">
        <v>7600000</v>
      </c>
      <c r="F1795">
        <v>18100000</v>
      </c>
      <c r="G1795">
        <v>14</v>
      </c>
      <c r="H1795">
        <v>320</v>
      </c>
      <c r="I1795">
        <v>14700000</v>
      </c>
      <c r="J1795">
        <v>2600000</v>
      </c>
      <c r="K1795">
        <v>28100000</v>
      </c>
      <c r="L1795">
        <v>8500000</v>
      </c>
      <c r="M1795" t="s">
        <v>35</v>
      </c>
      <c r="N1795">
        <f t="shared" ref="N1795:N1858" si="169">IF(TRIM(CLEAN(M1795))="Approved",1,0)</f>
        <v>0</v>
      </c>
      <c r="O1795" t="str">
        <f t="shared" si="168"/>
        <v>Low</v>
      </c>
      <c r="P1795" t="str">
        <f t="shared" ref="P1795:P1858" si="170">IF(E1795&lt;300000,"Low",
 IF(E1795&lt;700000,"Middle","High"))</f>
        <v>High</v>
      </c>
      <c r="Q1795" t="str">
        <f t="shared" ref="Q1795:Q1858" si="171">IF(F1795&lt;20000000,"Low Loan","High Loan")</f>
        <v>Low Loan</v>
      </c>
      <c r="R1795">
        <f t="shared" ref="R1795:R1858" si="172">I1795+J1795+K1795+L1795</f>
        <v>53900000</v>
      </c>
      <c r="S1795" t="str">
        <f t="shared" ref="S1795:S1858" si="173">IF(R1795&lt;5000000,"Weak",
 IF(R1795&lt;10000000,"Moderate","Strong"))</f>
        <v>Strong</v>
      </c>
    </row>
    <row r="1796" spans="1:19" x14ac:dyDescent="0.25">
      <c r="A1796">
        <v>1795</v>
      </c>
      <c r="B1796">
        <v>2</v>
      </c>
      <c r="C1796" t="s">
        <v>30</v>
      </c>
      <c r="D1796" t="s">
        <v>33</v>
      </c>
      <c r="E1796">
        <v>4100000</v>
      </c>
      <c r="F1796">
        <v>13500000</v>
      </c>
      <c r="G1796">
        <v>4</v>
      </c>
      <c r="H1796">
        <v>846</v>
      </c>
      <c r="I1796">
        <v>8900000</v>
      </c>
      <c r="J1796">
        <v>7800000</v>
      </c>
      <c r="K1796">
        <v>11400000</v>
      </c>
      <c r="L1796">
        <v>2400000</v>
      </c>
      <c r="M1796" t="s">
        <v>34</v>
      </c>
      <c r="N1796">
        <f t="shared" si="169"/>
        <v>1</v>
      </c>
      <c r="O1796" t="str">
        <f t="shared" si="168"/>
        <v>Excellent</v>
      </c>
      <c r="P1796" t="str">
        <f t="shared" si="170"/>
        <v>High</v>
      </c>
      <c r="Q1796" t="str">
        <f t="shared" si="171"/>
        <v>Low Loan</v>
      </c>
      <c r="R1796">
        <f t="shared" si="172"/>
        <v>30500000</v>
      </c>
      <c r="S1796" t="str">
        <f t="shared" si="173"/>
        <v>Strong</v>
      </c>
    </row>
    <row r="1797" spans="1:19" x14ac:dyDescent="0.25">
      <c r="A1797">
        <v>1796</v>
      </c>
      <c r="B1797">
        <v>3</v>
      </c>
      <c r="C1797" t="s">
        <v>30</v>
      </c>
      <c r="D1797" t="s">
        <v>33</v>
      </c>
      <c r="E1797">
        <v>4600000</v>
      </c>
      <c r="F1797">
        <v>10900000</v>
      </c>
      <c r="G1797">
        <v>12</v>
      </c>
      <c r="H1797">
        <v>856</v>
      </c>
      <c r="I1797">
        <v>13500000</v>
      </c>
      <c r="J1797">
        <v>5100000</v>
      </c>
      <c r="K1797">
        <v>9400000</v>
      </c>
      <c r="L1797">
        <v>3300000</v>
      </c>
      <c r="M1797" t="s">
        <v>34</v>
      </c>
      <c r="N1797">
        <f t="shared" si="169"/>
        <v>1</v>
      </c>
      <c r="O1797" t="str">
        <f t="shared" si="168"/>
        <v>Excellent</v>
      </c>
      <c r="P1797" t="str">
        <f t="shared" si="170"/>
        <v>High</v>
      </c>
      <c r="Q1797" t="str">
        <f t="shared" si="171"/>
        <v>Low Loan</v>
      </c>
      <c r="R1797">
        <f t="shared" si="172"/>
        <v>31300000</v>
      </c>
      <c r="S1797" t="str">
        <f t="shared" si="173"/>
        <v>Strong</v>
      </c>
    </row>
    <row r="1798" spans="1:19" x14ac:dyDescent="0.25">
      <c r="A1798">
        <v>1797</v>
      </c>
      <c r="B1798">
        <v>3</v>
      </c>
      <c r="C1798" t="s">
        <v>30</v>
      </c>
      <c r="D1798" t="s">
        <v>32</v>
      </c>
      <c r="E1798">
        <v>2300000</v>
      </c>
      <c r="F1798">
        <v>6800000</v>
      </c>
      <c r="G1798">
        <v>10</v>
      </c>
      <c r="H1798">
        <v>418</v>
      </c>
      <c r="I1798">
        <v>2800000</v>
      </c>
      <c r="J1798">
        <v>2700000</v>
      </c>
      <c r="K1798">
        <v>6300000</v>
      </c>
      <c r="L1798">
        <v>1400000</v>
      </c>
      <c r="M1798" t="s">
        <v>35</v>
      </c>
      <c r="N1798">
        <f t="shared" si="169"/>
        <v>0</v>
      </c>
      <c r="O1798" t="str">
        <f t="shared" si="168"/>
        <v>Low</v>
      </c>
      <c r="P1798" t="str">
        <f t="shared" si="170"/>
        <v>High</v>
      </c>
      <c r="Q1798" t="str">
        <f t="shared" si="171"/>
        <v>Low Loan</v>
      </c>
      <c r="R1798">
        <f t="shared" si="172"/>
        <v>13200000</v>
      </c>
      <c r="S1798" t="str">
        <f t="shared" si="173"/>
        <v>Strong</v>
      </c>
    </row>
    <row r="1799" spans="1:19" x14ac:dyDescent="0.25">
      <c r="A1799">
        <v>1798</v>
      </c>
      <c r="B1799">
        <v>0</v>
      </c>
      <c r="C1799" t="s">
        <v>31</v>
      </c>
      <c r="D1799" t="s">
        <v>33</v>
      </c>
      <c r="E1799">
        <v>8000000</v>
      </c>
      <c r="F1799">
        <v>21100000</v>
      </c>
      <c r="G1799">
        <v>6</v>
      </c>
      <c r="H1799">
        <v>306</v>
      </c>
      <c r="I1799">
        <v>16100000</v>
      </c>
      <c r="J1799">
        <v>11800000</v>
      </c>
      <c r="K1799">
        <v>28200000</v>
      </c>
      <c r="L1799">
        <v>8700000</v>
      </c>
      <c r="M1799" t="s">
        <v>35</v>
      </c>
      <c r="N1799">
        <f t="shared" si="169"/>
        <v>0</v>
      </c>
      <c r="O1799" t="str">
        <f t="shared" si="168"/>
        <v>Low</v>
      </c>
      <c r="P1799" t="str">
        <f t="shared" si="170"/>
        <v>High</v>
      </c>
      <c r="Q1799" t="str">
        <f t="shared" si="171"/>
        <v>High Loan</v>
      </c>
      <c r="R1799">
        <f t="shared" si="172"/>
        <v>64800000</v>
      </c>
      <c r="S1799" t="str">
        <f t="shared" si="173"/>
        <v>Strong</v>
      </c>
    </row>
    <row r="1800" spans="1:19" x14ac:dyDescent="0.25">
      <c r="A1800">
        <v>1799</v>
      </c>
      <c r="B1800">
        <v>2</v>
      </c>
      <c r="C1800" t="s">
        <v>31</v>
      </c>
      <c r="D1800" t="s">
        <v>33</v>
      </c>
      <c r="E1800">
        <v>3800000</v>
      </c>
      <c r="F1800">
        <v>14500000</v>
      </c>
      <c r="G1800">
        <v>16</v>
      </c>
      <c r="H1800">
        <v>567</v>
      </c>
      <c r="I1800">
        <v>2400000</v>
      </c>
      <c r="J1800">
        <v>2600000</v>
      </c>
      <c r="K1800">
        <v>10500000</v>
      </c>
      <c r="L1800">
        <v>3000000</v>
      </c>
      <c r="M1800" t="s">
        <v>34</v>
      </c>
      <c r="N1800">
        <f t="shared" si="169"/>
        <v>1</v>
      </c>
      <c r="O1800" t="str">
        <f t="shared" si="168"/>
        <v>Low</v>
      </c>
      <c r="P1800" t="str">
        <f t="shared" si="170"/>
        <v>High</v>
      </c>
      <c r="Q1800" t="str">
        <f t="shared" si="171"/>
        <v>Low Loan</v>
      </c>
      <c r="R1800">
        <f t="shared" si="172"/>
        <v>18500000</v>
      </c>
      <c r="S1800" t="str">
        <f t="shared" si="173"/>
        <v>Strong</v>
      </c>
    </row>
    <row r="1801" spans="1:19" x14ac:dyDescent="0.25">
      <c r="A1801">
        <v>1800</v>
      </c>
      <c r="B1801">
        <v>2</v>
      </c>
      <c r="C1801" t="s">
        <v>31</v>
      </c>
      <c r="D1801" t="s">
        <v>33</v>
      </c>
      <c r="E1801">
        <v>9500000</v>
      </c>
      <c r="F1801">
        <v>36800000</v>
      </c>
      <c r="G1801">
        <v>6</v>
      </c>
      <c r="H1801">
        <v>493</v>
      </c>
      <c r="I1801">
        <v>24100000</v>
      </c>
      <c r="J1801">
        <v>13800000</v>
      </c>
      <c r="K1801">
        <v>32100000</v>
      </c>
      <c r="L1801">
        <v>6200000</v>
      </c>
      <c r="M1801" t="s">
        <v>35</v>
      </c>
      <c r="N1801">
        <f t="shared" si="169"/>
        <v>0</v>
      </c>
      <c r="O1801" t="str">
        <f t="shared" si="168"/>
        <v>Low</v>
      </c>
      <c r="P1801" t="str">
        <f t="shared" si="170"/>
        <v>High</v>
      </c>
      <c r="Q1801" t="str">
        <f t="shared" si="171"/>
        <v>High Loan</v>
      </c>
      <c r="R1801">
        <f t="shared" si="172"/>
        <v>76200000</v>
      </c>
      <c r="S1801" t="str">
        <f t="shared" si="173"/>
        <v>Strong</v>
      </c>
    </row>
    <row r="1802" spans="1:19" x14ac:dyDescent="0.25">
      <c r="A1802">
        <v>1801</v>
      </c>
      <c r="B1802">
        <v>2</v>
      </c>
      <c r="C1802" t="s">
        <v>30</v>
      </c>
      <c r="D1802" t="s">
        <v>32</v>
      </c>
      <c r="E1802">
        <v>9300000</v>
      </c>
      <c r="F1802">
        <v>21200000</v>
      </c>
      <c r="G1802">
        <v>2</v>
      </c>
      <c r="H1802">
        <v>509</v>
      </c>
      <c r="I1802">
        <v>2800000</v>
      </c>
      <c r="J1802">
        <v>2600000</v>
      </c>
      <c r="K1802">
        <v>35800000</v>
      </c>
      <c r="L1802">
        <v>6600000</v>
      </c>
      <c r="M1802" t="s">
        <v>35</v>
      </c>
      <c r="N1802">
        <f t="shared" si="169"/>
        <v>0</v>
      </c>
      <c r="O1802" t="str">
        <f t="shared" si="168"/>
        <v>Low</v>
      </c>
      <c r="P1802" t="str">
        <f t="shared" si="170"/>
        <v>High</v>
      </c>
      <c r="Q1802" t="str">
        <f t="shared" si="171"/>
        <v>High Loan</v>
      </c>
      <c r="R1802">
        <f t="shared" si="172"/>
        <v>47800000</v>
      </c>
      <c r="S1802" t="str">
        <f t="shared" si="173"/>
        <v>Strong</v>
      </c>
    </row>
    <row r="1803" spans="1:19" x14ac:dyDescent="0.25">
      <c r="A1803">
        <v>1802</v>
      </c>
      <c r="B1803">
        <v>4</v>
      </c>
      <c r="C1803" t="s">
        <v>30</v>
      </c>
      <c r="D1803" t="s">
        <v>32</v>
      </c>
      <c r="E1803">
        <v>4700000</v>
      </c>
      <c r="F1803">
        <v>17000000</v>
      </c>
      <c r="G1803">
        <v>4</v>
      </c>
      <c r="H1803">
        <v>364</v>
      </c>
      <c r="I1803">
        <v>2900000</v>
      </c>
      <c r="J1803">
        <v>4600000</v>
      </c>
      <c r="K1803">
        <v>18800000</v>
      </c>
      <c r="L1803">
        <v>6200000</v>
      </c>
      <c r="M1803" t="s">
        <v>34</v>
      </c>
      <c r="N1803">
        <f t="shared" si="169"/>
        <v>1</v>
      </c>
      <c r="O1803" t="str">
        <f t="shared" si="168"/>
        <v>Low</v>
      </c>
      <c r="P1803" t="str">
        <f t="shared" si="170"/>
        <v>High</v>
      </c>
      <c r="Q1803" t="str">
        <f t="shared" si="171"/>
        <v>Low Loan</v>
      </c>
      <c r="R1803">
        <f t="shared" si="172"/>
        <v>32500000</v>
      </c>
      <c r="S1803" t="str">
        <f t="shared" si="173"/>
        <v>Strong</v>
      </c>
    </row>
    <row r="1804" spans="1:19" x14ac:dyDescent="0.25">
      <c r="A1804">
        <v>1803</v>
      </c>
      <c r="B1804">
        <v>5</v>
      </c>
      <c r="C1804" t="s">
        <v>31</v>
      </c>
      <c r="D1804" t="s">
        <v>32</v>
      </c>
      <c r="E1804">
        <v>6000000</v>
      </c>
      <c r="F1804">
        <v>24000000</v>
      </c>
      <c r="G1804">
        <v>20</v>
      </c>
      <c r="H1804">
        <v>639</v>
      </c>
      <c r="I1804">
        <v>300000</v>
      </c>
      <c r="J1804">
        <v>7300000</v>
      </c>
      <c r="K1804">
        <v>15100000</v>
      </c>
      <c r="L1804">
        <v>6600000</v>
      </c>
      <c r="M1804" t="s">
        <v>34</v>
      </c>
      <c r="N1804">
        <f t="shared" si="169"/>
        <v>1</v>
      </c>
      <c r="O1804" t="str">
        <f t="shared" si="168"/>
        <v>Low</v>
      </c>
      <c r="P1804" t="str">
        <f t="shared" si="170"/>
        <v>High</v>
      </c>
      <c r="Q1804" t="str">
        <f t="shared" si="171"/>
        <v>High Loan</v>
      </c>
      <c r="R1804">
        <f t="shared" si="172"/>
        <v>29300000</v>
      </c>
      <c r="S1804" t="str">
        <f t="shared" si="173"/>
        <v>Strong</v>
      </c>
    </row>
    <row r="1805" spans="1:19" x14ac:dyDescent="0.25">
      <c r="A1805">
        <v>1804</v>
      </c>
      <c r="B1805">
        <v>2</v>
      </c>
      <c r="C1805" t="s">
        <v>30</v>
      </c>
      <c r="D1805" t="s">
        <v>33</v>
      </c>
      <c r="E1805">
        <v>5500000</v>
      </c>
      <c r="F1805">
        <v>21700000</v>
      </c>
      <c r="G1805">
        <v>2</v>
      </c>
      <c r="H1805">
        <v>309</v>
      </c>
      <c r="I1805">
        <v>11800000</v>
      </c>
      <c r="J1805">
        <v>1000000</v>
      </c>
      <c r="K1805">
        <v>21600000</v>
      </c>
      <c r="L1805">
        <v>7600000</v>
      </c>
      <c r="M1805" t="s">
        <v>34</v>
      </c>
      <c r="N1805">
        <f t="shared" si="169"/>
        <v>1</v>
      </c>
      <c r="O1805" t="str">
        <f t="shared" si="168"/>
        <v>Low</v>
      </c>
      <c r="P1805" t="str">
        <f t="shared" si="170"/>
        <v>High</v>
      </c>
      <c r="Q1805" t="str">
        <f t="shared" si="171"/>
        <v>High Loan</v>
      </c>
      <c r="R1805">
        <f t="shared" si="172"/>
        <v>42000000</v>
      </c>
      <c r="S1805" t="str">
        <f t="shared" si="173"/>
        <v>Strong</v>
      </c>
    </row>
    <row r="1806" spans="1:19" x14ac:dyDescent="0.25">
      <c r="A1806">
        <v>1805</v>
      </c>
      <c r="B1806">
        <v>0</v>
      </c>
      <c r="C1806" t="s">
        <v>31</v>
      </c>
      <c r="D1806" t="s">
        <v>33</v>
      </c>
      <c r="E1806">
        <v>4600000</v>
      </c>
      <c r="F1806">
        <v>14800000</v>
      </c>
      <c r="G1806">
        <v>6</v>
      </c>
      <c r="H1806">
        <v>433</v>
      </c>
      <c r="I1806">
        <v>12100000</v>
      </c>
      <c r="J1806">
        <v>4600000</v>
      </c>
      <c r="K1806">
        <v>11100000</v>
      </c>
      <c r="L1806">
        <v>6700000</v>
      </c>
      <c r="M1806" t="s">
        <v>35</v>
      </c>
      <c r="N1806">
        <f t="shared" si="169"/>
        <v>0</v>
      </c>
      <c r="O1806" t="str">
        <f t="shared" si="168"/>
        <v>Low</v>
      </c>
      <c r="P1806" t="str">
        <f t="shared" si="170"/>
        <v>High</v>
      </c>
      <c r="Q1806" t="str">
        <f t="shared" si="171"/>
        <v>Low Loan</v>
      </c>
      <c r="R1806">
        <f t="shared" si="172"/>
        <v>34500000</v>
      </c>
      <c r="S1806" t="str">
        <f t="shared" si="173"/>
        <v>Strong</v>
      </c>
    </row>
    <row r="1807" spans="1:19" x14ac:dyDescent="0.25">
      <c r="A1807">
        <v>1806</v>
      </c>
      <c r="B1807">
        <v>5</v>
      </c>
      <c r="C1807" t="s">
        <v>31</v>
      </c>
      <c r="D1807" t="s">
        <v>32</v>
      </c>
      <c r="E1807">
        <v>9900000</v>
      </c>
      <c r="F1807">
        <v>33600000</v>
      </c>
      <c r="G1807">
        <v>20</v>
      </c>
      <c r="H1807">
        <v>580</v>
      </c>
      <c r="I1807">
        <v>7000000</v>
      </c>
      <c r="J1807">
        <v>10800000</v>
      </c>
      <c r="K1807">
        <v>37400000</v>
      </c>
      <c r="L1807">
        <v>14700000</v>
      </c>
      <c r="M1807" t="s">
        <v>34</v>
      </c>
      <c r="N1807">
        <f t="shared" si="169"/>
        <v>1</v>
      </c>
      <c r="O1807" t="str">
        <f t="shared" si="168"/>
        <v>Low</v>
      </c>
      <c r="P1807" t="str">
        <f t="shared" si="170"/>
        <v>High</v>
      </c>
      <c r="Q1807" t="str">
        <f t="shared" si="171"/>
        <v>High Loan</v>
      </c>
      <c r="R1807">
        <f t="shared" si="172"/>
        <v>69900000</v>
      </c>
      <c r="S1807" t="str">
        <f t="shared" si="173"/>
        <v>Strong</v>
      </c>
    </row>
    <row r="1808" spans="1:19" x14ac:dyDescent="0.25">
      <c r="A1808">
        <v>1807</v>
      </c>
      <c r="B1808">
        <v>1</v>
      </c>
      <c r="C1808" t="s">
        <v>30</v>
      </c>
      <c r="D1808" t="s">
        <v>33</v>
      </c>
      <c r="E1808">
        <v>6200000</v>
      </c>
      <c r="F1808">
        <v>16200000</v>
      </c>
      <c r="G1808">
        <v>4</v>
      </c>
      <c r="H1808">
        <v>888</v>
      </c>
      <c r="I1808">
        <v>-100000</v>
      </c>
      <c r="J1808">
        <v>12000000</v>
      </c>
      <c r="K1808">
        <v>24300000</v>
      </c>
      <c r="L1808">
        <v>4000000</v>
      </c>
      <c r="M1808" t="s">
        <v>34</v>
      </c>
      <c r="N1808">
        <f t="shared" si="169"/>
        <v>1</v>
      </c>
      <c r="O1808" t="str">
        <f t="shared" si="168"/>
        <v>Excellent</v>
      </c>
      <c r="P1808" t="str">
        <f t="shared" si="170"/>
        <v>High</v>
      </c>
      <c r="Q1808" t="str">
        <f t="shared" si="171"/>
        <v>Low Loan</v>
      </c>
      <c r="R1808">
        <f t="shared" si="172"/>
        <v>40200000</v>
      </c>
      <c r="S1808" t="str">
        <f t="shared" si="173"/>
        <v>Strong</v>
      </c>
    </row>
    <row r="1809" spans="1:19" x14ac:dyDescent="0.25">
      <c r="A1809">
        <v>1808</v>
      </c>
      <c r="B1809">
        <v>4</v>
      </c>
      <c r="C1809" t="s">
        <v>31</v>
      </c>
      <c r="D1809" t="s">
        <v>33</v>
      </c>
      <c r="E1809">
        <v>400000</v>
      </c>
      <c r="F1809">
        <v>1100000</v>
      </c>
      <c r="G1809">
        <v>6</v>
      </c>
      <c r="H1809">
        <v>644</v>
      </c>
      <c r="I1809">
        <v>1000000</v>
      </c>
      <c r="J1809">
        <v>300000</v>
      </c>
      <c r="K1809">
        <v>1600000</v>
      </c>
      <c r="L1809">
        <v>400000</v>
      </c>
      <c r="M1809" t="s">
        <v>34</v>
      </c>
      <c r="N1809">
        <f t="shared" si="169"/>
        <v>1</v>
      </c>
      <c r="O1809" t="str">
        <f t="shared" si="168"/>
        <v>Low</v>
      </c>
      <c r="P1809" t="str">
        <f t="shared" si="170"/>
        <v>Middle</v>
      </c>
      <c r="Q1809" t="str">
        <f t="shared" si="171"/>
        <v>Low Loan</v>
      </c>
      <c r="R1809">
        <f t="shared" si="172"/>
        <v>3300000</v>
      </c>
      <c r="S1809" t="str">
        <f t="shared" si="173"/>
        <v>Weak</v>
      </c>
    </row>
    <row r="1810" spans="1:19" x14ac:dyDescent="0.25">
      <c r="A1810">
        <v>1809</v>
      </c>
      <c r="B1810">
        <v>1</v>
      </c>
      <c r="C1810" t="s">
        <v>31</v>
      </c>
      <c r="D1810" t="s">
        <v>33</v>
      </c>
      <c r="E1810">
        <v>7800000</v>
      </c>
      <c r="F1810">
        <v>22200000</v>
      </c>
      <c r="G1810">
        <v>10</v>
      </c>
      <c r="H1810">
        <v>763</v>
      </c>
      <c r="I1810">
        <v>11200000</v>
      </c>
      <c r="J1810">
        <v>1400000</v>
      </c>
      <c r="K1810">
        <v>27000000</v>
      </c>
      <c r="L1810">
        <v>4900000</v>
      </c>
      <c r="M1810" t="s">
        <v>34</v>
      </c>
      <c r="N1810">
        <f t="shared" si="169"/>
        <v>1</v>
      </c>
      <c r="O1810" t="str">
        <f t="shared" si="168"/>
        <v>Excellent</v>
      </c>
      <c r="P1810" t="str">
        <f t="shared" si="170"/>
        <v>High</v>
      </c>
      <c r="Q1810" t="str">
        <f t="shared" si="171"/>
        <v>High Loan</v>
      </c>
      <c r="R1810">
        <f t="shared" si="172"/>
        <v>44500000</v>
      </c>
      <c r="S1810" t="str">
        <f t="shared" si="173"/>
        <v>Strong</v>
      </c>
    </row>
    <row r="1811" spans="1:19" x14ac:dyDescent="0.25">
      <c r="A1811">
        <v>1810</v>
      </c>
      <c r="B1811">
        <v>0</v>
      </c>
      <c r="C1811" t="s">
        <v>30</v>
      </c>
      <c r="D1811" t="s">
        <v>33</v>
      </c>
      <c r="E1811">
        <v>2900000</v>
      </c>
      <c r="F1811">
        <v>10800000</v>
      </c>
      <c r="G1811">
        <v>20</v>
      </c>
      <c r="H1811">
        <v>694</v>
      </c>
      <c r="I1811">
        <v>6400000</v>
      </c>
      <c r="J1811">
        <v>200000</v>
      </c>
      <c r="K1811">
        <v>10600000</v>
      </c>
      <c r="L1811">
        <v>2100000</v>
      </c>
      <c r="M1811" t="s">
        <v>34</v>
      </c>
      <c r="N1811">
        <f t="shared" si="169"/>
        <v>1</v>
      </c>
      <c r="O1811" t="str">
        <f t="shared" si="168"/>
        <v>Medium</v>
      </c>
      <c r="P1811" t="str">
        <f t="shared" si="170"/>
        <v>High</v>
      </c>
      <c r="Q1811" t="str">
        <f t="shared" si="171"/>
        <v>Low Loan</v>
      </c>
      <c r="R1811">
        <f t="shared" si="172"/>
        <v>19300000</v>
      </c>
      <c r="S1811" t="str">
        <f t="shared" si="173"/>
        <v>Strong</v>
      </c>
    </row>
    <row r="1812" spans="1:19" x14ac:dyDescent="0.25">
      <c r="A1812">
        <v>1811</v>
      </c>
      <c r="B1812">
        <v>3</v>
      </c>
      <c r="C1812" t="s">
        <v>31</v>
      </c>
      <c r="D1812" t="s">
        <v>32</v>
      </c>
      <c r="E1812">
        <v>500000</v>
      </c>
      <c r="F1812">
        <v>1200000</v>
      </c>
      <c r="G1812">
        <v>6</v>
      </c>
      <c r="H1812">
        <v>757</v>
      </c>
      <c r="I1812">
        <v>1300000</v>
      </c>
      <c r="J1812">
        <v>100000</v>
      </c>
      <c r="K1812">
        <v>1200000</v>
      </c>
      <c r="L1812">
        <v>600000</v>
      </c>
      <c r="M1812" t="s">
        <v>34</v>
      </c>
      <c r="N1812">
        <f t="shared" si="169"/>
        <v>1</v>
      </c>
      <c r="O1812" t="str">
        <f t="shared" si="168"/>
        <v>Excellent</v>
      </c>
      <c r="P1812" t="str">
        <f t="shared" si="170"/>
        <v>Middle</v>
      </c>
      <c r="Q1812" t="str">
        <f t="shared" si="171"/>
        <v>Low Loan</v>
      </c>
      <c r="R1812">
        <f t="shared" si="172"/>
        <v>3200000</v>
      </c>
      <c r="S1812" t="str">
        <f t="shared" si="173"/>
        <v>Weak</v>
      </c>
    </row>
    <row r="1813" spans="1:19" x14ac:dyDescent="0.25">
      <c r="A1813">
        <v>1812</v>
      </c>
      <c r="B1813">
        <v>0</v>
      </c>
      <c r="C1813" t="s">
        <v>31</v>
      </c>
      <c r="D1813" t="s">
        <v>32</v>
      </c>
      <c r="E1813">
        <v>2500000</v>
      </c>
      <c r="F1813">
        <v>6900000</v>
      </c>
      <c r="G1813">
        <v>12</v>
      </c>
      <c r="H1813">
        <v>471</v>
      </c>
      <c r="I1813">
        <v>7100000</v>
      </c>
      <c r="J1813">
        <v>4000000</v>
      </c>
      <c r="K1813">
        <v>5200000</v>
      </c>
      <c r="L1813">
        <v>1500000</v>
      </c>
      <c r="M1813" t="s">
        <v>35</v>
      </c>
      <c r="N1813">
        <f t="shared" si="169"/>
        <v>0</v>
      </c>
      <c r="O1813" t="str">
        <f t="shared" si="168"/>
        <v>Low</v>
      </c>
      <c r="P1813" t="str">
        <f t="shared" si="170"/>
        <v>High</v>
      </c>
      <c r="Q1813" t="str">
        <f t="shared" si="171"/>
        <v>Low Loan</v>
      </c>
      <c r="R1813">
        <f t="shared" si="172"/>
        <v>17800000</v>
      </c>
      <c r="S1813" t="str">
        <f t="shared" si="173"/>
        <v>Strong</v>
      </c>
    </row>
    <row r="1814" spans="1:19" x14ac:dyDescent="0.25">
      <c r="A1814">
        <v>1813</v>
      </c>
      <c r="B1814">
        <v>5</v>
      </c>
      <c r="C1814" t="s">
        <v>31</v>
      </c>
      <c r="D1814" t="s">
        <v>32</v>
      </c>
      <c r="E1814">
        <v>9000000</v>
      </c>
      <c r="F1814">
        <v>35200000</v>
      </c>
      <c r="G1814">
        <v>2</v>
      </c>
      <c r="H1814">
        <v>437</v>
      </c>
      <c r="I1814">
        <v>18400000</v>
      </c>
      <c r="J1814">
        <v>17800000</v>
      </c>
      <c r="K1814">
        <v>18300000</v>
      </c>
      <c r="L1814">
        <v>10400000</v>
      </c>
      <c r="M1814" t="s">
        <v>34</v>
      </c>
      <c r="N1814">
        <f t="shared" si="169"/>
        <v>1</v>
      </c>
      <c r="O1814" t="str">
        <f t="shared" si="168"/>
        <v>Low</v>
      </c>
      <c r="P1814" t="str">
        <f t="shared" si="170"/>
        <v>High</v>
      </c>
      <c r="Q1814" t="str">
        <f t="shared" si="171"/>
        <v>High Loan</v>
      </c>
      <c r="R1814">
        <f t="shared" si="172"/>
        <v>64900000</v>
      </c>
      <c r="S1814" t="str">
        <f t="shared" si="173"/>
        <v>Strong</v>
      </c>
    </row>
    <row r="1815" spans="1:19" x14ac:dyDescent="0.25">
      <c r="A1815">
        <v>1814</v>
      </c>
      <c r="B1815">
        <v>4</v>
      </c>
      <c r="C1815" t="s">
        <v>31</v>
      </c>
      <c r="D1815" t="s">
        <v>33</v>
      </c>
      <c r="E1815">
        <v>5200000</v>
      </c>
      <c r="F1815">
        <v>11400000</v>
      </c>
      <c r="G1815">
        <v>10</v>
      </c>
      <c r="H1815">
        <v>406</v>
      </c>
      <c r="I1815">
        <v>14700000</v>
      </c>
      <c r="J1815">
        <v>2000000</v>
      </c>
      <c r="K1815">
        <v>13000000</v>
      </c>
      <c r="L1815">
        <v>4400000</v>
      </c>
      <c r="M1815" t="s">
        <v>35</v>
      </c>
      <c r="N1815">
        <f t="shared" si="169"/>
        <v>0</v>
      </c>
      <c r="O1815" t="str">
        <f t="shared" si="168"/>
        <v>Low</v>
      </c>
      <c r="P1815" t="str">
        <f t="shared" si="170"/>
        <v>High</v>
      </c>
      <c r="Q1815" t="str">
        <f t="shared" si="171"/>
        <v>Low Loan</v>
      </c>
      <c r="R1815">
        <f t="shared" si="172"/>
        <v>34100000</v>
      </c>
      <c r="S1815" t="str">
        <f t="shared" si="173"/>
        <v>Strong</v>
      </c>
    </row>
    <row r="1816" spans="1:19" x14ac:dyDescent="0.25">
      <c r="A1816">
        <v>1815</v>
      </c>
      <c r="B1816">
        <v>5</v>
      </c>
      <c r="C1816" t="s">
        <v>31</v>
      </c>
      <c r="D1816" t="s">
        <v>32</v>
      </c>
      <c r="E1816">
        <v>6000000</v>
      </c>
      <c r="F1816">
        <v>19700000</v>
      </c>
      <c r="G1816">
        <v>20</v>
      </c>
      <c r="H1816">
        <v>376</v>
      </c>
      <c r="I1816">
        <v>14700000</v>
      </c>
      <c r="J1816">
        <v>10700000</v>
      </c>
      <c r="K1816">
        <v>17100000</v>
      </c>
      <c r="L1816">
        <v>5500000</v>
      </c>
      <c r="M1816" t="s">
        <v>35</v>
      </c>
      <c r="N1816">
        <f t="shared" si="169"/>
        <v>0</v>
      </c>
      <c r="O1816" t="str">
        <f t="shared" si="168"/>
        <v>Low</v>
      </c>
      <c r="P1816" t="str">
        <f t="shared" si="170"/>
        <v>High</v>
      </c>
      <c r="Q1816" t="str">
        <f t="shared" si="171"/>
        <v>Low Loan</v>
      </c>
      <c r="R1816">
        <f t="shared" si="172"/>
        <v>48000000</v>
      </c>
      <c r="S1816" t="str">
        <f t="shared" si="173"/>
        <v>Strong</v>
      </c>
    </row>
    <row r="1817" spans="1:19" x14ac:dyDescent="0.25">
      <c r="A1817">
        <v>1816</v>
      </c>
      <c r="B1817">
        <v>1</v>
      </c>
      <c r="C1817" t="s">
        <v>30</v>
      </c>
      <c r="D1817" t="s">
        <v>32</v>
      </c>
      <c r="E1817">
        <v>5100000</v>
      </c>
      <c r="F1817">
        <v>13800000</v>
      </c>
      <c r="G1817">
        <v>14</v>
      </c>
      <c r="H1817">
        <v>350</v>
      </c>
      <c r="I1817">
        <v>6200000</v>
      </c>
      <c r="J1817">
        <v>2200000</v>
      </c>
      <c r="K1817">
        <v>12600000</v>
      </c>
      <c r="L1817">
        <v>3600000</v>
      </c>
      <c r="M1817" t="s">
        <v>35</v>
      </c>
      <c r="N1817">
        <f t="shared" si="169"/>
        <v>0</v>
      </c>
      <c r="O1817" t="str">
        <f t="shared" si="168"/>
        <v>Low</v>
      </c>
      <c r="P1817" t="str">
        <f t="shared" si="170"/>
        <v>High</v>
      </c>
      <c r="Q1817" t="str">
        <f t="shared" si="171"/>
        <v>Low Loan</v>
      </c>
      <c r="R1817">
        <f t="shared" si="172"/>
        <v>24600000</v>
      </c>
      <c r="S1817" t="str">
        <f t="shared" si="173"/>
        <v>Strong</v>
      </c>
    </row>
    <row r="1818" spans="1:19" x14ac:dyDescent="0.25">
      <c r="A1818">
        <v>1817</v>
      </c>
      <c r="B1818">
        <v>5</v>
      </c>
      <c r="C1818" t="s">
        <v>31</v>
      </c>
      <c r="D1818" t="s">
        <v>33</v>
      </c>
      <c r="E1818">
        <v>8000000</v>
      </c>
      <c r="F1818">
        <v>22500000</v>
      </c>
      <c r="G1818">
        <v>20</v>
      </c>
      <c r="H1818">
        <v>784</v>
      </c>
      <c r="I1818">
        <v>7600000</v>
      </c>
      <c r="J1818">
        <v>7300000</v>
      </c>
      <c r="K1818">
        <v>26000000</v>
      </c>
      <c r="L1818">
        <v>10800000</v>
      </c>
      <c r="M1818" t="s">
        <v>34</v>
      </c>
      <c r="N1818">
        <f t="shared" si="169"/>
        <v>1</v>
      </c>
      <c r="O1818" t="str">
        <f t="shared" si="168"/>
        <v>Excellent</v>
      </c>
      <c r="P1818" t="str">
        <f t="shared" si="170"/>
        <v>High</v>
      </c>
      <c r="Q1818" t="str">
        <f t="shared" si="171"/>
        <v>High Loan</v>
      </c>
      <c r="R1818">
        <f t="shared" si="172"/>
        <v>51700000</v>
      </c>
      <c r="S1818" t="str">
        <f t="shared" si="173"/>
        <v>Strong</v>
      </c>
    </row>
    <row r="1819" spans="1:19" x14ac:dyDescent="0.25">
      <c r="A1819">
        <v>1818</v>
      </c>
      <c r="B1819">
        <v>4</v>
      </c>
      <c r="C1819" t="s">
        <v>30</v>
      </c>
      <c r="D1819" t="s">
        <v>33</v>
      </c>
      <c r="E1819">
        <v>9200000</v>
      </c>
      <c r="F1819">
        <v>25400000</v>
      </c>
      <c r="G1819">
        <v>14</v>
      </c>
      <c r="H1819">
        <v>765</v>
      </c>
      <c r="I1819">
        <v>21200000</v>
      </c>
      <c r="J1819">
        <v>6600000</v>
      </c>
      <c r="K1819">
        <v>25100000</v>
      </c>
      <c r="L1819">
        <v>5600000</v>
      </c>
      <c r="M1819" t="s">
        <v>34</v>
      </c>
      <c r="N1819">
        <f t="shared" si="169"/>
        <v>1</v>
      </c>
      <c r="O1819" t="str">
        <f t="shared" si="168"/>
        <v>Excellent</v>
      </c>
      <c r="P1819" t="str">
        <f t="shared" si="170"/>
        <v>High</v>
      </c>
      <c r="Q1819" t="str">
        <f t="shared" si="171"/>
        <v>High Loan</v>
      </c>
      <c r="R1819">
        <f t="shared" si="172"/>
        <v>58500000</v>
      </c>
      <c r="S1819" t="str">
        <f t="shared" si="173"/>
        <v>Strong</v>
      </c>
    </row>
    <row r="1820" spans="1:19" x14ac:dyDescent="0.25">
      <c r="A1820">
        <v>1819</v>
      </c>
      <c r="B1820">
        <v>4</v>
      </c>
      <c r="C1820" t="s">
        <v>31</v>
      </c>
      <c r="D1820" t="s">
        <v>32</v>
      </c>
      <c r="E1820">
        <v>9800000</v>
      </c>
      <c r="F1820">
        <v>32200000</v>
      </c>
      <c r="G1820">
        <v>18</v>
      </c>
      <c r="H1820">
        <v>593</v>
      </c>
      <c r="I1820">
        <v>9500000</v>
      </c>
      <c r="J1820">
        <v>400000</v>
      </c>
      <c r="K1820">
        <v>34000000</v>
      </c>
      <c r="L1820">
        <v>14300000</v>
      </c>
      <c r="M1820" t="s">
        <v>34</v>
      </c>
      <c r="N1820">
        <f t="shared" si="169"/>
        <v>1</v>
      </c>
      <c r="O1820" t="str">
        <f t="shared" si="168"/>
        <v>Low</v>
      </c>
      <c r="P1820" t="str">
        <f t="shared" si="170"/>
        <v>High</v>
      </c>
      <c r="Q1820" t="str">
        <f t="shared" si="171"/>
        <v>High Loan</v>
      </c>
      <c r="R1820">
        <f t="shared" si="172"/>
        <v>58200000</v>
      </c>
      <c r="S1820" t="str">
        <f t="shared" si="173"/>
        <v>Strong</v>
      </c>
    </row>
    <row r="1821" spans="1:19" x14ac:dyDescent="0.25">
      <c r="A1821">
        <v>1820</v>
      </c>
      <c r="B1821">
        <v>3</v>
      </c>
      <c r="C1821" t="s">
        <v>30</v>
      </c>
      <c r="D1821" t="s">
        <v>33</v>
      </c>
      <c r="E1821">
        <v>7600000</v>
      </c>
      <c r="F1821">
        <v>30000000</v>
      </c>
      <c r="G1821">
        <v>10</v>
      </c>
      <c r="H1821">
        <v>344</v>
      </c>
      <c r="I1821">
        <v>19000000</v>
      </c>
      <c r="J1821">
        <v>13700000</v>
      </c>
      <c r="K1821">
        <v>27600000</v>
      </c>
      <c r="L1821">
        <v>11100000</v>
      </c>
      <c r="M1821" t="s">
        <v>35</v>
      </c>
      <c r="N1821">
        <f t="shared" si="169"/>
        <v>0</v>
      </c>
      <c r="O1821" t="str">
        <f t="shared" si="168"/>
        <v>Low</v>
      </c>
      <c r="P1821" t="str">
        <f t="shared" si="170"/>
        <v>High</v>
      </c>
      <c r="Q1821" t="str">
        <f t="shared" si="171"/>
        <v>High Loan</v>
      </c>
      <c r="R1821">
        <f t="shared" si="172"/>
        <v>71400000</v>
      </c>
      <c r="S1821" t="str">
        <f t="shared" si="173"/>
        <v>Strong</v>
      </c>
    </row>
    <row r="1822" spans="1:19" x14ac:dyDescent="0.25">
      <c r="A1822">
        <v>1821</v>
      </c>
      <c r="B1822">
        <v>1</v>
      </c>
      <c r="C1822" t="s">
        <v>30</v>
      </c>
      <c r="D1822" t="s">
        <v>32</v>
      </c>
      <c r="E1822">
        <v>5100000</v>
      </c>
      <c r="F1822">
        <v>11800000</v>
      </c>
      <c r="G1822">
        <v>12</v>
      </c>
      <c r="H1822">
        <v>314</v>
      </c>
      <c r="I1822">
        <v>14700000</v>
      </c>
      <c r="J1822">
        <v>7600000</v>
      </c>
      <c r="K1822">
        <v>12400000</v>
      </c>
      <c r="L1822">
        <v>4900000</v>
      </c>
      <c r="M1822" t="s">
        <v>35</v>
      </c>
      <c r="N1822">
        <f t="shared" si="169"/>
        <v>0</v>
      </c>
      <c r="O1822" t="str">
        <f t="shared" si="168"/>
        <v>Low</v>
      </c>
      <c r="P1822" t="str">
        <f t="shared" si="170"/>
        <v>High</v>
      </c>
      <c r="Q1822" t="str">
        <f t="shared" si="171"/>
        <v>Low Loan</v>
      </c>
      <c r="R1822">
        <f t="shared" si="172"/>
        <v>39600000</v>
      </c>
      <c r="S1822" t="str">
        <f t="shared" si="173"/>
        <v>Strong</v>
      </c>
    </row>
    <row r="1823" spans="1:19" x14ac:dyDescent="0.25">
      <c r="A1823">
        <v>1822</v>
      </c>
      <c r="B1823">
        <v>4</v>
      </c>
      <c r="C1823" t="s">
        <v>30</v>
      </c>
      <c r="D1823" t="s">
        <v>33</v>
      </c>
      <c r="E1823">
        <v>1500000</v>
      </c>
      <c r="F1823">
        <v>3300000</v>
      </c>
      <c r="G1823">
        <v>16</v>
      </c>
      <c r="H1823">
        <v>382</v>
      </c>
      <c r="I1823">
        <v>200000</v>
      </c>
      <c r="J1823">
        <v>2400000</v>
      </c>
      <c r="K1823">
        <v>3200000</v>
      </c>
      <c r="L1823">
        <v>1100000</v>
      </c>
      <c r="M1823" t="s">
        <v>35</v>
      </c>
      <c r="N1823">
        <f t="shared" si="169"/>
        <v>0</v>
      </c>
      <c r="O1823" t="str">
        <f t="shared" si="168"/>
        <v>Low</v>
      </c>
      <c r="P1823" t="str">
        <f t="shared" si="170"/>
        <v>High</v>
      </c>
      <c r="Q1823" t="str">
        <f t="shared" si="171"/>
        <v>Low Loan</v>
      </c>
      <c r="R1823">
        <f t="shared" si="172"/>
        <v>6900000</v>
      </c>
      <c r="S1823" t="str">
        <f t="shared" si="173"/>
        <v>Moderate</v>
      </c>
    </row>
    <row r="1824" spans="1:19" x14ac:dyDescent="0.25">
      <c r="A1824">
        <v>1823</v>
      </c>
      <c r="B1824">
        <v>2</v>
      </c>
      <c r="C1824" t="s">
        <v>31</v>
      </c>
      <c r="D1824" t="s">
        <v>33</v>
      </c>
      <c r="E1824">
        <v>6200000</v>
      </c>
      <c r="F1824">
        <v>16500000</v>
      </c>
      <c r="G1824">
        <v>4</v>
      </c>
      <c r="H1824">
        <v>510</v>
      </c>
      <c r="I1824">
        <v>14100000</v>
      </c>
      <c r="J1824">
        <v>4700000</v>
      </c>
      <c r="K1824">
        <v>18200000</v>
      </c>
      <c r="L1824">
        <v>6300000</v>
      </c>
      <c r="M1824" t="s">
        <v>35</v>
      </c>
      <c r="N1824">
        <f t="shared" si="169"/>
        <v>0</v>
      </c>
      <c r="O1824" t="str">
        <f t="shared" si="168"/>
        <v>Low</v>
      </c>
      <c r="P1824" t="str">
        <f t="shared" si="170"/>
        <v>High</v>
      </c>
      <c r="Q1824" t="str">
        <f t="shared" si="171"/>
        <v>Low Loan</v>
      </c>
      <c r="R1824">
        <f t="shared" si="172"/>
        <v>43300000</v>
      </c>
      <c r="S1824" t="str">
        <f t="shared" si="173"/>
        <v>Strong</v>
      </c>
    </row>
    <row r="1825" spans="1:19" x14ac:dyDescent="0.25">
      <c r="A1825">
        <v>1824</v>
      </c>
      <c r="B1825">
        <v>2</v>
      </c>
      <c r="C1825" t="s">
        <v>30</v>
      </c>
      <c r="D1825" t="s">
        <v>33</v>
      </c>
      <c r="E1825">
        <v>6300000</v>
      </c>
      <c r="F1825">
        <v>24600000</v>
      </c>
      <c r="G1825">
        <v>8</v>
      </c>
      <c r="H1825">
        <v>464</v>
      </c>
      <c r="I1825">
        <v>7700000</v>
      </c>
      <c r="J1825">
        <v>2200000</v>
      </c>
      <c r="K1825">
        <v>13000000</v>
      </c>
      <c r="L1825">
        <v>6900000</v>
      </c>
      <c r="M1825" t="s">
        <v>35</v>
      </c>
      <c r="N1825">
        <f t="shared" si="169"/>
        <v>0</v>
      </c>
      <c r="O1825" t="str">
        <f t="shared" si="168"/>
        <v>Low</v>
      </c>
      <c r="P1825" t="str">
        <f t="shared" si="170"/>
        <v>High</v>
      </c>
      <c r="Q1825" t="str">
        <f t="shared" si="171"/>
        <v>High Loan</v>
      </c>
      <c r="R1825">
        <f t="shared" si="172"/>
        <v>29800000</v>
      </c>
      <c r="S1825" t="str">
        <f t="shared" si="173"/>
        <v>Strong</v>
      </c>
    </row>
    <row r="1826" spans="1:19" x14ac:dyDescent="0.25">
      <c r="A1826">
        <v>1825</v>
      </c>
      <c r="B1826">
        <v>1</v>
      </c>
      <c r="C1826" t="s">
        <v>30</v>
      </c>
      <c r="D1826" t="s">
        <v>33</v>
      </c>
      <c r="E1826">
        <v>5500000</v>
      </c>
      <c r="F1826">
        <v>14900000</v>
      </c>
      <c r="G1826">
        <v>2</v>
      </c>
      <c r="H1826">
        <v>403</v>
      </c>
      <c r="I1826">
        <v>7400000</v>
      </c>
      <c r="J1826">
        <v>8900000</v>
      </c>
      <c r="K1826">
        <v>19700000</v>
      </c>
      <c r="L1826">
        <v>4100000</v>
      </c>
      <c r="M1826" t="s">
        <v>35</v>
      </c>
      <c r="N1826">
        <f t="shared" si="169"/>
        <v>0</v>
      </c>
      <c r="O1826" t="str">
        <f t="shared" si="168"/>
        <v>Low</v>
      </c>
      <c r="P1826" t="str">
        <f t="shared" si="170"/>
        <v>High</v>
      </c>
      <c r="Q1826" t="str">
        <f t="shared" si="171"/>
        <v>Low Loan</v>
      </c>
      <c r="R1826">
        <f t="shared" si="172"/>
        <v>40100000</v>
      </c>
      <c r="S1826" t="str">
        <f t="shared" si="173"/>
        <v>Strong</v>
      </c>
    </row>
    <row r="1827" spans="1:19" x14ac:dyDescent="0.25">
      <c r="A1827">
        <v>1826</v>
      </c>
      <c r="B1827">
        <v>3</v>
      </c>
      <c r="C1827" t="s">
        <v>31</v>
      </c>
      <c r="D1827" t="s">
        <v>32</v>
      </c>
      <c r="E1827">
        <v>8100000</v>
      </c>
      <c r="F1827">
        <v>30400000</v>
      </c>
      <c r="G1827">
        <v>12</v>
      </c>
      <c r="H1827">
        <v>606</v>
      </c>
      <c r="I1827">
        <v>900000</v>
      </c>
      <c r="J1827">
        <v>1100000</v>
      </c>
      <c r="K1827">
        <v>31900000</v>
      </c>
      <c r="L1827">
        <v>11600000</v>
      </c>
      <c r="M1827" t="s">
        <v>34</v>
      </c>
      <c r="N1827">
        <f t="shared" si="169"/>
        <v>1</v>
      </c>
      <c r="O1827" t="str">
        <f t="shared" si="168"/>
        <v>Low</v>
      </c>
      <c r="P1827" t="str">
        <f t="shared" si="170"/>
        <v>High</v>
      </c>
      <c r="Q1827" t="str">
        <f t="shared" si="171"/>
        <v>High Loan</v>
      </c>
      <c r="R1827">
        <f t="shared" si="172"/>
        <v>45500000</v>
      </c>
      <c r="S1827" t="str">
        <f t="shared" si="173"/>
        <v>Strong</v>
      </c>
    </row>
    <row r="1828" spans="1:19" x14ac:dyDescent="0.25">
      <c r="A1828">
        <v>1827</v>
      </c>
      <c r="B1828">
        <v>1</v>
      </c>
      <c r="C1828" t="s">
        <v>30</v>
      </c>
      <c r="D1828" t="s">
        <v>32</v>
      </c>
      <c r="E1828">
        <v>6300000</v>
      </c>
      <c r="F1828">
        <v>22000000</v>
      </c>
      <c r="G1828">
        <v>20</v>
      </c>
      <c r="H1828">
        <v>646</v>
      </c>
      <c r="I1828">
        <v>9500000</v>
      </c>
      <c r="J1828">
        <v>7900000</v>
      </c>
      <c r="K1828">
        <v>13500000</v>
      </c>
      <c r="L1828">
        <v>5500000</v>
      </c>
      <c r="M1828" t="s">
        <v>34</v>
      </c>
      <c r="N1828">
        <f t="shared" si="169"/>
        <v>1</v>
      </c>
      <c r="O1828" t="str">
        <f t="shared" si="168"/>
        <v>Low</v>
      </c>
      <c r="P1828" t="str">
        <f t="shared" si="170"/>
        <v>High</v>
      </c>
      <c r="Q1828" t="str">
        <f t="shared" si="171"/>
        <v>High Loan</v>
      </c>
      <c r="R1828">
        <f t="shared" si="172"/>
        <v>36400000</v>
      </c>
      <c r="S1828" t="str">
        <f t="shared" si="173"/>
        <v>Strong</v>
      </c>
    </row>
    <row r="1829" spans="1:19" x14ac:dyDescent="0.25">
      <c r="A1829">
        <v>1828</v>
      </c>
      <c r="B1829">
        <v>1</v>
      </c>
      <c r="C1829" t="s">
        <v>30</v>
      </c>
      <c r="D1829" t="s">
        <v>32</v>
      </c>
      <c r="E1829">
        <v>1100000</v>
      </c>
      <c r="F1829">
        <v>3600000</v>
      </c>
      <c r="G1829">
        <v>20</v>
      </c>
      <c r="H1829">
        <v>495</v>
      </c>
      <c r="I1829">
        <v>1600000</v>
      </c>
      <c r="J1829">
        <v>1100000</v>
      </c>
      <c r="K1829">
        <v>3100000</v>
      </c>
      <c r="L1829">
        <v>500000</v>
      </c>
      <c r="M1829" t="s">
        <v>35</v>
      </c>
      <c r="N1829">
        <f t="shared" si="169"/>
        <v>0</v>
      </c>
      <c r="O1829" t="str">
        <f t="shared" si="168"/>
        <v>Low</v>
      </c>
      <c r="P1829" t="str">
        <f t="shared" si="170"/>
        <v>High</v>
      </c>
      <c r="Q1829" t="str">
        <f t="shared" si="171"/>
        <v>Low Loan</v>
      </c>
      <c r="R1829">
        <f t="shared" si="172"/>
        <v>6300000</v>
      </c>
      <c r="S1829" t="str">
        <f t="shared" si="173"/>
        <v>Moderate</v>
      </c>
    </row>
    <row r="1830" spans="1:19" x14ac:dyDescent="0.25">
      <c r="A1830">
        <v>1829</v>
      </c>
      <c r="B1830">
        <v>3</v>
      </c>
      <c r="C1830" t="s">
        <v>31</v>
      </c>
      <c r="D1830" t="s">
        <v>33</v>
      </c>
      <c r="E1830">
        <v>7200000</v>
      </c>
      <c r="F1830">
        <v>21600000</v>
      </c>
      <c r="G1830">
        <v>2</v>
      </c>
      <c r="H1830">
        <v>626</v>
      </c>
      <c r="I1830">
        <v>10600000</v>
      </c>
      <c r="J1830">
        <v>1600000</v>
      </c>
      <c r="K1830">
        <v>26900000</v>
      </c>
      <c r="L1830">
        <v>3700000</v>
      </c>
      <c r="M1830" t="s">
        <v>34</v>
      </c>
      <c r="N1830">
        <f t="shared" si="169"/>
        <v>1</v>
      </c>
      <c r="O1830" t="str">
        <f t="shared" si="168"/>
        <v>Low</v>
      </c>
      <c r="P1830" t="str">
        <f t="shared" si="170"/>
        <v>High</v>
      </c>
      <c r="Q1830" t="str">
        <f t="shared" si="171"/>
        <v>High Loan</v>
      </c>
      <c r="R1830">
        <f t="shared" si="172"/>
        <v>42800000</v>
      </c>
      <c r="S1830" t="str">
        <f t="shared" si="173"/>
        <v>Strong</v>
      </c>
    </row>
    <row r="1831" spans="1:19" x14ac:dyDescent="0.25">
      <c r="A1831">
        <v>1830</v>
      </c>
      <c r="B1831">
        <v>1</v>
      </c>
      <c r="C1831" t="s">
        <v>31</v>
      </c>
      <c r="D1831" t="s">
        <v>33</v>
      </c>
      <c r="E1831">
        <v>3000000</v>
      </c>
      <c r="F1831">
        <v>6000000</v>
      </c>
      <c r="G1831">
        <v>16</v>
      </c>
      <c r="H1831">
        <v>518</v>
      </c>
      <c r="I1831">
        <v>3800000</v>
      </c>
      <c r="J1831">
        <v>1700000</v>
      </c>
      <c r="K1831">
        <v>11600000</v>
      </c>
      <c r="L1831">
        <v>3900000</v>
      </c>
      <c r="M1831" t="s">
        <v>35</v>
      </c>
      <c r="N1831">
        <f t="shared" si="169"/>
        <v>0</v>
      </c>
      <c r="O1831" t="str">
        <f t="shared" si="168"/>
        <v>Low</v>
      </c>
      <c r="P1831" t="str">
        <f t="shared" si="170"/>
        <v>High</v>
      </c>
      <c r="Q1831" t="str">
        <f t="shared" si="171"/>
        <v>Low Loan</v>
      </c>
      <c r="R1831">
        <f t="shared" si="172"/>
        <v>21000000</v>
      </c>
      <c r="S1831" t="str">
        <f t="shared" si="173"/>
        <v>Strong</v>
      </c>
    </row>
    <row r="1832" spans="1:19" x14ac:dyDescent="0.25">
      <c r="A1832">
        <v>1831</v>
      </c>
      <c r="B1832">
        <v>5</v>
      </c>
      <c r="C1832" t="s">
        <v>30</v>
      </c>
      <c r="D1832" t="s">
        <v>32</v>
      </c>
      <c r="E1832">
        <v>2700000</v>
      </c>
      <c r="F1832">
        <v>7600000</v>
      </c>
      <c r="G1832">
        <v>8</v>
      </c>
      <c r="H1832">
        <v>746</v>
      </c>
      <c r="I1832">
        <v>900000</v>
      </c>
      <c r="J1832">
        <v>2200000</v>
      </c>
      <c r="K1832">
        <v>7200000</v>
      </c>
      <c r="L1832">
        <v>3400000</v>
      </c>
      <c r="M1832" t="s">
        <v>34</v>
      </c>
      <c r="N1832">
        <f t="shared" si="169"/>
        <v>1</v>
      </c>
      <c r="O1832" t="str">
        <f t="shared" si="168"/>
        <v>Good</v>
      </c>
      <c r="P1832" t="str">
        <f t="shared" si="170"/>
        <v>High</v>
      </c>
      <c r="Q1832" t="str">
        <f t="shared" si="171"/>
        <v>Low Loan</v>
      </c>
      <c r="R1832">
        <f t="shared" si="172"/>
        <v>13700000</v>
      </c>
      <c r="S1832" t="str">
        <f t="shared" si="173"/>
        <v>Strong</v>
      </c>
    </row>
    <row r="1833" spans="1:19" x14ac:dyDescent="0.25">
      <c r="A1833">
        <v>1832</v>
      </c>
      <c r="B1833">
        <v>0</v>
      </c>
      <c r="C1833" t="s">
        <v>31</v>
      </c>
      <c r="D1833" t="s">
        <v>32</v>
      </c>
      <c r="E1833">
        <v>5000000</v>
      </c>
      <c r="F1833">
        <v>16300000</v>
      </c>
      <c r="G1833">
        <v>12</v>
      </c>
      <c r="H1833">
        <v>737</v>
      </c>
      <c r="I1833">
        <v>2600000</v>
      </c>
      <c r="J1833">
        <v>3400000</v>
      </c>
      <c r="K1833">
        <v>11800000</v>
      </c>
      <c r="L1833">
        <v>4400000</v>
      </c>
      <c r="M1833" t="s">
        <v>34</v>
      </c>
      <c r="N1833">
        <f t="shared" si="169"/>
        <v>1</v>
      </c>
      <c r="O1833" t="str">
        <f t="shared" si="168"/>
        <v>Good</v>
      </c>
      <c r="P1833" t="str">
        <f t="shared" si="170"/>
        <v>High</v>
      </c>
      <c r="Q1833" t="str">
        <f t="shared" si="171"/>
        <v>Low Loan</v>
      </c>
      <c r="R1833">
        <f t="shared" si="172"/>
        <v>22200000</v>
      </c>
      <c r="S1833" t="str">
        <f t="shared" si="173"/>
        <v>Strong</v>
      </c>
    </row>
    <row r="1834" spans="1:19" x14ac:dyDescent="0.25">
      <c r="A1834">
        <v>1833</v>
      </c>
      <c r="B1834">
        <v>0</v>
      </c>
      <c r="C1834" t="s">
        <v>31</v>
      </c>
      <c r="D1834" t="s">
        <v>32</v>
      </c>
      <c r="E1834">
        <v>8400000</v>
      </c>
      <c r="F1834">
        <v>22300000</v>
      </c>
      <c r="G1834">
        <v>14</v>
      </c>
      <c r="H1834">
        <v>371</v>
      </c>
      <c r="I1834">
        <v>8300000</v>
      </c>
      <c r="J1834">
        <v>3700000</v>
      </c>
      <c r="K1834">
        <v>22300000</v>
      </c>
      <c r="L1834">
        <v>9100000</v>
      </c>
      <c r="M1834" t="s">
        <v>35</v>
      </c>
      <c r="N1834">
        <f t="shared" si="169"/>
        <v>0</v>
      </c>
      <c r="O1834" t="str">
        <f t="shared" si="168"/>
        <v>Low</v>
      </c>
      <c r="P1834" t="str">
        <f t="shared" si="170"/>
        <v>High</v>
      </c>
      <c r="Q1834" t="str">
        <f t="shared" si="171"/>
        <v>High Loan</v>
      </c>
      <c r="R1834">
        <f t="shared" si="172"/>
        <v>43400000</v>
      </c>
      <c r="S1834" t="str">
        <f t="shared" si="173"/>
        <v>Strong</v>
      </c>
    </row>
    <row r="1835" spans="1:19" x14ac:dyDescent="0.25">
      <c r="A1835">
        <v>1834</v>
      </c>
      <c r="B1835">
        <v>1</v>
      </c>
      <c r="C1835" t="s">
        <v>30</v>
      </c>
      <c r="D1835" t="s">
        <v>32</v>
      </c>
      <c r="E1835">
        <v>7700000</v>
      </c>
      <c r="F1835">
        <v>27300000</v>
      </c>
      <c r="G1835">
        <v>8</v>
      </c>
      <c r="H1835">
        <v>509</v>
      </c>
      <c r="I1835">
        <v>10100000</v>
      </c>
      <c r="J1835">
        <v>2200000</v>
      </c>
      <c r="K1835">
        <v>20200000</v>
      </c>
      <c r="L1835">
        <v>10800000</v>
      </c>
      <c r="M1835" t="s">
        <v>35</v>
      </c>
      <c r="N1835">
        <f t="shared" si="169"/>
        <v>0</v>
      </c>
      <c r="O1835" t="str">
        <f t="shared" si="168"/>
        <v>Low</v>
      </c>
      <c r="P1835" t="str">
        <f t="shared" si="170"/>
        <v>High</v>
      </c>
      <c r="Q1835" t="str">
        <f t="shared" si="171"/>
        <v>High Loan</v>
      </c>
      <c r="R1835">
        <f t="shared" si="172"/>
        <v>43300000</v>
      </c>
      <c r="S1835" t="str">
        <f t="shared" si="173"/>
        <v>Strong</v>
      </c>
    </row>
    <row r="1836" spans="1:19" x14ac:dyDescent="0.25">
      <c r="A1836">
        <v>1835</v>
      </c>
      <c r="B1836">
        <v>1</v>
      </c>
      <c r="C1836" t="s">
        <v>30</v>
      </c>
      <c r="D1836" t="s">
        <v>32</v>
      </c>
      <c r="E1836">
        <v>4700000</v>
      </c>
      <c r="F1836">
        <v>14000000</v>
      </c>
      <c r="G1836">
        <v>2</v>
      </c>
      <c r="H1836">
        <v>411</v>
      </c>
      <c r="I1836">
        <v>4600000</v>
      </c>
      <c r="J1836">
        <v>5100000</v>
      </c>
      <c r="K1836">
        <v>10600000</v>
      </c>
      <c r="L1836">
        <v>3700000</v>
      </c>
      <c r="M1836" t="s">
        <v>35</v>
      </c>
      <c r="N1836">
        <f t="shared" si="169"/>
        <v>0</v>
      </c>
      <c r="O1836" t="str">
        <f t="shared" si="168"/>
        <v>Low</v>
      </c>
      <c r="P1836" t="str">
        <f t="shared" si="170"/>
        <v>High</v>
      </c>
      <c r="Q1836" t="str">
        <f t="shared" si="171"/>
        <v>Low Loan</v>
      </c>
      <c r="R1836">
        <f t="shared" si="172"/>
        <v>24000000</v>
      </c>
      <c r="S1836" t="str">
        <f t="shared" si="173"/>
        <v>Strong</v>
      </c>
    </row>
    <row r="1837" spans="1:19" x14ac:dyDescent="0.25">
      <c r="A1837">
        <v>1836</v>
      </c>
      <c r="B1837">
        <v>2</v>
      </c>
      <c r="C1837" t="s">
        <v>31</v>
      </c>
      <c r="D1837" t="s">
        <v>32</v>
      </c>
      <c r="E1837">
        <v>4300000</v>
      </c>
      <c r="F1837">
        <v>11800000</v>
      </c>
      <c r="G1837">
        <v>20</v>
      </c>
      <c r="H1837">
        <v>701</v>
      </c>
      <c r="I1837">
        <v>11600000</v>
      </c>
      <c r="J1837">
        <v>4600000</v>
      </c>
      <c r="K1837">
        <v>14200000</v>
      </c>
      <c r="L1837">
        <v>3300000</v>
      </c>
      <c r="M1837" t="s">
        <v>34</v>
      </c>
      <c r="N1837">
        <f t="shared" si="169"/>
        <v>1</v>
      </c>
      <c r="O1837" t="str">
        <f t="shared" si="168"/>
        <v>Good</v>
      </c>
      <c r="P1837" t="str">
        <f t="shared" si="170"/>
        <v>High</v>
      </c>
      <c r="Q1837" t="str">
        <f t="shared" si="171"/>
        <v>Low Loan</v>
      </c>
      <c r="R1837">
        <f t="shared" si="172"/>
        <v>33700000</v>
      </c>
      <c r="S1837" t="str">
        <f t="shared" si="173"/>
        <v>Strong</v>
      </c>
    </row>
    <row r="1838" spans="1:19" x14ac:dyDescent="0.25">
      <c r="A1838">
        <v>1837</v>
      </c>
      <c r="B1838">
        <v>5</v>
      </c>
      <c r="C1838" t="s">
        <v>31</v>
      </c>
      <c r="D1838" t="s">
        <v>32</v>
      </c>
      <c r="E1838">
        <v>2500000</v>
      </c>
      <c r="F1838">
        <v>8800000</v>
      </c>
      <c r="G1838">
        <v>10</v>
      </c>
      <c r="H1838">
        <v>769</v>
      </c>
      <c r="I1838">
        <v>3700000</v>
      </c>
      <c r="J1838">
        <v>1600000</v>
      </c>
      <c r="K1838">
        <v>8200000</v>
      </c>
      <c r="L1838">
        <v>2700000</v>
      </c>
      <c r="M1838" t="s">
        <v>34</v>
      </c>
      <c r="N1838">
        <f t="shared" si="169"/>
        <v>1</v>
      </c>
      <c r="O1838" t="str">
        <f t="shared" si="168"/>
        <v>Excellent</v>
      </c>
      <c r="P1838" t="str">
        <f t="shared" si="170"/>
        <v>High</v>
      </c>
      <c r="Q1838" t="str">
        <f t="shared" si="171"/>
        <v>Low Loan</v>
      </c>
      <c r="R1838">
        <f t="shared" si="172"/>
        <v>16200000</v>
      </c>
      <c r="S1838" t="str">
        <f t="shared" si="173"/>
        <v>Strong</v>
      </c>
    </row>
    <row r="1839" spans="1:19" x14ac:dyDescent="0.25">
      <c r="A1839">
        <v>1838</v>
      </c>
      <c r="B1839">
        <v>5</v>
      </c>
      <c r="C1839" t="s">
        <v>31</v>
      </c>
      <c r="D1839" t="s">
        <v>33</v>
      </c>
      <c r="E1839">
        <v>4400000</v>
      </c>
      <c r="F1839">
        <v>12500000</v>
      </c>
      <c r="G1839">
        <v>6</v>
      </c>
      <c r="H1839">
        <v>740</v>
      </c>
      <c r="I1839">
        <v>8200000</v>
      </c>
      <c r="J1839">
        <v>2300000</v>
      </c>
      <c r="K1839">
        <v>9900000</v>
      </c>
      <c r="L1839">
        <v>5400000</v>
      </c>
      <c r="M1839" t="s">
        <v>34</v>
      </c>
      <c r="N1839">
        <f t="shared" si="169"/>
        <v>1</v>
      </c>
      <c r="O1839" t="str">
        <f t="shared" si="168"/>
        <v>Good</v>
      </c>
      <c r="P1839" t="str">
        <f t="shared" si="170"/>
        <v>High</v>
      </c>
      <c r="Q1839" t="str">
        <f t="shared" si="171"/>
        <v>Low Loan</v>
      </c>
      <c r="R1839">
        <f t="shared" si="172"/>
        <v>25800000</v>
      </c>
      <c r="S1839" t="str">
        <f t="shared" si="173"/>
        <v>Strong</v>
      </c>
    </row>
    <row r="1840" spans="1:19" x14ac:dyDescent="0.25">
      <c r="A1840">
        <v>1839</v>
      </c>
      <c r="B1840">
        <v>5</v>
      </c>
      <c r="C1840" t="s">
        <v>31</v>
      </c>
      <c r="D1840" t="s">
        <v>32</v>
      </c>
      <c r="E1840">
        <v>5700000</v>
      </c>
      <c r="F1840">
        <v>11600000</v>
      </c>
      <c r="G1840">
        <v>4</v>
      </c>
      <c r="H1840">
        <v>892</v>
      </c>
      <c r="I1840">
        <v>10200000</v>
      </c>
      <c r="J1840">
        <v>6100000</v>
      </c>
      <c r="K1840">
        <v>19800000</v>
      </c>
      <c r="L1840">
        <v>7400000</v>
      </c>
      <c r="M1840" t="s">
        <v>34</v>
      </c>
      <c r="N1840">
        <f t="shared" si="169"/>
        <v>1</v>
      </c>
      <c r="O1840" t="str">
        <f t="shared" si="168"/>
        <v>Excellent</v>
      </c>
      <c r="P1840" t="str">
        <f t="shared" si="170"/>
        <v>High</v>
      </c>
      <c r="Q1840" t="str">
        <f t="shared" si="171"/>
        <v>Low Loan</v>
      </c>
      <c r="R1840">
        <f t="shared" si="172"/>
        <v>43500000</v>
      </c>
      <c r="S1840" t="str">
        <f t="shared" si="173"/>
        <v>Strong</v>
      </c>
    </row>
    <row r="1841" spans="1:19" x14ac:dyDescent="0.25">
      <c r="A1841">
        <v>1840</v>
      </c>
      <c r="B1841">
        <v>2</v>
      </c>
      <c r="C1841" t="s">
        <v>31</v>
      </c>
      <c r="D1841" t="s">
        <v>32</v>
      </c>
      <c r="E1841">
        <v>5300000</v>
      </c>
      <c r="F1841">
        <v>13100000</v>
      </c>
      <c r="G1841">
        <v>14</v>
      </c>
      <c r="H1841">
        <v>417</v>
      </c>
      <c r="I1841">
        <v>4900000</v>
      </c>
      <c r="J1841">
        <v>6200000</v>
      </c>
      <c r="K1841">
        <v>18200000</v>
      </c>
      <c r="L1841">
        <v>6800000</v>
      </c>
      <c r="M1841" t="s">
        <v>35</v>
      </c>
      <c r="N1841">
        <f t="shared" si="169"/>
        <v>0</v>
      </c>
      <c r="O1841" t="str">
        <f t="shared" si="168"/>
        <v>Low</v>
      </c>
      <c r="P1841" t="str">
        <f t="shared" si="170"/>
        <v>High</v>
      </c>
      <c r="Q1841" t="str">
        <f t="shared" si="171"/>
        <v>Low Loan</v>
      </c>
      <c r="R1841">
        <f t="shared" si="172"/>
        <v>36100000</v>
      </c>
      <c r="S1841" t="str">
        <f t="shared" si="173"/>
        <v>Strong</v>
      </c>
    </row>
    <row r="1842" spans="1:19" x14ac:dyDescent="0.25">
      <c r="A1842">
        <v>1841</v>
      </c>
      <c r="B1842">
        <v>5</v>
      </c>
      <c r="C1842" t="s">
        <v>30</v>
      </c>
      <c r="D1842" t="s">
        <v>32</v>
      </c>
      <c r="E1842">
        <v>4600000</v>
      </c>
      <c r="F1842">
        <v>14400000</v>
      </c>
      <c r="G1842">
        <v>6</v>
      </c>
      <c r="H1842">
        <v>785</v>
      </c>
      <c r="I1842">
        <v>6500000</v>
      </c>
      <c r="J1842">
        <v>6300000</v>
      </c>
      <c r="K1842">
        <v>14700000</v>
      </c>
      <c r="L1842">
        <v>6200000</v>
      </c>
      <c r="M1842" t="s">
        <v>34</v>
      </c>
      <c r="N1842">
        <f t="shared" si="169"/>
        <v>1</v>
      </c>
      <c r="O1842" t="str">
        <f t="shared" si="168"/>
        <v>Excellent</v>
      </c>
      <c r="P1842" t="str">
        <f t="shared" si="170"/>
        <v>High</v>
      </c>
      <c r="Q1842" t="str">
        <f t="shared" si="171"/>
        <v>Low Loan</v>
      </c>
      <c r="R1842">
        <f t="shared" si="172"/>
        <v>33700000</v>
      </c>
      <c r="S1842" t="str">
        <f t="shared" si="173"/>
        <v>Strong</v>
      </c>
    </row>
    <row r="1843" spans="1:19" x14ac:dyDescent="0.25">
      <c r="A1843">
        <v>1842</v>
      </c>
      <c r="B1843">
        <v>3</v>
      </c>
      <c r="C1843" t="s">
        <v>31</v>
      </c>
      <c r="D1843" t="s">
        <v>32</v>
      </c>
      <c r="E1843">
        <v>400000</v>
      </c>
      <c r="F1843">
        <v>1100000</v>
      </c>
      <c r="G1843">
        <v>16</v>
      </c>
      <c r="H1843">
        <v>504</v>
      </c>
      <c r="I1843">
        <v>200000</v>
      </c>
      <c r="J1843">
        <v>400000</v>
      </c>
      <c r="K1843">
        <v>800000</v>
      </c>
      <c r="L1843">
        <v>400000</v>
      </c>
      <c r="M1843" t="s">
        <v>35</v>
      </c>
      <c r="N1843">
        <f t="shared" si="169"/>
        <v>0</v>
      </c>
      <c r="O1843" t="str">
        <f t="shared" si="168"/>
        <v>Low</v>
      </c>
      <c r="P1843" t="str">
        <f t="shared" si="170"/>
        <v>Middle</v>
      </c>
      <c r="Q1843" t="str">
        <f t="shared" si="171"/>
        <v>Low Loan</v>
      </c>
      <c r="R1843">
        <f t="shared" si="172"/>
        <v>1800000</v>
      </c>
      <c r="S1843" t="str">
        <f t="shared" si="173"/>
        <v>Weak</v>
      </c>
    </row>
    <row r="1844" spans="1:19" x14ac:dyDescent="0.25">
      <c r="A1844">
        <v>1843</v>
      </c>
      <c r="B1844">
        <v>0</v>
      </c>
      <c r="C1844" t="s">
        <v>31</v>
      </c>
      <c r="D1844" t="s">
        <v>32</v>
      </c>
      <c r="E1844">
        <v>2100000</v>
      </c>
      <c r="F1844">
        <v>5900000</v>
      </c>
      <c r="G1844">
        <v>14</v>
      </c>
      <c r="H1844">
        <v>402</v>
      </c>
      <c r="I1844">
        <v>4400000</v>
      </c>
      <c r="J1844">
        <v>0</v>
      </c>
      <c r="K1844">
        <v>4800000</v>
      </c>
      <c r="L1844">
        <v>1000000</v>
      </c>
      <c r="M1844" t="s">
        <v>35</v>
      </c>
      <c r="N1844">
        <f t="shared" si="169"/>
        <v>0</v>
      </c>
      <c r="O1844" t="str">
        <f t="shared" si="168"/>
        <v>Low</v>
      </c>
      <c r="P1844" t="str">
        <f t="shared" si="170"/>
        <v>High</v>
      </c>
      <c r="Q1844" t="str">
        <f t="shared" si="171"/>
        <v>Low Loan</v>
      </c>
      <c r="R1844">
        <f t="shared" si="172"/>
        <v>10200000</v>
      </c>
      <c r="S1844" t="str">
        <f t="shared" si="173"/>
        <v>Strong</v>
      </c>
    </row>
    <row r="1845" spans="1:19" x14ac:dyDescent="0.25">
      <c r="A1845">
        <v>1844</v>
      </c>
      <c r="B1845">
        <v>2</v>
      </c>
      <c r="C1845" t="s">
        <v>30</v>
      </c>
      <c r="D1845" t="s">
        <v>33</v>
      </c>
      <c r="E1845">
        <v>1200000</v>
      </c>
      <c r="F1845">
        <v>3500000</v>
      </c>
      <c r="G1845">
        <v>16</v>
      </c>
      <c r="H1845">
        <v>540</v>
      </c>
      <c r="I1845">
        <v>3100000</v>
      </c>
      <c r="J1845">
        <v>1800000</v>
      </c>
      <c r="K1845">
        <v>3500000</v>
      </c>
      <c r="L1845">
        <v>800000</v>
      </c>
      <c r="M1845" t="s">
        <v>35</v>
      </c>
      <c r="N1845">
        <f t="shared" si="169"/>
        <v>0</v>
      </c>
      <c r="O1845" t="str">
        <f t="shared" si="168"/>
        <v>Low</v>
      </c>
      <c r="P1845" t="str">
        <f t="shared" si="170"/>
        <v>High</v>
      </c>
      <c r="Q1845" t="str">
        <f t="shared" si="171"/>
        <v>Low Loan</v>
      </c>
      <c r="R1845">
        <f t="shared" si="172"/>
        <v>9200000</v>
      </c>
      <c r="S1845" t="str">
        <f t="shared" si="173"/>
        <v>Moderate</v>
      </c>
    </row>
    <row r="1846" spans="1:19" x14ac:dyDescent="0.25">
      <c r="A1846">
        <v>1845</v>
      </c>
      <c r="B1846">
        <v>2</v>
      </c>
      <c r="C1846" t="s">
        <v>30</v>
      </c>
      <c r="D1846" t="s">
        <v>33</v>
      </c>
      <c r="E1846">
        <v>8000000</v>
      </c>
      <c r="F1846">
        <v>28400000</v>
      </c>
      <c r="G1846">
        <v>10</v>
      </c>
      <c r="H1846">
        <v>607</v>
      </c>
      <c r="I1846">
        <v>11400000</v>
      </c>
      <c r="J1846">
        <v>3800000</v>
      </c>
      <c r="K1846">
        <v>29000000</v>
      </c>
      <c r="L1846">
        <v>11600000</v>
      </c>
      <c r="M1846" t="s">
        <v>34</v>
      </c>
      <c r="N1846">
        <f t="shared" si="169"/>
        <v>1</v>
      </c>
      <c r="O1846" t="str">
        <f t="shared" si="168"/>
        <v>Low</v>
      </c>
      <c r="P1846" t="str">
        <f t="shared" si="170"/>
        <v>High</v>
      </c>
      <c r="Q1846" t="str">
        <f t="shared" si="171"/>
        <v>High Loan</v>
      </c>
      <c r="R1846">
        <f t="shared" si="172"/>
        <v>55800000</v>
      </c>
      <c r="S1846" t="str">
        <f t="shared" si="173"/>
        <v>Strong</v>
      </c>
    </row>
    <row r="1847" spans="1:19" x14ac:dyDescent="0.25">
      <c r="A1847">
        <v>1846</v>
      </c>
      <c r="B1847">
        <v>1</v>
      </c>
      <c r="C1847" t="s">
        <v>30</v>
      </c>
      <c r="D1847" t="s">
        <v>33</v>
      </c>
      <c r="E1847">
        <v>5000000</v>
      </c>
      <c r="F1847">
        <v>19400000</v>
      </c>
      <c r="G1847">
        <v>10</v>
      </c>
      <c r="H1847">
        <v>410</v>
      </c>
      <c r="I1847">
        <v>11600000</v>
      </c>
      <c r="J1847">
        <v>6200000</v>
      </c>
      <c r="K1847">
        <v>11700000</v>
      </c>
      <c r="L1847">
        <v>4500000</v>
      </c>
      <c r="M1847" t="s">
        <v>35</v>
      </c>
      <c r="N1847">
        <f t="shared" si="169"/>
        <v>0</v>
      </c>
      <c r="O1847" t="str">
        <f t="shared" si="168"/>
        <v>Low</v>
      </c>
      <c r="P1847" t="str">
        <f t="shared" si="170"/>
        <v>High</v>
      </c>
      <c r="Q1847" t="str">
        <f t="shared" si="171"/>
        <v>Low Loan</v>
      </c>
      <c r="R1847">
        <f t="shared" si="172"/>
        <v>34000000</v>
      </c>
      <c r="S1847" t="str">
        <f t="shared" si="173"/>
        <v>Strong</v>
      </c>
    </row>
    <row r="1848" spans="1:19" x14ac:dyDescent="0.25">
      <c r="A1848">
        <v>1847</v>
      </c>
      <c r="B1848">
        <v>0</v>
      </c>
      <c r="C1848" t="s">
        <v>31</v>
      </c>
      <c r="D1848" t="s">
        <v>32</v>
      </c>
      <c r="E1848">
        <v>8500000</v>
      </c>
      <c r="F1848">
        <v>17200000</v>
      </c>
      <c r="G1848">
        <v>12</v>
      </c>
      <c r="H1848">
        <v>624</v>
      </c>
      <c r="I1848">
        <v>6500000</v>
      </c>
      <c r="J1848">
        <v>8400000</v>
      </c>
      <c r="K1848">
        <v>18600000</v>
      </c>
      <c r="L1848">
        <v>5100000</v>
      </c>
      <c r="M1848" t="s">
        <v>34</v>
      </c>
      <c r="N1848">
        <f t="shared" si="169"/>
        <v>1</v>
      </c>
      <c r="O1848" t="str">
        <f t="shared" si="168"/>
        <v>Low</v>
      </c>
      <c r="P1848" t="str">
        <f t="shared" si="170"/>
        <v>High</v>
      </c>
      <c r="Q1848" t="str">
        <f t="shared" si="171"/>
        <v>Low Loan</v>
      </c>
      <c r="R1848">
        <f t="shared" si="172"/>
        <v>38600000</v>
      </c>
      <c r="S1848" t="str">
        <f t="shared" si="173"/>
        <v>Strong</v>
      </c>
    </row>
    <row r="1849" spans="1:19" x14ac:dyDescent="0.25">
      <c r="A1849">
        <v>1848</v>
      </c>
      <c r="B1849">
        <v>4</v>
      </c>
      <c r="C1849" t="s">
        <v>30</v>
      </c>
      <c r="D1849" t="s">
        <v>32</v>
      </c>
      <c r="E1849">
        <v>4600000</v>
      </c>
      <c r="F1849">
        <v>16600000</v>
      </c>
      <c r="G1849">
        <v>16</v>
      </c>
      <c r="H1849">
        <v>805</v>
      </c>
      <c r="I1849">
        <v>4800000</v>
      </c>
      <c r="J1849">
        <v>8000000</v>
      </c>
      <c r="K1849">
        <v>11500000</v>
      </c>
      <c r="L1849">
        <v>2800000</v>
      </c>
      <c r="M1849" t="s">
        <v>34</v>
      </c>
      <c r="N1849">
        <f t="shared" si="169"/>
        <v>1</v>
      </c>
      <c r="O1849" t="str">
        <f t="shared" si="168"/>
        <v>Excellent</v>
      </c>
      <c r="P1849" t="str">
        <f t="shared" si="170"/>
        <v>High</v>
      </c>
      <c r="Q1849" t="str">
        <f t="shared" si="171"/>
        <v>Low Loan</v>
      </c>
      <c r="R1849">
        <f t="shared" si="172"/>
        <v>27100000</v>
      </c>
      <c r="S1849" t="str">
        <f t="shared" si="173"/>
        <v>Strong</v>
      </c>
    </row>
    <row r="1850" spans="1:19" x14ac:dyDescent="0.25">
      <c r="A1850">
        <v>1849</v>
      </c>
      <c r="B1850">
        <v>2</v>
      </c>
      <c r="C1850" t="s">
        <v>30</v>
      </c>
      <c r="D1850" t="s">
        <v>32</v>
      </c>
      <c r="E1850">
        <v>4600000</v>
      </c>
      <c r="F1850">
        <v>16100000</v>
      </c>
      <c r="G1850">
        <v>18</v>
      </c>
      <c r="H1850">
        <v>709</v>
      </c>
      <c r="I1850">
        <v>7100000</v>
      </c>
      <c r="J1850">
        <v>9000000</v>
      </c>
      <c r="K1850">
        <v>13800000</v>
      </c>
      <c r="L1850">
        <v>5400000</v>
      </c>
      <c r="M1850" t="s">
        <v>34</v>
      </c>
      <c r="N1850">
        <f t="shared" si="169"/>
        <v>1</v>
      </c>
      <c r="O1850" t="str">
        <f t="shared" si="168"/>
        <v>Good</v>
      </c>
      <c r="P1850" t="str">
        <f t="shared" si="170"/>
        <v>High</v>
      </c>
      <c r="Q1850" t="str">
        <f t="shared" si="171"/>
        <v>Low Loan</v>
      </c>
      <c r="R1850">
        <f t="shared" si="172"/>
        <v>35300000</v>
      </c>
      <c r="S1850" t="str">
        <f t="shared" si="173"/>
        <v>Strong</v>
      </c>
    </row>
    <row r="1851" spans="1:19" x14ac:dyDescent="0.25">
      <c r="A1851">
        <v>1850</v>
      </c>
      <c r="B1851">
        <v>2</v>
      </c>
      <c r="C1851" t="s">
        <v>31</v>
      </c>
      <c r="D1851" t="s">
        <v>33</v>
      </c>
      <c r="E1851">
        <v>8500000</v>
      </c>
      <c r="F1851">
        <v>30900000</v>
      </c>
      <c r="G1851">
        <v>14</v>
      </c>
      <c r="H1851">
        <v>511</v>
      </c>
      <c r="I1851">
        <v>23300000</v>
      </c>
      <c r="J1851">
        <v>4400000</v>
      </c>
      <c r="K1851">
        <v>21900000</v>
      </c>
      <c r="L1851">
        <v>5500000</v>
      </c>
      <c r="M1851" t="s">
        <v>35</v>
      </c>
      <c r="N1851">
        <f t="shared" si="169"/>
        <v>0</v>
      </c>
      <c r="O1851" t="str">
        <f t="shared" si="168"/>
        <v>Low</v>
      </c>
      <c r="P1851" t="str">
        <f t="shared" si="170"/>
        <v>High</v>
      </c>
      <c r="Q1851" t="str">
        <f t="shared" si="171"/>
        <v>High Loan</v>
      </c>
      <c r="R1851">
        <f t="shared" si="172"/>
        <v>55100000</v>
      </c>
      <c r="S1851" t="str">
        <f t="shared" si="173"/>
        <v>Strong</v>
      </c>
    </row>
    <row r="1852" spans="1:19" x14ac:dyDescent="0.25">
      <c r="A1852">
        <v>1851</v>
      </c>
      <c r="B1852">
        <v>1</v>
      </c>
      <c r="C1852" t="s">
        <v>30</v>
      </c>
      <c r="D1852" t="s">
        <v>33</v>
      </c>
      <c r="E1852">
        <v>7800000</v>
      </c>
      <c r="F1852">
        <v>25100000</v>
      </c>
      <c r="G1852">
        <v>18</v>
      </c>
      <c r="H1852">
        <v>766</v>
      </c>
      <c r="I1852">
        <v>6900000</v>
      </c>
      <c r="J1852">
        <v>7200000</v>
      </c>
      <c r="K1852">
        <v>16600000</v>
      </c>
      <c r="L1852">
        <v>10200000</v>
      </c>
      <c r="M1852" t="s">
        <v>34</v>
      </c>
      <c r="N1852">
        <f t="shared" si="169"/>
        <v>1</v>
      </c>
      <c r="O1852" t="str">
        <f t="shared" si="168"/>
        <v>Excellent</v>
      </c>
      <c r="P1852" t="str">
        <f t="shared" si="170"/>
        <v>High</v>
      </c>
      <c r="Q1852" t="str">
        <f t="shared" si="171"/>
        <v>High Loan</v>
      </c>
      <c r="R1852">
        <f t="shared" si="172"/>
        <v>40900000</v>
      </c>
      <c r="S1852" t="str">
        <f t="shared" si="173"/>
        <v>Strong</v>
      </c>
    </row>
    <row r="1853" spans="1:19" x14ac:dyDescent="0.25">
      <c r="A1853">
        <v>1852</v>
      </c>
      <c r="B1853">
        <v>3</v>
      </c>
      <c r="C1853" t="s">
        <v>31</v>
      </c>
      <c r="D1853" t="s">
        <v>33</v>
      </c>
      <c r="E1853">
        <v>1400000</v>
      </c>
      <c r="F1853">
        <v>3800000</v>
      </c>
      <c r="G1853">
        <v>16</v>
      </c>
      <c r="H1853">
        <v>451</v>
      </c>
      <c r="I1853">
        <v>3100000</v>
      </c>
      <c r="J1853">
        <v>1300000</v>
      </c>
      <c r="K1853">
        <v>4300000</v>
      </c>
      <c r="L1853">
        <v>1300000</v>
      </c>
      <c r="M1853" t="s">
        <v>35</v>
      </c>
      <c r="N1853">
        <f t="shared" si="169"/>
        <v>0</v>
      </c>
      <c r="O1853" t="str">
        <f t="shared" si="168"/>
        <v>Low</v>
      </c>
      <c r="P1853" t="str">
        <f t="shared" si="170"/>
        <v>High</v>
      </c>
      <c r="Q1853" t="str">
        <f t="shared" si="171"/>
        <v>Low Loan</v>
      </c>
      <c r="R1853">
        <f t="shared" si="172"/>
        <v>10000000</v>
      </c>
      <c r="S1853" t="str">
        <f t="shared" si="173"/>
        <v>Strong</v>
      </c>
    </row>
    <row r="1854" spans="1:19" x14ac:dyDescent="0.25">
      <c r="A1854">
        <v>1853</v>
      </c>
      <c r="B1854">
        <v>1</v>
      </c>
      <c r="C1854" t="s">
        <v>31</v>
      </c>
      <c r="D1854" t="s">
        <v>33</v>
      </c>
      <c r="E1854">
        <v>3700000</v>
      </c>
      <c r="F1854">
        <v>10200000</v>
      </c>
      <c r="G1854">
        <v>4</v>
      </c>
      <c r="H1854">
        <v>447</v>
      </c>
      <c r="I1854">
        <v>300000</v>
      </c>
      <c r="J1854">
        <v>2000000</v>
      </c>
      <c r="K1854">
        <v>14500000</v>
      </c>
      <c r="L1854">
        <v>3200000</v>
      </c>
      <c r="M1854" t="s">
        <v>35</v>
      </c>
      <c r="N1854">
        <f t="shared" si="169"/>
        <v>0</v>
      </c>
      <c r="O1854" t="str">
        <f t="shared" si="168"/>
        <v>Low</v>
      </c>
      <c r="P1854" t="str">
        <f t="shared" si="170"/>
        <v>High</v>
      </c>
      <c r="Q1854" t="str">
        <f t="shared" si="171"/>
        <v>Low Loan</v>
      </c>
      <c r="R1854">
        <f t="shared" si="172"/>
        <v>20000000</v>
      </c>
      <c r="S1854" t="str">
        <f t="shared" si="173"/>
        <v>Strong</v>
      </c>
    </row>
    <row r="1855" spans="1:19" x14ac:dyDescent="0.25">
      <c r="A1855">
        <v>1854</v>
      </c>
      <c r="B1855">
        <v>3</v>
      </c>
      <c r="C1855" t="s">
        <v>31</v>
      </c>
      <c r="D1855" t="s">
        <v>33</v>
      </c>
      <c r="E1855">
        <v>1000000</v>
      </c>
      <c r="F1855">
        <v>2500000</v>
      </c>
      <c r="G1855">
        <v>18</v>
      </c>
      <c r="H1855">
        <v>763</v>
      </c>
      <c r="I1855">
        <v>400000</v>
      </c>
      <c r="J1855">
        <v>1100000</v>
      </c>
      <c r="K1855">
        <v>2100000</v>
      </c>
      <c r="L1855">
        <v>1400000</v>
      </c>
      <c r="M1855" t="s">
        <v>34</v>
      </c>
      <c r="N1855">
        <f t="shared" si="169"/>
        <v>1</v>
      </c>
      <c r="O1855" t="str">
        <f t="shared" si="168"/>
        <v>Excellent</v>
      </c>
      <c r="P1855" t="str">
        <f t="shared" si="170"/>
        <v>High</v>
      </c>
      <c r="Q1855" t="str">
        <f t="shared" si="171"/>
        <v>Low Loan</v>
      </c>
      <c r="R1855">
        <f t="shared" si="172"/>
        <v>5000000</v>
      </c>
      <c r="S1855" t="str">
        <f t="shared" si="173"/>
        <v>Moderate</v>
      </c>
    </row>
    <row r="1856" spans="1:19" x14ac:dyDescent="0.25">
      <c r="A1856">
        <v>1855</v>
      </c>
      <c r="B1856">
        <v>5</v>
      </c>
      <c r="C1856" t="s">
        <v>31</v>
      </c>
      <c r="D1856" t="s">
        <v>32</v>
      </c>
      <c r="E1856">
        <v>900000</v>
      </c>
      <c r="F1856">
        <v>3100000</v>
      </c>
      <c r="G1856">
        <v>20</v>
      </c>
      <c r="H1856">
        <v>834</v>
      </c>
      <c r="I1856">
        <v>1000000</v>
      </c>
      <c r="J1856">
        <v>900000</v>
      </c>
      <c r="K1856">
        <v>2100000</v>
      </c>
      <c r="L1856">
        <v>1300000</v>
      </c>
      <c r="M1856" t="s">
        <v>34</v>
      </c>
      <c r="N1856">
        <f t="shared" si="169"/>
        <v>1</v>
      </c>
      <c r="O1856" t="str">
        <f t="shared" si="168"/>
        <v>Excellent</v>
      </c>
      <c r="P1856" t="str">
        <f t="shared" si="170"/>
        <v>High</v>
      </c>
      <c r="Q1856" t="str">
        <f t="shared" si="171"/>
        <v>Low Loan</v>
      </c>
      <c r="R1856">
        <f t="shared" si="172"/>
        <v>5300000</v>
      </c>
      <c r="S1856" t="str">
        <f t="shared" si="173"/>
        <v>Moderate</v>
      </c>
    </row>
    <row r="1857" spans="1:19" x14ac:dyDescent="0.25">
      <c r="A1857">
        <v>1856</v>
      </c>
      <c r="B1857">
        <v>2</v>
      </c>
      <c r="C1857" t="s">
        <v>30</v>
      </c>
      <c r="D1857" t="s">
        <v>32</v>
      </c>
      <c r="E1857">
        <v>5600000</v>
      </c>
      <c r="F1857">
        <v>19500000</v>
      </c>
      <c r="G1857">
        <v>8</v>
      </c>
      <c r="H1857">
        <v>429</v>
      </c>
      <c r="I1857">
        <v>6100000</v>
      </c>
      <c r="J1857">
        <v>2200000</v>
      </c>
      <c r="K1857">
        <v>21100000</v>
      </c>
      <c r="L1857">
        <v>7200000</v>
      </c>
      <c r="M1857" t="s">
        <v>35</v>
      </c>
      <c r="N1857">
        <f t="shared" si="169"/>
        <v>0</v>
      </c>
      <c r="O1857" t="str">
        <f t="shared" si="168"/>
        <v>Low</v>
      </c>
      <c r="P1857" t="str">
        <f t="shared" si="170"/>
        <v>High</v>
      </c>
      <c r="Q1857" t="str">
        <f t="shared" si="171"/>
        <v>Low Loan</v>
      </c>
      <c r="R1857">
        <f t="shared" si="172"/>
        <v>36600000</v>
      </c>
      <c r="S1857" t="str">
        <f t="shared" si="173"/>
        <v>Strong</v>
      </c>
    </row>
    <row r="1858" spans="1:19" x14ac:dyDescent="0.25">
      <c r="A1858">
        <v>1857</v>
      </c>
      <c r="B1858">
        <v>4</v>
      </c>
      <c r="C1858" t="s">
        <v>31</v>
      </c>
      <c r="D1858" t="s">
        <v>32</v>
      </c>
      <c r="E1858">
        <v>3200000</v>
      </c>
      <c r="F1858">
        <v>10600000</v>
      </c>
      <c r="G1858">
        <v>16</v>
      </c>
      <c r="H1858">
        <v>693</v>
      </c>
      <c r="I1858">
        <v>7800000</v>
      </c>
      <c r="J1858">
        <v>4900000</v>
      </c>
      <c r="K1858">
        <v>10400000</v>
      </c>
      <c r="L1858">
        <v>1800000</v>
      </c>
      <c r="M1858" t="s">
        <v>34</v>
      </c>
      <c r="N1858">
        <f t="shared" si="169"/>
        <v>1</v>
      </c>
      <c r="O1858" t="str">
        <f t="shared" ref="O1858:O1921" si="174">IF(H1858&lt;650,"Low",
 IF(H1858&lt;700,"Medium",
 IF(H1858&lt;750,"Good","Excellent")))</f>
        <v>Medium</v>
      </c>
      <c r="P1858" t="str">
        <f t="shared" si="170"/>
        <v>High</v>
      </c>
      <c r="Q1858" t="str">
        <f t="shared" si="171"/>
        <v>Low Loan</v>
      </c>
      <c r="R1858">
        <f t="shared" si="172"/>
        <v>24900000</v>
      </c>
      <c r="S1858" t="str">
        <f t="shared" si="173"/>
        <v>Strong</v>
      </c>
    </row>
    <row r="1859" spans="1:19" x14ac:dyDescent="0.25">
      <c r="A1859">
        <v>1858</v>
      </c>
      <c r="B1859">
        <v>1</v>
      </c>
      <c r="C1859" t="s">
        <v>30</v>
      </c>
      <c r="D1859" t="s">
        <v>32</v>
      </c>
      <c r="E1859">
        <v>2900000</v>
      </c>
      <c r="F1859">
        <v>11100000</v>
      </c>
      <c r="G1859">
        <v>20</v>
      </c>
      <c r="H1859">
        <v>478</v>
      </c>
      <c r="I1859">
        <v>4200000</v>
      </c>
      <c r="J1859">
        <v>2900000</v>
      </c>
      <c r="K1859">
        <v>8500000</v>
      </c>
      <c r="L1859">
        <v>3000000</v>
      </c>
      <c r="M1859" t="s">
        <v>35</v>
      </c>
      <c r="N1859">
        <f t="shared" ref="N1859:N1922" si="175">IF(TRIM(CLEAN(M1859))="Approved",1,0)</f>
        <v>0</v>
      </c>
      <c r="O1859" t="str">
        <f t="shared" si="174"/>
        <v>Low</v>
      </c>
      <c r="P1859" t="str">
        <f t="shared" ref="P1859:P1922" si="176">IF(E1859&lt;300000,"Low",
 IF(E1859&lt;700000,"Middle","High"))</f>
        <v>High</v>
      </c>
      <c r="Q1859" t="str">
        <f t="shared" ref="Q1859:Q1922" si="177">IF(F1859&lt;20000000,"Low Loan","High Loan")</f>
        <v>Low Loan</v>
      </c>
      <c r="R1859">
        <f t="shared" ref="R1859:R1922" si="178">I1859+J1859+K1859+L1859</f>
        <v>18600000</v>
      </c>
      <c r="S1859" t="str">
        <f t="shared" ref="S1859:S1922" si="179">IF(R1859&lt;5000000,"Weak",
 IF(R1859&lt;10000000,"Moderate","Strong"))</f>
        <v>Strong</v>
      </c>
    </row>
    <row r="1860" spans="1:19" x14ac:dyDescent="0.25">
      <c r="A1860">
        <v>1859</v>
      </c>
      <c r="B1860">
        <v>2</v>
      </c>
      <c r="C1860" t="s">
        <v>30</v>
      </c>
      <c r="D1860" t="s">
        <v>33</v>
      </c>
      <c r="E1860">
        <v>300000</v>
      </c>
      <c r="F1860">
        <v>800000</v>
      </c>
      <c r="G1860">
        <v>10</v>
      </c>
      <c r="H1860">
        <v>752</v>
      </c>
      <c r="I1860">
        <v>600000</v>
      </c>
      <c r="J1860">
        <v>300000</v>
      </c>
      <c r="K1860">
        <v>1000000</v>
      </c>
      <c r="L1860">
        <v>400000</v>
      </c>
      <c r="M1860" t="s">
        <v>34</v>
      </c>
      <c r="N1860">
        <f t="shared" si="175"/>
        <v>1</v>
      </c>
      <c r="O1860" t="str">
        <f t="shared" si="174"/>
        <v>Excellent</v>
      </c>
      <c r="P1860" t="str">
        <f t="shared" si="176"/>
        <v>Middle</v>
      </c>
      <c r="Q1860" t="str">
        <f t="shared" si="177"/>
        <v>Low Loan</v>
      </c>
      <c r="R1860">
        <f t="shared" si="178"/>
        <v>2300000</v>
      </c>
      <c r="S1860" t="str">
        <f t="shared" si="179"/>
        <v>Weak</v>
      </c>
    </row>
    <row r="1861" spans="1:19" x14ac:dyDescent="0.25">
      <c r="A1861">
        <v>1860</v>
      </c>
      <c r="B1861">
        <v>0</v>
      </c>
      <c r="C1861" t="s">
        <v>30</v>
      </c>
      <c r="D1861" t="s">
        <v>33</v>
      </c>
      <c r="E1861">
        <v>2400000</v>
      </c>
      <c r="F1861">
        <v>5900000</v>
      </c>
      <c r="G1861">
        <v>14</v>
      </c>
      <c r="H1861">
        <v>319</v>
      </c>
      <c r="I1861">
        <v>2000000</v>
      </c>
      <c r="J1861">
        <v>4200000</v>
      </c>
      <c r="K1861">
        <v>9500000</v>
      </c>
      <c r="L1861">
        <v>3300000</v>
      </c>
      <c r="M1861" t="s">
        <v>35</v>
      </c>
      <c r="N1861">
        <f t="shared" si="175"/>
        <v>0</v>
      </c>
      <c r="O1861" t="str">
        <f t="shared" si="174"/>
        <v>Low</v>
      </c>
      <c r="P1861" t="str">
        <f t="shared" si="176"/>
        <v>High</v>
      </c>
      <c r="Q1861" t="str">
        <f t="shared" si="177"/>
        <v>Low Loan</v>
      </c>
      <c r="R1861">
        <f t="shared" si="178"/>
        <v>19000000</v>
      </c>
      <c r="S1861" t="str">
        <f t="shared" si="179"/>
        <v>Strong</v>
      </c>
    </row>
    <row r="1862" spans="1:19" x14ac:dyDescent="0.25">
      <c r="A1862">
        <v>1861</v>
      </c>
      <c r="B1862">
        <v>3</v>
      </c>
      <c r="C1862" t="s">
        <v>30</v>
      </c>
      <c r="D1862" t="s">
        <v>32</v>
      </c>
      <c r="E1862">
        <v>5000000</v>
      </c>
      <c r="F1862">
        <v>17600000</v>
      </c>
      <c r="G1862">
        <v>8</v>
      </c>
      <c r="H1862">
        <v>303</v>
      </c>
      <c r="I1862">
        <v>6300000</v>
      </c>
      <c r="J1862">
        <v>9600000</v>
      </c>
      <c r="K1862">
        <v>12800000</v>
      </c>
      <c r="L1862">
        <v>6900000</v>
      </c>
      <c r="M1862" t="s">
        <v>35</v>
      </c>
      <c r="N1862">
        <f t="shared" si="175"/>
        <v>0</v>
      </c>
      <c r="O1862" t="str">
        <f t="shared" si="174"/>
        <v>Low</v>
      </c>
      <c r="P1862" t="str">
        <f t="shared" si="176"/>
        <v>High</v>
      </c>
      <c r="Q1862" t="str">
        <f t="shared" si="177"/>
        <v>Low Loan</v>
      </c>
      <c r="R1862">
        <f t="shared" si="178"/>
        <v>35600000</v>
      </c>
      <c r="S1862" t="str">
        <f t="shared" si="179"/>
        <v>Strong</v>
      </c>
    </row>
    <row r="1863" spans="1:19" x14ac:dyDescent="0.25">
      <c r="A1863">
        <v>1862</v>
      </c>
      <c r="B1863">
        <v>3</v>
      </c>
      <c r="C1863" t="s">
        <v>31</v>
      </c>
      <c r="D1863" t="s">
        <v>33</v>
      </c>
      <c r="E1863">
        <v>5000000</v>
      </c>
      <c r="F1863">
        <v>16700000</v>
      </c>
      <c r="G1863">
        <v>20</v>
      </c>
      <c r="H1863">
        <v>420</v>
      </c>
      <c r="I1863">
        <v>1100000</v>
      </c>
      <c r="J1863">
        <v>5000000</v>
      </c>
      <c r="K1863">
        <v>18700000</v>
      </c>
      <c r="L1863">
        <v>6900000</v>
      </c>
      <c r="M1863" t="s">
        <v>35</v>
      </c>
      <c r="N1863">
        <f t="shared" si="175"/>
        <v>0</v>
      </c>
      <c r="O1863" t="str">
        <f t="shared" si="174"/>
        <v>Low</v>
      </c>
      <c r="P1863" t="str">
        <f t="shared" si="176"/>
        <v>High</v>
      </c>
      <c r="Q1863" t="str">
        <f t="shared" si="177"/>
        <v>Low Loan</v>
      </c>
      <c r="R1863">
        <f t="shared" si="178"/>
        <v>31700000</v>
      </c>
      <c r="S1863" t="str">
        <f t="shared" si="179"/>
        <v>Strong</v>
      </c>
    </row>
    <row r="1864" spans="1:19" x14ac:dyDescent="0.25">
      <c r="A1864">
        <v>1863</v>
      </c>
      <c r="B1864">
        <v>2</v>
      </c>
      <c r="C1864" t="s">
        <v>31</v>
      </c>
      <c r="D1864" t="s">
        <v>33</v>
      </c>
      <c r="E1864">
        <v>200000</v>
      </c>
      <c r="F1864">
        <v>600000</v>
      </c>
      <c r="G1864">
        <v>8</v>
      </c>
      <c r="H1864">
        <v>552</v>
      </c>
      <c r="I1864">
        <v>400000</v>
      </c>
      <c r="J1864">
        <v>200000</v>
      </c>
      <c r="K1864">
        <v>700000</v>
      </c>
      <c r="L1864">
        <v>200000</v>
      </c>
      <c r="M1864" t="s">
        <v>34</v>
      </c>
      <c r="N1864">
        <f t="shared" si="175"/>
        <v>1</v>
      </c>
      <c r="O1864" t="str">
        <f t="shared" si="174"/>
        <v>Low</v>
      </c>
      <c r="P1864" t="str">
        <f t="shared" si="176"/>
        <v>Low</v>
      </c>
      <c r="Q1864" t="str">
        <f t="shared" si="177"/>
        <v>Low Loan</v>
      </c>
      <c r="R1864">
        <f t="shared" si="178"/>
        <v>1500000</v>
      </c>
      <c r="S1864" t="str">
        <f t="shared" si="179"/>
        <v>Weak</v>
      </c>
    </row>
    <row r="1865" spans="1:19" x14ac:dyDescent="0.25">
      <c r="A1865">
        <v>1864</v>
      </c>
      <c r="B1865">
        <v>3</v>
      </c>
      <c r="C1865" t="s">
        <v>31</v>
      </c>
      <c r="D1865" t="s">
        <v>33</v>
      </c>
      <c r="E1865">
        <v>6000000</v>
      </c>
      <c r="F1865">
        <v>16000000</v>
      </c>
      <c r="G1865">
        <v>12</v>
      </c>
      <c r="H1865">
        <v>606</v>
      </c>
      <c r="I1865">
        <v>2600000</v>
      </c>
      <c r="J1865">
        <v>11600000</v>
      </c>
      <c r="K1865">
        <v>19300000</v>
      </c>
      <c r="L1865">
        <v>7800000</v>
      </c>
      <c r="M1865" t="s">
        <v>34</v>
      </c>
      <c r="N1865">
        <f t="shared" si="175"/>
        <v>1</v>
      </c>
      <c r="O1865" t="str">
        <f t="shared" si="174"/>
        <v>Low</v>
      </c>
      <c r="P1865" t="str">
        <f t="shared" si="176"/>
        <v>High</v>
      </c>
      <c r="Q1865" t="str">
        <f t="shared" si="177"/>
        <v>Low Loan</v>
      </c>
      <c r="R1865">
        <f t="shared" si="178"/>
        <v>41300000</v>
      </c>
      <c r="S1865" t="str">
        <f t="shared" si="179"/>
        <v>Strong</v>
      </c>
    </row>
    <row r="1866" spans="1:19" x14ac:dyDescent="0.25">
      <c r="A1866">
        <v>1865</v>
      </c>
      <c r="B1866">
        <v>2</v>
      </c>
      <c r="C1866" t="s">
        <v>31</v>
      </c>
      <c r="D1866" t="s">
        <v>32</v>
      </c>
      <c r="E1866">
        <v>5600000</v>
      </c>
      <c r="F1866">
        <v>13700000</v>
      </c>
      <c r="G1866">
        <v>2</v>
      </c>
      <c r="H1866">
        <v>558</v>
      </c>
      <c r="I1866">
        <v>7500000</v>
      </c>
      <c r="J1866">
        <v>9300000</v>
      </c>
      <c r="K1866">
        <v>12100000</v>
      </c>
      <c r="L1866">
        <v>6700000</v>
      </c>
      <c r="M1866" t="s">
        <v>34</v>
      </c>
      <c r="N1866">
        <f t="shared" si="175"/>
        <v>1</v>
      </c>
      <c r="O1866" t="str">
        <f t="shared" si="174"/>
        <v>Low</v>
      </c>
      <c r="P1866" t="str">
        <f t="shared" si="176"/>
        <v>High</v>
      </c>
      <c r="Q1866" t="str">
        <f t="shared" si="177"/>
        <v>Low Loan</v>
      </c>
      <c r="R1866">
        <f t="shared" si="178"/>
        <v>35600000</v>
      </c>
      <c r="S1866" t="str">
        <f t="shared" si="179"/>
        <v>Strong</v>
      </c>
    </row>
    <row r="1867" spans="1:19" x14ac:dyDescent="0.25">
      <c r="A1867">
        <v>1866</v>
      </c>
      <c r="B1867">
        <v>1</v>
      </c>
      <c r="C1867" t="s">
        <v>31</v>
      </c>
      <c r="D1867" t="s">
        <v>32</v>
      </c>
      <c r="E1867">
        <v>4500000</v>
      </c>
      <c r="F1867">
        <v>12400000</v>
      </c>
      <c r="G1867">
        <v>6</v>
      </c>
      <c r="H1867">
        <v>504</v>
      </c>
      <c r="I1867">
        <v>12000000</v>
      </c>
      <c r="J1867">
        <v>3200000</v>
      </c>
      <c r="K1867">
        <v>13100000</v>
      </c>
      <c r="L1867">
        <v>2200000</v>
      </c>
      <c r="M1867" t="s">
        <v>35</v>
      </c>
      <c r="N1867">
        <f t="shared" si="175"/>
        <v>0</v>
      </c>
      <c r="O1867" t="str">
        <f t="shared" si="174"/>
        <v>Low</v>
      </c>
      <c r="P1867" t="str">
        <f t="shared" si="176"/>
        <v>High</v>
      </c>
      <c r="Q1867" t="str">
        <f t="shared" si="177"/>
        <v>Low Loan</v>
      </c>
      <c r="R1867">
        <f t="shared" si="178"/>
        <v>30500000</v>
      </c>
      <c r="S1867" t="str">
        <f t="shared" si="179"/>
        <v>Strong</v>
      </c>
    </row>
    <row r="1868" spans="1:19" x14ac:dyDescent="0.25">
      <c r="A1868">
        <v>1867</v>
      </c>
      <c r="B1868">
        <v>5</v>
      </c>
      <c r="C1868" t="s">
        <v>31</v>
      </c>
      <c r="D1868" t="s">
        <v>33</v>
      </c>
      <c r="E1868">
        <v>200000</v>
      </c>
      <c r="F1868">
        <v>300000</v>
      </c>
      <c r="G1868">
        <v>8</v>
      </c>
      <c r="H1868">
        <v>412</v>
      </c>
      <c r="I1868">
        <v>-100000</v>
      </c>
      <c r="J1868">
        <v>100000</v>
      </c>
      <c r="K1868">
        <v>500000</v>
      </c>
      <c r="L1868">
        <v>100000</v>
      </c>
      <c r="M1868" t="s">
        <v>35</v>
      </c>
      <c r="N1868">
        <f t="shared" si="175"/>
        <v>0</v>
      </c>
      <c r="O1868" t="str">
        <f t="shared" si="174"/>
        <v>Low</v>
      </c>
      <c r="P1868" t="str">
        <f t="shared" si="176"/>
        <v>Low</v>
      </c>
      <c r="Q1868" t="str">
        <f t="shared" si="177"/>
        <v>Low Loan</v>
      </c>
      <c r="R1868">
        <f t="shared" si="178"/>
        <v>600000</v>
      </c>
      <c r="S1868" t="str">
        <f t="shared" si="179"/>
        <v>Weak</v>
      </c>
    </row>
    <row r="1869" spans="1:19" x14ac:dyDescent="0.25">
      <c r="A1869">
        <v>1868</v>
      </c>
      <c r="B1869">
        <v>4</v>
      </c>
      <c r="C1869" t="s">
        <v>31</v>
      </c>
      <c r="D1869" t="s">
        <v>33</v>
      </c>
      <c r="E1869">
        <v>6200000</v>
      </c>
      <c r="F1869">
        <v>18300000</v>
      </c>
      <c r="G1869">
        <v>4</v>
      </c>
      <c r="H1869">
        <v>900</v>
      </c>
      <c r="I1869">
        <v>16900000</v>
      </c>
      <c r="J1869">
        <v>3400000</v>
      </c>
      <c r="K1869">
        <v>15300000</v>
      </c>
      <c r="L1869">
        <v>6400000</v>
      </c>
      <c r="M1869" t="s">
        <v>34</v>
      </c>
      <c r="N1869">
        <f t="shared" si="175"/>
        <v>1</v>
      </c>
      <c r="O1869" t="str">
        <f t="shared" si="174"/>
        <v>Excellent</v>
      </c>
      <c r="P1869" t="str">
        <f t="shared" si="176"/>
        <v>High</v>
      </c>
      <c r="Q1869" t="str">
        <f t="shared" si="177"/>
        <v>Low Loan</v>
      </c>
      <c r="R1869">
        <f t="shared" si="178"/>
        <v>42000000</v>
      </c>
      <c r="S1869" t="str">
        <f t="shared" si="179"/>
        <v>Strong</v>
      </c>
    </row>
    <row r="1870" spans="1:19" x14ac:dyDescent="0.25">
      <c r="A1870">
        <v>1869</v>
      </c>
      <c r="B1870">
        <v>4</v>
      </c>
      <c r="C1870" t="s">
        <v>31</v>
      </c>
      <c r="D1870" t="s">
        <v>33</v>
      </c>
      <c r="E1870">
        <v>9800000</v>
      </c>
      <c r="F1870">
        <v>23800000</v>
      </c>
      <c r="G1870">
        <v>8</v>
      </c>
      <c r="H1870">
        <v>634</v>
      </c>
      <c r="I1870">
        <v>12800000</v>
      </c>
      <c r="J1870">
        <v>9300000</v>
      </c>
      <c r="K1870">
        <v>37600000</v>
      </c>
      <c r="L1870">
        <v>6100000</v>
      </c>
      <c r="M1870" t="s">
        <v>34</v>
      </c>
      <c r="N1870">
        <f t="shared" si="175"/>
        <v>1</v>
      </c>
      <c r="O1870" t="str">
        <f t="shared" si="174"/>
        <v>Low</v>
      </c>
      <c r="P1870" t="str">
        <f t="shared" si="176"/>
        <v>High</v>
      </c>
      <c r="Q1870" t="str">
        <f t="shared" si="177"/>
        <v>High Loan</v>
      </c>
      <c r="R1870">
        <f t="shared" si="178"/>
        <v>65800000</v>
      </c>
      <c r="S1870" t="str">
        <f t="shared" si="179"/>
        <v>Strong</v>
      </c>
    </row>
    <row r="1871" spans="1:19" x14ac:dyDescent="0.25">
      <c r="A1871">
        <v>1870</v>
      </c>
      <c r="B1871">
        <v>5</v>
      </c>
      <c r="C1871" t="s">
        <v>30</v>
      </c>
      <c r="D1871" t="s">
        <v>33</v>
      </c>
      <c r="E1871">
        <v>3900000</v>
      </c>
      <c r="F1871">
        <v>9000000</v>
      </c>
      <c r="G1871">
        <v>8</v>
      </c>
      <c r="H1871">
        <v>340</v>
      </c>
      <c r="I1871">
        <v>4900000</v>
      </c>
      <c r="J1871">
        <v>6800000</v>
      </c>
      <c r="K1871">
        <v>9000000</v>
      </c>
      <c r="L1871">
        <v>5200000</v>
      </c>
      <c r="M1871" t="s">
        <v>35</v>
      </c>
      <c r="N1871">
        <f t="shared" si="175"/>
        <v>0</v>
      </c>
      <c r="O1871" t="str">
        <f t="shared" si="174"/>
        <v>Low</v>
      </c>
      <c r="P1871" t="str">
        <f t="shared" si="176"/>
        <v>High</v>
      </c>
      <c r="Q1871" t="str">
        <f t="shared" si="177"/>
        <v>Low Loan</v>
      </c>
      <c r="R1871">
        <f t="shared" si="178"/>
        <v>25900000</v>
      </c>
      <c r="S1871" t="str">
        <f t="shared" si="179"/>
        <v>Strong</v>
      </c>
    </row>
    <row r="1872" spans="1:19" x14ac:dyDescent="0.25">
      <c r="A1872">
        <v>1871</v>
      </c>
      <c r="B1872">
        <v>3</v>
      </c>
      <c r="C1872" t="s">
        <v>31</v>
      </c>
      <c r="D1872" t="s">
        <v>33</v>
      </c>
      <c r="E1872">
        <v>8300000</v>
      </c>
      <c r="F1872">
        <v>20900000</v>
      </c>
      <c r="G1872">
        <v>4</v>
      </c>
      <c r="H1872">
        <v>615</v>
      </c>
      <c r="I1872">
        <v>4400000</v>
      </c>
      <c r="J1872">
        <v>200000</v>
      </c>
      <c r="K1872">
        <v>19000000</v>
      </c>
      <c r="L1872">
        <v>9600000</v>
      </c>
      <c r="M1872" t="s">
        <v>34</v>
      </c>
      <c r="N1872">
        <f t="shared" si="175"/>
        <v>1</v>
      </c>
      <c r="O1872" t="str">
        <f t="shared" si="174"/>
        <v>Low</v>
      </c>
      <c r="P1872" t="str">
        <f t="shared" si="176"/>
        <v>High</v>
      </c>
      <c r="Q1872" t="str">
        <f t="shared" si="177"/>
        <v>High Loan</v>
      </c>
      <c r="R1872">
        <f t="shared" si="178"/>
        <v>33200000</v>
      </c>
      <c r="S1872" t="str">
        <f t="shared" si="179"/>
        <v>Strong</v>
      </c>
    </row>
    <row r="1873" spans="1:19" x14ac:dyDescent="0.25">
      <c r="A1873">
        <v>1872</v>
      </c>
      <c r="B1873">
        <v>2</v>
      </c>
      <c r="C1873" t="s">
        <v>30</v>
      </c>
      <c r="D1873" t="s">
        <v>33</v>
      </c>
      <c r="E1873">
        <v>4900000</v>
      </c>
      <c r="F1873">
        <v>12200000</v>
      </c>
      <c r="G1873">
        <v>18</v>
      </c>
      <c r="H1873">
        <v>353</v>
      </c>
      <c r="I1873">
        <v>7000000</v>
      </c>
      <c r="J1873">
        <v>200000</v>
      </c>
      <c r="K1873">
        <v>14400000</v>
      </c>
      <c r="L1873">
        <v>3600000</v>
      </c>
      <c r="M1873" t="s">
        <v>35</v>
      </c>
      <c r="N1873">
        <f t="shared" si="175"/>
        <v>0</v>
      </c>
      <c r="O1873" t="str">
        <f t="shared" si="174"/>
        <v>Low</v>
      </c>
      <c r="P1873" t="str">
        <f t="shared" si="176"/>
        <v>High</v>
      </c>
      <c r="Q1873" t="str">
        <f t="shared" si="177"/>
        <v>Low Loan</v>
      </c>
      <c r="R1873">
        <f t="shared" si="178"/>
        <v>25200000</v>
      </c>
      <c r="S1873" t="str">
        <f t="shared" si="179"/>
        <v>Strong</v>
      </c>
    </row>
    <row r="1874" spans="1:19" x14ac:dyDescent="0.25">
      <c r="A1874">
        <v>1873</v>
      </c>
      <c r="B1874">
        <v>4</v>
      </c>
      <c r="C1874" t="s">
        <v>30</v>
      </c>
      <c r="D1874" t="s">
        <v>33</v>
      </c>
      <c r="E1874">
        <v>6900000</v>
      </c>
      <c r="F1874">
        <v>16300000</v>
      </c>
      <c r="G1874">
        <v>8</v>
      </c>
      <c r="H1874">
        <v>606</v>
      </c>
      <c r="I1874">
        <v>5800000</v>
      </c>
      <c r="J1874">
        <v>900000</v>
      </c>
      <c r="K1874">
        <v>23700000</v>
      </c>
      <c r="L1874">
        <v>3600000</v>
      </c>
      <c r="M1874" t="s">
        <v>34</v>
      </c>
      <c r="N1874">
        <f t="shared" si="175"/>
        <v>1</v>
      </c>
      <c r="O1874" t="str">
        <f t="shared" si="174"/>
        <v>Low</v>
      </c>
      <c r="P1874" t="str">
        <f t="shared" si="176"/>
        <v>High</v>
      </c>
      <c r="Q1874" t="str">
        <f t="shared" si="177"/>
        <v>Low Loan</v>
      </c>
      <c r="R1874">
        <f t="shared" si="178"/>
        <v>34000000</v>
      </c>
      <c r="S1874" t="str">
        <f t="shared" si="179"/>
        <v>Strong</v>
      </c>
    </row>
    <row r="1875" spans="1:19" x14ac:dyDescent="0.25">
      <c r="A1875">
        <v>1874</v>
      </c>
      <c r="B1875">
        <v>2</v>
      </c>
      <c r="C1875" t="s">
        <v>31</v>
      </c>
      <c r="D1875" t="s">
        <v>32</v>
      </c>
      <c r="E1875">
        <v>4500000</v>
      </c>
      <c r="F1875">
        <v>14500000</v>
      </c>
      <c r="G1875">
        <v>18</v>
      </c>
      <c r="H1875">
        <v>498</v>
      </c>
      <c r="I1875">
        <v>7900000</v>
      </c>
      <c r="J1875">
        <v>200000</v>
      </c>
      <c r="K1875">
        <v>13500000</v>
      </c>
      <c r="L1875">
        <v>4800000</v>
      </c>
      <c r="M1875" t="s">
        <v>35</v>
      </c>
      <c r="N1875">
        <f t="shared" si="175"/>
        <v>0</v>
      </c>
      <c r="O1875" t="str">
        <f t="shared" si="174"/>
        <v>Low</v>
      </c>
      <c r="P1875" t="str">
        <f t="shared" si="176"/>
        <v>High</v>
      </c>
      <c r="Q1875" t="str">
        <f t="shared" si="177"/>
        <v>Low Loan</v>
      </c>
      <c r="R1875">
        <f t="shared" si="178"/>
        <v>26400000</v>
      </c>
      <c r="S1875" t="str">
        <f t="shared" si="179"/>
        <v>Strong</v>
      </c>
    </row>
    <row r="1876" spans="1:19" x14ac:dyDescent="0.25">
      <c r="A1876">
        <v>1875</v>
      </c>
      <c r="B1876">
        <v>4</v>
      </c>
      <c r="C1876" t="s">
        <v>31</v>
      </c>
      <c r="D1876" t="s">
        <v>32</v>
      </c>
      <c r="E1876">
        <v>7500000</v>
      </c>
      <c r="F1876">
        <v>21900000</v>
      </c>
      <c r="G1876">
        <v>2</v>
      </c>
      <c r="H1876">
        <v>585</v>
      </c>
      <c r="I1876">
        <v>6800000</v>
      </c>
      <c r="J1876">
        <v>12200000</v>
      </c>
      <c r="K1876">
        <v>27500000</v>
      </c>
      <c r="L1876">
        <v>8100000</v>
      </c>
      <c r="M1876" t="s">
        <v>34</v>
      </c>
      <c r="N1876">
        <f t="shared" si="175"/>
        <v>1</v>
      </c>
      <c r="O1876" t="str">
        <f t="shared" si="174"/>
        <v>Low</v>
      </c>
      <c r="P1876" t="str">
        <f t="shared" si="176"/>
        <v>High</v>
      </c>
      <c r="Q1876" t="str">
        <f t="shared" si="177"/>
        <v>High Loan</v>
      </c>
      <c r="R1876">
        <f t="shared" si="178"/>
        <v>54600000</v>
      </c>
      <c r="S1876" t="str">
        <f t="shared" si="179"/>
        <v>Strong</v>
      </c>
    </row>
    <row r="1877" spans="1:19" x14ac:dyDescent="0.25">
      <c r="A1877">
        <v>1876</v>
      </c>
      <c r="B1877">
        <v>1</v>
      </c>
      <c r="C1877" t="s">
        <v>31</v>
      </c>
      <c r="D1877" t="s">
        <v>33</v>
      </c>
      <c r="E1877">
        <v>2300000</v>
      </c>
      <c r="F1877">
        <v>6400000</v>
      </c>
      <c r="G1877">
        <v>8</v>
      </c>
      <c r="H1877">
        <v>578</v>
      </c>
      <c r="I1877">
        <v>3600000</v>
      </c>
      <c r="J1877">
        <v>1800000</v>
      </c>
      <c r="K1877">
        <v>7000000</v>
      </c>
      <c r="L1877">
        <v>3000000</v>
      </c>
      <c r="M1877" t="s">
        <v>34</v>
      </c>
      <c r="N1877">
        <f t="shared" si="175"/>
        <v>1</v>
      </c>
      <c r="O1877" t="str">
        <f t="shared" si="174"/>
        <v>Low</v>
      </c>
      <c r="P1877" t="str">
        <f t="shared" si="176"/>
        <v>High</v>
      </c>
      <c r="Q1877" t="str">
        <f t="shared" si="177"/>
        <v>Low Loan</v>
      </c>
      <c r="R1877">
        <f t="shared" si="178"/>
        <v>15400000</v>
      </c>
      <c r="S1877" t="str">
        <f t="shared" si="179"/>
        <v>Strong</v>
      </c>
    </row>
    <row r="1878" spans="1:19" x14ac:dyDescent="0.25">
      <c r="A1878">
        <v>1877</v>
      </c>
      <c r="B1878">
        <v>1</v>
      </c>
      <c r="C1878" t="s">
        <v>30</v>
      </c>
      <c r="D1878" t="s">
        <v>32</v>
      </c>
      <c r="E1878">
        <v>7400000</v>
      </c>
      <c r="F1878">
        <v>15500000</v>
      </c>
      <c r="G1878">
        <v>2</v>
      </c>
      <c r="H1878">
        <v>693</v>
      </c>
      <c r="I1878">
        <v>3000000</v>
      </c>
      <c r="J1878">
        <v>12800000</v>
      </c>
      <c r="K1878">
        <v>21800000</v>
      </c>
      <c r="L1878">
        <v>9300000</v>
      </c>
      <c r="M1878" t="s">
        <v>34</v>
      </c>
      <c r="N1878">
        <f t="shared" si="175"/>
        <v>1</v>
      </c>
      <c r="O1878" t="str">
        <f t="shared" si="174"/>
        <v>Medium</v>
      </c>
      <c r="P1878" t="str">
        <f t="shared" si="176"/>
        <v>High</v>
      </c>
      <c r="Q1878" t="str">
        <f t="shared" si="177"/>
        <v>Low Loan</v>
      </c>
      <c r="R1878">
        <f t="shared" si="178"/>
        <v>46900000</v>
      </c>
      <c r="S1878" t="str">
        <f t="shared" si="179"/>
        <v>Strong</v>
      </c>
    </row>
    <row r="1879" spans="1:19" x14ac:dyDescent="0.25">
      <c r="A1879">
        <v>1878</v>
      </c>
      <c r="B1879">
        <v>4</v>
      </c>
      <c r="C1879" t="s">
        <v>30</v>
      </c>
      <c r="D1879" t="s">
        <v>32</v>
      </c>
      <c r="E1879">
        <v>4800000</v>
      </c>
      <c r="F1879">
        <v>14300000</v>
      </c>
      <c r="G1879">
        <v>6</v>
      </c>
      <c r="H1879">
        <v>795</v>
      </c>
      <c r="I1879">
        <v>5900000</v>
      </c>
      <c r="J1879">
        <v>0</v>
      </c>
      <c r="K1879">
        <v>11100000</v>
      </c>
      <c r="L1879">
        <v>2600000</v>
      </c>
      <c r="M1879" t="s">
        <v>34</v>
      </c>
      <c r="N1879">
        <f t="shared" si="175"/>
        <v>1</v>
      </c>
      <c r="O1879" t="str">
        <f t="shared" si="174"/>
        <v>Excellent</v>
      </c>
      <c r="P1879" t="str">
        <f t="shared" si="176"/>
        <v>High</v>
      </c>
      <c r="Q1879" t="str">
        <f t="shared" si="177"/>
        <v>Low Loan</v>
      </c>
      <c r="R1879">
        <f t="shared" si="178"/>
        <v>19600000</v>
      </c>
      <c r="S1879" t="str">
        <f t="shared" si="179"/>
        <v>Strong</v>
      </c>
    </row>
    <row r="1880" spans="1:19" x14ac:dyDescent="0.25">
      <c r="A1880">
        <v>1879</v>
      </c>
      <c r="B1880">
        <v>1</v>
      </c>
      <c r="C1880" t="s">
        <v>30</v>
      </c>
      <c r="D1880" t="s">
        <v>32</v>
      </c>
      <c r="E1880">
        <v>2600000</v>
      </c>
      <c r="F1880">
        <v>9900000</v>
      </c>
      <c r="G1880">
        <v>6</v>
      </c>
      <c r="H1880">
        <v>594</v>
      </c>
      <c r="I1880">
        <v>2900000</v>
      </c>
      <c r="J1880">
        <v>4300000</v>
      </c>
      <c r="K1880">
        <v>6700000</v>
      </c>
      <c r="L1880">
        <v>2500000</v>
      </c>
      <c r="M1880" t="s">
        <v>34</v>
      </c>
      <c r="N1880">
        <f t="shared" si="175"/>
        <v>1</v>
      </c>
      <c r="O1880" t="str">
        <f t="shared" si="174"/>
        <v>Low</v>
      </c>
      <c r="P1880" t="str">
        <f t="shared" si="176"/>
        <v>High</v>
      </c>
      <c r="Q1880" t="str">
        <f t="shared" si="177"/>
        <v>Low Loan</v>
      </c>
      <c r="R1880">
        <f t="shared" si="178"/>
        <v>16400000</v>
      </c>
      <c r="S1880" t="str">
        <f t="shared" si="179"/>
        <v>Strong</v>
      </c>
    </row>
    <row r="1881" spans="1:19" x14ac:dyDescent="0.25">
      <c r="A1881">
        <v>1880</v>
      </c>
      <c r="B1881">
        <v>3</v>
      </c>
      <c r="C1881" t="s">
        <v>31</v>
      </c>
      <c r="D1881" t="s">
        <v>33</v>
      </c>
      <c r="E1881">
        <v>2700000</v>
      </c>
      <c r="F1881">
        <v>10600000</v>
      </c>
      <c r="G1881">
        <v>8</v>
      </c>
      <c r="H1881">
        <v>840</v>
      </c>
      <c r="I1881">
        <v>500000</v>
      </c>
      <c r="J1881">
        <v>3000000</v>
      </c>
      <c r="K1881">
        <v>9000000</v>
      </c>
      <c r="L1881">
        <v>1900000</v>
      </c>
      <c r="M1881" t="s">
        <v>34</v>
      </c>
      <c r="N1881">
        <f t="shared" si="175"/>
        <v>1</v>
      </c>
      <c r="O1881" t="str">
        <f t="shared" si="174"/>
        <v>Excellent</v>
      </c>
      <c r="P1881" t="str">
        <f t="shared" si="176"/>
        <v>High</v>
      </c>
      <c r="Q1881" t="str">
        <f t="shared" si="177"/>
        <v>Low Loan</v>
      </c>
      <c r="R1881">
        <f t="shared" si="178"/>
        <v>14400000</v>
      </c>
      <c r="S1881" t="str">
        <f t="shared" si="179"/>
        <v>Strong</v>
      </c>
    </row>
    <row r="1882" spans="1:19" x14ac:dyDescent="0.25">
      <c r="A1882">
        <v>1881</v>
      </c>
      <c r="B1882">
        <v>3</v>
      </c>
      <c r="C1882" t="s">
        <v>31</v>
      </c>
      <c r="D1882" t="s">
        <v>32</v>
      </c>
      <c r="E1882">
        <v>3700000</v>
      </c>
      <c r="F1882">
        <v>10900000</v>
      </c>
      <c r="G1882">
        <v>16</v>
      </c>
      <c r="H1882">
        <v>301</v>
      </c>
      <c r="I1882">
        <v>7800000</v>
      </c>
      <c r="J1882">
        <v>2300000</v>
      </c>
      <c r="K1882">
        <v>9600000</v>
      </c>
      <c r="L1882">
        <v>3400000</v>
      </c>
      <c r="M1882" t="s">
        <v>35</v>
      </c>
      <c r="N1882">
        <f t="shared" si="175"/>
        <v>0</v>
      </c>
      <c r="O1882" t="str">
        <f t="shared" si="174"/>
        <v>Low</v>
      </c>
      <c r="P1882" t="str">
        <f t="shared" si="176"/>
        <v>High</v>
      </c>
      <c r="Q1882" t="str">
        <f t="shared" si="177"/>
        <v>Low Loan</v>
      </c>
      <c r="R1882">
        <f t="shared" si="178"/>
        <v>23100000</v>
      </c>
      <c r="S1882" t="str">
        <f t="shared" si="179"/>
        <v>Strong</v>
      </c>
    </row>
    <row r="1883" spans="1:19" x14ac:dyDescent="0.25">
      <c r="A1883">
        <v>1882</v>
      </c>
      <c r="B1883">
        <v>4</v>
      </c>
      <c r="C1883" t="s">
        <v>30</v>
      </c>
      <c r="D1883" t="s">
        <v>33</v>
      </c>
      <c r="E1883">
        <v>2600000</v>
      </c>
      <c r="F1883">
        <v>9400000</v>
      </c>
      <c r="G1883">
        <v>18</v>
      </c>
      <c r="H1883">
        <v>481</v>
      </c>
      <c r="I1883">
        <v>2700000</v>
      </c>
      <c r="J1883">
        <v>4400000</v>
      </c>
      <c r="K1883">
        <v>8600000</v>
      </c>
      <c r="L1883">
        <v>2400000</v>
      </c>
      <c r="M1883" t="s">
        <v>35</v>
      </c>
      <c r="N1883">
        <f t="shared" si="175"/>
        <v>0</v>
      </c>
      <c r="O1883" t="str">
        <f t="shared" si="174"/>
        <v>Low</v>
      </c>
      <c r="P1883" t="str">
        <f t="shared" si="176"/>
        <v>High</v>
      </c>
      <c r="Q1883" t="str">
        <f t="shared" si="177"/>
        <v>Low Loan</v>
      </c>
      <c r="R1883">
        <f t="shared" si="178"/>
        <v>18100000</v>
      </c>
      <c r="S1883" t="str">
        <f t="shared" si="179"/>
        <v>Strong</v>
      </c>
    </row>
    <row r="1884" spans="1:19" x14ac:dyDescent="0.25">
      <c r="A1884">
        <v>1883</v>
      </c>
      <c r="B1884">
        <v>5</v>
      </c>
      <c r="C1884" t="s">
        <v>31</v>
      </c>
      <c r="D1884" t="s">
        <v>33</v>
      </c>
      <c r="E1884">
        <v>8800000</v>
      </c>
      <c r="F1884">
        <v>23100000</v>
      </c>
      <c r="G1884">
        <v>16</v>
      </c>
      <c r="H1884">
        <v>531</v>
      </c>
      <c r="I1884">
        <v>20800000</v>
      </c>
      <c r="J1884">
        <v>2600000</v>
      </c>
      <c r="K1884">
        <v>22100000</v>
      </c>
      <c r="L1884">
        <v>8000000</v>
      </c>
      <c r="M1884" t="s">
        <v>35</v>
      </c>
      <c r="N1884">
        <f t="shared" si="175"/>
        <v>0</v>
      </c>
      <c r="O1884" t="str">
        <f t="shared" si="174"/>
        <v>Low</v>
      </c>
      <c r="P1884" t="str">
        <f t="shared" si="176"/>
        <v>High</v>
      </c>
      <c r="Q1884" t="str">
        <f t="shared" si="177"/>
        <v>High Loan</v>
      </c>
      <c r="R1884">
        <f t="shared" si="178"/>
        <v>53500000</v>
      </c>
      <c r="S1884" t="str">
        <f t="shared" si="179"/>
        <v>Strong</v>
      </c>
    </row>
    <row r="1885" spans="1:19" x14ac:dyDescent="0.25">
      <c r="A1885">
        <v>1884</v>
      </c>
      <c r="B1885">
        <v>2</v>
      </c>
      <c r="C1885" t="s">
        <v>31</v>
      </c>
      <c r="D1885" t="s">
        <v>32</v>
      </c>
      <c r="E1885">
        <v>7500000</v>
      </c>
      <c r="F1885">
        <v>15400000</v>
      </c>
      <c r="G1885">
        <v>8</v>
      </c>
      <c r="H1885">
        <v>332</v>
      </c>
      <c r="I1885">
        <v>8300000</v>
      </c>
      <c r="J1885">
        <v>3100000</v>
      </c>
      <c r="K1885">
        <v>23700000</v>
      </c>
      <c r="L1885">
        <v>5400000</v>
      </c>
      <c r="M1885" t="s">
        <v>35</v>
      </c>
      <c r="N1885">
        <f t="shared" si="175"/>
        <v>0</v>
      </c>
      <c r="O1885" t="str">
        <f t="shared" si="174"/>
        <v>Low</v>
      </c>
      <c r="P1885" t="str">
        <f t="shared" si="176"/>
        <v>High</v>
      </c>
      <c r="Q1885" t="str">
        <f t="shared" si="177"/>
        <v>Low Loan</v>
      </c>
      <c r="R1885">
        <f t="shared" si="178"/>
        <v>40500000</v>
      </c>
      <c r="S1885" t="str">
        <f t="shared" si="179"/>
        <v>Strong</v>
      </c>
    </row>
    <row r="1886" spans="1:19" x14ac:dyDescent="0.25">
      <c r="A1886">
        <v>1885</v>
      </c>
      <c r="B1886">
        <v>0</v>
      </c>
      <c r="C1886" t="s">
        <v>30</v>
      </c>
      <c r="D1886" t="s">
        <v>32</v>
      </c>
      <c r="E1886">
        <v>4700000</v>
      </c>
      <c r="F1886">
        <v>18500000</v>
      </c>
      <c r="G1886">
        <v>4</v>
      </c>
      <c r="H1886">
        <v>516</v>
      </c>
      <c r="I1886">
        <v>1000000</v>
      </c>
      <c r="J1886">
        <v>8400000</v>
      </c>
      <c r="K1886">
        <v>10400000</v>
      </c>
      <c r="L1886">
        <v>6100000</v>
      </c>
      <c r="M1886" t="s">
        <v>34</v>
      </c>
      <c r="N1886">
        <f t="shared" si="175"/>
        <v>1</v>
      </c>
      <c r="O1886" t="str">
        <f t="shared" si="174"/>
        <v>Low</v>
      </c>
      <c r="P1886" t="str">
        <f t="shared" si="176"/>
        <v>High</v>
      </c>
      <c r="Q1886" t="str">
        <f t="shared" si="177"/>
        <v>Low Loan</v>
      </c>
      <c r="R1886">
        <f t="shared" si="178"/>
        <v>25900000</v>
      </c>
      <c r="S1886" t="str">
        <f t="shared" si="179"/>
        <v>Strong</v>
      </c>
    </row>
    <row r="1887" spans="1:19" x14ac:dyDescent="0.25">
      <c r="A1887">
        <v>1886</v>
      </c>
      <c r="B1887">
        <v>2</v>
      </c>
      <c r="C1887" t="s">
        <v>31</v>
      </c>
      <c r="D1887" t="s">
        <v>32</v>
      </c>
      <c r="E1887">
        <v>7100000</v>
      </c>
      <c r="F1887">
        <v>26600000</v>
      </c>
      <c r="G1887">
        <v>6</v>
      </c>
      <c r="H1887">
        <v>727</v>
      </c>
      <c r="I1887">
        <v>16500000</v>
      </c>
      <c r="J1887">
        <v>9800000</v>
      </c>
      <c r="K1887">
        <v>21100000</v>
      </c>
      <c r="L1887">
        <v>7900000</v>
      </c>
      <c r="M1887" t="s">
        <v>34</v>
      </c>
      <c r="N1887">
        <f t="shared" si="175"/>
        <v>1</v>
      </c>
      <c r="O1887" t="str">
        <f t="shared" si="174"/>
        <v>Good</v>
      </c>
      <c r="P1887" t="str">
        <f t="shared" si="176"/>
        <v>High</v>
      </c>
      <c r="Q1887" t="str">
        <f t="shared" si="177"/>
        <v>High Loan</v>
      </c>
      <c r="R1887">
        <f t="shared" si="178"/>
        <v>55300000</v>
      </c>
      <c r="S1887" t="str">
        <f t="shared" si="179"/>
        <v>Strong</v>
      </c>
    </row>
    <row r="1888" spans="1:19" x14ac:dyDescent="0.25">
      <c r="A1888">
        <v>1887</v>
      </c>
      <c r="B1888">
        <v>3</v>
      </c>
      <c r="C1888" t="s">
        <v>31</v>
      </c>
      <c r="D1888" t="s">
        <v>33</v>
      </c>
      <c r="E1888">
        <v>5500000</v>
      </c>
      <c r="F1888">
        <v>19300000</v>
      </c>
      <c r="G1888">
        <v>10</v>
      </c>
      <c r="H1888">
        <v>344</v>
      </c>
      <c r="I1888">
        <v>14400000</v>
      </c>
      <c r="J1888">
        <v>1300000</v>
      </c>
      <c r="K1888">
        <v>12400000</v>
      </c>
      <c r="L1888">
        <v>6600000</v>
      </c>
      <c r="M1888" t="s">
        <v>35</v>
      </c>
      <c r="N1888">
        <f t="shared" si="175"/>
        <v>0</v>
      </c>
      <c r="O1888" t="str">
        <f t="shared" si="174"/>
        <v>Low</v>
      </c>
      <c r="P1888" t="str">
        <f t="shared" si="176"/>
        <v>High</v>
      </c>
      <c r="Q1888" t="str">
        <f t="shared" si="177"/>
        <v>Low Loan</v>
      </c>
      <c r="R1888">
        <f t="shared" si="178"/>
        <v>34700000</v>
      </c>
      <c r="S1888" t="str">
        <f t="shared" si="179"/>
        <v>Strong</v>
      </c>
    </row>
    <row r="1889" spans="1:19" x14ac:dyDescent="0.25">
      <c r="A1889">
        <v>1888</v>
      </c>
      <c r="B1889">
        <v>2</v>
      </c>
      <c r="C1889" t="s">
        <v>30</v>
      </c>
      <c r="D1889" t="s">
        <v>32</v>
      </c>
      <c r="E1889">
        <v>9500000</v>
      </c>
      <c r="F1889">
        <v>31500000</v>
      </c>
      <c r="G1889">
        <v>12</v>
      </c>
      <c r="H1889">
        <v>650</v>
      </c>
      <c r="I1889">
        <v>17600000</v>
      </c>
      <c r="J1889">
        <v>16600000</v>
      </c>
      <c r="K1889">
        <v>22200000</v>
      </c>
      <c r="L1889">
        <v>11400000</v>
      </c>
      <c r="M1889" t="s">
        <v>34</v>
      </c>
      <c r="N1889">
        <f t="shared" si="175"/>
        <v>1</v>
      </c>
      <c r="O1889" t="str">
        <f t="shared" si="174"/>
        <v>Medium</v>
      </c>
      <c r="P1889" t="str">
        <f t="shared" si="176"/>
        <v>High</v>
      </c>
      <c r="Q1889" t="str">
        <f t="shared" si="177"/>
        <v>High Loan</v>
      </c>
      <c r="R1889">
        <f t="shared" si="178"/>
        <v>67800000</v>
      </c>
      <c r="S1889" t="str">
        <f t="shared" si="179"/>
        <v>Strong</v>
      </c>
    </row>
    <row r="1890" spans="1:19" x14ac:dyDescent="0.25">
      <c r="A1890">
        <v>1889</v>
      </c>
      <c r="B1890">
        <v>3</v>
      </c>
      <c r="C1890" t="s">
        <v>30</v>
      </c>
      <c r="D1890" t="s">
        <v>33</v>
      </c>
      <c r="E1890">
        <v>4200000</v>
      </c>
      <c r="F1890">
        <v>15400000</v>
      </c>
      <c r="G1890">
        <v>8</v>
      </c>
      <c r="H1890">
        <v>362</v>
      </c>
      <c r="I1890">
        <v>9900000</v>
      </c>
      <c r="J1890">
        <v>5300000</v>
      </c>
      <c r="K1890">
        <v>15500000</v>
      </c>
      <c r="L1890">
        <v>5600000</v>
      </c>
      <c r="M1890" t="s">
        <v>35</v>
      </c>
      <c r="N1890">
        <f t="shared" si="175"/>
        <v>0</v>
      </c>
      <c r="O1890" t="str">
        <f t="shared" si="174"/>
        <v>Low</v>
      </c>
      <c r="P1890" t="str">
        <f t="shared" si="176"/>
        <v>High</v>
      </c>
      <c r="Q1890" t="str">
        <f t="shared" si="177"/>
        <v>Low Loan</v>
      </c>
      <c r="R1890">
        <f t="shared" si="178"/>
        <v>36300000</v>
      </c>
      <c r="S1890" t="str">
        <f t="shared" si="179"/>
        <v>Strong</v>
      </c>
    </row>
    <row r="1891" spans="1:19" x14ac:dyDescent="0.25">
      <c r="A1891">
        <v>1890</v>
      </c>
      <c r="B1891">
        <v>5</v>
      </c>
      <c r="C1891" t="s">
        <v>30</v>
      </c>
      <c r="D1891" t="s">
        <v>33</v>
      </c>
      <c r="E1891">
        <v>6900000</v>
      </c>
      <c r="F1891">
        <v>18600000</v>
      </c>
      <c r="G1891">
        <v>18</v>
      </c>
      <c r="H1891">
        <v>307</v>
      </c>
      <c r="I1891">
        <v>3500000</v>
      </c>
      <c r="J1891">
        <v>4800000</v>
      </c>
      <c r="K1891">
        <v>25300000</v>
      </c>
      <c r="L1891">
        <v>4200000</v>
      </c>
      <c r="M1891" t="s">
        <v>35</v>
      </c>
      <c r="N1891">
        <f t="shared" si="175"/>
        <v>0</v>
      </c>
      <c r="O1891" t="str">
        <f t="shared" si="174"/>
        <v>Low</v>
      </c>
      <c r="P1891" t="str">
        <f t="shared" si="176"/>
        <v>High</v>
      </c>
      <c r="Q1891" t="str">
        <f t="shared" si="177"/>
        <v>Low Loan</v>
      </c>
      <c r="R1891">
        <f t="shared" si="178"/>
        <v>37800000</v>
      </c>
      <c r="S1891" t="str">
        <f t="shared" si="179"/>
        <v>Strong</v>
      </c>
    </row>
    <row r="1892" spans="1:19" x14ac:dyDescent="0.25">
      <c r="A1892">
        <v>1891</v>
      </c>
      <c r="B1892">
        <v>5</v>
      </c>
      <c r="C1892" t="s">
        <v>30</v>
      </c>
      <c r="D1892" t="s">
        <v>32</v>
      </c>
      <c r="E1892">
        <v>9900000</v>
      </c>
      <c r="F1892">
        <v>24600000</v>
      </c>
      <c r="G1892">
        <v>2</v>
      </c>
      <c r="H1892">
        <v>530</v>
      </c>
      <c r="I1892">
        <v>24200000</v>
      </c>
      <c r="J1892">
        <v>12800000</v>
      </c>
      <c r="K1892">
        <v>20400000</v>
      </c>
      <c r="L1892">
        <v>13000000</v>
      </c>
      <c r="M1892" t="s">
        <v>35</v>
      </c>
      <c r="N1892">
        <f t="shared" si="175"/>
        <v>0</v>
      </c>
      <c r="O1892" t="str">
        <f t="shared" si="174"/>
        <v>Low</v>
      </c>
      <c r="P1892" t="str">
        <f t="shared" si="176"/>
        <v>High</v>
      </c>
      <c r="Q1892" t="str">
        <f t="shared" si="177"/>
        <v>High Loan</v>
      </c>
      <c r="R1892">
        <f t="shared" si="178"/>
        <v>70400000</v>
      </c>
      <c r="S1892" t="str">
        <f t="shared" si="179"/>
        <v>Strong</v>
      </c>
    </row>
    <row r="1893" spans="1:19" x14ac:dyDescent="0.25">
      <c r="A1893">
        <v>1892</v>
      </c>
      <c r="B1893">
        <v>5</v>
      </c>
      <c r="C1893" t="s">
        <v>30</v>
      </c>
      <c r="D1893" t="s">
        <v>32</v>
      </c>
      <c r="E1893">
        <v>6700000</v>
      </c>
      <c r="F1893">
        <v>17700000</v>
      </c>
      <c r="G1893">
        <v>6</v>
      </c>
      <c r="H1893">
        <v>482</v>
      </c>
      <c r="I1893">
        <v>3200000</v>
      </c>
      <c r="J1893">
        <v>10400000</v>
      </c>
      <c r="K1893">
        <v>18500000</v>
      </c>
      <c r="L1893">
        <v>5700000</v>
      </c>
      <c r="M1893" t="s">
        <v>35</v>
      </c>
      <c r="N1893">
        <f t="shared" si="175"/>
        <v>0</v>
      </c>
      <c r="O1893" t="str">
        <f t="shared" si="174"/>
        <v>Low</v>
      </c>
      <c r="P1893" t="str">
        <f t="shared" si="176"/>
        <v>High</v>
      </c>
      <c r="Q1893" t="str">
        <f t="shared" si="177"/>
        <v>Low Loan</v>
      </c>
      <c r="R1893">
        <f t="shared" si="178"/>
        <v>37800000</v>
      </c>
      <c r="S1893" t="str">
        <f t="shared" si="179"/>
        <v>Strong</v>
      </c>
    </row>
    <row r="1894" spans="1:19" x14ac:dyDescent="0.25">
      <c r="A1894">
        <v>1893</v>
      </c>
      <c r="B1894">
        <v>0</v>
      </c>
      <c r="C1894" t="s">
        <v>31</v>
      </c>
      <c r="D1894" t="s">
        <v>33</v>
      </c>
      <c r="E1894">
        <v>9300000</v>
      </c>
      <c r="F1894">
        <v>22200000</v>
      </c>
      <c r="G1894">
        <v>14</v>
      </c>
      <c r="H1894">
        <v>701</v>
      </c>
      <c r="I1894">
        <v>600000</v>
      </c>
      <c r="J1894">
        <v>10100000</v>
      </c>
      <c r="K1894">
        <v>35900000</v>
      </c>
      <c r="L1894">
        <v>5700000</v>
      </c>
      <c r="M1894" t="s">
        <v>34</v>
      </c>
      <c r="N1894">
        <f t="shared" si="175"/>
        <v>1</v>
      </c>
      <c r="O1894" t="str">
        <f t="shared" si="174"/>
        <v>Good</v>
      </c>
      <c r="P1894" t="str">
        <f t="shared" si="176"/>
        <v>High</v>
      </c>
      <c r="Q1894" t="str">
        <f t="shared" si="177"/>
        <v>High Loan</v>
      </c>
      <c r="R1894">
        <f t="shared" si="178"/>
        <v>52300000</v>
      </c>
      <c r="S1894" t="str">
        <f t="shared" si="179"/>
        <v>Strong</v>
      </c>
    </row>
    <row r="1895" spans="1:19" x14ac:dyDescent="0.25">
      <c r="A1895">
        <v>1894</v>
      </c>
      <c r="B1895">
        <v>2</v>
      </c>
      <c r="C1895" t="s">
        <v>30</v>
      </c>
      <c r="D1895" t="s">
        <v>32</v>
      </c>
      <c r="E1895">
        <v>5600000</v>
      </c>
      <c r="F1895">
        <v>17200000</v>
      </c>
      <c r="G1895">
        <v>16</v>
      </c>
      <c r="H1895">
        <v>586</v>
      </c>
      <c r="I1895">
        <v>13700000</v>
      </c>
      <c r="J1895">
        <v>2100000</v>
      </c>
      <c r="K1895">
        <v>14300000</v>
      </c>
      <c r="L1895">
        <v>4300000</v>
      </c>
      <c r="M1895" t="s">
        <v>34</v>
      </c>
      <c r="N1895">
        <f t="shared" si="175"/>
        <v>1</v>
      </c>
      <c r="O1895" t="str">
        <f t="shared" si="174"/>
        <v>Low</v>
      </c>
      <c r="P1895" t="str">
        <f t="shared" si="176"/>
        <v>High</v>
      </c>
      <c r="Q1895" t="str">
        <f t="shared" si="177"/>
        <v>Low Loan</v>
      </c>
      <c r="R1895">
        <f t="shared" si="178"/>
        <v>34400000</v>
      </c>
      <c r="S1895" t="str">
        <f t="shared" si="179"/>
        <v>Strong</v>
      </c>
    </row>
    <row r="1896" spans="1:19" x14ac:dyDescent="0.25">
      <c r="A1896">
        <v>1895</v>
      </c>
      <c r="B1896">
        <v>0</v>
      </c>
      <c r="C1896" t="s">
        <v>30</v>
      </c>
      <c r="D1896" t="s">
        <v>33</v>
      </c>
      <c r="E1896">
        <v>8100000</v>
      </c>
      <c r="F1896">
        <v>17600000</v>
      </c>
      <c r="G1896">
        <v>16</v>
      </c>
      <c r="H1896">
        <v>384</v>
      </c>
      <c r="I1896">
        <v>15200000</v>
      </c>
      <c r="J1896">
        <v>13300000</v>
      </c>
      <c r="K1896">
        <v>31700000</v>
      </c>
      <c r="L1896">
        <v>10200000</v>
      </c>
      <c r="M1896" t="s">
        <v>35</v>
      </c>
      <c r="N1896">
        <f t="shared" si="175"/>
        <v>0</v>
      </c>
      <c r="O1896" t="str">
        <f t="shared" si="174"/>
        <v>Low</v>
      </c>
      <c r="P1896" t="str">
        <f t="shared" si="176"/>
        <v>High</v>
      </c>
      <c r="Q1896" t="str">
        <f t="shared" si="177"/>
        <v>Low Loan</v>
      </c>
      <c r="R1896">
        <f t="shared" si="178"/>
        <v>70400000</v>
      </c>
      <c r="S1896" t="str">
        <f t="shared" si="179"/>
        <v>Strong</v>
      </c>
    </row>
    <row r="1897" spans="1:19" x14ac:dyDescent="0.25">
      <c r="A1897">
        <v>1896</v>
      </c>
      <c r="B1897">
        <v>4</v>
      </c>
      <c r="C1897" t="s">
        <v>31</v>
      </c>
      <c r="D1897" t="s">
        <v>32</v>
      </c>
      <c r="E1897">
        <v>6000000</v>
      </c>
      <c r="F1897">
        <v>18000000</v>
      </c>
      <c r="G1897">
        <v>18</v>
      </c>
      <c r="H1897">
        <v>882</v>
      </c>
      <c r="I1897">
        <v>6700000</v>
      </c>
      <c r="J1897">
        <v>2500000</v>
      </c>
      <c r="K1897">
        <v>12200000</v>
      </c>
      <c r="L1897">
        <v>7500000</v>
      </c>
      <c r="M1897" t="s">
        <v>34</v>
      </c>
      <c r="N1897">
        <f t="shared" si="175"/>
        <v>1</v>
      </c>
      <c r="O1897" t="str">
        <f t="shared" si="174"/>
        <v>Excellent</v>
      </c>
      <c r="P1897" t="str">
        <f t="shared" si="176"/>
        <v>High</v>
      </c>
      <c r="Q1897" t="str">
        <f t="shared" si="177"/>
        <v>Low Loan</v>
      </c>
      <c r="R1897">
        <f t="shared" si="178"/>
        <v>28900000</v>
      </c>
      <c r="S1897" t="str">
        <f t="shared" si="179"/>
        <v>Strong</v>
      </c>
    </row>
    <row r="1898" spans="1:19" x14ac:dyDescent="0.25">
      <c r="A1898">
        <v>1897</v>
      </c>
      <c r="B1898">
        <v>5</v>
      </c>
      <c r="C1898" t="s">
        <v>31</v>
      </c>
      <c r="D1898" t="s">
        <v>33</v>
      </c>
      <c r="E1898">
        <v>4200000</v>
      </c>
      <c r="F1898">
        <v>11200000</v>
      </c>
      <c r="G1898">
        <v>2</v>
      </c>
      <c r="H1898">
        <v>758</v>
      </c>
      <c r="I1898">
        <v>5300000</v>
      </c>
      <c r="J1898">
        <v>6500000</v>
      </c>
      <c r="K1898">
        <v>9600000</v>
      </c>
      <c r="L1898">
        <v>3800000</v>
      </c>
      <c r="M1898" t="s">
        <v>34</v>
      </c>
      <c r="N1898">
        <f t="shared" si="175"/>
        <v>1</v>
      </c>
      <c r="O1898" t="str">
        <f t="shared" si="174"/>
        <v>Excellent</v>
      </c>
      <c r="P1898" t="str">
        <f t="shared" si="176"/>
        <v>High</v>
      </c>
      <c r="Q1898" t="str">
        <f t="shared" si="177"/>
        <v>Low Loan</v>
      </c>
      <c r="R1898">
        <f t="shared" si="178"/>
        <v>25200000</v>
      </c>
      <c r="S1898" t="str">
        <f t="shared" si="179"/>
        <v>Strong</v>
      </c>
    </row>
    <row r="1899" spans="1:19" x14ac:dyDescent="0.25">
      <c r="A1899">
        <v>1898</v>
      </c>
      <c r="B1899">
        <v>5</v>
      </c>
      <c r="C1899" t="s">
        <v>30</v>
      </c>
      <c r="D1899" t="s">
        <v>32</v>
      </c>
      <c r="E1899">
        <v>1600000</v>
      </c>
      <c r="F1899">
        <v>4000000</v>
      </c>
      <c r="G1899">
        <v>18</v>
      </c>
      <c r="H1899">
        <v>529</v>
      </c>
      <c r="I1899">
        <v>300000</v>
      </c>
      <c r="J1899">
        <v>1200000</v>
      </c>
      <c r="K1899">
        <v>5300000</v>
      </c>
      <c r="L1899">
        <v>2000000</v>
      </c>
      <c r="M1899" t="s">
        <v>35</v>
      </c>
      <c r="N1899">
        <f t="shared" si="175"/>
        <v>0</v>
      </c>
      <c r="O1899" t="str">
        <f t="shared" si="174"/>
        <v>Low</v>
      </c>
      <c r="P1899" t="str">
        <f t="shared" si="176"/>
        <v>High</v>
      </c>
      <c r="Q1899" t="str">
        <f t="shared" si="177"/>
        <v>Low Loan</v>
      </c>
      <c r="R1899">
        <f t="shared" si="178"/>
        <v>8800000</v>
      </c>
      <c r="S1899" t="str">
        <f t="shared" si="179"/>
        <v>Moderate</v>
      </c>
    </row>
    <row r="1900" spans="1:19" x14ac:dyDescent="0.25">
      <c r="A1900">
        <v>1899</v>
      </c>
      <c r="B1900">
        <v>3</v>
      </c>
      <c r="C1900" t="s">
        <v>30</v>
      </c>
      <c r="D1900" t="s">
        <v>33</v>
      </c>
      <c r="E1900">
        <v>800000</v>
      </c>
      <c r="F1900">
        <v>1500000</v>
      </c>
      <c r="G1900">
        <v>2</v>
      </c>
      <c r="H1900">
        <v>589</v>
      </c>
      <c r="I1900">
        <v>1500000</v>
      </c>
      <c r="J1900">
        <v>1100000</v>
      </c>
      <c r="K1900">
        <v>1800000</v>
      </c>
      <c r="L1900">
        <v>400000</v>
      </c>
      <c r="M1900" t="s">
        <v>34</v>
      </c>
      <c r="N1900">
        <f t="shared" si="175"/>
        <v>1</v>
      </c>
      <c r="O1900" t="str">
        <f t="shared" si="174"/>
        <v>Low</v>
      </c>
      <c r="P1900" t="str">
        <f t="shared" si="176"/>
        <v>High</v>
      </c>
      <c r="Q1900" t="str">
        <f t="shared" si="177"/>
        <v>Low Loan</v>
      </c>
      <c r="R1900">
        <f t="shared" si="178"/>
        <v>4800000</v>
      </c>
      <c r="S1900" t="str">
        <f t="shared" si="179"/>
        <v>Weak</v>
      </c>
    </row>
    <row r="1901" spans="1:19" x14ac:dyDescent="0.25">
      <c r="A1901">
        <v>1900</v>
      </c>
      <c r="B1901">
        <v>1</v>
      </c>
      <c r="C1901" t="s">
        <v>30</v>
      </c>
      <c r="D1901" t="s">
        <v>32</v>
      </c>
      <c r="E1901">
        <v>500000</v>
      </c>
      <c r="F1901">
        <v>1300000</v>
      </c>
      <c r="G1901">
        <v>6</v>
      </c>
      <c r="H1901">
        <v>670</v>
      </c>
      <c r="I1901">
        <v>1000000</v>
      </c>
      <c r="J1901">
        <v>500000</v>
      </c>
      <c r="K1901">
        <v>1400000</v>
      </c>
      <c r="L1901">
        <v>700000</v>
      </c>
      <c r="M1901" t="s">
        <v>34</v>
      </c>
      <c r="N1901">
        <f t="shared" si="175"/>
        <v>1</v>
      </c>
      <c r="O1901" t="str">
        <f t="shared" si="174"/>
        <v>Medium</v>
      </c>
      <c r="P1901" t="str">
        <f t="shared" si="176"/>
        <v>Middle</v>
      </c>
      <c r="Q1901" t="str">
        <f t="shared" si="177"/>
        <v>Low Loan</v>
      </c>
      <c r="R1901">
        <f t="shared" si="178"/>
        <v>3600000</v>
      </c>
      <c r="S1901" t="str">
        <f t="shared" si="179"/>
        <v>Weak</v>
      </c>
    </row>
    <row r="1902" spans="1:19" x14ac:dyDescent="0.25">
      <c r="A1902">
        <v>1901</v>
      </c>
      <c r="B1902">
        <v>5</v>
      </c>
      <c r="C1902" t="s">
        <v>31</v>
      </c>
      <c r="D1902" t="s">
        <v>33</v>
      </c>
      <c r="E1902">
        <v>4300000</v>
      </c>
      <c r="F1902">
        <v>14100000</v>
      </c>
      <c r="G1902">
        <v>12</v>
      </c>
      <c r="H1902">
        <v>532</v>
      </c>
      <c r="I1902">
        <v>12600000</v>
      </c>
      <c r="J1902">
        <v>5700000</v>
      </c>
      <c r="K1902">
        <v>12000000</v>
      </c>
      <c r="L1902">
        <v>4600000</v>
      </c>
      <c r="M1902" t="s">
        <v>35</v>
      </c>
      <c r="N1902">
        <f t="shared" si="175"/>
        <v>0</v>
      </c>
      <c r="O1902" t="str">
        <f t="shared" si="174"/>
        <v>Low</v>
      </c>
      <c r="P1902" t="str">
        <f t="shared" si="176"/>
        <v>High</v>
      </c>
      <c r="Q1902" t="str">
        <f t="shared" si="177"/>
        <v>Low Loan</v>
      </c>
      <c r="R1902">
        <f t="shared" si="178"/>
        <v>34900000</v>
      </c>
      <c r="S1902" t="str">
        <f t="shared" si="179"/>
        <v>Strong</v>
      </c>
    </row>
    <row r="1903" spans="1:19" x14ac:dyDescent="0.25">
      <c r="A1903">
        <v>1902</v>
      </c>
      <c r="B1903">
        <v>0</v>
      </c>
      <c r="C1903" t="s">
        <v>31</v>
      </c>
      <c r="D1903" t="s">
        <v>32</v>
      </c>
      <c r="E1903">
        <v>4000000</v>
      </c>
      <c r="F1903">
        <v>12500000</v>
      </c>
      <c r="G1903">
        <v>18</v>
      </c>
      <c r="H1903">
        <v>868</v>
      </c>
      <c r="I1903">
        <v>11000000</v>
      </c>
      <c r="J1903">
        <v>800000</v>
      </c>
      <c r="K1903">
        <v>14400000</v>
      </c>
      <c r="L1903">
        <v>2300000</v>
      </c>
      <c r="M1903" t="s">
        <v>34</v>
      </c>
      <c r="N1903">
        <f t="shared" si="175"/>
        <v>1</v>
      </c>
      <c r="O1903" t="str">
        <f t="shared" si="174"/>
        <v>Excellent</v>
      </c>
      <c r="P1903" t="str">
        <f t="shared" si="176"/>
        <v>High</v>
      </c>
      <c r="Q1903" t="str">
        <f t="shared" si="177"/>
        <v>Low Loan</v>
      </c>
      <c r="R1903">
        <f t="shared" si="178"/>
        <v>28500000</v>
      </c>
      <c r="S1903" t="str">
        <f t="shared" si="179"/>
        <v>Strong</v>
      </c>
    </row>
    <row r="1904" spans="1:19" x14ac:dyDescent="0.25">
      <c r="A1904">
        <v>1903</v>
      </c>
      <c r="B1904">
        <v>2</v>
      </c>
      <c r="C1904" t="s">
        <v>31</v>
      </c>
      <c r="D1904" t="s">
        <v>32</v>
      </c>
      <c r="E1904">
        <v>2900000</v>
      </c>
      <c r="F1904">
        <v>7300000</v>
      </c>
      <c r="G1904">
        <v>2</v>
      </c>
      <c r="H1904">
        <v>776</v>
      </c>
      <c r="I1904">
        <v>8300000</v>
      </c>
      <c r="J1904">
        <v>3000000</v>
      </c>
      <c r="K1904">
        <v>8500000</v>
      </c>
      <c r="L1904">
        <v>3400000</v>
      </c>
      <c r="M1904" t="s">
        <v>34</v>
      </c>
      <c r="N1904">
        <f t="shared" si="175"/>
        <v>1</v>
      </c>
      <c r="O1904" t="str">
        <f t="shared" si="174"/>
        <v>Excellent</v>
      </c>
      <c r="P1904" t="str">
        <f t="shared" si="176"/>
        <v>High</v>
      </c>
      <c r="Q1904" t="str">
        <f t="shared" si="177"/>
        <v>Low Loan</v>
      </c>
      <c r="R1904">
        <f t="shared" si="178"/>
        <v>23200000</v>
      </c>
      <c r="S1904" t="str">
        <f t="shared" si="179"/>
        <v>Strong</v>
      </c>
    </row>
    <row r="1905" spans="1:19" x14ac:dyDescent="0.25">
      <c r="A1905">
        <v>1904</v>
      </c>
      <c r="B1905">
        <v>5</v>
      </c>
      <c r="C1905" t="s">
        <v>30</v>
      </c>
      <c r="D1905" t="s">
        <v>33</v>
      </c>
      <c r="E1905">
        <v>2300000</v>
      </c>
      <c r="F1905">
        <v>9100000</v>
      </c>
      <c r="G1905">
        <v>16</v>
      </c>
      <c r="H1905">
        <v>644</v>
      </c>
      <c r="I1905">
        <v>4000000</v>
      </c>
      <c r="J1905">
        <v>2600000</v>
      </c>
      <c r="K1905">
        <v>6600000</v>
      </c>
      <c r="L1905">
        <v>3100000</v>
      </c>
      <c r="M1905" t="s">
        <v>34</v>
      </c>
      <c r="N1905">
        <f t="shared" si="175"/>
        <v>1</v>
      </c>
      <c r="O1905" t="str">
        <f t="shared" si="174"/>
        <v>Low</v>
      </c>
      <c r="P1905" t="str">
        <f t="shared" si="176"/>
        <v>High</v>
      </c>
      <c r="Q1905" t="str">
        <f t="shared" si="177"/>
        <v>Low Loan</v>
      </c>
      <c r="R1905">
        <f t="shared" si="178"/>
        <v>16300000</v>
      </c>
      <c r="S1905" t="str">
        <f t="shared" si="179"/>
        <v>Strong</v>
      </c>
    </row>
    <row r="1906" spans="1:19" x14ac:dyDescent="0.25">
      <c r="A1906">
        <v>1905</v>
      </c>
      <c r="B1906">
        <v>0</v>
      </c>
      <c r="C1906" t="s">
        <v>30</v>
      </c>
      <c r="D1906" t="s">
        <v>33</v>
      </c>
      <c r="E1906">
        <v>1800000</v>
      </c>
      <c r="F1906">
        <v>6000000</v>
      </c>
      <c r="G1906">
        <v>12</v>
      </c>
      <c r="H1906">
        <v>658</v>
      </c>
      <c r="I1906">
        <v>2900000</v>
      </c>
      <c r="J1906">
        <v>2300000</v>
      </c>
      <c r="K1906">
        <v>4500000</v>
      </c>
      <c r="L1906">
        <v>2400000</v>
      </c>
      <c r="M1906" t="s">
        <v>34</v>
      </c>
      <c r="N1906">
        <f t="shared" si="175"/>
        <v>1</v>
      </c>
      <c r="O1906" t="str">
        <f t="shared" si="174"/>
        <v>Medium</v>
      </c>
      <c r="P1906" t="str">
        <f t="shared" si="176"/>
        <v>High</v>
      </c>
      <c r="Q1906" t="str">
        <f t="shared" si="177"/>
        <v>Low Loan</v>
      </c>
      <c r="R1906">
        <f t="shared" si="178"/>
        <v>12100000</v>
      </c>
      <c r="S1906" t="str">
        <f t="shared" si="179"/>
        <v>Strong</v>
      </c>
    </row>
    <row r="1907" spans="1:19" x14ac:dyDescent="0.25">
      <c r="A1907">
        <v>1906</v>
      </c>
      <c r="B1907">
        <v>1</v>
      </c>
      <c r="C1907" t="s">
        <v>30</v>
      </c>
      <c r="D1907" t="s">
        <v>33</v>
      </c>
      <c r="E1907">
        <v>8700000</v>
      </c>
      <c r="F1907">
        <v>33900000</v>
      </c>
      <c r="G1907">
        <v>10</v>
      </c>
      <c r="H1907">
        <v>766</v>
      </c>
      <c r="I1907">
        <v>16300000</v>
      </c>
      <c r="J1907">
        <v>700000</v>
      </c>
      <c r="K1907">
        <v>19500000</v>
      </c>
      <c r="L1907">
        <v>9000000</v>
      </c>
      <c r="M1907" t="s">
        <v>34</v>
      </c>
      <c r="N1907">
        <f t="shared" si="175"/>
        <v>1</v>
      </c>
      <c r="O1907" t="str">
        <f t="shared" si="174"/>
        <v>Excellent</v>
      </c>
      <c r="P1907" t="str">
        <f t="shared" si="176"/>
        <v>High</v>
      </c>
      <c r="Q1907" t="str">
        <f t="shared" si="177"/>
        <v>High Loan</v>
      </c>
      <c r="R1907">
        <f t="shared" si="178"/>
        <v>45500000</v>
      </c>
      <c r="S1907" t="str">
        <f t="shared" si="179"/>
        <v>Strong</v>
      </c>
    </row>
    <row r="1908" spans="1:19" x14ac:dyDescent="0.25">
      <c r="A1908">
        <v>1907</v>
      </c>
      <c r="B1908">
        <v>3</v>
      </c>
      <c r="C1908" t="s">
        <v>31</v>
      </c>
      <c r="D1908" t="s">
        <v>32</v>
      </c>
      <c r="E1908">
        <v>7800000</v>
      </c>
      <c r="F1908">
        <v>21100000</v>
      </c>
      <c r="G1908">
        <v>12</v>
      </c>
      <c r="H1908">
        <v>717</v>
      </c>
      <c r="I1908">
        <v>1200000</v>
      </c>
      <c r="J1908">
        <v>10700000</v>
      </c>
      <c r="K1908">
        <v>19900000</v>
      </c>
      <c r="L1908">
        <v>6200000</v>
      </c>
      <c r="M1908" t="s">
        <v>34</v>
      </c>
      <c r="N1908">
        <f t="shared" si="175"/>
        <v>1</v>
      </c>
      <c r="O1908" t="str">
        <f t="shared" si="174"/>
        <v>Good</v>
      </c>
      <c r="P1908" t="str">
        <f t="shared" si="176"/>
        <v>High</v>
      </c>
      <c r="Q1908" t="str">
        <f t="shared" si="177"/>
        <v>High Loan</v>
      </c>
      <c r="R1908">
        <f t="shared" si="178"/>
        <v>38000000</v>
      </c>
      <c r="S1908" t="str">
        <f t="shared" si="179"/>
        <v>Strong</v>
      </c>
    </row>
    <row r="1909" spans="1:19" x14ac:dyDescent="0.25">
      <c r="A1909">
        <v>1908</v>
      </c>
      <c r="B1909">
        <v>2</v>
      </c>
      <c r="C1909" t="s">
        <v>30</v>
      </c>
      <c r="D1909" t="s">
        <v>32</v>
      </c>
      <c r="E1909">
        <v>3200000</v>
      </c>
      <c r="F1909">
        <v>6300000</v>
      </c>
      <c r="G1909">
        <v>10</v>
      </c>
      <c r="H1909">
        <v>339</v>
      </c>
      <c r="I1909">
        <v>300000</v>
      </c>
      <c r="J1909">
        <v>4900000</v>
      </c>
      <c r="K1909">
        <v>7300000</v>
      </c>
      <c r="L1909">
        <v>2700000</v>
      </c>
      <c r="M1909" t="s">
        <v>35</v>
      </c>
      <c r="N1909">
        <f t="shared" si="175"/>
        <v>0</v>
      </c>
      <c r="O1909" t="str">
        <f t="shared" si="174"/>
        <v>Low</v>
      </c>
      <c r="P1909" t="str">
        <f t="shared" si="176"/>
        <v>High</v>
      </c>
      <c r="Q1909" t="str">
        <f t="shared" si="177"/>
        <v>Low Loan</v>
      </c>
      <c r="R1909">
        <f t="shared" si="178"/>
        <v>15200000</v>
      </c>
      <c r="S1909" t="str">
        <f t="shared" si="179"/>
        <v>Strong</v>
      </c>
    </row>
    <row r="1910" spans="1:19" x14ac:dyDescent="0.25">
      <c r="A1910">
        <v>1909</v>
      </c>
      <c r="B1910">
        <v>0</v>
      </c>
      <c r="C1910" t="s">
        <v>31</v>
      </c>
      <c r="D1910" t="s">
        <v>32</v>
      </c>
      <c r="E1910">
        <v>1600000</v>
      </c>
      <c r="F1910">
        <v>4500000</v>
      </c>
      <c r="G1910">
        <v>18</v>
      </c>
      <c r="H1910">
        <v>463</v>
      </c>
      <c r="I1910">
        <v>100000</v>
      </c>
      <c r="J1910">
        <v>2000000</v>
      </c>
      <c r="K1910">
        <v>4100000</v>
      </c>
      <c r="L1910">
        <v>1800000</v>
      </c>
      <c r="M1910" t="s">
        <v>35</v>
      </c>
      <c r="N1910">
        <f t="shared" si="175"/>
        <v>0</v>
      </c>
      <c r="O1910" t="str">
        <f t="shared" si="174"/>
        <v>Low</v>
      </c>
      <c r="P1910" t="str">
        <f t="shared" si="176"/>
        <v>High</v>
      </c>
      <c r="Q1910" t="str">
        <f t="shared" si="177"/>
        <v>Low Loan</v>
      </c>
      <c r="R1910">
        <f t="shared" si="178"/>
        <v>8000000</v>
      </c>
      <c r="S1910" t="str">
        <f t="shared" si="179"/>
        <v>Moderate</v>
      </c>
    </row>
    <row r="1911" spans="1:19" x14ac:dyDescent="0.25">
      <c r="A1911">
        <v>1910</v>
      </c>
      <c r="B1911">
        <v>4</v>
      </c>
      <c r="C1911" t="s">
        <v>31</v>
      </c>
      <c r="D1911" t="s">
        <v>32</v>
      </c>
      <c r="E1911">
        <v>2400000</v>
      </c>
      <c r="F1911">
        <v>7300000</v>
      </c>
      <c r="G1911">
        <v>4</v>
      </c>
      <c r="H1911">
        <v>540</v>
      </c>
      <c r="I1911">
        <v>2500000</v>
      </c>
      <c r="J1911">
        <v>300000</v>
      </c>
      <c r="K1911">
        <v>7800000</v>
      </c>
      <c r="L1911">
        <v>2200000</v>
      </c>
      <c r="M1911" t="s">
        <v>34</v>
      </c>
      <c r="N1911">
        <f t="shared" si="175"/>
        <v>1</v>
      </c>
      <c r="O1911" t="str">
        <f t="shared" si="174"/>
        <v>Low</v>
      </c>
      <c r="P1911" t="str">
        <f t="shared" si="176"/>
        <v>High</v>
      </c>
      <c r="Q1911" t="str">
        <f t="shared" si="177"/>
        <v>Low Loan</v>
      </c>
      <c r="R1911">
        <f t="shared" si="178"/>
        <v>12800000</v>
      </c>
      <c r="S1911" t="str">
        <f t="shared" si="179"/>
        <v>Strong</v>
      </c>
    </row>
    <row r="1912" spans="1:19" x14ac:dyDescent="0.25">
      <c r="A1912">
        <v>1911</v>
      </c>
      <c r="B1912">
        <v>1</v>
      </c>
      <c r="C1912" t="s">
        <v>30</v>
      </c>
      <c r="D1912" t="s">
        <v>32</v>
      </c>
      <c r="E1912">
        <v>1800000</v>
      </c>
      <c r="F1912">
        <v>5900000</v>
      </c>
      <c r="G1912">
        <v>16</v>
      </c>
      <c r="H1912">
        <v>804</v>
      </c>
      <c r="I1912">
        <v>800000</v>
      </c>
      <c r="J1912">
        <v>2500000</v>
      </c>
      <c r="K1912">
        <v>5000000</v>
      </c>
      <c r="L1912">
        <v>1000000</v>
      </c>
      <c r="M1912" t="s">
        <v>34</v>
      </c>
      <c r="N1912">
        <f t="shared" si="175"/>
        <v>1</v>
      </c>
      <c r="O1912" t="str">
        <f t="shared" si="174"/>
        <v>Excellent</v>
      </c>
      <c r="P1912" t="str">
        <f t="shared" si="176"/>
        <v>High</v>
      </c>
      <c r="Q1912" t="str">
        <f t="shared" si="177"/>
        <v>Low Loan</v>
      </c>
      <c r="R1912">
        <f t="shared" si="178"/>
        <v>9300000</v>
      </c>
      <c r="S1912" t="str">
        <f t="shared" si="179"/>
        <v>Moderate</v>
      </c>
    </row>
    <row r="1913" spans="1:19" x14ac:dyDescent="0.25">
      <c r="A1913">
        <v>1912</v>
      </c>
      <c r="B1913">
        <v>1</v>
      </c>
      <c r="C1913" t="s">
        <v>30</v>
      </c>
      <c r="D1913" t="s">
        <v>32</v>
      </c>
      <c r="E1913">
        <v>7500000</v>
      </c>
      <c r="F1913">
        <v>16000000</v>
      </c>
      <c r="G1913">
        <v>10</v>
      </c>
      <c r="H1913">
        <v>541</v>
      </c>
      <c r="I1913">
        <v>16300000</v>
      </c>
      <c r="J1913">
        <v>4500000</v>
      </c>
      <c r="K1913">
        <v>22400000</v>
      </c>
      <c r="L1913">
        <v>5100000</v>
      </c>
      <c r="M1913" t="s">
        <v>35</v>
      </c>
      <c r="N1913">
        <f t="shared" si="175"/>
        <v>0</v>
      </c>
      <c r="O1913" t="str">
        <f t="shared" si="174"/>
        <v>Low</v>
      </c>
      <c r="P1913" t="str">
        <f t="shared" si="176"/>
        <v>High</v>
      </c>
      <c r="Q1913" t="str">
        <f t="shared" si="177"/>
        <v>Low Loan</v>
      </c>
      <c r="R1913">
        <f t="shared" si="178"/>
        <v>48300000</v>
      </c>
      <c r="S1913" t="str">
        <f t="shared" si="179"/>
        <v>Strong</v>
      </c>
    </row>
    <row r="1914" spans="1:19" x14ac:dyDescent="0.25">
      <c r="A1914">
        <v>1913</v>
      </c>
      <c r="B1914">
        <v>4</v>
      </c>
      <c r="C1914" t="s">
        <v>31</v>
      </c>
      <c r="D1914" t="s">
        <v>33</v>
      </c>
      <c r="E1914">
        <v>6700000</v>
      </c>
      <c r="F1914">
        <v>18400000</v>
      </c>
      <c r="G1914">
        <v>10</v>
      </c>
      <c r="H1914">
        <v>371</v>
      </c>
      <c r="I1914">
        <v>1900000</v>
      </c>
      <c r="J1914">
        <v>1400000</v>
      </c>
      <c r="K1914">
        <v>15700000</v>
      </c>
      <c r="L1914">
        <v>4400000</v>
      </c>
      <c r="M1914" t="s">
        <v>35</v>
      </c>
      <c r="N1914">
        <f t="shared" si="175"/>
        <v>0</v>
      </c>
      <c r="O1914" t="str">
        <f t="shared" si="174"/>
        <v>Low</v>
      </c>
      <c r="P1914" t="str">
        <f t="shared" si="176"/>
        <v>High</v>
      </c>
      <c r="Q1914" t="str">
        <f t="shared" si="177"/>
        <v>Low Loan</v>
      </c>
      <c r="R1914">
        <f t="shared" si="178"/>
        <v>23400000</v>
      </c>
      <c r="S1914" t="str">
        <f t="shared" si="179"/>
        <v>Strong</v>
      </c>
    </row>
    <row r="1915" spans="1:19" x14ac:dyDescent="0.25">
      <c r="A1915">
        <v>1914</v>
      </c>
      <c r="B1915">
        <v>5</v>
      </c>
      <c r="C1915" t="s">
        <v>30</v>
      </c>
      <c r="D1915" t="s">
        <v>32</v>
      </c>
      <c r="E1915">
        <v>5800000</v>
      </c>
      <c r="F1915">
        <v>13700000</v>
      </c>
      <c r="G1915">
        <v>6</v>
      </c>
      <c r="H1915">
        <v>369</v>
      </c>
      <c r="I1915">
        <v>10500000</v>
      </c>
      <c r="J1915">
        <v>2700000</v>
      </c>
      <c r="K1915">
        <v>12100000</v>
      </c>
      <c r="L1915">
        <v>3000000</v>
      </c>
      <c r="M1915" t="s">
        <v>35</v>
      </c>
      <c r="N1915">
        <f t="shared" si="175"/>
        <v>0</v>
      </c>
      <c r="O1915" t="str">
        <f t="shared" si="174"/>
        <v>Low</v>
      </c>
      <c r="P1915" t="str">
        <f t="shared" si="176"/>
        <v>High</v>
      </c>
      <c r="Q1915" t="str">
        <f t="shared" si="177"/>
        <v>Low Loan</v>
      </c>
      <c r="R1915">
        <f t="shared" si="178"/>
        <v>28300000</v>
      </c>
      <c r="S1915" t="str">
        <f t="shared" si="179"/>
        <v>Strong</v>
      </c>
    </row>
    <row r="1916" spans="1:19" x14ac:dyDescent="0.25">
      <c r="A1916">
        <v>1915</v>
      </c>
      <c r="B1916">
        <v>0</v>
      </c>
      <c r="C1916" t="s">
        <v>31</v>
      </c>
      <c r="D1916" t="s">
        <v>32</v>
      </c>
      <c r="E1916">
        <v>500000</v>
      </c>
      <c r="F1916">
        <v>1800000</v>
      </c>
      <c r="G1916">
        <v>2</v>
      </c>
      <c r="H1916">
        <v>651</v>
      </c>
      <c r="I1916">
        <v>700000</v>
      </c>
      <c r="J1916">
        <v>0</v>
      </c>
      <c r="K1916">
        <v>1700000</v>
      </c>
      <c r="L1916">
        <v>200000</v>
      </c>
      <c r="M1916" t="s">
        <v>34</v>
      </c>
      <c r="N1916">
        <f t="shared" si="175"/>
        <v>1</v>
      </c>
      <c r="O1916" t="str">
        <f t="shared" si="174"/>
        <v>Medium</v>
      </c>
      <c r="P1916" t="str">
        <f t="shared" si="176"/>
        <v>Middle</v>
      </c>
      <c r="Q1916" t="str">
        <f t="shared" si="177"/>
        <v>Low Loan</v>
      </c>
      <c r="R1916">
        <f t="shared" si="178"/>
        <v>2600000</v>
      </c>
      <c r="S1916" t="str">
        <f t="shared" si="179"/>
        <v>Weak</v>
      </c>
    </row>
    <row r="1917" spans="1:19" x14ac:dyDescent="0.25">
      <c r="A1917">
        <v>1916</v>
      </c>
      <c r="B1917">
        <v>0</v>
      </c>
      <c r="C1917" t="s">
        <v>30</v>
      </c>
      <c r="D1917" t="s">
        <v>33</v>
      </c>
      <c r="E1917">
        <v>9400000</v>
      </c>
      <c r="F1917">
        <v>30700000</v>
      </c>
      <c r="G1917">
        <v>10</v>
      </c>
      <c r="H1917">
        <v>477</v>
      </c>
      <c r="I1917">
        <v>17400000</v>
      </c>
      <c r="J1917">
        <v>900000</v>
      </c>
      <c r="K1917">
        <v>27500000</v>
      </c>
      <c r="L1917">
        <v>6200000</v>
      </c>
      <c r="M1917" t="s">
        <v>35</v>
      </c>
      <c r="N1917">
        <f t="shared" si="175"/>
        <v>0</v>
      </c>
      <c r="O1917" t="str">
        <f t="shared" si="174"/>
        <v>Low</v>
      </c>
      <c r="P1917" t="str">
        <f t="shared" si="176"/>
        <v>High</v>
      </c>
      <c r="Q1917" t="str">
        <f t="shared" si="177"/>
        <v>High Loan</v>
      </c>
      <c r="R1917">
        <f t="shared" si="178"/>
        <v>52000000</v>
      </c>
      <c r="S1917" t="str">
        <f t="shared" si="179"/>
        <v>Strong</v>
      </c>
    </row>
    <row r="1918" spans="1:19" x14ac:dyDescent="0.25">
      <c r="A1918">
        <v>1917</v>
      </c>
      <c r="B1918">
        <v>4</v>
      </c>
      <c r="C1918" t="s">
        <v>31</v>
      </c>
      <c r="D1918" t="s">
        <v>32</v>
      </c>
      <c r="E1918">
        <v>1600000</v>
      </c>
      <c r="F1918">
        <v>6200000</v>
      </c>
      <c r="G1918">
        <v>18</v>
      </c>
      <c r="H1918">
        <v>554</v>
      </c>
      <c r="I1918">
        <v>3200000</v>
      </c>
      <c r="J1918">
        <v>800000</v>
      </c>
      <c r="K1918">
        <v>5500000</v>
      </c>
      <c r="L1918">
        <v>1100000</v>
      </c>
      <c r="M1918" t="s">
        <v>34</v>
      </c>
      <c r="N1918">
        <f t="shared" si="175"/>
        <v>1</v>
      </c>
      <c r="O1918" t="str">
        <f t="shared" si="174"/>
        <v>Low</v>
      </c>
      <c r="P1918" t="str">
        <f t="shared" si="176"/>
        <v>High</v>
      </c>
      <c r="Q1918" t="str">
        <f t="shared" si="177"/>
        <v>Low Loan</v>
      </c>
      <c r="R1918">
        <f t="shared" si="178"/>
        <v>10600000</v>
      </c>
      <c r="S1918" t="str">
        <f t="shared" si="179"/>
        <v>Strong</v>
      </c>
    </row>
    <row r="1919" spans="1:19" x14ac:dyDescent="0.25">
      <c r="A1919">
        <v>1918</v>
      </c>
      <c r="B1919">
        <v>0</v>
      </c>
      <c r="C1919" t="s">
        <v>30</v>
      </c>
      <c r="D1919" t="s">
        <v>33</v>
      </c>
      <c r="E1919">
        <v>9300000</v>
      </c>
      <c r="F1919">
        <v>25000000</v>
      </c>
      <c r="G1919">
        <v>14</v>
      </c>
      <c r="H1919">
        <v>362</v>
      </c>
      <c r="I1919">
        <v>14900000</v>
      </c>
      <c r="J1919">
        <v>16100000</v>
      </c>
      <c r="K1919">
        <v>32300000</v>
      </c>
      <c r="L1919">
        <v>11000000</v>
      </c>
      <c r="M1919" t="s">
        <v>35</v>
      </c>
      <c r="N1919">
        <f t="shared" si="175"/>
        <v>0</v>
      </c>
      <c r="O1919" t="str">
        <f t="shared" si="174"/>
        <v>Low</v>
      </c>
      <c r="P1919" t="str">
        <f t="shared" si="176"/>
        <v>High</v>
      </c>
      <c r="Q1919" t="str">
        <f t="shared" si="177"/>
        <v>High Loan</v>
      </c>
      <c r="R1919">
        <f t="shared" si="178"/>
        <v>74300000</v>
      </c>
      <c r="S1919" t="str">
        <f t="shared" si="179"/>
        <v>Strong</v>
      </c>
    </row>
    <row r="1920" spans="1:19" x14ac:dyDescent="0.25">
      <c r="A1920">
        <v>1919</v>
      </c>
      <c r="B1920">
        <v>5</v>
      </c>
      <c r="C1920" t="s">
        <v>30</v>
      </c>
      <c r="D1920" t="s">
        <v>32</v>
      </c>
      <c r="E1920">
        <v>3700000</v>
      </c>
      <c r="F1920">
        <v>14000000</v>
      </c>
      <c r="G1920">
        <v>2</v>
      </c>
      <c r="H1920">
        <v>469</v>
      </c>
      <c r="I1920">
        <v>3800000</v>
      </c>
      <c r="J1920">
        <v>600000</v>
      </c>
      <c r="K1920">
        <v>8000000</v>
      </c>
      <c r="L1920">
        <v>2800000</v>
      </c>
      <c r="M1920" t="s">
        <v>34</v>
      </c>
      <c r="N1920">
        <f t="shared" si="175"/>
        <v>1</v>
      </c>
      <c r="O1920" t="str">
        <f t="shared" si="174"/>
        <v>Low</v>
      </c>
      <c r="P1920" t="str">
        <f t="shared" si="176"/>
        <v>High</v>
      </c>
      <c r="Q1920" t="str">
        <f t="shared" si="177"/>
        <v>Low Loan</v>
      </c>
      <c r="R1920">
        <f t="shared" si="178"/>
        <v>15200000</v>
      </c>
      <c r="S1920" t="str">
        <f t="shared" si="179"/>
        <v>Strong</v>
      </c>
    </row>
    <row r="1921" spans="1:19" x14ac:dyDescent="0.25">
      <c r="A1921">
        <v>1920</v>
      </c>
      <c r="B1921">
        <v>3</v>
      </c>
      <c r="C1921" t="s">
        <v>31</v>
      </c>
      <c r="D1921" t="s">
        <v>32</v>
      </c>
      <c r="E1921">
        <v>900000</v>
      </c>
      <c r="F1921">
        <v>1900000</v>
      </c>
      <c r="G1921">
        <v>12</v>
      </c>
      <c r="H1921">
        <v>547</v>
      </c>
      <c r="I1921">
        <v>2400000</v>
      </c>
      <c r="J1921">
        <v>400000</v>
      </c>
      <c r="K1921">
        <v>3000000</v>
      </c>
      <c r="L1921">
        <v>400000</v>
      </c>
      <c r="M1921" t="s">
        <v>35</v>
      </c>
      <c r="N1921">
        <f t="shared" si="175"/>
        <v>0</v>
      </c>
      <c r="O1921" t="str">
        <f t="shared" si="174"/>
        <v>Low</v>
      </c>
      <c r="P1921" t="str">
        <f t="shared" si="176"/>
        <v>High</v>
      </c>
      <c r="Q1921" t="str">
        <f t="shared" si="177"/>
        <v>Low Loan</v>
      </c>
      <c r="R1921">
        <f t="shared" si="178"/>
        <v>6200000</v>
      </c>
      <c r="S1921" t="str">
        <f t="shared" si="179"/>
        <v>Moderate</v>
      </c>
    </row>
    <row r="1922" spans="1:19" x14ac:dyDescent="0.25">
      <c r="A1922">
        <v>1921</v>
      </c>
      <c r="B1922">
        <v>4</v>
      </c>
      <c r="C1922" t="s">
        <v>31</v>
      </c>
      <c r="D1922" t="s">
        <v>32</v>
      </c>
      <c r="E1922">
        <v>500000</v>
      </c>
      <c r="F1922">
        <v>1300000</v>
      </c>
      <c r="G1922">
        <v>6</v>
      </c>
      <c r="H1922">
        <v>809</v>
      </c>
      <c r="I1922">
        <v>200000</v>
      </c>
      <c r="J1922">
        <v>300000</v>
      </c>
      <c r="K1922">
        <v>900000</v>
      </c>
      <c r="L1922">
        <v>500000</v>
      </c>
      <c r="M1922" t="s">
        <v>34</v>
      </c>
      <c r="N1922">
        <f t="shared" si="175"/>
        <v>1</v>
      </c>
      <c r="O1922" t="str">
        <f t="shared" ref="O1922:O1985" si="180">IF(H1922&lt;650,"Low",
 IF(H1922&lt;700,"Medium",
 IF(H1922&lt;750,"Good","Excellent")))</f>
        <v>Excellent</v>
      </c>
      <c r="P1922" t="str">
        <f t="shared" si="176"/>
        <v>Middle</v>
      </c>
      <c r="Q1922" t="str">
        <f t="shared" si="177"/>
        <v>Low Loan</v>
      </c>
      <c r="R1922">
        <f t="shared" si="178"/>
        <v>1900000</v>
      </c>
      <c r="S1922" t="str">
        <f t="shared" si="179"/>
        <v>Weak</v>
      </c>
    </row>
    <row r="1923" spans="1:19" x14ac:dyDescent="0.25">
      <c r="A1923">
        <v>1922</v>
      </c>
      <c r="B1923">
        <v>1</v>
      </c>
      <c r="C1923" t="s">
        <v>30</v>
      </c>
      <c r="D1923" t="s">
        <v>33</v>
      </c>
      <c r="E1923">
        <v>7800000</v>
      </c>
      <c r="F1923">
        <v>16200000</v>
      </c>
      <c r="G1923">
        <v>2</v>
      </c>
      <c r="H1923">
        <v>335</v>
      </c>
      <c r="I1923">
        <v>4900000</v>
      </c>
      <c r="J1923">
        <v>7900000</v>
      </c>
      <c r="K1923">
        <v>28700000</v>
      </c>
      <c r="L1923">
        <v>6400000</v>
      </c>
      <c r="M1923" t="s">
        <v>35</v>
      </c>
      <c r="N1923">
        <f t="shared" ref="N1923:N1986" si="181">IF(TRIM(CLEAN(M1923))="Approved",1,0)</f>
        <v>0</v>
      </c>
      <c r="O1923" t="str">
        <f t="shared" si="180"/>
        <v>Low</v>
      </c>
      <c r="P1923" t="str">
        <f t="shared" ref="P1923:P1986" si="182">IF(E1923&lt;300000,"Low",
 IF(E1923&lt;700000,"Middle","High"))</f>
        <v>High</v>
      </c>
      <c r="Q1923" t="str">
        <f t="shared" ref="Q1923:Q1986" si="183">IF(F1923&lt;20000000,"Low Loan","High Loan")</f>
        <v>Low Loan</v>
      </c>
      <c r="R1923">
        <f t="shared" ref="R1923:R1986" si="184">I1923+J1923+K1923+L1923</f>
        <v>47900000</v>
      </c>
      <c r="S1923" t="str">
        <f t="shared" ref="S1923:S1986" si="185">IF(R1923&lt;5000000,"Weak",
 IF(R1923&lt;10000000,"Moderate","Strong"))</f>
        <v>Strong</v>
      </c>
    </row>
    <row r="1924" spans="1:19" x14ac:dyDescent="0.25">
      <c r="A1924">
        <v>1923</v>
      </c>
      <c r="B1924">
        <v>5</v>
      </c>
      <c r="C1924" t="s">
        <v>31</v>
      </c>
      <c r="D1924" t="s">
        <v>33</v>
      </c>
      <c r="E1924">
        <v>5300000</v>
      </c>
      <c r="F1924">
        <v>13700000</v>
      </c>
      <c r="G1924">
        <v>18</v>
      </c>
      <c r="H1924">
        <v>708</v>
      </c>
      <c r="I1924">
        <v>7600000</v>
      </c>
      <c r="J1924">
        <v>900000</v>
      </c>
      <c r="K1924">
        <v>19200000</v>
      </c>
      <c r="L1924">
        <v>5900000</v>
      </c>
      <c r="M1924" t="s">
        <v>34</v>
      </c>
      <c r="N1924">
        <f t="shared" si="181"/>
        <v>1</v>
      </c>
      <c r="O1924" t="str">
        <f t="shared" si="180"/>
        <v>Good</v>
      </c>
      <c r="P1924" t="str">
        <f t="shared" si="182"/>
        <v>High</v>
      </c>
      <c r="Q1924" t="str">
        <f t="shared" si="183"/>
        <v>Low Loan</v>
      </c>
      <c r="R1924">
        <f t="shared" si="184"/>
        <v>33600000</v>
      </c>
      <c r="S1924" t="str">
        <f t="shared" si="185"/>
        <v>Strong</v>
      </c>
    </row>
    <row r="1925" spans="1:19" x14ac:dyDescent="0.25">
      <c r="A1925">
        <v>1924</v>
      </c>
      <c r="B1925">
        <v>0</v>
      </c>
      <c r="C1925" t="s">
        <v>30</v>
      </c>
      <c r="D1925" t="s">
        <v>32</v>
      </c>
      <c r="E1925">
        <v>300000</v>
      </c>
      <c r="F1925">
        <v>700000</v>
      </c>
      <c r="G1925">
        <v>16</v>
      </c>
      <c r="H1925">
        <v>779</v>
      </c>
      <c r="I1925">
        <v>200000</v>
      </c>
      <c r="J1925">
        <v>0</v>
      </c>
      <c r="K1925">
        <v>1000000</v>
      </c>
      <c r="L1925">
        <v>400000</v>
      </c>
      <c r="M1925" t="s">
        <v>34</v>
      </c>
      <c r="N1925">
        <f t="shared" si="181"/>
        <v>1</v>
      </c>
      <c r="O1925" t="str">
        <f t="shared" si="180"/>
        <v>Excellent</v>
      </c>
      <c r="P1925" t="str">
        <f t="shared" si="182"/>
        <v>Middle</v>
      </c>
      <c r="Q1925" t="str">
        <f t="shared" si="183"/>
        <v>Low Loan</v>
      </c>
      <c r="R1925">
        <f t="shared" si="184"/>
        <v>1600000</v>
      </c>
      <c r="S1925" t="str">
        <f t="shared" si="185"/>
        <v>Weak</v>
      </c>
    </row>
    <row r="1926" spans="1:19" x14ac:dyDescent="0.25">
      <c r="A1926">
        <v>1925</v>
      </c>
      <c r="B1926">
        <v>0</v>
      </c>
      <c r="C1926" t="s">
        <v>30</v>
      </c>
      <c r="D1926" t="s">
        <v>33</v>
      </c>
      <c r="E1926">
        <v>5000000</v>
      </c>
      <c r="F1926">
        <v>19900000</v>
      </c>
      <c r="G1926">
        <v>6</v>
      </c>
      <c r="H1926">
        <v>748</v>
      </c>
      <c r="I1926">
        <v>8300000</v>
      </c>
      <c r="J1926">
        <v>8500000</v>
      </c>
      <c r="K1926">
        <v>11300000</v>
      </c>
      <c r="L1926">
        <v>3000000</v>
      </c>
      <c r="M1926" t="s">
        <v>34</v>
      </c>
      <c r="N1926">
        <f t="shared" si="181"/>
        <v>1</v>
      </c>
      <c r="O1926" t="str">
        <f t="shared" si="180"/>
        <v>Good</v>
      </c>
      <c r="P1926" t="str">
        <f t="shared" si="182"/>
        <v>High</v>
      </c>
      <c r="Q1926" t="str">
        <f t="shared" si="183"/>
        <v>Low Loan</v>
      </c>
      <c r="R1926">
        <f t="shared" si="184"/>
        <v>31100000</v>
      </c>
      <c r="S1926" t="str">
        <f t="shared" si="185"/>
        <v>Strong</v>
      </c>
    </row>
    <row r="1927" spans="1:19" x14ac:dyDescent="0.25">
      <c r="A1927">
        <v>1926</v>
      </c>
      <c r="B1927">
        <v>0</v>
      </c>
      <c r="C1927" t="s">
        <v>30</v>
      </c>
      <c r="D1927" t="s">
        <v>32</v>
      </c>
      <c r="E1927">
        <v>7900000</v>
      </c>
      <c r="F1927">
        <v>28600000</v>
      </c>
      <c r="G1927">
        <v>18</v>
      </c>
      <c r="H1927">
        <v>541</v>
      </c>
      <c r="I1927">
        <v>400000</v>
      </c>
      <c r="J1927">
        <v>3900000</v>
      </c>
      <c r="K1927">
        <v>22300000</v>
      </c>
      <c r="L1927">
        <v>6700000</v>
      </c>
      <c r="M1927" t="s">
        <v>35</v>
      </c>
      <c r="N1927">
        <f t="shared" si="181"/>
        <v>0</v>
      </c>
      <c r="O1927" t="str">
        <f t="shared" si="180"/>
        <v>Low</v>
      </c>
      <c r="P1927" t="str">
        <f t="shared" si="182"/>
        <v>High</v>
      </c>
      <c r="Q1927" t="str">
        <f t="shared" si="183"/>
        <v>High Loan</v>
      </c>
      <c r="R1927">
        <f t="shared" si="184"/>
        <v>33300000</v>
      </c>
      <c r="S1927" t="str">
        <f t="shared" si="185"/>
        <v>Strong</v>
      </c>
    </row>
    <row r="1928" spans="1:19" x14ac:dyDescent="0.25">
      <c r="A1928">
        <v>1927</v>
      </c>
      <c r="B1928">
        <v>4</v>
      </c>
      <c r="C1928" t="s">
        <v>30</v>
      </c>
      <c r="D1928" t="s">
        <v>32</v>
      </c>
      <c r="E1928">
        <v>5300000</v>
      </c>
      <c r="F1928">
        <v>15800000</v>
      </c>
      <c r="G1928">
        <v>2</v>
      </c>
      <c r="H1928">
        <v>527</v>
      </c>
      <c r="I1928">
        <v>3800000</v>
      </c>
      <c r="J1928">
        <v>5200000</v>
      </c>
      <c r="K1928">
        <v>19700000</v>
      </c>
      <c r="L1928">
        <v>3900000</v>
      </c>
      <c r="M1928" t="s">
        <v>35</v>
      </c>
      <c r="N1928">
        <f t="shared" si="181"/>
        <v>0</v>
      </c>
      <c r="O1928" t="str">
        <f t="shared" si="180"/>
        <v>Low</v>
      </c>
      <c r="P1928" t="str">
        <f t="shared" si="182"/>
        <v>High</v>
      </c>
      <c r="Q1928" t="str">
        <f t="shared" si="183"/>
        <v>Low Loan</v>
      </c>
      <c r="R1928">
        <f t="shared" si="184"/>
        <v>32600000</v>
      </c>
      <c r="S1928" t="str">
        <f t="shared" si="185"/>
        <v>Strong</v>
      </c>
    </row>
    <row r="1929" spans="1:19" x14ac:dyDescent="0.25">
      <c r="A1929">
        <v>1928</v>
      </c>
      <c r="B1929">
        <v>0</v>
      </c>
      <c r="C1929" t="s">
        <v>31</v>
      </c>
      <c r="D1929" t="s">
        <v>33</v>
      </c>
      <c r="E1929">
        <v>5500000</v>
      </c>
      <c r="F1929">
        <v>15300000</v>
      </c>
      <c r="G1929">
        <v>4</v>
      </c>
      <c r="H1929">
        <v>859</v>
      </c>
      <c r="I1929">
        <v>4600000</v>
      </c>
      <c r="J1929">
        <v>9500000</v>
      </c>
      <c r="K1929">
        <v>21400000</v>
      </c>
      <c r="L1929">
        <v>2900000</v>
      </c>
      <c r="M1929" t="s">
        <v>34</v>
      </c>
      <c r="N1929">
        <f t="shared" si="181"/>
        <v>1</v>
      </c>
      <c r="O1929" t="str">
        <f t="shared" si="180"/>
        <v>Excellent</v>
      </c>
      <c r="P1929" t="str">
        <f t="shared" si="182"/>
        <v>High</v>
      </c>
      <c r="Q1929" t="str">
        <f t="shared" si="183"/>
        <v>Low Loan</v>
      </c>
      <c r="R1929">
        <f t="shared" si="184"/>
        <v>38400000</v>
      </c>
      <c r="S1929" t="str">
        <f t="shared" si="185"/>
        <v>Strong</v>
      </c>
    </row>
    <row r="1930" spans="1:19" x14ac:dyDescent="0.25">
      <c r="A1930">
        <v>1929</v>
      </c>
      <c r="B1930">
        <v>0</v>
      </c>
      <c r="C1930" t="s">
        <v>30</v>
      </c>
      <c r="D1930" t="s">
        <v>32</v>
      </c>
      <c r="E1930">
        <v>1500000</v>
      </c>
      <c r="F1930">
        <v>5600000</v>
      </c>
      <c r="G1930">
        <v>18</v>
      </c>
      <c r="H1930">
        <v>604</v>
      </c>
      <c r="I1930">
        <v>2000000</v>
      </c>
      <c r="J1930">
        <v>2400000</v>
      </c>
      <c r="K1930">
        <v>4400000</v>
      </c>
      <c r="L1930">
        <v>1800000</v>
      </c>
      <c r="M1930" t="s">
        <v>34</v>
      </c>
      <c r="N1930">
        <f t="shared" si="181"/>
        <v>1</v>
      </c>
      <c r="O1930" t="str">
        <f t="shared" si="180"/>
        <v>Low</v>
      </c>
      <c r="P1930" t="str">
        <f t="shared" si="182"/>
        <v>High</v>
      </c>
      <c r="Q1930" t="str">
        <f t="shared" si="183"/>
        <v>Low Loan</v>
      </c>
      <c r="R1930">
        <f t="shared" si="184"/>
        <v>10600000</v>
      </c>
      <c r="S1930" t="str">
        <f t="shared" si="185"/>
        <v>Strong</v>
      </c>
    </row>
    <row r="1931" spans="1:19" x14ac:dyDescent="0.25">
      <c r="A1931">
        <v>1930</v>
      </c>
      <c r="B1931">
        <v>5</v>
      </c>
      <c r="C1931" t="s">
        <v>30</v>
      </c>
      <c r="D1931" t="s">
        <v>32</v>
      </c>
      <c r="E1931">
        <v>6600000</v>
      </c>
      <c r="F1931">
        <v>20100000</v>
      </c>
      <c r="G1931">
        <v>18</v>
      </c>
      <c r="H1931">
        <v>348</v>
      </c>
      <c r="I1931">
        <v>6900000</v>
      </c>
      <c r="J1931">
        <v>2500000</v>
      </c>
      <c r="K1931">
        <v>22500000</v>
      </c>
      <c r="L1931">
        <v>7200000</v>
      </c>
      <c r="M1931" t="s">
        <v>35</v>
      </c>
      <c r="N1931">
        <f t="shared" si="181"/>
        <v>0</v>
      </c>
      <c r="O1931" t="str">
        <f t="shared" si="180"/>
        <v>Low</v>
      </c>
      <c r="P1931" t="str">
        <f t="shared" si="182"/>
        <v>High</v>
      </c>
      <c r="Q1931" t="str">
        <f t="shared" si="183"/>
        <v>High Loan</v>
      </c>
      <c r="R1931">
        <f t="shared" si="184"/>
        <v>39100000</v>
      </c>
      <c r="S1931" t="str">
        <f t="shared" si="185"/>
        <v>Strong</v>
      </c>
    </row>
    <row r="1932" spans="1:19" x14ac:dyDescent="0.25">
      <c r="A1932">
        <v>1931</v>
      </c>
      <c r="B1932">
        <v>4</v>
      </c>
      <c r="C1932" t="s">
        <v>30</v>
      </c>
      <c r="D1932" t="s">
        <v>33</v>
      </c>
      <c r="E1932">
        <v>6200000</v>
      </c>
      <c r="F1932">
        <v>16200000</v>
      </c>
      <c r="G1932">
        <v>20</v>
      </c>
      <c r="H1932">
        <v>734</v>
      </c>
      <c r="I1932">
        <v>8800000</v>
      </c>
      <c r="J1932">
        <v>4000000</v>
      </c>
      <c r="K1932">
        <v>14600000</v>
      </c>
      <c r="L1932">
        <v>4400000</v>
      </c>
      <c r="M1932" t="s">
        <v>34</v>
      </c>
      <c r="N1932">
        <f t="shared" si="181"/>
        <v>1</v>
      </c>
      <c r="O1932" t="str">
        <f t="shared" si="180"/>
        <v>Good</v>
      </c>
      <c r="P1932" t="str">
        <f t="shared" si="182"/>
        <v>High</v>
      </c>
      <c r="Q1932" t="str">
        <f t="shared" si="183"/>
        <v>Low Loan</v>
      </c>
      <c r="R1932">
        <f t="shared" si="184"/>
        <v>31800000</v>
      </c>
      <c r="S1932" t="str">
        <f t="shared" si="185"/>
        <v>Strong</v>
      </c>
    </row>
    <row r="1933" spans="1:19" x14ac:dyDescent="0.25">
      <c r="A1933">
        <v>1932</v>
      </c>
      <c r="B1933">
        <v>3</v>
      </c>
      <c r="C1933" t="s">
        <v>30</v>
      </c>
      <c r="D1933" t="s">
        <v>32</v>
      </c>
      <c r="E1933">
        <v>6300000</v>
      </c>
      <c r="F1933">
        <v>17000000</v>
      </c>
      <c r="G1933">
        <v>16</v>
      </c>
      <c r="H1933">
        <v>388</v>
      </c>
      <c r="I1933">
        <v>11700000</v>
      </c>
      <c r="J1933">
        <v>2100000</v>
      </c>
      <c r="K1933">
        <v>16100000</v>
      </c>
      <c r="L1933">
        <v>3200000</v>
      </c>
      <c r="M1933" t="s">
        <v>35</v>
      </c>
      <c r="N1933">
        <f t="shared" si="181"/>
        <v>0</v>
      </c>
      <c r="O1933" t="str">
        <f t="shared" si="180"/>
        <v>Low</v>
      </c>
      <c r="P1933" t="str">
        <f t="shared" si="182"/>
        <v>High</v>
      </c>
      <c r="Q1933" t="str">
        <f t="shared" si="183"/>
        <v>Low Loan</v>
      </c>
      <c r="R1933">
        <f t="shared" si="184"/>
        <v>33100000</v>
      </c>
      <c r="S1933" t="str">
        <f t="shared" si="185"/>
        <v>Strong</v>
      </c>
    </row>
    <row r="1934" spans="1:19" x14ac:dyDescent="0.25">
      <c r="A1934">
        <v>1933</v>
      </c>
      <c r="B1934">
        <v>0</v>
      </c>
      <c r="C1934" t="s">
        <v>30</v>
      </c>
      <c r="D1934" t="s">
        <v>33</v>
      </c>
      <c r="E1934">
        <v>3800000</v>
      </c>
      <c r="F1934">
        <v>8100000</v>
      </c>
      <c r="G1934">
        <v>20</v>
      </c>
      <c r="H1934">
        <v>831</v>
      </c>
      <c r="I1934">
        <v>6500000</v>
      </c>
      <c r="J1934">
        <v>1700000</v>
      </c>
      <c r="K1934">
        <v>7700000</v>
      </c>
      <c r="L1934">
        <v>2000000</v>
      </c>
      <c r="M1934" t="s">
        <v>34</v>
      </c>
      <c r="N1934">
        <f t="shared" si="181"/>
        <v>1</v>
      </c>
      <c r="O1934" t="str">
        <f t="shared" si="180"/>
        <v>Excellent</v>
      </c>
      <c r="P1934" t="str">
        <f t="shared" si="182"/>
        <v>High</v>
      </c>
      <c r="Q1934" t="str">
        <f t="shared" si="183"/>
        <v>Low Loan</v>
      </c>
      <c r="R1934">
        <f t="shared" si="184"/>
        <v>17900000</v>
      </c>
      <c r="S1934" t="str">
        <f t="shared" si="185"/>
        <v>Strong</v>
      </c>
    </row>
    <row r="1935" spans="1:19" x14ac:dyDescent="0.25">
      <c r="A1935">
        <v>1934</v>
      </c>
      <c r="B1935">
        <v>5</v>
      </c>
      <c r="C1935" t="s">
        <v>31</v>
      </c>
      <c r="D1935" t="s">
        <v>32</v>
      </c>
      <c r="E1935">
        <v>500000</v>
      </c>
      <c r="F1935">
        <v>1500000</v>
      </c>
      <c r="G1935">
        <v>6</v>
      </c>
      <c r="H1935">
        <v>433</v>
      </c>
      <c r="I1935">
        <v>-100000</v>
      </c>
      <c r="J1935">
        <v>700000</v>
      </c>
      <c r="K1935">
        <v>1900000</v>
      </c>
      <c r="L1935">
        <v>700000</v>
      </c>
      <c r="M1935" t="s">
        <v>35</v>
      </c>
      <c r="N1935">
        <f t="shared" si="181"/>
        <v>0</v>
      </c>
      <c r="O1935" t="str">
        <f t="shared" si="180"/>
        <v>Low</v>
      </c>
      <c r="P1935" t="str">
        <f t="shared" si="182"/>
        <v>Middle</v>
      </c>
      <c r="Q1935" t="str">
        <f t="shared" si="183"/>
        <v>Low Loan</v>
      </c>
      <c r="R1935">
        <f t="shared" si="184"/>
        <v>3200000</v>
      </c>
      <c r="S1935" t="str">
        <f t="shared" si="185"/>
        <v>Weak</v>
      </c>
    </row>
    <row r="1936" spans="1:19" x14ac:dyDescent="0.25">
      <c r="A1936">
        <v>1935</v>
      </c>
      <c r="B1936">
        <v>2</v>
      </c>
      <c r="C1936" t="s">
        <v>30</v>
      </c>
      <c r="D1936" t="s">
        <v>33</v>
      </c>
      <c r="E1936">
        <v>5000000</v>
      </c>
      <c r="F1936">
        <v>15900000</v>
      </c>
      <c r="G1936">
        <v>16</v>
      </c>
      <c r="H1936">
        <v>699</v>
      </c>
      <c r="I1936">
        <v>8800000</v>
      </c>
      <c r="J1936">
        <v>5900000</v>
      </c>
      <c r="K1936">
        <v>18100000</v>
      </c>
      <c r="L1936">
        <v>7200000</v>
      </c>
      <c r="M1936" t="s">
        <v>34</v>
      </c>
      <c r="N1936">
        <f t="shared" si="181"/>
        <v>1</v>
      </c>
      <c r="O1936" t="str">
        <f t="shared" si="180"/>
        <v>Medium</v>
      </c>
      <c r="P1936" t="str">
        <f t="shared" si="182"/>
        <v>High</v>
      </c>
      <c r="Q1936" t="str">
        <f t="shared" si="183"/>
        <v>Low Loan</v>
      </c>
      <c r="R1936">
        <f t="shared" si="184"/>
        <v>40000000</v>
      </c>
      <c r="S1936" t="str">
        <f t="shared" si="185"/>
        <v>Strong</v>
      </c>
    </row>
    <row r="1937" spans="1:19" x14ac:dyDescent="0.25">
      <c r="A1937">
        <v>1936</v>
      </c>
      <c r="B1937">
        <v>0</v>
      </c>
      <c r="C1937" t="s">
        <v>31</v>
      </c>
      <c r="D1937" t="s">
        <v>32</v>
      </c>
      <c r="E1937">
        <v>4500000</v>
      </c>
      <c r="F1937">
        <v>17100000</v>
      </c>
      <c r="G1937">
        <v>8</v>
      </c>
      <c r="H1937">
        <v>303</v>
      </c>
      <c r="I1937">
        <v>7400000</v>
      </c>
      <c r="J1937">
        <v>8200000</v>
      </c>
      <c r="K1937">
        <v>17400000</v>
      </c>
      <c r="L1937">
        <v>4200000</v>
      </c>
      <c r="M1937" t="s">
        <v>35</v>
      </c>
      <c r="N1937">
        <f t="shared" si="181"/>
        <v>0</v>
      </c>
      <c r="O1937" t="str">
        <f t="shared" si="180"/>
        <v>Low</v>
      </c>
      <c r="P1937" t="str">
        <f t="shared" si="182"/>
        <v>High</v>
      </c>
      <c r="Q1937" t="str">
        <f t="shared" si="183"/>
        <v>Low Loan</v>
      </c>
      <c r="R1937">
        <f t="shared" si="184"/>
        <v>37200000</v>
      </c>
      <c r="S1937" t="str">
        <f t="shared" si="185"/>
        <v>Strong</v>
      </c>
    </row>
    <row r="1938" spans="1:19" x14ac:dyDescent="0.25">
      <c r="A1938">
        <v>1937</v>
      </c>
      <c r="B1938">
        <v>4</v>
      </c>
      <c r="C1938" t="s">
        <v>31</v>
      </c>
      <c r="D1938" t="s">
        <v>32</v>
      </c>
      <c r="E1938">
        <v>1000000</v>
      </c>
      <c r="F1938">
        <v>3800000</v>
      </c>
      <c r="G1938">
        <v>2</v>
      </c>
      <c r="H1938">
        <v>611</v>
      </c>
      <c r="I1938">
        <v>1700000</v>
      </c>
      <c r="J1938">
        <v>1800000</v>
      </c>
      <c r="K1938">
        <v>2500000</v>
      </c>
      <c r="L1938">
        <v>600000</v>
      </c>
      <c r="M1938" t="s">
        <v>34</v>
      </c>
      <c r="N1938">
        <f t="shared" si="181"/>
        <v>1</v>
      </c>
      <c r="O1938" t="str">
        <f t="shared" si="180"/>
        <v>Low</v>
      </c>
      <c r="P1938" t="str">
        <f t="shared" si="182"/>
        <v>High</v>
      </c>
      <c r="Q1938" t="str">
        <f t="shared" si="183"/>
        <v>Low Loan</v>
      </c>
      <c r="R1938">
        <f t="shared" si="184"/>
        <v>6600000</v>
      </c>
      <c r="S1938" t="str">
        <f t="shared" si="185"/>
        <v>Moderate</v>
      </c>
    </row>
    <row r="1939" spans="1:19" x14ac:dyDescent="0.25">
      <c r="A1939">
        <v>1938</v>
      </c>
      <c r="B1939">
        <v>2</v>
      </c>
      <c r="C1939" t="s">
        <v>30</v>
      </c>
      <c r="D1939" t="s">
        <v>32</v>
      </c>
      <c r="E1939">
        <v>1700000</v>
      </c>
      <c r="F1939">
        <v>3700000</v>
      </c>
      <c r="G1939">
        <v>20</v>
      </c>
      <c r="H1939">
        <v>558</v>
      </c>
      <c r="I1939">
        <v>4100000</v>
      </c>
      <c r="J1939">
        <v>1400000</v>
      </c>
      <c r="K1939">
        <v>5000000</v>
      </c>
      <c r="L1939">
        <v>2500000</v>
      </c>
      <c r="M1939" t="s">
        <v>34</v>
      </c>
      <c r="N1939">
        <f t="shared" si="181"/>
        <v>1</v>
      </c>
      <c r="O1939" t="str">
        <f t="shared" si="180"/>
        <v>Low</v>
      </c>
      <c r="P1939" t="str">
        <f t="shared" si="182"/>
        <v>High</v>
      </c>
      <c r="Q1939" t="str">
        <f t="shared" si="183"/>
        <v>Low Loan</v>
      </c>
      <c r="R1939">
        <f t="shared" si="184"/>
        <v>13000000</v>
      </c>
      <c r="S1939" t="str">
        <f t="shared" si="185"/>
        <v>Strong</v>
      </c>
    </row>
    <row r="1940" spans="1:19" x14ac:dyDescent="0.25">
      <c r="A1940">
        <v>1939</v>
      </c>
      <c r="B1940">
        <v>4</v>
      </c>
      <c r="C1940" t="s">
        <v>30</v>
      </c>
      <c r="D1940" t="s">
        <v>33</v>
      </c>
      <c r="E1940">
        <v>1200000</v>
      </c>
      <c r="F1940">
        <v>4800000</v>
      </c>
      <c r="G1940">
        <v>2</v>
      </c>
      <c r="H1940">
        <v>752</v>
      </c>
      <c r="I1940">
        <v>2800000</v>
      </c>
      <c r="J1940">
        <v>900000</v>
      </c>
      <c r="K1940">
        <v>3000000</v>
      </c>
      <c r="L1940">
        <v>600000</v>
      </c>
      <c r="M1940" t="s">
        <v>34</v>
      </c>
      <c r="N1940">
        <f t="shared" si="181"/>
        <v>1</v>
      </c>
      <c r="O1940" t="str">
        <f t="shared" si="180"/>
        <v>Excellent</v>
      </c>
      <c r="P1940" t="str">
        <f t="shared" si="182"/>
        <v>High</v>
      </c>
      <c r="Q1940" t="str">
        <f t="shared" si="183"/>
        <v>Low Loan</v>
      </c>
      <c r="R1940">
        <f t="shared" si="184"/>
        <v>7300000</v>
      </c>
      <c r="S1940" t="str">
        <f t="shared" si="185"/>
        <v>Moderate</v>
      </c>
    </row>
    <row r="1941" spans="1:19" x14ac:dyDescent="0.25">
      <c r="A1941">
        <v>1940</v>
      </c>
      <c r="B1941">
        <v>5</v>
      </c>
      <c r="C1941" t="s">
        <v>31</v>
      </c>
      <c r="D1941" t="s">
        <v>33</v>
      </c>
      <c r="E1941">
        <v>8500000</v>
      </c>
      <c r="F1941">
        <v>25800000</v>
      </c>
      <c r="G1941">
        <v>14</v>
      </c>
      <c r="H1941">
        <v>786</v>
      </c>
      <c r="I1941">
        <v>13900000</v>
      </c>
      <c r="J1941">
        <v>11000000</v>
      </c>
      <c r="K1941">
        <v>32400000</v>
      </c>
      <c r="L1941">
        <v>11300000</v>
      </c>
      <c r="M1941" t="s">
        <v>34</v>
      </c>
      <c r="N1941">
        <f t="shared" si="181"/>
        <v>1</v>
      </c>
      <c r="O1941" t="str">
        <f t="shared" si="180"/>
        <v>Excellent</v>
      </c>
      <c r="P1941" t="str">
        <f t="shared" si="182"/>
        <v>High</v>
      </c>
      <c r="Q1941" t="str">
        <f t="shared" si="183"/>
        <v>High Loan</v>
      </c>
      <c r="R1941">
        <f t="shared" si="184"/>
        <v>68600000</v>
      </c>
      <c r="S1941" t="str">
        <f t="shared" si="185"/>
        <v>Strong</v>
      </c>
    </row>
    <row r="1942" spans="1:19" x14ac:dyDescent="0.25">
      <c r="A1942">
        <v>1941</v>
      </c>
      <c r="B1942">
        <v>0</v>
      </c>
      <c r="C1942" t="s">
        <v>30</v>
      </c>
      <c r="D1942" t="s">
        <v>32</v>
      </c>
      <c r="E1942">
        <v>8600000</v>
      </c>
      <c r="F1942">
        <v>29000000</v>
      </c>
      <c r="G1942">
        <v>18</v>
      </c>
      <c r="H1942">
        <v>481</v>
      </c>
      <c r="I1942">
        <v>21200000</v>
      </c>
      <c r="J1942">
        <v>2600000</v>
      </c>
      <c r="K1942">
        <v>27700000</v>
      </c>
      <c r="L1942">
        <v>5400000</v>
      </c>
      <c r="M1942" t="s">
        <v>35</v>
      </c>
      <c r="N1942">
        <f t="shared" si="181"/>
        <v>0</v>
      </c>
      <c r="O1942" t="str">
        <f t="shared" si="180"/>
        <v>Low</v>
      </c>
      <c r="P1942" t="str">
        <f t="shared" si="182"/>
        <v>High</v>
      </c>
      <c r="Q1942" t="str">
        <f t="shared" si="183"/>
        <v>High Loan</v>
      </c>
      <c r="R1942">
        <f t="shared" si="184"/>
        <v>56900000</v>
      </c>
      <c r="S1942" t="str">
        <f t="shared" si="185"/>
        <v>Strong</v>
      </c>
    </row>
    <row r="1943" spans="1:19" x14ac:dyDescent="0.25">
      <c r="A1943">
        <v>1942</v>
      </c>
      <c r="B1943">
        <v>2</v>
      </c>
      <c r="C1943" t="s">
        <v>30</v>
      </c>
      <c r="D1943" t="s">
        <v>32</v>
      </c>
      <c r="E1943">
        <v>400000</v>
      </c>
      <c r="F1943">
        <v>1300000</v>
      </c>
      <c r="G1943">
        <v>16</v>
      </c>
      <c r="H1943">
        <v>507</v>
      </c>
      <c r="I1943">
        <v>200000</v>
      </c>
      <c r="J1943">
        <v>200000</v>
      </c>
      <c r="K1943">
        <v>1500000</v>
      </c>
      <c r="L1943">
        <v>300000</v>
      </c>
      <c r="M1943" t="s">
        <v>35</v>
      </c>
      <c r="N1943">
        <f t="shared" si="181"/>
        <v>0</v>
      </c>
      <c r="O1943" t="str">
        <f t="shared" si="180"/>
        <v>Low</v>
      </c>
      <c r="P1943" t="str">
        <f t="shared" si="182"/>
        <v>Middle</v>
      </c>
      <c r="Q1943" t="str">
        <f t="shared" si="183"/>
        <v>Low Loan</v>
      </c>
      <c r="R1943">
        <f t="shared" si="184"/>
        <v>2200000</v>
      </c>
      <c r="S1943" t="str">
        <f t="shared" si="185"/>
        <v>Weak</v>
      </c>
    </row>
    <row r="1944" spans="1:19" x14ac:dyDescent="0.25">
      <c r="A1944">
        <v>1943</v>
      </c>
      <c r="B1944">
        <v>4</v>
      </c>
      <c r="C1944" t="s">
        <v>30</v>
      </c>
      <c r="D1944" t="s">
        <v>32</v>
      </c>
      <c r="E1944">
        <v>8700000</v>
      </c>
      <c r="F1944">
        <v>19800000</v>
      </c>
      <c r="G1944">
        <v>14</v>
      </c>
      <c r="H1944">
        <v>715</v>
      </c>
      <c r="I1944">
        <v>13500000</v>
      </c>
      <c r="J1944">
        <v>13400000</v>
      </c>
      <c r="K1944">
        <v>32000000</v>
      </c>
      <c r="L1944">
        <v>8500000</v>
      </c>
      <c r="M1944" t="s">
        <v>34</v>
      </c>
      <c r="N1944">
        <f t="shared" si="181"/>
        <v>1</v>
      </c>
      <c r="O1944" t="str">
        <f t="shared" si="180"/>
        <v>Good</v>
      </c>
      <c r="P1944" t="str">
        <f t="shared" si="182"/>
        <v>High</v>
      </c>
      <c r="Q1944" t="str">
        <f t="shared" si="183"/>
        <v>Low Loan</v>
      </c>
      <c r="R1944">
        <f t="shared" si="184"/>
        <v>67400000</v>
      </c>
      <c r="S1944" t="str">
        <f t="shared" si="185"/>
        <v>Strong</v>
      </c>
    </row>
    <row r="1945" spans="1:19" x14ac:dyDescent="0.25">
      <c r="A1945">
        <v>1944</v>
      </c>
      <c r="B1945">
        <v>0</v>
      </c>
      <c r="C1945" t="s">
        <v>31</v>
      </c>
      <c r="D1945" t="s">
        <v>32</v>
      </c>
      <c r="E1945">
        <v>1800000</v>
      </c>
      <c r="F1945">
        <v>5700000</v>
      </c>
      <c r="G1945">
        <v>20</v>
      </c>
      <c r="H1945">
        <v>392</v>
      </c>
      <c r="I1945">
        <v>3800000</v>
      </c>
      <c r="J1945">
        <v>2400000</v>
      </c>
      <c r="K1945">
        <v>3500000</v>
      </c>
      <c r="L1945">
        <v>1400000</v>
      </c>
      <c r="M1945" t="s">
        <v>35</v>
      </c>
      <c r="N1945">
        <f t="shared" si="181"/>
        <v>0</v>
      </c>
      <c r="O1945" t="str">
        <f t="shared" si="180"/>
        <v>Low</v>
      </c>
      <c r="P1945" t="str">
        <f t="shared" si="182"/>
        <v>High</v>
      </c>
      <c r="Q1945" t="str">
        <f t="shared" si="183"/>
        <v>Low Loan</v>
      </c>
      <c r="R1945">
        <f t="shared" si="184"/>
        <v>11100000</v>
      </c>
      <c r="S1945" t="str">
        <f t="shared" si="185"/>
        <v>Strong</v>
      </c>
    </row>
    <row r="1946" spans="1:19" x14ac:dyDescent="0.25">
      <c r="A1946">
        <v>1945</v>
      </c>
      <c r="B1946">
        <v>0</v>
      </c>
      <c r="C1946" t="s">
        <v>30</v>
      </c>
      <c r="D1946" t="s">
        <v>33</v>
      </c>
      <c r="E1946">
        <v>4700000</v>
      </c>
      <c r="F1946">
        <v>17700000</v>
      </c>
      <c r="G1946">
        <v>16</v>
      </c>
      <c r="H1946">
        <v>887</v>
      </c>
      <c r="I1946">
        <v>1300000</v>
      </c>
      <c r="J1946">
        <v>4900000</v>
      </c>
      <c r="K1946">
        <v>13200000</v>
      </c>
      <c r="L1946">
        <v>6700000</v>
      </c>
      <c r="M1946" t="s">
        <v>34</v>
      </c>
      <c r="N1946">
        <f t="shared" si="181"/>
        <v>1</v>
      </c>
      <c r="O1946" t="str">
        <f t="shared" si="180"/>
        <v>Excellent</v>
      </c>
      <c r="P1946" t="str">
        <f t="shared" si="182"/>
        <v>High</v>
      </c>
      <c r="Q1946" t="str">
        <f t="shared" si="183"/>
        <v>Low Loan</v>
      </c>
      <c r="R1946">
        <f t="shared" si="184"/>
        <v>26100000</v>
      </c>
      <c r="S1946" t="str">
        <f t="shared" si="185"/>
        <v>Strong</v>
      </c>
    </row>
    <row r="1947" spans="1:19" x14ac:dyDescent="0.25">
      <c r="A1947">
        <v>1946</v>
      </c>
      <c r="B1947">
        <v>0</v>
      </c>
      <c r="C1947" t="s">
        <v>31</v>
      </c>
      <c r="D1947" t="s">
        <v>32</v>
      </c>
      <c r="E1947">
        <v>7300000</v>
      </c>
      <c r="F1947">
        <v>21600000</v>
      </c>
      <c r="G1947">
        <v>2</v>
      </c>
      <c r="H1947">
        <v>479</v>
      </c>
      <c r="I1947">
        <v>17900000</v>
      </c>
      <c r="J1947">
        <v>12300000</v>
      </c>
      <c r="K1947">
        <v>15900000</v>
      </c>
      <c r="L1947">
        <v>7500000</v>
      </c>
      <c r="M1947" t="s">
        <v>35</v>
      </c>
      <c r="N1947">
        <f t="shared" si="181"/>
        <v>0</v>
      </c>
      <c r="O1947" t="str">
        <f t="shared" si="180"/>
        <v>Low</v>
      </c>
      <c r="P1947" t="str">
        <f t="shared" si="182"/>
        <v>High</v>
      </c>
      <c r="Q1947" t="str">
        <f t="shared" si="183"/>
        <v>High Loan</v>
      </c>
      <c r="R1947">
        <f t="shared" si="184"/>
        <v>53600000</v>
      </c>
      <c r="S1947" t="str">
        <f t="shared" si="185"/>
        <v>Strong</v>
      </c>
    </row>
    <row r="1948" spans="1:19" x14ac:dyDescent="0.25">
      <c r="A1948">
        <v>1947</v>
      </c>
      <c r="B1948">
        <v>2</v>
      </c>
      <c r="C1948" t="s">
        <v>30</v>
      </c>
      <c r="D1948" t="s">
        <v>32</v>
      </c>
      <c r="E1948">
        <v>8400000</v>
      </c>
      <c r="F1948">
        <v>32100000</v>
      </c>
      <c r="G1948">
        <v>20</v>
      </c>
      <c r="H1948">
        <v>328</v>
      </c>
      <c r="I1948">
        <v>16300000</v>
      </c>
      <c r="J1948">
        <v>4600000</v>
      </c>
      <c r="K1948">
        <v>19500000</v>
      </c>
      <c r="L1948">
        <v>8000000</v>
      </c>
      <c r="M1948" t="s">
        <v>35</v>
      </c>
      <c r="N1948">
        <f t="shared" si="181"/>
        <v>0</v>
      </c>
      <c r="O1948" t="str">
        <f t="shared" si="180"/>
        <v>Low</v>
      </c>
      <c r="P1948" t="str">
        <f t="shared" si="182"/>
        <v>High</v>
      </c>
      <c r="Q1948" t="str">
        <f t="shared" si="183"/>
        <v>High Loan</v>
      </c>
      <c r="R1948">
        <f t="shared" si="184"/>
        <v>48400000</v>
      </c>
      <c r="S1948" t="str">
        <f t="shared" si="185"/>
        <v>Strong</v>
      </c>
    </row>
    <row r="1949" spans="1:19" x14ac:dyDescent="0.25">
      <c r="A1949">
        <v>1948</v>
      </c>
      <c r="B1949">
        <v>2</v>
      </c>
      <c r="C1949" t="s">
        <v>30</v>
      </c>
      <c r="D1949" t="s">
        <v>33</v>
      </c>
      <c r="E1949">
        <v>4800000</v>
      </c>
      <c r="F1949">
        <v>12900000</v>
      </c>
      <c r="G1949">
        <v>8</v>
      </c>
      <c r="H1949">
        <v>740</v>
      </c>
      <c r="I1949">
        <v>9300000</v>
      </c>
      <c r="J1949">
        <v>900000</v>
      </c>
      <c r="K1949">
        <v>11000000</v>
      </c>
      <c r="L1949">
        <v>3700000</v>
      </c>
      <c r="M1949" t="s">
        <v>34</v>
      </c>
      <c r="N1949">
        <f t="shared" si="181"/>
        <v>1</v>
      </c>
      <c r="O1949" t="str">
        <f t="shared" si="180"/>
        <v>Good</v>
      </c>
      <c r="P1949" t="str">
        <f t="shared" si="182"/>
        <v>High</v>
      </c>
      <c r="Q1949" t="str">
        <f t="shared" si="183"/>
        <v>Low Loan</v>
      </c>
      <c r="R1949">
        <f t="shared" si="184"/>
        <v>24900000</v>
      </c>
      <c r="S1949" t="str">
        <f t="shared" si="185"/>
        <v>Strong</v>
      </c>
    </row>
    <row r="1950" spans="1:19" x14ac:dyDescent="0.25">
      <c r="A1950">
        <v>1949</v>
      </c>
      <c r="B1950">
        <v>2</v>
      </c>
      <c r="C1950" t="s">
        <v>30</v>
      </c>
      <c r="D1950" t="s">
        <v>32</v>
      </c>
      <c r="E1950">
        <v>9200000</v>
      </c>
      <c r="F1950">
        <v>34200000</v>
      </c>
      <c r="G1950">
        <v>2</v>
      </c>
      <c r="H1950">
        <v>456</v>
      </c>
      <c r="I1950">
        <v>12200000</v>
      </c>
      <c r="J1950">
        <v>11300000</v>
      </c>
      <c r="K1950">
        <v>25800000</v>
      </c>
      <c r="L1950">
        <v>5700000</v>
      </c>
      <c r="M1950" t="s">
        <v>34</v>
      </c>
      <c r="N1950">
        <f t="shared" si="181"/>
        <v>1</v>
      </c>
      <c r="O1950" t="str">
        <f t="shared" si="180"/>
        <v>Low</v>
      </c>
      <c r="P1950" t="str">
        <f t="shared" si="182"/>
        <v>High</v>
      </c>
      <c r="Q1950" t="str">
        <f t="shared" si="183"/>
        <v>High Loan</v>
      </c>
      <c r="R1950">
        <f t="shared" si="184"/>
        <v>55000000</v>
      </c>
      <c r="S1950" t="str">
        <f t="shared" si="185"/>
        <v>Strong</v>
      </c>
    </row>
    <row r="1951" spans="1:19" x14ac:dyDescent="0.25">
      <c r="A1951">
        <v>1950</v>
      </c>
      <c r="B1951">
        <v>1</v>
      </c>
      <c r="C1951" t="s">
        <v>31</v>
      </c>
      <c r="D1951" t="s">
        <v>32</v>
      </c>
      <c r="E1951">
        <v>6200000</v>
      </c>
      <c r="F1951">
        <v>21100000</v>
      </c>
      <c r="G1951">
        <v>10</v>
      </c>
      <c r="H1951">
        <v>467</v>
      </c>
      <c r="I1951">
        <v>15600000</v>
      </c>
      <c r="J1951">
        <v>10500000</v>
      </c>
      <c r="K1951">
        <v>23500000</v>
      </c>
      <c r="L1951">
        <v>5300000</v>
      </c>
      <c r="M1951" t="s">
        <v>35</v>
      </c>
      <c r="N1951">
        <f t="shared" si="181"/>
        <v>0</v>
      </c>
      <c r="O1951" t="str">
        <f t="shared" si="180"/>
        <v>Low</v>
      </c>
      <c r="P1951" t="str">
        <f t="shared" si="182"/>
        <v>High</v>
      </c>
      <c r="Q1951" t="str">
        <f t="shared" si="183"/>
        <v>High Loan</v>
      </c>
      <c r="R1951">
        <f t="shared" si="184"/>
        <v>54900000</v>
      </c>
      <c r="S1951" t="str">
        <f t="shared" si="185"/>
        <v>Strong</v>
      </c>
    </row>
    <row r="1952" spans="1:19" x14ac:dyDescent="0.25">
      <c r="A1952">
        <v>1951</v>
      </c>
      <c r="B1952">
        <v>0</v>
      </c>
      <c r="C1952" t="s">
        <v>30</v>
      </c>
      <c r="D1952" t="s">
        <v>33</v>
      </c>
      <c r="E1952">
        <v>200000</v>
      </c>
      <c r="F1952">
        <v>700000</v>
      </c>
      <c r="G1952">
        <v>10</v>
      </c>
      <c r="H1952">
        <v>587</v>
      </c>
      <c r="I1952">
        <v>-100000</v>
      </c>
      <c r="J1952">
        <v>100000</v>
      </c>
      <c r="K1952">
        <v>500000</v>
      </c>
      <c r="L1952">
        <v>100000</v>
      </c>
      <c r="M1952" t="s">
        <v>35</v>
      </c>
      <c r="N1952">
        <f t="shared" si="181"/>
        <v>0</v>
      </c>
      <c r="O1952" t="str">
        <f t="shared" si="180"/>
        <v>Low</v>
      </c>
      <c r="P1952" t="str">
        <f t="shared" si="182"/>
        <v>Low</v>
      </c>
      <c r="Q1952" t="str">
        <f t="shared" si="183"/>
        <v>Low Loan</v>
      </c>
      <c r="R1952">
        <f t="shared" si="184"/>
        <v>600000</v>
      </c>
      <c r="S1952" t="str">
        <f t="shared" si="185"/>
        <v>Weak</v>
      </c>
    </row>
    <row r="1953" spans="1:19" x14ac:dyDescent="0.25">
      <c r="A1953">
        <v>1952</v>
      </c>
      <c r="B1953">
        <v>0</v>
      </c>
      <c r="C1953" t="s">
        <v>31</v>
      </c>
      <c r="D1953" t="s">
        <v>33</v>
      </c>
      <c r="E1953">
        <v>2500000</v>
      </c>
      <c r="F1953">
        <v>6700000</v>
      </c>
      <c r="G1953">
        <v>16</v>
      </c>
      <c r="H1953">
        <v>569</v>
      </c>
      <c r="I1953">
        <v>4500000</v>
      </c>
      <c r="J1953">
        <v>3400000</v>
      </c>
      <c r="K1953">
        <v>6200000</v>
      </c>
      <c r="L1953">
        <v>1300000</v>
      </c>
      <c r="M1953" t="s">
        <v>34</v>
      </c>
      <c r="N1953">
        <f t="shared" si="181"/>
        <v>1</v>
      </c>
      <c r="O1953" t="str">
        <f t="shared" si="180"/>
        <v>Low</v>
      </c>
      <c r="P1953" t="str">
        <f t="shared" si="182"/>
        <v>High</v>
      </c>
      <c r="Q1953" t="str">
        <f t="shared" si="183"/>
        <v>Low Loan</v>
      </c>
      <c r="R1953">
        <f t="shared" si="184"/>
        <v>15400000</v>
      </c>
      <c r="S1953" t="str">
        <f t="shared" si="185"/>
        <v>Strong</v>
      </c>
    </row>
    <row r="1954" spans="1:19" x14ac:dyDescent="0.25">
      <c r="A1954">
        <v>1953</v>
      </c>
      <c r="B1954">
        <v>3</v>
      </c>
      <c r="C1954" t="s">
        <v>31</v>
      </c>
      <c r="D1954" t="s">
        <v>33</v>
      </c>
      <c r="E1954">
        <v>8000000</v>
      </c>
      <c r="F1954">
        <v>24400000</v>
      </c>
      <c r="G1954">
        <v>14</v>
      </c>
      <c r="H1954">
        <v>399</v>
      </c>
      <c r="I1954">
        <v>19100000</v>
      </c>
      <c r="J1954">
        <v>5400000</v>
      </c>
      <c r="K1954">
        <v>20600000</v>
      </c>
      <c r="L1954">
        <v>11600000</v>
      </c>
      <c r="M1954" t="s">
        <v>35</v>
      </c>
      <c r="N1954">
        <f t="shared" si="181"/>
        <v>0</v>
      </c>
      <c r="O1954" t="str">
        <f t="shared" si="180"/>
        <v>Low</v>
      </c>
      <c r="P1954" t="str">
        <f t="shared" si="182"/>
        <v>High</v>
      </c>
      <c r="Q1954" t="str">
        <f t="shared" si="183"/>
        <v>High Loan</v>
      </c>
      <c r="R1954">
        <f t="shared" si="184"/>
        <v>56700000</v>
      </c>
      <c r="S1954" t="str">
        <f t="shared" si="185"/>
        <v>Strong</v>
      </c>
    </row>
    <row r="1955" spans="1:19" x14ac:dyDescent="0.25">
      <c r="A1955">
        <v>1954</v>
      </c>
      <c r="B1955">
        <v>1</v>
      </c>
      <c r="C1955" t="s">
        <v>31</v>
      </c>
      <c r="D1955" t="s">
        <v>32</v>
      </c>
      <c r="E1955">
        <v>4600000</v>
      </c>
      <c r="F1955">
        <v>15200000</v>
      </c>
      <c r="G1955">
        <v>4</v>
      </c>
      <c r="H1955">
        <v>593</v>
      </c>
      <c r="I1955">
        <v>13800000</v>
      </c>
      <c r="J1955">
        <v>3800000</v>
      </c>
      <c r="K1955">
        <v>11700000</v>
      </c>
      <c r="L1955">
        <v>3900000</v>
      </c>
      <c r="M1955" t="s">
        <v>34</v>
      </c>
      <c r="N1955">
        <f t="shared" si="181"/>
        <v>1</v>
      </c>
      <c r="O1955" t="str">
        <f t="shared" si="180"/>
        <v>Low</v>
      </c>
      <c r="P1955" t="str">
        <f t="shared" si="182"/>
        <v>High</v>
      </c>
      <c r="Q1955" t="str">
        <f t="shared" si="183"/>
        <v>Low Loan</v>
      </c>
      <c r="R1955">
        <f t="shared" si="184"/>
        <v>33200000</v>
      </c>
      <c r="S1955" t="str">
        <f t="shared" si="185"/>
        <v>Strong</v>
      </c>
    </row>
    <row r="1956" spans="1:19" x14ac:dyDescent="0.25">
      <c r="A1956">
        <v>1955</v>
      </c>
      <c r="B1956">
        <v>3</v>
      </c>
      <c r="C1956" t="s">
        <v>31</v>
      </c>
      <c r="D1956" t="s">
        <v>33</v>
      </c>
      <c r="E1956">
        <v>4900000</v>
      </c>
      <c r="F1956">
        <v>12700000</v>
      </c>
      <c r="G1956">
        <v>8</v>
      </c>
      <c r="H1956">
        <v>409</v>
      </c>
      <c r="I1956">
        <v>2000000</v>
      </c>
      <c r="J1956">
        <v>2500000</v>
      </c>
      <c r="K1956">
        <v>19300000</v>
      </c>
      <c r="L1956">
        <v>4700000</v>
      </c>
      <c r="M1956" t="s">
        <v>35</v>
      </c>
      <c r="N1956">
        <f t="shared" si="181"/>
        <v>0</v>
      </c>
      <c r="O1956" t="str">
        <f t="shared" si="180"/>
        <v>Low</v>
      </c>
      <c r="P1956" t="str">
        <f t="shared" si="182"/>
        <v>High</v>
      </c>
      <c r="Q1956" t="str">
        <f t="shared" si="183"/>
        <v>Low Loan</v>
      </c>
      <c r="R1956">
        <f t="shared" si="184"/>
        <v>28500000</v>
      </c>
      <c r="S1956" t="str">
        <f t="shared" si="185"/>
        <v>Strong</v>
      </c>
    </row>
    <row r="1957" spans="1:19" x14ac:dyDescent="0.25">
      <c r="A1957">
        <v>1956</v>
      </c>
      <c r="B1957">
        <v>4</v>
      </c>
      <c r="C1957" t="s">
        <v>31</v>
      </c>
      <c r="D1957" t="s">
        <v>32</v>
      </c>
      <c r="E1957">
        <v>9500000</v>
      </c>
      <c r="F1957">
        <v>21300000</v>
      </c>
      <c r="G1957">
        <v>18</v>
      </c>
      <c r="H1957">
        <v>353</v>
      </c>
      <c r="I1957">
        <v>22900000</v>
      </c>
      <c r="J1957">
        <v>2300000</v>
      </c>
      <c r="K1957">
        <v>21400000</v>
      </c>
      <c r="L1957">
        <v>11100000</v>
      </c>
      <c r="M1957" t="s">
        <v>35</v>
      </c>
      <c r="N1957">
        <f t="shared" si="181"/>
        <v>0</v>
      </c>
      <c r="O1957" t="str">
        <f t="shared" si="180"/>
        <v>Low</v>
      </c>
      <c r="P1957" t="str">
        <f t="shared" si="182"/>
        <v>High</v>
      </c>
      <c r="Q1957" t="str">
        <f t="shared" si="183"/>
        <v>High Loan</v>
      </c>
      <c r="R1957">
        <f t="shared" si="184"/>
        <v>57700000</v>
      </c>
      <c r="S1957" t="str">
        <f t="shared" si="185"/>
        <v>Strong</v>
      </c>
    </row>
    <row r="1958" spans="1:19" x14ac:dyDescent="0.25">
      <c r="A1958">
        <v>1957</v>
      </c>
      <c r="B1958">
        <v>5</v>
      </c>
      <c r="C1958" t="s">
        <v>30</v>
      </c>
      <c r="D1958" t="s">
        <v>33</v>
      </c>
      <c r="E1958">
        <v>4500000</v>
      </c>
      <c r="F1958">
        <v>11600000</v>
      </c>
      <c r="G1958">
        <v>20</v>
      </c>
      <c r="H1958">
        <v>306</v>
      </c>
      <c r="I1958">
        <v>4800000</v>
      </c>
      <c r="J1958">
        <v>1900000</v>
      </c>
      <c r="K1958">
        <v>11900000</v>
      </c>
      <c r="L1958">
        <v>5700000</v>
      </c>
      <c r="M1958" t="s">
        <v>35</v>
      </c>
      <c r="N1958">
        <f t="shared" si="181"/>
        <v>0</v>
      </c>
      <c r="O1958" t="str">
        <f t="shared" si="180"/>
        <v>Low</v>
      </c>
      <c r="P1958" t="str">
        <f t="shared" si="182"/>
        <v>High</v>
      </c>
      <c r="Q1958" t="str">
        <f t="shared" si="183"/>
        <v>Low Loan</v>
      </c>
      <c r="R1958">
        <f t="shared" si="184"/>
        <v>24300000</v>
      </c>
      <c r="S1958" t="str">
        <f t="shared" si="185"/>
        <v>Strong</v>
      </c>
    </row>
    <row r="1959" spans="1:19" x14ac:dyDescent="0.25">
      <c r="A1959">
        <v>1958</v>
      </c>
      <c r="B1959">
        <v>2</v>
      </c>
      <c r="C1959" t="s">
        <v>30</v>
      </c>
      <c r="D1959" t="s">
        <v>33</v>
      </c>
      <c r="E1959">
        <v>5900000</v>
      </c>
      <c r="F1959">
        <v>14200000</v>
      </c>
      <c r="G1959">
        <v>12</v>
      </c>
      <c r="H1959">
        <v>499</v>
      </c>
      <c r="I1959">
        <v>9200000</v>
      </c>
      <c r="J1959">
        <v>11600000</v>
      </c>
      <c r="K1959">
        <v>20200000</v>
      </c>
      <c r="L1959">
        <v>4400000</v>
      </c>
      <c r="M1959" t="s">
        <v>35</v>
      </c>
      <c r="N1959">
        <f t="shared" si="181"/>
        <v>0</v>
      </c>
      <c r="O1959" t="str">
        <f t="shared" si="180"/>
        <v>Low</v>
      </c>
      <c r="P1959" t="str">
        <f t="shared" si="182"/>
        <v>High</v>
      </c>
      <c r="Q1959" t="str">
        <f t="shared" si="183"/>
        <v>Low Loan</v>
      </c>
      <c r="R1959">
        <f t="shared" si="184"/>
        <v>45400000</v>
      </c>
      <c r="S1959" t="str">
        <f t="shared" si="185"/>
        <v>Strong</v>
      </c>
    </row>
    <row r="1960" spans="1:19" x14ac:dyDescent="0.25">
      <c r="A1960">
        <v>1959</v>
      </c>
      <c r="B1960">
        <v>4</v>
      </c>
      <c r="C1960" t="s">
        <v>30</v>
      </c>
      <c r="D1960" t="s">
        <v>32</v>
      </c>
      <c r="E1960">
        <v>4200000</v>
      </c>
      <c r="F1960">
        <v>14600000</v>
      </c>
      <c r="G1960">
        <v>6</v>
      </c>
      <c r="H1960">
        <v>324</v>
      </c>
      <c r="I1960">
        <v>6300000</v>
      </c>
      <c r="J1960">
        <v>5900000</v>
      </c>
      <c r="K1960">
        <v>11700000</v>
      </c>
      <c r="L1960">
        <v>3000000</v>
      </c>
      <c r="M1960" t="s">
        <v>35</v>
      </c>
      <c r="N1960">
        <f t="shared" si="181"/>
        <v>0</v>
      </c>
      <c r="O1960" t="str">
        <f t="shared" si="180"/>
        <v>Low</v>
      </c>
      <c r="P1960" t="str">
        <f t="shared" si="182"/>
        <v>High</v>
      </c>
      <c r="Q1960" t="str">
        <f t="shared" si="183"/>
        <v>Low Loan</v>
      </c>
      <c r="R1960">
        <f t="shared" si="184"/>
        <v>26900000</v>
      </c>
      <c r="S1960" t="str">
        <f t="shared" si="185"/>
        <v>Strong</v>
      </c>
    </row>
    <row r="1961" spans="1:19" x14ac:dyDescent="0.25">
      <c r="A1961">
        <v>1960</v>
      </c>
      <c r="B1961">
        <v>2</v>
      </c>
      <c r="C1961" t="s">
        <v>31</v>
      </c>
      <c r="D1961" t="s">
        <v>33</v>
      </c>
      <c r="E1961">
        <v>3300000</v>
      </c>
      <c r="F1961">
        <v>11300000</v>
      </c>
      <c r="G1961">
        <v>6</v>
      </c>
      <c r="H1961">
        <v>647</v>
      </c>
      <c r="I1961">
        <v>5100000</v>
      </c>
      <c r="J1961">
        <v>6000000</v>
      </c>
      <c r="K1961">
        <v>12800000</v>
      </c>
      <c r="L1961">
        <v>4400000</v>
      </c>
      <c r="M1961" t="s">
        <v>34</v>
      </c>
      <c r="N1961">
        <f t="shared" si="181"/>
        <v>1</v>
      </c>
      <c r="O1961" t="str">
        <f t="shared" si="180"/>
        <v>Low</v>
      </c>
      <c r="P1961" t="str">
        <f t="shared" si="182"/>
        <v>High</v>
      </c>
      <c r="Q1961" t="str">
        <f t="shared" si="183"/>
        <v>Low Loan</v>
      </c>
      <c r="R1961">
        <f t="shared" si="184"/>
        <v>28300000</v>
      </c>
      <c r="S1961" t="str">
        <f t="shared" si="185"/>
        <v>Strong</v>
      </c>
    </row>
    <row r="1962" spans="1:19" x14ac:dyDescent="0.25">
      <c r="A1962">
        <v>1961</v>
      </c>
      <c r="B1962">
        <v>2</v>
      </c>
      <c r="C1962" t="s">
        <v>30</v>
      </c>
      <c r="D1962" t="s">
        <v>33</v>
      </c>
      <c r="E1962">
        <v>4900000</v>
      </c>
      <c r="F1962">
        <v>12600000</v>
      </c>
      <c r="G1962">
        <v>2</v>
      </c>
      <c r="H1962">
        <v>767</v>
      </c>
      <c r="I1962">
        <v>1100000</v>
      </c>
      <c r="J1962">
        <v>7400000</v>
      </c>
      <c r="K1962">
        <v>13000000</v>
      </c>
      <c r="L1962">
        <v>3800000</v>
      </c>
      <c r="M1962" t="s">
        <v>34</v>
      </c>
      <c r="N1962">
        <f t="shared" si="181"/>
        <v>1</v>
      </c>
      <c r="O1962" t="str">
        <f t="shared" si="180"/>
        <v>Excellent</v>
      </c>
      <c r="P1962" t="str">
        <f t="shared" si="182"/>
        <v>High</v>
      </c>
      <c r="Q1962" t="str">
        <f t="shared" si="183"/>
        <v>Low Loan</v>
      </c>
      <c r="R1962">
        <f t="shared" si="184"/>
        <v>25300000</v>
      </c>
      <c r="S1962" t="str">
        <f t="shared" si="185"/>
        <v>Strong</v>
      </c>
    </row>
    <row r="1963" spans="1:19" x14ac:dyDescent="0.25">
      <c r="A1963">
        <v>1962</v>
      </c>
      <c r="B1963">
        <v>4</v>
      </c>
      <c r="C1963" t="s">
        <v>31</v>
      </c>
      <c r="D1963" t="s">
        <v>32</v>
      </c>
      <c r="E1963">
        <v>5300000</v>
      </c>
      <c r="F1963">
        <v>10700000</v>
      </c>
      <c r="G1963">
        <v>12</v>
      </c>
      <c r="H1963">
        <v>821</v>
      </c>
      <c r="I1963">
        <v>15400000</v>
      </c>
      <c r="J1963">
        <v>10200000</v>
      </c>
      <c r="K1963">
        <v>17600000</v>
      </c>
      <c r="L1963">
        <v>2600000</v>
      </c>
      <c r="M1963" t="s">
        <v>34</v>
      </c>
      <c r="N1963">
        <f t="shared" si="181"/>
        <v>1</v>
      </c>
      <c r="O1963" t="str">
        <f t="shared" si="180"/>
        <v>Excellent</v>
      </c>
      <c r="P1963" t="str">
        <f t="shared" si="182"/>
        <v>High</v>
      </c>
      <c r="Q1963" t="str">
        <f t="shared" si="183"/>
        <v>Low Loan</v>
      </c>
      <c r="R1963">
        <f t="shared" si="184"/>
        <v>45800000</v>
      </c>
      <c r="S1963" t="str">
        <f t="shared" si="185"/>
        <v>Strong</v>
      </c>
    </row>
    <row r="1964" spans="1:19" x14ac:dyDescent="0.25">
      <c r="A1964">
        <v>1963</v>
      </c>
      <c r="B1964">
        <v>4</v>
      </c>
      <c r="C1964" t="s">
        <v>31</v>
      </c>
      <c r="D1964" t="s">
        <v>32</v>
      </c>
      <c r="E1964">
        <v>7200000</v>
      </c>
      <c r="F1964">
        <v>17700000</v>
      </c>
      <c r="G1964">
        <v>6</v>
      </c>
      <c r="H1964">
        <v>338</v>
      </c>
      <c r="I1964">
        <v>9900000</v>
      </c>
      <c r="J1964">
        <v>9300000</v>
      </c>
      <c r="K1964">
        <v>27800000</v>
      </c>
      <c r="L1964">
        <v>7200000</v>
      </c>
      <c r="M1964" t="s">
        <v>35</v>
      </c>
      <c r="N1964">
        <f t="shared" si="181"/>
        <v>0</v>
      </c>
      <c r="O1964" t="str">
        <f t="shared" si="180"/>
        <v>Low</v>
      </c>
      <c r="P1964" t="str">
        <f t="shared" si="182"/>
        <v>High</v>
      </c>
      <c r="Q1964" t="str">
        <f t="shared" si="183"/>
        <v>Low Loan</v>
      </c>
      <c r="R1964">
        <f t="shared" si="184"/>
        <v>54200000</v>
      </c>
      <c r="S1964" t="str">
        <f t="shared" si="185"/>
        <v>Strong</v>
      </c>
    </row>
    <row r="1965" spans="1:19" x14ac:dyDescent="0.25">
      <c r="A1965">
        <v>1964</v>
      </c>
      <c r="B1965">
        <v>0</v>
      </c>
      <c r="C1965" t="s">
        <v>30</v>
      </c>
      <c r="D1965" t="s">
        <v>32</v>
      </c>
      <c r="E1965">
        <v>8400000</v>
      </c>
      <c r="F1965">
        <v>24300000</v>
      </c>
      <c r="G1965">
        <v>4</v>
      </c>
      <c r="H1965">
        <v>785</v>
      </c>
      <c r="I1965">
        <v>11900000</v>
      </c>
      <c r="J1965">
        <v>10100000</v>
      </c>
      <c r="K1965">
        <v>26600000</v>
      </c>
      <c r="L1965">
        <v>8500000</v>
      </c>
      <c r="M1965" t="s">
        <v>34</v>
      </c>
      <c r="N1965">
        <f t="shared" si="181"/>
        <v>1</v>
      </c>
      <c r="O1965" t="str">
        <f t="shared" si="180"/>
        <v>Excellent</v>
      </c>
      <c r="P1965" t="str">
        <f t="shared" si="182"/>
        <v>High</v>
      </c>
      <c r="Q1965" t="str">
        <f t="shared" si="183"/>
        <v>High Loan</v>
      </c>
      <c r="R1965">
        <f t="shared" si="184"/>
        <v>57100000</v>
      </c>
      <c r="S1965" t="str">
        <f t="shared" si="185"/>
        <v>Strong</v>
      </c>
    </row>
    <row r="1966" spans="1:19" x14ac:dyDescent="0.25">
      <c r="A1966">
        <v>1965</v>
      </c>
      <c r="B1966">
        <v>3</v>
      </c>
      <c r="C1966" t="s">
        <v>30</v>
      </c>
      <c r="D1966" t="s">
        <v>32</v>
      </c>
      <c r="E1966">
        <v>3800000</v>
      </c>
      <c r="F1966">
        <v>11800000</v>
      </c>
      <c r="G1966">
        <v>4</v>
      </c>
      <c r="H1966">
        <v>694</v>
      </c>
      <c r="I1966">
        <v>0</v>
      </c>
      <c r="J1966">
        <v>500000</v>
      </c>
      <c r="K1966">
        <v>8300000</v>
      </c>
      <c r="L1966">
        <v>5100000</v>
      </c>
      <c r="M1966" t="s">
        <v>34</v>
      </c>
      <c r="N1966">
        <f t="shared" si="181"/>
        <v>1</v>
      </c>
      <c r="O1966" t="str">
        <f t="shared" si="180"/>
        <v>Medium</v>
      </c>
      <c r="P1966" t="str">
        <f t="shared" si="182"/>
        <v>High</v>
      </c>
      <c r="Q1966" t="str">
        <f t="shared" si="183"/>
        <v>Low Loan</v>
      </c>
      <c r="R1966">
        <f t="shared" si="184"/>
        <v>13900000</v>
      </c>
      <c r="S1966" t="str">
        <f t="shared" si="185"/>
        <v>Strong</v>
      </c>
    </row>
    <row r="1967" spans="1:19" x14ac:dyDescent="0.25">
      <c r="A1967">
        <v>1966</v>
      </c>
      <c r="B1967">
        <v>0</v>
      </c>
      <c r="C1967" t="s">
        <v>31</v>
      </c>
      <c r="D1967" t="s">
        <v>32</v>
      </c>
      <c r="E1967">
        <v>9900000</v>
      </c>
      <c r="F1967">
        <v>22300000</v>
      </c>
      <c r="G1967">
        <v>20</v>
      </c>
      <c r="H1967">
        <v>613</v>
      </c>
      <c r="I1967">
        <v>28400000</v>
      </c>
      <c r="J1967">
        <v>8900000</v>
      </c>
      <c r="K1967">
        <v>23600000</v>
      </c>
      <c r="L1967">
        <v>4900000</v>
      </c>
      <c r="M1967" t="s">
        <v>34</v>
      </c>
      <c r="N1967">
        <f t="shared" si="181"/>
        <v>1</v>
      </c>
      <c r="O1967" t="str">
        <f t="shared" si="180"/>
        <v>Low</v>
      </c>
      <c r="P1967" t="str">
        <f t="shared" si="182"/>
        <v>High</v>
      </c>
      <c r="Q1967" t="str">
        <f t="shared" si="183"/>
        <v>High Loan</v>
      </c>
      <c r="R1967">
        <f t="shared" si="184"/>
        <v>65800000</v>
      </c>
      <c r="S1967" t="str">
        <f t="shared" si="185"/>
        <v>Strong</v>
      </c>
    </row>
    <row r="1968" spans="1:19" x14ac:dyDescent="0.25">
      <c r="A1968">
        <v>1967</v>
      </c>
      <c r="B1968">
        <v>4</v>
      </c>
      <c r="C1968" t="s">
        <v>30</v>
      </c>
      <c r="D1968" t="s">
        <v>33</v>
      </c>
      <c r="E1968">
        <v>2900000</v>
      </c>
      <c r="F1968">
        <v>8300000</v>
      </c>
      <c r="G1968">
        <v>10</v>
      </c>
      <c r="H1968">
        <v>318</v>
      </c>
      <c r="I1968">
        <v>8700000</v>
      </c>
      <c r="J1968">
        <v>4100000</v>
      </c>
      <c r="K1968">
        <v>10900000</v>
      </c>
      <c r="L1968">
        <v>2100000</v>
      </c>
      <c r="M1968" t="s">
        <v>35</v>
      </c>
      <c r="N1968">
        <f t="shared" si="181"/>
        <v>0</v>
      </c>
      <c r="O1968" t="str">
        <f t="shared" si="180"/>
        <v>Low</v>
      </c>
      <c r="P1968" t="str">
        <f t="shared" si="182"/>
        <v>High</v>
      </c>
      <c r="Q1968" t="str">
        <f t="shared" si="183"/>
        <v>Low Loan</v>
      </c>
      <c r="R1968">
        <f t="shared" si="184"/>
        <v>25800000</v>
      </c>
      <c r="S1968" t="str">
        <f t="shared" si="185"/>
        <v>Strong</v>
      </c>
    </row>
    <row r="1969" spans="1:19" x14ac:dyDescent="0.25">
      <c r="A1969">
        <v>1968</v>
      </c>
      <c r="B1969">
        <v>3</v>
      </c>
      <c r="C1969" t="s">
        <v>31</v>
      </c>
      <c r="D1969" t="s">
        <v>33</v>
      </c>
      <c r="E1969">
        <v>6000000</v>
      </c>
      <c r="F1969">
        <v>18700000</v>
      </c>
      <c r="G1969">
        <v>18</v>
      </c>
      <c r="H1969">
        <v>783</v>
      </c>
      <c r="I1969">
        <v>2800000</v>
      </c>
      <c r="J1969">
        <v>8500000</v>
      </c>
      <c r="K1969">
        <v>20300000</v>
      </c>
      <c r="L1969">
        <v>8800000</v>
      </c>
      <c r="M1969" t="s">
        <v>34</v>
      </c>
      <c r="N1969">
        <f t="shared" si="181"/>
        <v>1</v>
      </c>
      <c r="O1969" t="str">
        <f t="shared" si="180"/>
        <v>Excellent</v>
      </c>
      <c r="P1969" t="str">
        <f t="shared" si="182"/>
        <v>High</v>
      </c>
      <c r="Q1969" t="str">
        <f t="shared" si="183"/>
        <v>Low Loan</v>
      </c>
      <c r="R1969">
        <f t="shared" si="184"/>
        <v>40400000</v>
      </c>
      <c r="S1969" t="str">
        <f t="shared" si="185"/>
        <v>Strong</v>
      </c>
    </row>
    <row r="1970" spans="1:19" x14ac:dyDescent="0.25">
      <c r="A1970">
        <v>1969</v>
      </c>
      <c r="B1970">
        <v>2</v>
      </c>
      <c r="C1970" t="s">
        <v>31</v>
      </c>
      <c r="D1970" t="s">
        <v>32</v>
      </c>
      <c r="E1970">
        <v>1700000</v>
      </c>
      <c r="F1970">
        <v>5300000</v>
      </c>
      <c r="G1970">
        <v>20</v>
      </c>
      <c r="H1970">
        <v>761</v>
      </c>
      <c r="I1970">
        <v>2500000</v>
      </c>
      <c r="J1970">
        <v>500000</v>
      </c>
      <c r="K1970">
        <v>3700000</v>
      </c>
      <c r="L1970">
        <v>1200000</v>
      </c>
      <c r="M1970" t="s">
        <v>34</v>
      </c>
      <c r="N1970">
        <f t="shared" si="181"/>
        <v>1</v>
      </c>
      <c r="O1970" t="str">
        <f t="shared" si="180"/>
        <v>Excellent</v>
      </c>
      <c r="P1970" t="str">
        <f t="shared" si="182"/>
        <v>High</v>
      </c>
      <c r="Q1970" t="str">
        <f t="shared" si="183"/>
        <v>Low Loan</v>
      </c>
      <c r="R1970">
        <f t="shared" si="184"/>
        <v>7900000</v>
      </c>
      <c r="S1970" t="str">
        <f t="shared" si="185"/>
        <v>Moderate</v>
      </c>
    </row>
    <row r="1971" spans="1:19" x14ac:dyDescent="0.25">
      <c r="A1971">
        <v>1970</v>
      </c>
      <c r="B1971">
        <v>4</v>
      </c>
      <c r="C1971" t="s">
        <v>30</v>
      </c>
      <c r="D1971" t="s">
        <v>33</v>
      </c>
      <c r="E1971">
        <v>5300000</v>
      </c>
      <c r="F1971">
        <v>12000000</v>
      </c>
      <c r="G1971">
        <v>10</v>
      </c>
      <c r="H1971">
        <v>329</v>
      </c>
      <c r="I1971">
        <v>15300000</v>
      </c>
      <c r="J1971">
        <v>9300000</v>
      </c>
      <c r="K1971">
        <v>17300000</v>
      </c>
      <c r="L1971">
        <v>6100000</v>
      </c>
      <c r="M1971" t="s">
        <v>35</v>
      </c>
      <c r="N1971">
        <f t="shared" si="181"/>
        <v>0</v>
      </c>
      <c r="O1971" t="str">
        <f t="shared" si="180"/>
        <v>Low</v>
      </c>
      <c r="P1971" t="str">
        <f t="shared" si="182"/>
        <v>High</v>
      </c>
      <c r="Q1971" t="str">
        <f t="shared" si="183"/>
        <v>Low Loan</v>
      </c>
      <c r="R1971">
        <f t="shared" si="184"/>
        <v>48000000</v>
      </c>
      <c r="S1971" t="str">
        <f t="shared" si="185"/>
        <v>Strong</v>
      </c>
    </row>
    <row r="1972" spans="1:19" x14ac:dyDescent="0.25">
      <c r="A1972">
        <v>1971</v>
      </c>
      <c r="B1972">
        <v>5</v>
      </c>
      <c r="C1972" t="s">
        <v>31</v>
      </c>
      <c r="D1972" t="s">
        <v>33</v>
      </c>
      <c r="E1972">
        <v>7500000</v>
      </c>
      <c r="F1972">
        <v>15000000</v>
      </c>
      <c r="G1972">
        <v>14</v>
      </c>
      <c r="H1972">
        <v>661</v>
      </c>
      <c r="I1972">
        <v>12100000</v>
      </c>
      <c r="J1972">
        <v>5800000</v>
      </c>
      <c r="K1972">
        <v>29900000</v>
      </c>
      <c r="L1972">
        <v>4400000</v>
      </c>
      <c r="M1972" t="s">
        <v>34</v>
      </c>
      <c r="N1972">
        <f t="shared" si="181"/>
        <v>1</v>
      </c>
      <c r="O1972" t="str">
        <f t="shared" si="180"/>
        <v>Medium</v>
      </c>
      <c r="P1972" t="str">
        <f t="shared" si="182"/>
        <v>High</v>
      </c>
      <c r="Q1972" t="str">
        <f t="shared" si="183"/>
        <v>Low Loan</v>
      </c>
      <c r="R1972">
        <f t="shared" si="184"/>
        <v>52200000</v>
      </c>
      <c r="S1972" t="str">
        <f t="shared" si="185"/>
        <v>Strong</v>
      </c>
    </row>
    <row r="1973" spans="1:19" x14ac:dyDescent="0.25">
      <c r="A1973">
        <v>1972</v>
      </c>
      <c r="B1973">
        <v>4</v>
      </c>
      <c r="C1973" t="s">
        <v>31</v>
      </c>
      <c r="D1973" t="s">
        <v>32</v>
      </c>
      <c r="E1973">
        <v>400000</v>
      </c>
      <c r="F1973">
        <v>900000</v>
      </c>
      <c r="G1973">
        <v>18</v>
      </c>
      <c r="H1973">
        <v>339</v>
      </c>
      <c r="I1973">
        <v>700000</v>
      </c>
      <c r="J1973">
        <v>200000</v>
      </c>
      <c r="K1973">
        <v>800000</v>
      </c>
      <c r="L1973">
        <v>200000</v>
      </c>
      <c r="M1973" t="s">
        <v>35</v>
      </c>
      <c r="N1973">
        <f t="shared" si="181"/>
        <v>0</v>
      </c>
      <c r="O1973" t="str">
        <f t="shared" si="180"/>
        <v>Low</v>
      </c>
      <c r="P1973" t="str">
        <f t="shared" si="182"/>
        <v>Middle</v>
      </c>
      <c r="Q1973" t="str">
        <f t="shared" si="183"/>
        <v>Low Loan</v>
      </c>
      <c r="R1973">
        <f t="shared" si="184"/>
        <v>1900000</v>
      </c>
      <c r="S1973" t="str">
        <f t="shared" si="185"/>
        <v>Weak</v>
      </c>
    </row>
    <row r="1974" spans="1:19" x14ac:dyDescent="0.25">
      <c r="A1974">
        <v>1973</v>
      </c>
      <c r="B1974">
        <v>1</v>
      </c>
      <c r="C1974" t="s">
        <v>30</v>
      </c>
      <c r="D1974" t="s">
        <v>33</v>
      </c>
      <c r="E1974">
        <v>8300000</v>
      </c>
      <c r="F1974">
        <v>17700000</v>
      </c>
      <c r="G1974">
        <v>10</v>
      </c>
      <c r="H1974">
        <v>673</v>
      </c>
      <c r="I1974">
        <v>23700000</v>
      </c>
      <c r="J1974">
        <v>5300000</v>
      </c>
      <c r="K1974">
        <v>28700000</v>
      </c>
      <c r="L1974">
        <v>4200000</v>
      </c>
      <c r="M1974" t="s">
        <v>34</v>
      </c>
      <c r="N1974">
        <f t="shared" si="181"/>
        <v>1</v>
      </c>
      <c r="O1974" t="str">
        <f t="shared" si="180"/>
        <v>Medium</v>
      </c>
      <c r="P1974" t="str">
        <f t="shared" si="182"/>
        <v>High</v>
      </c>
      <c r="Q1974" t="str">
        <f t="shared" si="183"/>
        <v>Low Loan</v>
      </c>
      <c r="R1974">
        <f t="shared" si="184"/>
        <v>61900000</v>
      </c>
      <c r="S1974" t="str">
        <f t="shared" si="185"/>
        <v>Strong</v>
      </c>
    </row>
    <row r="1975" spans="1:19" x14ac:dyDescent="0.25">
      <c r="A1975">
        <v>1974</v>
      </c>
      <c r="B1975">
        <v>3</v>
      </c>
      <c r="C1975" t="s">
        <v>30</v>
      </c>
      <c r="D1975" t="s">
        <v>32</v>
      </c>
      <c r="E1975">
        <v>4500000</v>
      </c>
      <c r="F1975">
        <v>16900000</v>
      </c>
      <c r="G1975">
        <v>18</v>
      </c>
      <c r="H1975">
        <v>748</v>
      </c>
      <c r="I1975">
        <v>8500000</v>
      </c>
      <c r="J1975">
        <v>7200000</v>
      </c>
      <c r="K1975">
        <v>15100000</v>
      </c>
      <c r="L1975">
        <v>6600000</v>
      </c>
      <c r="M1975" t="s">
        <v>34</v>
      </c>
      <c r="N1975">
        <f t="shared" si="181"/>
        <v>1</v>
      </c>
      <c r="O1975" t="str">
        <f t="shared" si="180"/>
        <v>Good</v>
      </c>
      <c r="P1975" t="str">
        <f t="shared" si="182"/>
        <v>High</v>
      </c>
      <c r="Q1975" t="str">
        <f t="shared" si="183"/>
        <v>Low Loan</v>
      </c>
      <c r="R1975">
        <f t="shared" si="184"/>
        <v>37400000</v>
      </c>
      <c r="S1975" t="str">
        <f t="shared" si="185"/>
        <v>Strong</v>
      </c>
    </row>
    <row r="1976" spans="1:19" x14ac:dyDescent="0.25">
      <c r="A1976">
        <v>1975</v>
      </c>
      <c r="B1976">
        <v>3</v>
      </c>
      <c r="C1976" t="s">
        <v>30</v>
      </c>
      <c r="D1976" t="s">
        <v>32</v>
      </c>
      <c r="E1976">
        <v>4600000</v>
      </c>
      <c r="F1976">
        <v>10000000</v>
      </c>
      <c r="G1976">
        <v>4</v>
      </c>
      <c r="H1976">
        <v>702</v>
      </c>
      <c r="I1976">
        <v>6800000</v>
      </c>
      <c r="J1976">
        <v>1500000</v>
      </c>
      <c r="K1976">
        <v>16100000</v>
      </c>
      <c r="L1976">
        <v>4500000</v>
      </c>
      <c r="M1976" t="s">
        <v>34</v>
      </c>
      <c r="N1976">
        <f t="shared" si="181"/>
        <v>1</v>
      </c>
      <c r="O1976" t="str">
        <f t="shared" si="180"/>
        <v>Good</v>
      </c>
      <c r="P1976" t="str">
        <f t="shared" si="182"/>
        <v>High</v>
      </c>
      <c r="Q1976" t="str">
        <f t="shared" si="183"/>
        <v>Low Loan</v>
      </c>
      <c r="R1976">
        <f t="shared" si="184"/>
        <v>28900000</v>
      </c>
      <c r="S1976" t="str">
        <f t="shared" si="185"/>
        <v>Strong</v>
      </c>
    </row>
    <row r="1977" spans="1:19" x14ac:dyDescent="0.25">
      <c r="A1977">
        <v>1976</v>
      </c>
      <c r="B1977">
        <v>4</v>
      </c>
      <c r="C1977" t="s">
        <v>31</v>
      </c>
      <c r="D1977" t="s">
        <v>32</v>
      </c>
      <c r="E1977">
        <v>4700000</v>
      </c>
      <c r="F1977">
        <v>10300000</v>
      </c>
      <c r="G1977">
        <v>12</v>
      </c>
      <c r="H1977">
        <v>710</v>
      </c>
      <c r="I1977">
        <v>7500000</v>
      </c>
      <c r="J1977">
        <v>7700000</v>
      </c>
      <c r="K1977">
        <v>16900000</v>
      </c>
      <c r="L1977">
        <v>6600000</v>
      </c>
      <c r="M1977" t="s">
        <v>34</v>
      </c>
      <c r="N1977">
        <f t="shared" si="181"/>
        <v>1</v>
      </c>
      <c r="O1977" t="str">
        <f t="shared" si="180"/>
        <v>Good</v>
      </c>
      <c r="P1977" t="str">
        <f t="shared" si="182"/>
        <v>High</v>
      </c>
      <c r="Q1977" t="str">
        <f t="shared" si="183"/>
        <v>Low Loan</v>
      </c>
      <c r="R1977">
        <f t="shared" si="184"/>
        <v>38700000</v>
      </c>
      <c r="S1977" t="str">
        <f t="shared" si="185"/>
        <v>Strong</v>
      </c>
    </row>
    <row r="1978" spans="1:19" x14ac:dyDescent="0.25">
      <c r="A1978">
        <v>1977</v>
      </c>
      <c r="B1978">
        <v>0</v>
      </c>
      <c r="C1978" t="s">
        <v>30</v>
      </c>
      <c r="D1978" t="s">
        <v>33</v>
      </c>
      <c r="E1978">
        <v>900000</v>
      </c>
      <c r="F1978">
        <v>3500000</v>
      </c>
      <c r="G1978">
        <v>6</v>
      </c>
      <c r="H1978">
        <v>331</v>
      </c>
      <c r="I1978">
        <v>2400000</v>
      </c>
      <c r="J1978">
        <v>1400000</v>
      </c>
      <c r="K1978">
        <v>3500000</v>
      </c>
      <c r="L1978">
        <v>1100000</v>
      </c>
      <c r="M1978" t="s">
        <v>35</v>
      </c>
      <c r="N1978">
        <f t="shared" si="181"/>
        <v>0</v>
      </c>
      <c r="O1978" t="str">
        <f t="shared" si="180"/>
        <v>Low</v>
      </c>
      <c r="P1978" t="str">
        <f t="shared" si="182"/>
        <v>High</v>
      </c>
      <c r="Q1978" t="str">
        <f t="shared" si="183"/>
        <v>Low Loan</v>
      </c>
      <c r="R1978">
        <f t="shared" si="184"/>
        <v>8400000</v>
      </c>
      <c r="S1978" t="str">
        <f t="shared" si="185"/>
        <v>Moderate</v>
      </c>
    </row>
    <row r="1979" spans="1:19" x14ac:dyDescent="0.25">
      <c r="A1979">
        <v>1978</v>
      </c>
      <c r="B1979">
        <v>1</v>
      </c>
      <c r="C1979" t="s">
        <v>31</v>
      </c>
      <c r="D1979" t="s">
        <v>32</v>
      </c>
      <c r="E1979">
        <v>2400000</v>
      </c>
      <c r="F1979">
        <v>7600000</v>
      </c>
      <c r="G1979">
        <v>12</v>
      </c>
      <c r="H1979">
        <v>372</v>
      </c>
      <c r="I1979">
        <v>5700000</v>
      </c>
      <c r="J1979">
        <v>4400000</v>
      </c>
      <c r="K1979">
        <v>6600000</v>
      </c>
      <c r="L1979">
        <v>1400000</v>
      </c>
      <c r="M1979" t="s">
        <v>35</v>
      </c>
      <c r="N1979">
        <f t="shared" si="181"/>
        <v>0</v>
      </c>
      <c r="O1979" t="str">
        <f t="shared" si="180"/>
        <v>Low</v>
      </c>
      <c r="P1979" t="str">
        <f t="shared" si="182"/>
        <v>High</v>
      </c>
      <c r="Q1979" t="str">
        <f t="shared" si="183"/>
        <v>Low Loan</v>
      </c>
      <c r="R1979">
        <f t="shared" si="184"/>
        <v>18100000</v>
      </c>
      <c r="S1979" t="str">
        <f t="shared" si="185"/>
        <v>Strong</v>
      </c>
    </row>
    <row r="1980" spans="1:19" x14ac:dyDescent="0.25">
      <c r="A1980">
        <v>1979</v>
      </c>
      <c r="B1980">
        <v>0</v>
      </c>
      <c r="C1980" t="s">
        <v>31</v>
      </c>
      <c r="D1980" t="s">
        <v>33</v>
      </c>
      <c r="E1980">
        <v>3900000</v>
      </c>
      <c r="F1980">
        <v>9600000</v>
      </c>
      <c r="G1980">
        <v>10</v>
      </c>
      <c r="H1980">
        <v>783</v>
      </c>
      <c r="I1980">
        <v>9900000</v>
      </c>
      <c r="J1980">
        <v>2100000</v>
      </c>
      <c r="K1980">
        <v>10900000</v>
      </c>
      <c r="L1980">
        <v>3900000</v>
      </c>
      <c r="M1980" t="s">
        <v>34</v>
      </c>
      <c r="N1980">
        <f t="shared" si="181"/>
        <v>1</v>
      </c>
      <c r="O1980" t="str">
        <f t="shared" si="180"/>
        <v>Excellent</v>
      </c>
      <c r="P1980" t="str">
        <f t="shared" si="182"/>
        <v>High</v>
      </c>
      <c r="Q1980" t="str">
        <f t="shared" si="183"/>
        <v>Low Loan</v>
      </c>
      <c r="R1980">
        <f t="shared" si="184"/>
        <v>26800000</v>
      </c>
      <c r="S1980" t="str">
        <f t="shared" si="185"/>
        <v>Strong</v>
      </c>
    </row>
    <row r="1981" spans="1:19" x14ac:dyDescent="0.25">
      <c r="A1981">
        <v>1980</v>
      </c>
      <c r="B1981">
        <v>0</v>
      </c>
      <c r="C1981" t="s">
        <v>30</v>
      </c>
      <c r="D1981" t="s">
        <v>32</v>
      </c>
      <c r="E1981">
        <v>8300000</v>
      </c>
      <c r="F1981">
        <v>31400000</v>
      </c>
      <c r="G1981">
        <v>18</v>
      </c>
      <c r="H1981">
        <v>558</v>
      </c>
      <c r="I1981">
        <v>13300000</v>
      </c>
      <c r="J1981">
        <v>2900000</v>
      </c>
      <c r="K1981">
        <v>25900000</v>
      </c>
      <c r="L1981">
        <v>6300000</v>
      </c>
      <c r="M1981" t="s">
        <v>34</v>
      </c>
      <c r="N1981">
        <f t="shared" si="181"/>
        <v>1</v>
      </c>
      <c r="O1981" t="str">
        <f t="shared" si="180"/>
        <v>Low</v>
      </c>
      <c r="P1981" t="str">
        <f t="shared" si="182"/>
        <v>High</v>
      </c>
      <c r="Q1981" t="str">
        <f t="shared" si="183"/>
        <v>High Loan</v>
      </c>
      <c r="R1981">
        <f t="shared" si="184"/>
        <v>48400000</v>
      </c>
      <c r="S1981" t="str">
        <f t="shared" si="185"/>
        <v>Strong</v>
      </c>
    </row>
    <row r="1982" spans="1:19" x14ac:dyDescent="0.25">
      <c r="A1982">
        <v>1981</v>
      </c>
      <c r="B1982">
        <v>4</v>
      </c>
      <c r="C1982" t="s">
        <v>30</v>
      </c>
      <c r="D1982" t="s">
        <v>33</v>
      </c>
      <c r="E1982">
        <v>4700000</v>
      </c>
      <c r="F1982">
        <v>13000000</v>
      </c>
      <c r="G1982">
        <v>6</v>
      </c>
      <c r="H1982">
        <v>552</v>
      </c>
      <c r="I1982">
        <v>5600000</v>
      </c>
      <c r="J1982">
        <v>8300000</v>
      </c>
      <c r="K1982">
        <v>11900000</v>
      </c>
      <c r="L1982">
        <v>2400000</v>
      </c>
      <c r="M1982" t="s">
        <v>34</v>
      </c>
      <c r="N1982">
        <f t="shared" si="181"/>
        <v>1</v>
      </c>
      <c r="O1982" t="str">
        <f t="shared" si="180"/>
        <v>Low</v>
      </c>
      <c r="P1982" t="str">
        <f t="shared" si="182"/>
        <v>High</v>
      </c>
      <c r="Q1982" t="str">
        <f t="shared" si="183"/>
        <v>Low Loan</v>
      </c>
      <c r="R1982">
        <f t="shared" si="184"/>
        <v>28200000</v>
      </c>
      <c r="S1982" t="str">
        <f t="shared" si="185"/>
        <v>Strong</v>
      </c>
    </row>
    <row r="1983" spans="1:19" x14ac:dyDescent="0.25">
      <c r="A1983">
        <v>1982</v>
      </c>
      <c r="B1983">
        <v>4</v>
      </c>
      <c r="C1983" t="s">
        <v>31</v>
      </c>
      <c r="D1983" t="s">
        <v>32</v>
      </c>
      <c r="E1983">
        <v>3900000</v>
      </c>
      <c r="F1983">
        <v>10600000</v>
      </c>
      <c r="G1983">
        <v>20</v>
      </c>
      <c r="H1983">
        <v>544</v>
      </c>
      <c r="I1983">
        <v>4100000</v>
      </c>
      <c r="J1983">
        <v>3100000</v>
      </c>
      <c r="K1983">
        <v>10900000</v>
      </c>
      <c r="L1983">
        <v>4900000</v>
      </c>
      <c r="M1983" t="s">
        <v>35</v>
      </c>
      <c r="N1983">
        <f t="shared" si="181"/>
        <v>0</v>
      </c>
      <c r="O1983" t="str">
        <f t="shared" si="180"/>
        <v>Low</v>
      </c>
      <c r="P1983" t="str">
        <f t="shared" si="182"/>
        <v>High</v>
      </c>
      <c r="Q1983" t="str">
        <f t="shared" si="183"/>
        <v>Low Loan</v>
      </c>
      <c r="R1983">
        <f t="shared" si="184"/>
        <v>23000000</v>
      </c>
      <c r="S1983" t="str">
        <f t="shared" si="185"/>
        <v>Strong</v>
      </c>
    </row>
    <row r="1984" spans="1:19" x14ac:dyDescent="0.25">
      <c r="A1984">
        <v>1983</v>
      </c>
      <c r="B1984">
        <v>2</v>
      </c>
      <c r="C1984" t="s">
        <v>31</v>
      </c>
      <c r="D1984" t="s">
        <v>32</v>
      </c>
      <c r="E1984">
        <v>400000</v>
      </c>
      <c r="F1984">
        <v>1000000</v>
      </c>
      <c r="G1984">
        <v>6</v>
      </c>
      <c r="H1984">
        <v>425</v>
      </c>
      <c r="I1984">
        <v>800000</v>
      </c>
      <c r="J1984">
        <v>300000</v>
      </c>
      <c r="K1984">
        <v>800000</v>
      </c>
      <c r="L1984">
        <v>200000</v>
      </c>
      <c r="M1984" t="s">
        <v>35</v>
      </c>
      <c r="N1984">
        <f t="shared" si="181"/>
        <v>0</v>
      </c>
      <c r="O1984" t="str">
        <f t="shared" si="180"/>
        <v>Low</v>
      </c>
      <c r="P1984" t="str">
        <f t="shared" si="182"/>
        <v>Middle</v>
      </c>
      <c r="Q1984" t="str">
        <f t="shared" si="183"/>
        <v>Low Loan</v>
      </c>
      <c r="R1984">
        <f t="shared" si="184"/>
        <v>2100000</v>
      </c>
      <c r="S1984" t="str">
        <f t="shared" si="185"/>
        <v>Weak</v>
      </c>
    </row>
    <row r="1985" spans="1:19" x14ac:dyDescent="0.25">
      <c r="A1985">
        <v>1984</v>
      </c>
      <c r="B1985">
        <v>2</v>
      </c>
      <c r="C1985" t="s">
        <v>31</v>
      </c>
      <c r="D1985" t="s">
        <v>33</v>
      </c>
      <c r="E1985">
        <v>1700000</v>
      </c>
      <c r="F1985">
        <v>5100000</v>
      </c>
      <c r="G1985">
        <v>18</v>
      </c>
      <c r="H1985">
        <v>321</v>
      </c>
      <c r="I1985">
        <v>2000000</v>
      </c>
      <c r="J1985">
        <v>2800000</v>
      </c>
      <c r="K1985">
        <v>5100000</v>
      </c>
      <c r="L1985">
        <v>1500000</v>
      </c>
      <c r="M1985" t="s">
        <v>35</v>
      </c>
      <c r="N1985">
        <f t="shared" si="181"/>
        <v>0</v>
      </c>
      <c r="O1985" t="str">
        <f t="shared" si="180"/>
        <v>Low</v>
      </c>
      <c r="P1985" t="str">
        <f t="shared" si="182"/>
        <v>High</v>
      </c>
      <c r="Q1985" t="str">
        <f t="shared" si="183"/>
        <v>Low Loan</v>
      </c>
      <c r="R1985">
        <f t="shared" si="184"/>
        <v>11400000</v>
      </c>
      <c r="S1985" t="str">
        <f t="shared" si="185"/>
        <v>Strong</v>
      </c>
    </row>
    <row r="1986" spans="1:19" x14ac:dyDescent="0.25">
      <c r="A1986">
        <v>1985</v>
      </c>
      <c r="B1986">
        <v>2</v>
      </c>
      <c r="C1986" t="s">
        <v>30</v>
      </c>
      <c r="D1986" t="s">
        <v>33</v>
      </c>
      <c r="E1986">
        <v>6100000</v>
      </c>
      <c r="F1986">
        <v>15500000</v>
      </c>
      <c r="G1986">
        <v>8</v>
      </c>
      <c r="H1986">
        <v>758</v>
      </c>
      <c r="I1986">
        <v>8900000</v>
      </c>
      <c r="J1986">
        <v>4000000</v>
      </c>
      <c r="K1986">
        <v>13300000</v>
      </c>
      <c r="L1986">
        <v>7200000</v>
      </c>
      <c r="M1986" t="s">
        <v>34</v>
      </c>
      <c r="N1986">
        <f t="shared" si="181"/>
        <v>1</v>
      </c>
      <c r="O1986" t="str">
        <f t="shared" ref="O1986:O2049" si="186">IF(H1986&lt;650,"Low",
 IF(H1986&lt;700,"Medium",
 IF(H1986&lt;750,"Good","Excellent")))</f>
        <v>Excellent</v>
      </c>
      <c r="P1986" t="str">
        <f t="shared" si="182"/>
        <v>High</v>
      </c>
      <c r="Q1986" t="str">
        <f t="shared" si="183"/>
        <v>Low Loan</v>
      </c>
      <c r="R1986">
        <f t="shared" si="184"/>
        <v>33400000</v>
      </c>
      <c r="S1986" t="str">
        <f t="shared" si="185"/>
        <v>Strong</v>
      </c>
    </row>
    <row r="1987" spans="1:19" x14ac:dyDescent="0.25">
      <c r="A1987">
        <v>1986</v>
      </c>
      <c r="B1987">
        <v>5</v>
      </c>
      <c r="C1987" t="s">
        <v>30</v>
      </c>
      <c r="D1987" t="s">
        <v>33</v>
      </c>
      <c r="E1987">
        <v>7300000</v>
      </c>
      <c r="F1987">
        <v>19600000</v>
      </c>
      <c r="G1987">
        <v>10</v>
      </c>
      <c r="H1987">
        <v>373</v>
      </c>
      <c r="I1987">
        <v>10400000</v>
      </c>
      <c r="J1987">
        <v>4700000</v>
      </c>
      <c r="K1987">
        <v>19500000</v>
      </c>
      <c r="L1987">
        <v>10600000</v>
      </c>
      <c r="M1987" t="s">
        <v>35</v>
      </c>
      <c r="N1987">
        <f t="shared" ref="N1987:N2050" si="187">IF(TRIM(CLEAN(M1987))="Approved",1,0)</f>
        <v>0</v>
      </c>
      <c r="O1987" t="str">
        <f t="shared" si="186"/>
        <v>Low</v>
      </c>
      <c r="P1987" t="str">
        <f t="shared" ref="P1987:P2050" si="188">IF(E1987&lt;300000,"Low",
 IF(E1987&lt;700000,"Middle","High"))</f>
        <v>High</v>
      </c>
      <c r="Q1987" t="str">
        <f t="shared" ref="Q1987:Q2050" si="189">IF(F1987&lt;20000000,"Low Loan","High Loan")</f>
        <v>Low Loan</v>
      </c>
      <c r="R1987">
        <f t="shared" ref="R1987:R2050" si="190">I1987+J1987+K1987+L1987</f>
        <v>45200000</v>
      </c>
      <c r="S1987" t="str">
        <f t="shared" ref="S1987:S2050" si="191">IF(R1987&lt;5000000,"Weak",
 IF(R1987&lt;10000000,"Moderate","Strong"))</f>
        <v>Strong</v>
      </c>
    </row>
    <row r="1988" spans="1:19" x14ac:dyDescent="0.25">
      <c r="A1988">
        <v>1987</v>
      </c>
      <c r="B1988">
        <v>3</v>
      </c>
      <c r="C1988" t="s">
        <v>31</v>
      </c>
      <c r="D1988" t="s">
        <v>33</v>
      </c>
      <c r="E1988">
        <v>300000</v>
      </c>
      <c r="F1988">
        <v>500000</v>
      </c>
      <c r="G1988">
        <v>6</v>
      </c>
      <c r="H1988">
        <v>876</v>
      </c>
      <c r="I1988">
        <v>300000</v>
      </c>
      <c r="J1988">
        <v>100000</v>
      </c>
      <c r="K1988">
        <v>1100000</v>
      </c>
      <c r="L1988">
        <v>300000</v>
      </c>
      <c r="M1988" t="s">
        <v>34</v>
      </c>
      <c r="N1988">
        <f t="shared" si="187"/>
        <v>1</v>
      </c>
      <c r="O1988" t="str">
        <f t="shared" si="186"/>
        <v>Excellent</v>
      </c>
      <c r="P1988" t="str">
        <f t="shared" si="188"/>
        <v>Middle</v>
      </c>
      <c r="Q1988" t="str">
        <f t="shared" si="189"/>
        <v>Low Loan</v>
      </c>
      <c r="R1988">
        <f t="shared" si="190"/>
        <v>1800000</v>
      </c>
      <c r="S1988" t="str">
        <f t="shared" si="191"/>
        <v>Weak</v>
      </c>
    </row>
    <row r="1989" spans="1:19" x14ac:dyDescent="0.25">
      <c r="A1989">
        <v>1988</v>
      </c>
      <c r="B1989">
        <v>2</v>
      </c>
      <c r="C1989" t="s">
        <v>31</v>
      </c>
      <c r="D1989" t="s">
        <v>32</v>
      </c>
      <c r="E1989">
        <v>4300000</v>
      </c>
      <c r="F1989">
        <v>14500000</v>
      </c>
      <c r="G1989">
        <v>10</v>
      </c>
      <c r="H1989">
        <v>594</v>
      </c>
      <c r="I1989">
        <v>11400000</v>
      </c>
      <c r="J1989">
        <v>700000</v>
      </c>
      <c r="K1989">
        <v>14000000</v>
      </c>
      <c r="L1989">
        <v>5300000</v>
      </c>
      <c r="M1989" t="s">
        <v>34</v>
      </c>
      <c r="N1989">
        <f t="shared" si="187"/>
        <v>1</v>
      </c>
      <c r="O1989" t="str">
        <f t="shared" si="186"/>
        <v>Low</v>
      </c>
      <c r="P1989" t="str">
        <f t="shared" si="188"/>
        <v>High</v>
      </c>
      <c r="Q1989" t="str">
        <f t="shared" si="189"/>
        <v>Low Loan</v>
      </c>
      <c r="R1989">
        <f t="shared" si="190"/>
        <v>31400000</v>
      </c>
      <c r="S1989" t="str">
        <f t="shared" si="191"/>
        <v>Strong</v>
      </c>
    </row>
    <row r="1990" spans="1:19" x14ac:dyDescent="0.25">
      <c r="A1990">
        <v>1989</v>
      </c>
      <c r="B1990">
        <v>3</v>
      </c>
      <c r="C1990" t="s">
        <v>31</v>
      </c>
      <c r="D1990" t="s">
        <v>32</v>
      </c>
      <c r="E1990">
        <v>7000000</v>
      </c>
      <c r="F1990">
        <v>18400000</v>
      </c>
      <c r="G1990">
        <v>18</v>
      </c>
      <c r="H1990">
        <v>837</v>
      </c>
      <c r="I1990">
        <v>2800000</v>
      </c>
      <c r="J1990">
        <v>7900000</v>
      </c>
      <c r="K1990">
        <v>15400000</v>
      </c>
      <c r="L1990">
        <v>5700000</v>
      </c>
      <c r="M1990" t="s">
        <v>34</v>
      </c>
      <c r="N1990">
        <f t="shared" si="187"/>
        <v>1</v>
      </c>
      <c r="O1990" t="str">
        <f t="shared" si="186"/>
        <v>Excellent</v>
      </c>
      <c r="P1990" t="str">
        <f t="shared" si="188"/>
        <v>High</v>
      </c>
      <c r="Q1990" t="str">
        <f t="shared" si="189"/>
        <v>Low Loan</v>
      </c>
      <c r="R1990">
        <f t="shared" si="190"/>
        <v>31800000</v>
      </c>
      <c r="S1990" t="str">
        <f t="shared" si="191"/>
        <v>Strong</v>
      </c>
    </row>
    <row r="1991" spans="1:19" x14ac:dyDescent="0.25">
      <c r="A1991">
        <v>1990</v>
      </c>
      <c r="B1991">
        <v>0</v>
      </c>
      <c r="C1991" t="s">
        <v>31</v>
      </c>
      <c r="D1991" t="s">
        <v>33</v>
      </c>
      <c r="E1991">
        <v>4900000</v>
      </c>
      <c r="F1991">
        <v>16500000</v>
      </c>
      <c r="G1991">
        <v>4</v>
      </c>
      <c r="H1991">
        <v>600</v>
      </c>
      <c r="I1991">
        <v>11100000</v>
      </c>
      <c r="J1991">
        <v>2200000</v>
      </c>
      <c r="K1991">
        <v>12000000</v>
      </c>
      <c r="L1991">
        <v>6500000</v>
      </c>
      <c r="M1991" t="s">
        <v>34</v>
      </c>
      <c r="N1991">
        <f t="shared" si="187"/>
        <v>1</v>
      </c>
      <c r="O1991" t="str">
        <f t="shared" si="186"/>
        <v>Low</v>
      </c>
      <c r="P1991" t="str">
        <f t="shared" si="188"/>
        <v>High</v>
      </c>
      <c r="Q1991" t="str">
        <f t="shared" si="189"/>
        <v>Low Loan</v>
      </c>
      <c r="R1991">
        <f t="shared" si="190"/>
        <v>31800000</v>
      </c>
      <c r="S1991" t="str">
        <f t="shared" si="191"/>
        <v>Strong</v>
      </c>
    </row>
    <row r="1992" spans="1:19" x14ac:dyDescent="0.25">
      <c r="A1992">
        <v>1991</v>
      </c>
      <c r="B1992">
        <v>4</v>
      </c>
      <c r="C1992" t="s">
        <v>30</v>
      </c>
      <c r="D1992" t="s">
        <v>32</v>
      </c>
      <c r="E1992">
        <v>6200000</v>
      </c>
      <c r="F1992">
        <v>12400000</v>
      </c>
      <c r="G1992">
        <v>20</v>
      </c>
      <c r="H1992">
        <v>547</v>
      </c>
      <c r="I1992">
        <v>14200000</v>
      </c>
      <c r="J1992">
        <v>10800000</v>
      </c>
      <c r="K1992">
        <v>17200000</v>
      </c>
      <c r="L1992">
        <v>8000000</v>
      </c>
      <c r="M1992" t="s">
        <v>35</v>
      </c>
      <c r="N1992">
        <f t="shared" si="187"/>
        <v>0</v>
      </c>
      <c r="O1992" t="str">
        <f t="shared" si="186"/>
        <v>Low</v>
      </c>
      <c r="P1992" t="str">
        <f t="shared" si="188"/>
        <v>High</v>
      </c>
      <c r="Q1992" t="str">
        <f t="shared" si="189"/>
        <v>Low Loan</v>
      </c>
      <c r="R1992">
        <f t="shared" si="190"/>
        <v>50200000</v>
      </c>
      <c r="S1992" t="str">
        <f t="shared" si="191"/>
        <v>Strong</v>
      </c>
    </row>
    <row r="1993" spans="1:19" x14ac:dyDescent="0.25">
      <c r="A1993">
        <v>1992</v>
      </c>
      <c r="B1993">
        <v>1</v>
      </c>
      <c r="C1993" t="s">
        <v>31</v>
      </c>
      <c r="D1993" t="s">
        <v>32</v>
      </c>
      <c r="E1993">
        <v>4100000</v>
      </c>
      <c r="F1993">
        <v>15800000</v>
      </c>
      <c r="G1993">
        <v>12</v>
      </c>
      <c r="H1993">
        <v>431</v>
      </c>
      <c r="I1993">
        <v>9700000</v>
      </c>
      <c r="J1993">
        <v>7300000</v>
      </c>
      <c r="K1993">
        <v>15200000</v>
      </c>
      <c r="L1993">
        <v>5700000</v>
      </c>
      <c r="M1993" t="s">
        <v>35</v>
      </c>
      <c r="N1993">
        <f t="shared" si="187"/>
        <v>0</v>
      </c>
      <c r="O1993" t="str">
        <f t="shared" si="186"/>
        <v>Low</v>
      </c>
      <c r="P1993" t="str">
        <f t="shared" si="188"/>
        <v>High</v>
      </c>
      <c r="Q1993" t="str">
        <f t="shared" si="189"/>
        <v>Low Loan</v>
      </c>
      <c r="R1993">
        <f t="shared" si="190"/>
        <v>37900000</v>
      </c>
      <c r="S1993" t="str">
        <f t="shared" si="191"/>
        <v>Strong</v>
      </c>
    </row>
    <row r="1994" spans="1:19" x14ac:dyDescent="0.25">
      <c r="A1994">
        <v>1993</v>
      </c>
      <c r="B1994">
        <v>0</v>
      </c>
      <c r="C1994" t="s">
        <v>31</v>
      </c>
      <c r="D1994" t="s">
        <v>33</v>
      </c>
      <c r="E1994">
        <v>7300000</v>
      </c>
      <c r="F1994">
        <v>22600000</v>
      </c>
      <c r="G1994">
        <v>12</v>
      </c>
      <c r="H1994">
        <v>851</v>
      </c>
      <c r="I1994">
        <v>3300000</v>
      </c>
      <c r="J1994">
        <v>3400000</v>
      </c>
      <c r="K1994">
        <v>24800000</v>
      </c>
      <c r="L1994">
        <v>5300000</v>
      </c>
      <c r="M1994" t="s">
        <v>34</v>
      </c>
      <c r="N1994">
        <f t="shared" si="187"/>
        <v>1</v>
      </c>
      <c r="O1994" t="str">
        <f t="shared" si="186"/>
        <v>Excellent</v>
      </c>
      <c r="P1994" t="str">
        <f t="shared" si="188"/>
        <v>High</v>
      </c>
      <c r="Q1994" t="str">
        <f t="shared" si="189"/>
        <v>High Loan</v>
      </c>
      <c r="R1994">
        <f t="shared" si="190"/>
        <v>36800000</v>
      </c>
      <c r="S1994" t="str">
        <f t="shared" si="191"/>
        <v>Strong</v>
      </c>
    </row>
    <row r="1995" spans="1:19" x14ac:dyDescent="0.25">
      <c r="A1995">
        <v>1994</v>
      </c>
      <c r="B1995">
        <v>4</v>
      </c>
      <c r="C1995" t="s">
        <v>31</v>
      </c>
      <c r="D1995" t="s">
        <v>33</v>
      </c>
      <c r="E1995">
        <v>9200000</v>
      </c>
      <c r="F1995">
        <v>28100000</v>
      </c>
      <c r="G1995">
        <v>12</v>
      </c>
      <c r="H1995">
        <v>760</v>
      </c>
      <c r="I1995">
        <v>23200000</v>
      </c>
      <c r="J1995">
        <v>9700000</v>
      </c>
      <c r="K1995">
        <v>22300000</v>
      </c>
      <c r="L1995">
        <v>12900000</v>
      </c>
      <c r="M1995" t="s">
        <v>34</v>
      </c>
      <c r="N1995">
        <f t="shared" si="187"/>
        <v>1</v>
      </c>
      <c r="O1995" t="str">
        <f t="shared" si="186"/>
        <v>Excellent</v>
      </c>
      <c r="P1995" t="str">
        <f t="shared" si="188"/>
        <v>High</v>
      </c>
      <c r="Q1995" t="str">
        <f t="shared" si="189"/>
        <v>High Loan</v>
      </c>
      <c r="R1995">
        <f t="shared" si="190"/>
        <v>68100000</v>
      </c>
      <c r="S1995" t="str">
        <f t="shared" si="191"/>
        <v>Strong</v>
      </c>
    </row>
    <row r="1996" spans="1:19" x14ac:dyDescent="0.25">
      <c r="A1996">
        <v>1995</v>
      </c>
      <c r="B1996">
        <v>0</v>
      </c>
      <c r="C1996" t="s">
        <v>31</v>
      </c>
      <c r="D1996" t="s">
        <v>32</v>
      </c>
      <c r="E1996">
        <v>800000</v>
      </c>
      <c r="F1996">
        <v>2400000</v>
      </c>
      <c r="G1996">
        <v>2</v>
      </c>
      <c r="H1996">
        <v>716</v>
      </c>
      <c r="I1996">
        <v>700000</v>
      </c>
      <c r="J1996">
        <v>1200000</v>
      </c>
      <c r="K1996">
        <v>3100000</v>
      </c>
      <c r="L1996">
        <v>400000</v>
      </c>
      <c r="M1996" t="s">
        <v>34</v>
      </c>
      <c r="N1996">
        <f t="shared" si="187"/>
        <v>1</v>
      </c>
      <c r="O1996" t="str">
        <f t="shared" si="186"/>
        <v>Good</v>
      </c>
      <c r="P1996" t="str">
        <f t="shared" si="188"/>
        <v>High</v>
      </c>
      <c r="Q1996" t="str">
        <f t="shared" si="189"/>
        <v>Low Loan</v>
      </c>
      <c r="R1996">
        <f t="shared" si="190"/>
        <v>5400000</v>
      </c>
      <c r="S1996" t="str">
        <f t="shared" si="191"/>
        <v>Moderate</v>
      </c>
    </row>
    <row r="1997" spans="1:19" x14ac:dyDescent="0.25">
      <c r="A1997">
        <v>1996</v>
      </c>
      <c r="B1997">
        <v>4</v>
      </c>
      <c r="C1997" t="s">
        <v>31</v>
      </c>
      <c r="D1997" t="s">
        <v>32</v>
      </c>
      <c r="E1997">
        <v>2900000</v>
      </c>
      <c r="F1997">
        <v>11200000</v>
      </c>
      <c r="G1997">
        <v>10</v>
      </c>
      <c r="H1997">
        <v>744</v>
      </c>
      <c r="I1997">
        <v>6600000</v>
      </c>
      <c r="J1997">
        <v>4000000</v>
      </c>
      <c r="K1997">
        <v>7300000</v>
      </c>
      <c r="L1997">
        <v>1600000</v>
      </c>
      <c r="M1997" t="s">
        <v>34</v>
      </c>
      <c r="N1997">
        <f t="shared" si="187"/>
        <v>1</v>
      </c>
      <c r="O1997" t="str">
        <f t="shared" si="186"/>
        <v>Good</v>
      </c>
      <c r="P1997" t="str">
        <f t="shared" si="188"/>
        <v>High</v>
      </c>
      <c r="Q1997" t="str">
        <f t="shared" si="189"/>
        <v>Low Loan</v>
      </c>
      <c r="R1997">
        <f t="shared" si="190"/>
        <v>19500000</v>
      </c>
      <c r="S1997" t="str">
        <f t="shared" si="191"/>
        <v>Strong</v>
      </c>
    </row>
    <row r="1998" spans="1:19" x14ac:dyDescent="0.25">
      <c r="A1998">
        <v>1997</v>
      </c>
      <c r="B1998">
        <v>3</v>
      </c>
      <c r="C1998" t="s">
        <v>31</v>
      </c>
      <c r="D1998" t="s">
        <v>32</v>
      </c>
      <c r="E1998">
        <v>8100000</v>
      </c>
      <c r="F1998">
        <v>21600000</v>
      </c>
      <c r="G1998">
        <v>4</v>
      </c>
      <c r="H1998">
        <v>740</v>
      </c>
      <c r="I1998">
        <v>22400000</v>
      </c>
      <c r="J1998">
        <v>3700000</v>
      </c>
      <c r="K1998">
        <v>16900000</v>
      </c>
      <c r="L1998">
        <v>9900000</v>
      </c>
      <c r="M1998" t="s">
        <v>34</v>
      </c>
      <c r="N1998">
        <f t="shared" si="187"/>
        <v>1</v>
      </c>
      <c r="O1998" t="str">
        <f t="shared" si="186"/>
        <v>Good</v>
      </c>
      <c r="P1998" t="str">
        <f t="shared" si="188"/>
        <v>High</v>
      </c>
      <c r="Q1998" t="str">
        <f t="shared" si="189"/>
        <v>High Loan</v>
      </c>
      <c r="R1998">
        <f t="shared" si="190"/>
        <v>52900000</v>
      </c>
      <c r="S1998" t="str">
        <f t="shared" si="191"/>
        <v>Strong</v>
      </c>
    </row>
    <row r="1999" spans="1:19" x14ac:dyDescent="0.25">
      <c r="A1999">
        <v>1998</v>
      </c>
      <c r="B1999">
        <v>0</v>
      </c>
      <c r="C1999" t="s">
        <v>30</v>
      </c>
      <c r="D1999" t="s">
        <v>32</v>
      </c>
      <c r="E1999">
        <v>9300000</v>
      </c>
      <c r="F1999">
        <v>20300000</v>
      </c>
      <c r="G1999">
        <v>14</v>
      </c>
      <c r="H1999">
        <v>759</v>
      </c>
      <c r="I1999">
        <v>27000000</v>
      </c>
      <c r="J1999">
        <v>11600000</v>
      </c>
      <c r="K1999">
        <v>26500000</v>
      </c>
      <c r="L1999">
        <v>10900000</v>
      </c>
      <c r="M1999" t="s">
        <v>34</v>
      </c>
      <c r="N1999">
        <f t="shared" si="187"/>
        <v>1</v>
      </c>
      <c r="O1999" t="str">
        <f t="shared" si="186"/>
        <v>Excellent</v>
      </c>
      <c r="P1999" t="str">
        <f t="shared" si="188"/>
        <v>High</v>
      </c>
      <c r="Q1999" t="str">
        <f t="shared" si="189"/>
        <v>High Loan</v>
      </c>
      <c r="R1999">
        <f t="shared" si="190"/>
        <v>76000000</v>
      </c>
      <c r="S1999" t="str">
        <f t="shared" si="191"/>
        <v>Strong</v>
      </c>
    </row>
    <row r="2000" spans="1:19" x14ac:dyDescent="0.25">
      <c r="A2000">
        <v>1999</v>
      </c>
      <c r="B2000">
        <v>4</v>
      </c>
      <c r="C2000" t="s">
        <v>30</v>
      </c>
      <c r="D2000" t="s">
        <v>33</v>
      </c>
      <c r="E2000">
        <v>9200000</v>
      </c>
      <c r="F2000">
        <v>29400000</v>
      </c>
      <c r="G2000">
        <v>14</v>
      </c>
      <c r="H2000">
        <v>517</v>
      </c>
      <c r="I2000">
        <v>4900000</v>
      </c>
      <c r="J2000">
        <v>0</v>
      </c>
      <c r="K2000">
        <v>33500000</v>
      </c>
      <c r="L2000">
        <v>10100000</v>
      </c>
      <c r="M2000" t="s">
        <v>35</v>
      </c>
      <c r="N2000">
        <f t="shared" si="187"/>
        <v>0</v>
      </c>
      <c r="O2000" t="str">
        <f t="shared" si="186"/>
        <v>Low</v>
      </c>
      <c r="P2000" t="str">
        <f t="shared" si="188"/>
        <v>High</v>
      </c>
      <c r="Q2000" t="str">
        <f t="shared" si="189"/>
        <v>High Loan</v>
      </c>
      <c r="R2000">
        <f t="shared" si="190"/>
        <v>48500000</v>
      </c>
      <c r="S2000" t="str">
        <f t="shared" si="191"/>
        <v>Strong</v>
      </c>
    </row>
    <row r="2001" spans="1:19" x14ac:dyDescent="0.25">
      <c r="A2001">
        <v>2000</v>
      </c>
      <c r="B2001">
        <v>3</v>
      </c>
      <c r="C2001" t="s">
        <v>31</v>
      </c>
      <c r="D2001" t="s">
        <v>33</v>
      </c>
      <c r="E2001">
        <v>3100000</v>
      </c>
      <c r="F2001">
        <v>6300000</v>
      </c>
      <c r="G2001">
        <v>18</v>
      </c>
      <c r="H2001">
        <v>895</v>
      </c>
      <c r="I2001">
        <v>2300000</v>
      </c>
      <c r="J2001">
        <v>3400000</v>
      </c>
      <c r="K2001">
        <v>10500000</v>
      </c>
      <c r="L2001">
        <v>4200000</v>
      </c>
      <c r="M2001" t="s">
        <v>34</v>
      </c>
      <c r="N2001">
        <f t="shared" si="187"/>
        <v>1</v>
      </c>
      <c r="O2001" t="str">
        <f t="shared" si="186"/>
        <v>Excellent</v>
      </c>
      <c r="P2001" t="str">
        <f t="shared" si="188"/>
        <v>High</v>
      </c>
      <c r="Q2001" t="str">
        <f t="shared" si="189"/>
        <v>Low Loan</v>
      </c>
      <c r="R2001">
        <f t="shared" si="190"/>
        <v>20400000</v>
      </c>
      <c r="S2001" t="str">
        <f t="shared" si="191"/>
        <v>Strong</v>
      </c>
    </row>
    <row r="2002" spans="1:19" x14ac:dyDescent="0.25">
      <c r="A2002">
        <v>2001</v>
      </c>
      <c r="B2002">
        <v>3</v>
      </c>
      <c r="C2002" t="s">
        <v>31</v>
      </c>
      <c r="D2002" t="s">
        <v>33</v>
      </c>
      <c r="E2002">
        <v>7000000</v>
      </c>
      <c r="F2002">
        <v>15400000</v>
      </c>
      <c r="G2002">
        <v>20</v>
      </c>
      <c r="H2002">
        <v>315</v>
      </c>
      <c r="I2002">
        <v>19900000</v>
      </c>
      <c r="J2002">
        <v>7600000</v>
      </c>
      <c r="K2002">
        <v>16400000</v>
      </c>
      <c r="L2002">
        <v>5900000</v>
      </c>
      <c r="M2002" t="s">
        <v>35</v>
      </c>
      <c r="N2002">
        <f t="shared" si="187"/>
        <v>0</v>
      </c>
      <c r="O2002" t="str">
        <f t="shared" si="186"/>
        <v>Low</v>
      </c>
      <c r="P2002" t="str">
        <f t="shared" si="188"/>
        <v>High</v>
      </c>
      <c r="Q2002" t="str">
        <f t="shared" si="189"/>
        <v>Low Loan</v>
      </c>
      <c r="R2002">
        <f t="shared" si="190"/>
        <v>49800000</v>
      </c>
      <c r="S2002" t="str">
        <f t="shared" si="191"/>
        <v>Strong</v>
      </c>
    </row>
    <row r="2003" spans="1:19" x14ac:dyDescent="0.25">
      <c r="A2003">
        <v>2002</v>
      </c>
      <c r="B2003">
        <v>4</v>
      </c>
      <c r="C2003" t="s">
        <v>31</v>
      </c>
      <c r="D2003" t="s">
        <v>32</v>
      </c>
      <c r="E2003">
        <v>3900000</v>
      </c>
      <c r="F2003">
        <v>8800000</v>
      </c>
      <c r="G2003">
        <v>14</v>
      </c>
      <c r="H2003">
        <v>527</v>
      </c>
      <c r="I2003">
        <v>4600000</v>
      </c>
      <c r="J2003">
        <v>4900000</v>
      </c>
      <c r="K2003">
        <v>14900000</v>
      </c>
      <c r="L2003">
        <v>3100000</v>
      </c>
      <c r="M2003" t="s">
        <v>35</v>
      </c>
      <c r="N2003">
        <f t="shared" si="187"/>
        <v>0</v>
      </c>
      <c r="O2003" t="str">
        <f t="shared" si="186"/>
        <v>Low</v>
      </c>
      <c r="P2003" t="str">
        <f t="shared" si="188"/>
        <v>High</v>
      </c>
      <c r="Q2003" t="str">
        <f t="shared" si="189"/>
        <v>Low Loan</v>
      </c>
      <c r="R2003">
        <f t="shared" si="190"/>
        <v>27500000</v>
      </c>
      <c r="S2003" t="str">
        <f t="shared" si="191"/>
        <v>Strong</v>
      </c>
    </row>
    <row r="2004" spans="1:19" x14ac:dyDescent="0.25">
      <c r="A2004">
        <v>2003</v>
      </c>
      <c r="B2004">
        <v>3</v>
      </c>
      <c r="C2004" t="s">
        <v>30</v>
      </c>
      <c r="D2004" t="s">
        <v>32</v>
      </c>
      <c r="E2004">
        <v>5500000</v>
      </c>
      <c r="F2004">
        <v>19800000</v>
      </c>
      <c r="G2004">
        <v>14</v>
      </c>
      <c r="H2004">
        <v>853</v>
      </c>
      <c r="I2004">
        <v>7300000</v>
      </c>
      <c r="J2004">
        <v>3000000</v>
      </c>
      <c r="K2004">
        <v>15500000</v>
      </c>
      <c r="L2004">
        <v>3100000</v>
      </c>
      <c r="M2004" t="s">
        <v>34</v>
      </c>
      <c r="N2004">
        <f t="shared" si="187"/>
        <v>1</v>
      </c>
      <c r="O2004" t="str">
        <f t="shared" si="186"/>
        <v>Excellent</v>
      </c>
      <c r="P2004" t="str">
        <f t="shared" si="188"/>
        <v>High</v>
      </c>
      <c r="Q2004" t="str">
        <f t="shared" si="189"/>
        <v>Low Loan</v>
      </c>
      <c r="R2004">
        <f t="shared" si="190"/>
        <v>28900000</v>
      </c>
      <c r="S2004" t="str">
        <f t="shared" si="191"/>
        <v>Strong</v>
      </c>
    </row>
    <row r="2005" spans="1:19" x14ac:dyDescent="0.25">
      <c r="A2005">
        <v>2004</v>
      </c>
      <c r="B2005">
        <v>0</v>
      </c>
      <c r="C2005" t="s">
        <v>30</v>
      </c>
      <c r="D2005" t="s">
        <v>32</v>
      </c>
      <c r="E2005">
        <v>6600000</v>
      </c>
      <c r="F2005">
        <v>13700000</v>
      </c>
      <c r="G2005">
        <v>20</v>
      </c>
      <c r="H2005">
        <v>747</v>
      </c>
      <c r="I2005">
        <v>3600000</v>
      </c>
      <c r="J2005">
        <v>2400000</v>
      </c>
      <c r="K2005">
        <v>23900000</v>
      </c>
      <c r="L2005">
        <v>6000000</v>
      </c>
      <c r="M2005" t="s">
        <v>34</v>
      </c>
      <c r="N2005">
        <f t="shared" si="187"/>
        <v>1</v>
      </c>
      <c r="O2005" t="str">
        <f t="shared" si="186"/>
        <v>Good</v>
      </c>
      <c r="P2005" t="str">
        <f t="shared" si="188"/>
        <v>High</v>
      </c>
      <c r="Q2005" t="str">
        <f t="shared" si="189"/>
        <v>Low Loan</v>
      </c>
      <c r="R2005">
        <f t="shared" si="190"/>
        <v>35900000</v>
      </c>
      <c r="S2005" t="str">
        <f t="shared" si="191"/>
        <v>Strong</v>
      </c>
    </row>
    <row r="2006" spans="1:19" x14ac:dyDescent="0.25">
      <c r="A2006">
        <v>2005</v>
      </c>
      <c r="B2006">
        <v>2</v>
      </c>
      <c r="C2006" t="s">
        <v>31</v>
      </c>
      <c r="D2006" t="s">
        <v>32</v>
      </c>
      <c r="E2006">
        <v>9900000</v>
      </c>
      <c r="F2006">
        <v>31600000</v>
      </c>
      <c r="G2006">
        <v>16</v>
      </c>
      <c r="H2006">
        <v>892</v>
      </c>
      <c r="I2006">
        <v>4200000</v>
      </c>
      <c r="J2006">
        <v>17500000</v>
      </c>
      <c r="K2006">
        <v>31400000</v>
      </c>
      <c r="L2006">
        <v>12700000</v>
      </c>
      <c r="M2006" t="s">
        <v>34</v>
      </c>
      <c r="N2006">
        <f t="shared" si="187"/>
        <v>1</v>
      </c>
      <c r="O2006" t="str">
        <f t="shared" si="186"/>
        <v>Excellent</v>
      </c>
      <c r="P2006" t="str">
        <f t="shared" si="188"/>
        <v>High</v>
      </c>
      <c r="Q2006" t="str">
        <f t="shared" si="189"/>
        <v>High Loan</v>
      </c>
      <c r="R2006">
        <f t="shared" si="190"/>
        <v>65800000</v>
      </c>
      <c r="S2006" t="str">
        <f t="shared" si="191"/>
        <v>Strong</v>
      </c>
    </row>
    <row r="2007" spans="1:19" x14ac:dyDescent="0.25">
      <c r="A2007">
        <v>2006</v>
      </c>
      <c r="B2007">
        <v>4</v>
      </c>
      <c r="C2007" t="s">
        <v>30</v>
      </c>
      <c r="D2007" t="s">
        <v>33</v>
      </c>
      <c r="E2007">
        <v>6600000</v>
      </c>
      <c r="F2007">
        <v>20500000</v>
      </c>
      <c r="G2007">
        <v>8</v>
      </c>
      <c r="H2007">
        <v>856</v>
      </c>
      <c r="I2007">
        <v>18800000</v>
      </c>
      <c r="J2007">
        <v>5400000</v>
      </c>
      <c r="K2007">
        <v>15100000</v>
      </c>
      <c r="L2007">
        <v>9400000</v>
      </c>
      <c r="M2007" t="s">
        <v>34</v>
      </c>
      <c r="N2007">
        <f t="shared" si="187"/>
        <v>1</v>
      </c>
      <c r="O2007" t="str">
        <f t="shared" si="186"/>
        <v>Excellent</v>
      </c>
      <c r="P2007" t="str">
        <f t="shared" si="188"/>
        <v>High</v>
      </c>
      <c r="Q2007" t="str">
        <f t="shared" si="189"/>
        <v>High Loan</v>
      </c>
      <c r="R2007">
        <f t="shared" si="190"/>
        <v>48700000</v>
      </c>
      <c r="S2007" t="str">
        <f t="shared" si="191"/>
        <v>Strong</v>
      </c>
    </row>
    <row r="2008" spans="1:19" x14ac:dyDescent="0.25">
      <c r="A2008">
        <v>2007</v>
      </c>
      <c r="B2008">
        <v>3</v>
      </c>
      <c r="C2008" t="s">
        <v>30</v>
      </c>
      <c r="D2008" t="s">
        <v>32</v>
      </c>
      <c r="E2008">
        <v>8600000</v>
      </c>
      <c r="F2008">
        <v>23600000</v>
      </c>
      <c r="G2008">
        <v>4</v>
      </c>
      <c r="H2008">
        <v>324</v>
      </c>
      <c r="I2008">
        <v>13800000</v>
      </c>
      <c r="J2008">
        <v>3800000</v>
      </c>
      <c r="K2008">
        <v>28500000</v>
      </c>
      <c r="L2008">
        <v>4300000</v>
      </c>
      <c r="M2008" t="s">
        <v>35</v>
      </c>
      <c r="N2008">
        <f t="shared" si="187"/>
        <v>0</v>
      </c>
      <c r="O2008" t="str">
        <f t="shared" si="186"/>
        <v>Low</v>
      </c>
      <c r="P2008" t="str">
        <f t="shared" si="188"/>
        <v>High</v>
      </c>
      <c r="Q2008" t="str">
        <f t="shared" si="189"/>
        <v>High Loan</v>
      </c>
      <c r="R2008">
        <f t="shared" si="190"/>
        <v>50400000</v>
      </c>
      <c r="S2008" t="str">
        <f t="shared" si="191"/>
        <v>Strong</v>
      </c>
    </row>
    <row r="2009" spans="1:19" x14ac:dyDescent="0.25">
      <c r="A2009">
        <v>2008</v>
      </c>
      <c r="B2009">
        <v>5</v>
      </c>
      <c r="C2009" t="s">
        <v>30</v>
      </c>
      <c r="D2009" t="s">
        <v>32</v>
      </c>
      <c r="E2009">
        <v>7900000</v>
      </c>
      <c r="F2009">
        <v>28600000</v>
      </c>
      <c r="G2009">
        <v>12</v>
      </c>
      <c r="H2009">
        <v>812</v>
      </c>
      <c r="I2009">
        <v>12100000</v>
      </c>
      <c r="J2009">
        <v>14400000</v>
      </c>
      <c r="K2009">
        <v>30000000</v>
      </c>
      <c r="L2009">
        <v>11700000</v>
      </c>
      <c r="M2009" t="s">
        <v>34</v>
      </c>
      <c r="N2009">
        <f t="shared" si="187"/>
        <v>1</v>
      </c>
      <c r="O2009" t="str">
        <f t="shared" si="186"/>
        <v>Excellent</v>
      </c>
      <c r="P2009" t="str">
        <f t="shared" si="188"/>
        <v>High</v>
      </c>
      <c r="Q2009" t="str">
        <f t="shared" si="189"/>
        <v>High Loan</v>
      </c>
      <c r="R2009">
        <f t="shared" si="190"/>
        <v>68200000</v>
      </c>
      <c r="S2009" t="str">
        <f t="shared" si="191"/>
        <v>Strong</v>
      </c>
    </row>
    <row r="2010" spans="1:19" x14ac:dyDescent="0.25">
      <c r="A2010">
        <v>2009</v>
      </c>
      <c r="B2010">
        <v>5</v>
      </c>
      <c r="C2010" t="s">
        <v>30</v>
      </c>
      <c r="D2010" t="s">
        <v>33</v>
      </c>
      <c r="E2010">
        <v>6800000</v>
      </c>
      <c r="F2010">
        <v>22600000</v>
      </c>
      <c r="G2010">
        <v>2</v>
      </c>
      <c r="H2010">
        <v>804</v>
      </c>
      <c r="I2010">
        <v>3500000</v>
      </c>
      <c r="J2010">
        <v>12500000</v>
      </c>
      <c r="K2010">
        <v>18200000</v>
      </c>
      <c r="L2010">
        <v>9900000</v>
      </c>
      <c r="M2010" t="s">
        <v>34</v>
      </c>
      <c r="N2010">
        <f t="shared" si="187"/>
        <v>1</v>
      </c>
      <c r="O2010" t="str">
        <f t="shared" si="186"/>
        <v>Excellent</v>
      </c>
      <c r="P2010" t="str">
        <f t="shared" si="188"/>
        <v>High</v>
      </c>
      <c r="Q2010" t="str">
        <f t="shared" si="189"/>
        <v>High Loan</v>
      </c>
      <c r="R2010">
        <f t="shared" si="190"/>
        <v>44100000</v>
      </c>
      <c r="S2010" t="str">
        <f t="shared" si="191"/>
        <v>Strong</v>
      </c>
    </row>
    <row r="2011" spans="1:19" x14ac:dyDescent="0.25">
      <c r="A2011">
        <v>2010</v>
      </c>
      <c r="B2011">
        <v>4</v>
      </c>
      <c r="C2011" t="s">
        <v>30</v>
      </c>
      <c r="D2011" t="s">
        <v>32</v>
      </c>
      <c r="E2011">
        <v>700000</v>
      </c>
      <c r="F2011">
        <v>1800000</v>
      </c>
      <c r="G2011">
        <v>8</v>
      </c>
      <c r="H2011">
        <v>874</v>
      </c>
      <c r="I2011">
        <v>1600000</v>
      </c>
      <c r="J2011">
        <v>1000000</v>
      </c>
      <c r="K2011">
        <v>1300000</v>
      </c>
      <c r="L2011">
        <v>300000</v>
      </c>
      <c r="M2011" t="s">
        <v>34</v>
      </c>
      <c r="N2011">
        <f t="shared" si="187"/>
        <v>1</v>
      </c>
      <c r="O2011" t="str">
        <f t="shared" si="186"/>
        <v>Excellent</v>
      </c>
      <c r="P2011" t="str">
        <f t="shared" si="188"/>
        <v>High</v>
      </c>
      <c r="Q2011" t="str">
        <f t="shared" si="189"/>
        <v>Low Loan</v>
      </c>
      <c r="R2011">
        <f t="shared" si="190"/>
        <v>4200000</v>
      </c>
      <c r="S2011" t="str">
        <f t="shared" si="191"/>
        <v>Weak</v>
      </c>
    </row>
    <row r="2012" spans="1:19" x14ac:dyDescent="0.25">
      <c r="A2012">
        <v>2011</v>
      </c>
      <c r="B2012">
        <v>2</v>
      </c>
      <c r="C2012" t="s">
        <v>31</v>
      </c>
      <c r="D2012" t="s">
        <v>33</v>
      </c>
      <c r="E2012">
        <v>3800000</v>
      </c>
      <c r="F2012">
        <v>10000000</v>
      </c>
      <c r="G2012">
        <v>12</v>
      </c>
      <c r="H2012">
        <v>516</v>
      </c>
      <c r="I2012">
        <v>2400000</v>
      </c>
      <c r="J2012">
        <v>4200000</v>
      </c>
      <c r="K2012">
        <v>14200000</v>
      </c>
      <c r="L2012">
        <v>5100000</v>
      </c>
      <c r="M2012" t="s">
        <v>35</v>
      </c>
      <c r="N2012">
        <f t="shared" si="187"/>
        <v>0</v>
      </c>
      <c r="O2012" t="str">
        <f t="shared" si="186"/>
        <v>Low</v>
      </c>
      <c r="P2012" t="str">
        <f t="shared" si="188"/>
        <v>High</v>
      </c>
      <c r="Q2012" t="str">
        <f t="shared" si="189"/>
        <v>Low Loan</v>
      </c>
      <c r="R2012">
        <f t="shared" si="190"/>
        <v>25900000</v>
      </c>
      <c r="S2012" t="str">
        <f t="shared" si="191"/>
        <v>Strong</v>
      </c>
    </row>
    <row r="2013" spans="1:19" x14ac:dyDescent="0.25">
      <c r="A2013">
        <v>2012</v>
      </c>
      <c r="B2013">
        <v>5</v>
      </c>
      <c r="C2013" t="s">
        <v>30</v>
      </c>
      <c r="D2013" t="s">
        <v>33</v>
      </c>
      <c r="E2013">
        <v>6900000</v>
      </c>
      <c r="F2013">
        <v>18300000</v>
      </c>
      <c r="G2013">
        <v>4</v>
      </c>
      <c r="H2013">
        <v>402</v>
      </c>
      <c r="I2013">
        <v>12600000</v>
      </c>
      <c r="J2013">
        <v>13100000</v>
      </c>
      <c r="K2013">
        <v>23200000</v>
      </c>
      <c r="L2013">
        <v>6100000</v>
      </c>
      <c r="M2013" t="s">
        <v>35</v>
      </c>
      <c r="N2013">
        <f t="shared" si="187"/>
        <v>0</v>
      </c>
      <c r="O2013" t="str">
        <f t="shared" si="186"/>
        <v>Low</v>
      </c>
      <c r="P2013" t="str">
        <f t="shared" si="188"/>
        <v>High</v>
      </c>
      <c r="Q2013" t="str">
        <f t="shared" si="189"/>
        <v>Low Loan</v>
      </c>
      <c r="R2013">
        <f t="shared" si="190"/>
        <v>55000000</v>
      </c>
      <c r="S2013" t="str">
        <f t="shared" si="191"/>
        <v>Strong</v>
      </c>
    </row>
    <row r="2014" spans="1:19" x14ac:dyDescent="0.25">
      <c r="A2014">
        <v>2013</v>
      </c>
      <c r="B2014">
        <v>1</v>
      </c>
      <c r="C2014" t="s">
        <v>30</v>
      </c>
      <c r="D2014" t="s">
        <v>33</v>
      </c>
      <c r="E2014">
        <v>3700000</v>
      </c>
      <c r="F2014">
        <v>12400000</v>
      </c>
      <c r="G2014">
        <v>12</v>
      </c>
      <c r="H2014">
        <v>330</v>
      </c>
      <c r="I2014">
        <v>3400000</v>
      </c>
      <c r="J2014">
        <v>1000000</v>
      </c>
      <c r="K2014">
        <v>10400000</v>
      </c>
      <c r="L2014">
        <v>2800000</v>
      </c>
      <c r="M2014" t="s">
        <v>35</v>
      </c>
      <c r="N2014">
        <f t="shared" si="187"/>
        <v>0</v>
      </c>
      <c r="O2014" t="str">
        <f t="shared" si="186"/>
        <v>Low</v>
      </c>
      <c r="P2014" t="str">
        <f t="shared" si="188"/>
        <v>High</v>
      </c>
      <c r="Q2014" t="str">
        <f t="shared" si="189"/>
        <v>Low Loan</v>
      </c>
      <c r="R2014">
        <f t="shared" si="190"/>
        <v>17600000</v>
      </c>
      <c r="S2014" t="str">
        <f t="shared" si="191"/>
        <v>Strong</v>
      </c>
    </row>
    <row r="2015" spans="1:19" x14ac:dyDescent="0.25">
      <c r="A2015">
        <v>2014</v>
      </c>
      <c r="B2015">
        <v>1</v>
      </c>
      <c r="C2015" t="s">
        <v>30</v>
      </c>
      <c r="D2015" t="s">
        <v>32</v>
      </c>
      <c r="E2015">
        <v>7900000</v>
      </c>
      <c r="F2015">
        <v>24000000</v>
      </c>
      <c r="G2015">
        <v>12</v>
      </c>
      <c r="H2015">
        <v>867</v>
      </c>
      <c r="I2015">
        <v>20500000</v>
      </c>
      <c r="J2015">
        <v>10000000</v>
      </c>
      <c r="K2015">
        <v>30700000</v>
      </c>
      <c r="L2015">
        <v>9400000</v>
      </c>
      <c r="M2015" t="s">
        <v>34</v>
      </c>
      <c r="N2015">
        <f t="shared" si="187"/>
        <v>1</v>
      </c>
      <c r="O2015" t="str">
        <f t="shared" si="186"/>
        <v>Excellent</v>
      </c>
      <c r="P2015" t="str">
        <f t="shared" si="188"/>
        <v>High</v>
      </c>
      <c r="Q2015" t="str">
        <f t="shared" si="189"/>
        <v>High Loan</v>
      </c>
      <c r="R2015">
        <f t="shared" si="190"/>
        <v>70600000</v>
      </c>
      <c r="S2015" t="str">
        <f t="shared" si="191"/>
        <v>Strong</v>
      </c>
    </row>
    <row r="2016" spans="1:19" x14ac:dyDescent="0.25">
      <c r="A2016">
        <v>2015</v>
      </c>
      <c r="B2016">
        <v>4</v>
      </c>
      <c r="C2016" t="s">
        <v>30</v>
      </c>
      <c r="D2016" t="s">
        <v>33</v>
      </c>
      <c r="E2016">
        <v>8800000</v>
      </c>
      <c r="F2016">
        <v>34200000</v>
      </c>
      <c r="G2016">
        <v>16</v>
      </c>
      <c r="H2016">
        <v>844</v>
      </c>
      <c r="I2016">
        <v>18700000</v>
      </c>
      <c r="J2016">
        <v>11000000</v>
      </c>
      <c r="K2016">
        <v>20700000</v>
      </c>
      <c r="L2016">
        <v>10700000</v>
      </c>
      <c r="M2016" t="s">
        <v>34</v>
      </c>
      <c r="N2016">
        <f t="shared" si="187"/>
        <v>1</v>
      </c>
      <c r="O2016" t="str">
        <f t="shared" si="186"/>
        <v>Excellent</v>
      </c>
      <c r="P2016" t="str">
        <f t="shared" si="188"/>
        <v>High</v>
      </c>
      <c r="Q2016" t="str">
        <f t="shared" si="189"/>
        <v>High Loan</v>
      </c>
      <c r="R2016">
        <f t="shared" si="190"/>
        <v>61100000</v>
      </c>
      <c r="S2016" t="str">
        <f t="shared" si="191"/>
        <v>Strong</v>
      </c>
    </row>
    <row r="2017" spans="1:19" x14ac:dyDescent="0.25">
      <c r="A2017">
        <v>2016</v>
      </c>
      <c r="B2017">
        <v>5</v>
      </c>
      <c r="C2017" t="s">
        <v>31</v>
      </c>
      <c r="D2017" t="s">
        <v>33</v>
      </c>
      <c r="E2017">
        <v>3300000</v>
      </c>
      <c r="F2017">
        <v>7800000</v>
      </c>
      <c r="G2017">
        <v>8</v>
      </c>
      <c r="H2017">
        <v>310</v>
      </c>
      <c r="I2017">
        <v>3000000</v>
      </c>
      <c r="J2017">
        <v>3900000</v>
      </c>
      <c r="K2017">
        <v>8300000</v>
      </c>
      <c r="L2017">
        <v>4200000</v>
      </c>
      <c r="M2017" t="s">
        <v>35</v>
      </c>
      <c r="N2017">
        <f t="shared" si="187"/>
        <v>0</v>
      </c>
      <c r="O2017" t="str">
        <f t="shared" si="186"/>
        <v>Low</v>
      </c>
      <c r="P2017" t="str">
        <f t="shared" si="188"/>
        <v>High</v>
      </c>
      <c r="Q2017" t="str">
        <f t="shared" si="189"/>
        <v>Low Loan</v>
      </c>
      <c r="R2017">
        <f t="shared" si="190"/>
        <v>19400000</v>
      </c>
      <c r="S2017" t="str">
        <f t="shared" si="191"/>
        <v>Strong</v>
      </c>
    </row>
    <row r="2018" spans="1:19" x14ac:dyDescent="0.25">
      <c r="A2018">
        <v>2017</v>
      </c>
      <c r="B2018">
        <v>4</v>
      </c>
      <c r="C2018" t="s">
        <v>31</v>
      </c>
      <c r="D2018" t="s">
        <v>32</v>
      </c>
      <c r="E2018">
        <v>5800000</v>
      </c>
      <c r="F2018">
        <v>14200000</v>
      </c>
      <c r="G2018">
        <v>20</v>
      </c>
      <c r="H2018">
        <v>535</v>
      </c>
      <c r="I2018">
        <v>10200000</v>
      </c>
      <c r="J2018">
        <v>4000000</v>
      </c>
      <c r="K2018">
        <v>21100000</v>
      </c>
      <c r="L2018">
        <v>3400000</v>
      </c>
      <c r="M2018" t="s">
        <v>35</v>
      </c>
      <c r="N2018">
        <f t="shared" si="187"/>
        <v>0</v>
      </c>
      <c r="O2018" t="str">
        <f t="shared" si="186"/>
        <v>Low</v>
      </c>
      <c r="P2018" t="str">
        <f t="shared" si="188"/>
        <v>High</v>
      </c>
      <c r="Q2018" t="str">
        <f t="shared" si="189"/>
        <v>Low Loan</v>
      </c>
      <c r="R2018">
        <f t="shared" si="190"/>
        <v>38700000</v>
      </c>
      <c r="S2018" t="str">
        <f t="shared" si="191"/>
        <v>Strong</v>
      </c>
    </row>
    <row r="2019" spans="1:19" x14ac:dyDescent="0.25">
      <c r="A2019">
        <v>2018</v>
      </c>
      <c r="B2019">
        <v>1</v>
      </c>
      <c r="C2019" t="s">
        <v>30</v>
      </c>
      <c r="D2019" t="s">
        <v>33</v>
      </c>
      <c r="E2019">
        <v>7400000</v>
      </c>
      <c r="F2019">
        <v>29500000</v>
      </c>
      <c r="G2019">
        <v>16</v>
      </c>
      <c r="H2019">
        <v>323</v>
      </c>
      <c r="I2019">
        <v>10000000</v>
      </c>
      <c r="J2019">
        <v>4400000</v>
      </c>
      <c r="K2019">
        <v>29400000</v>
      </c>
      <c r="L2019">
        <v>8100000</v>
      </c>
      <c r="M2019" t="s">
        <v>35</v>
      </c>
      <c r="N2019">
        <f t="shared" si="187"/>
        <v>0</v>
      </c>
      <c r="O2019" t="str">
        <f t="shared" si="186"/>
        <v>Low</v>
      </c>
      <c r="P2019" t="str">
        <f t="shared" si="188"/>
        <v>High</v>
      </c>
      <c r="Q2019" t="str">
        <f t="shared" si="189"/>
        <v>High Loan</v>
      </c>
      <c r="R2019">
        <f t="shared" si="190"/>
        <v>51900000</v>
      </c>
      <c r="S2019" t="str">
        <f t="shared" si="191"/>
        <v>Strong</v>
      </c>
    </row>
    <row r="2020" spans="1:19" x14ac:dyDescent="0.25">
      <c r="A2020">
        <v>2019</v>
      </c>
      <c r="B2020">
        <v>1</v>
      </c>
      <c r="C2020" t="s">
        <v>30</v>
      </c>
      <c r="D2020" t="s">
        <v>32</v>
      </c>
      <c r="E2020">
        <v>8200000</v>
      </c>
      <c r="F2020">
        <v>25600000</v>
      </c>
      <c r="G2020">
        <v>4</v>
      </c>
      <c r="H2020">
        <v>686</v>
      </c>
      <c r="I2020">
        <v>2000000</v>
      </c>
      <c r="J2020">
        <v>5900000</v>
      </c>
      <c r="K2020">
        <v>17300000</v>
      </c>
      <c r="L2020">
        <v>4400000</v>
      </c>
      <c r="M2020" t="s">
        <v>34</v>
      </c>
      <c r="N2020">
        <f t="shared" si="187"/>
        <v>1</v>
      </c>
      <c r="O2020" t="str">
        <f t="shared" si="186"/>
        <v>Medium</v>
      </c>
      <c r="P2020" t="str">
        <f t="shared" si="188"/>
        <v>High</v>
      </c>
      <c r="Q2020" t="str">
        <f t="shared" si="189"/>
        <v>High Loan</v>
      </c>
      <c r="R2020">
        <f t="shared" si="190"/>
        <v>29600000</v>
      </c>
      <c r="S2020" t="str">
        <f t="shared" si="191"/>
        <v>Strong</v>
      </c>
    </row>
    <row r="2021" spans="1:19" x14ac:dyDescent="0.25">
      <c r="A2021">
        <v>2020</v>
      </c>
      <c r="B2021">
        <v>0</v>
      </c>
      <c r="C2021" t="s">
        <v>31</v>
      </c>
      <c r="D2021" t="s">
        <v>33</v>
      </c>
      <c r="E2021">
        <v>3300000</v>
      </c>
      <c r="F2021">
        <v>9600000</v>
      </c>
      <c r="G2021">
        <v>8</v>
      </c>
      <c r="H2021">
        <v>465</v>
      </c>
      <c r="I2021">
        <v>6100000</v>
      </c>
      <c r="J2021">
        <v>700000</v>
      </c>
      <c r="K2021">
        <v>9700000</v>
      </c>
      <c r="L2021">
        <v>2000000</v>
      </c>
      <c r="M2021" t="s">
        <v>35</v>
      </c>
      <c r="N2021">
        <f t="shared" si="187"/>
        <v>0</v>
      </c>
      <c r="O2021" t="str">
        <f t="shared" si="186"/>
        <v>Low</v>
      </c>
      <c r="P2021" t="str">
        <f t="shared" si="188"/>
        <v>High</v>
      </c>
      <c r="Q2021" t="str">
        <f t="shared" si="189"/>
        <v>Low Loan</v>
      </c>
      <c r="R2021">
        <f t="shared" si="190"/>
        <v>18500000</v>
      </c>
      <c r="S2021" t="str">
        <f t="shared" si="191"/>
        <v>Strong</v>
      </c>
    </row>
    <row r="2022" spans="1:19" x14ac:dyDescent="0.25">
      <c r="A2022">
        <v>2021</v>
      </c>
      <c r="B2022">
        <v>4</v>
      </c>
      <c r="C2022" t="s">
        <v>30</v>
      </c>
      <c r="D2022" t="s">
        <v>33</v>
      </c>
      <c r="E2022">
        <v>5300000</v>
      </c>
      <c r="F2022">
        <v>10700000</v>
      </c>
      <c r="G2022">
        <v>12</v>
      </c>
      <c r="H2022">
        <v>547</v>
      </c>
      <c r="I2022">
        <v>1000000</v>
      </c>
      <c r="J2022">
        <v>10200000</v>
      </c>
      <c r="K2022">
        <v>11600000</v>
      </c>
      <c r="L2022">
        <v>5700000</v>
      </c>
      <c r="M2022" t="s">
        <v>35</v>
      </c>
      <c r="N2022">
        <f t="shared" si="187"/>
        <v>0</v>
      </c>
      <c r="O2022" t="str">
        <f t="shared" si="186"/>
        <v>Low</v>
      </c>
      <c r="P2022" t="str">
        <f t="shared" si="188"/>
        <v>High</v>
      </c>
      <c r="Q2022" t="str">
        <f t="shared" si="189"/>
        <v>Low Loan</v>
      </c>
      <c r="R2022">
        <f t="shared" si="190"/>
        <v>28500000</v>
      </c>
      <c r="S2022" t="str">
        <f t="shared" si="191"/>
        <v>Strong</v>
      </c>
    </row>
    <row r="2023" spans="1:19" x14ac:dyDescent="0.25">
      <c r="A2023">
        <v>2022</v>
      </c>
      <c r="B2023">
        <v>1</v>
      </c>
      <c r="C2023" t="s">
        <v>31</v>
      </c>
      <c r="D2023" t="s">
        <v>32</v>
      </c>
      <c r="E2023">
        <v>5700000</v>
      </c>
      <c r="F2023">
        <v>19100000</v>
      </c>
      <c r="G2023">
        <v>12</v>
      </c>
      <c r="H2023">
        <v>649</v>
      </c>
      <c r="I2023">
        <v>9400000</v>
      </c>
      <c r="J2023">
        <v>10200000</v>
      </c>
      <c r="K2023">
        <v>16400000</v>
      </c>
      <c r="L2023">
        <v>4500000</v>
      </c>
      <c r="M2023" t="s">
        <v>34</v>
      </c>
      <c r="N2023">
        <f t="shared" si="187"/>
        <v>1</v>
      </c>
      <c r="O2023" t="str">
        <f t="shared" si="186"/>
        <v>Low</v>
      </c>
      <c r="P2023" t="str">
        <f t="shared" si="188"/>
        <v>High</v>
      </c>
      <c r="Q2023" t="str">
        <f t="shared" si="189"/>
        <v>Low Loan</v>
      </c>
      <c r="R2023">
        <f t="shared" si="190"/>
        <v>40500000</v>
      </c>
      <c r="S2023" t="str">
        <f t="shared" si="191"/>
        <v>Strong</v>
      </c>
    </row>
    <row r="2024" spans="1:19" x14ac:dyDescent="0.25">
      <c r="A2024">
        <v>2023</v>
      </c>
      <c r="B2024">
        <v>2</v>
      </c>
      <c r="C2024" t="s">
        <v>31</v>
      </c>
      <c r="D2024" t="s">
        <v>32</v>
      </c>
      <c r="E2024">
        <v>9000000</v>
      </c>
      <c r="F2024">
        <v>31000000</v>
      </c>
      <c r="G2024">
        <v>14</v>
      </c>
      <c r="H2024">
        <v>670</v>
      </c>
      <c r="I2024">
        <v>21300000</v>
      </c>
      <c r="J2024">
        <v>5400000</v>
      </c>
      <c r="K2024">
        <v>31100000</v>
      </c>
      <c r="L2024">
        <v>12900000</v>
      </c>
      <c r="M2024" t="s">
        <v>34</v>
      </c>
      <c r="N2024">
        <f t="shared" si="187"/>
        <v>1</v>
      </c>
      <c r="O2024" t="str">
        <f t="shared" si="186"/>
        <v>Medium</v>
      </c>
      <c r="P2024" t="str">
        <f t="shared" si="188"/>
        <v>High</v>
      </c>
      <c r="Q2024" t="str">
        <f t="shared" si="189"/>
        <v>High Loan</v>
      </c>
      <c r="R2024">
        <f t="shared" si="190"/>
        <v>70700000</v>
      </c>
      <c r="S2024" t="str">
        <f t="shared" si="191"/>
        <v>Strong</v>
      </c>
    </row>
    <row r="2025" spans="1:19" x14ac:dyDescent="0.25">
      <c r="A2025">
        <v>2024</v>
      </c>
      <c r="B2025">
        <v>3</v>
      </c>
      <c r="C2025" t="s">
        <v>30</v>
      </c>
      <c r="D2025" t="s">
        <v>32</v>
      </c>
      <c r="E2025">
        <v>5900000</v>
      </c>
      <c r="F2025">
        <v>14400000</v>
      </c>
      <c r="G2025">
        <v>10</v>
      </c>
      <c r="H2025">
        <v>408</v>
      </c>
      <c r="I2025">
        <v>2400000</v>
      </c>
      <c r="J2025">
        <v>5100000</v>
      </c>
      <c r="K2025">
        <v>23000000</v>
      </c>
      <c r="L2025">
        <v>3700000</v>
      </c>
      <c r="M2025" t="s">
        <v>35</v>
      </c>
      <c r="N2025">
        <f t="shared" si="187"/>
        <v>0</v>
      </c>
      <c r="O2025" t="str">
        <f t="shared" si="186"/>
        <v>Low</v>
      </c>
      <c r="P2025" t="str">
        <f t="shared" si="188"/>
        <v>High</v>
      </c>
      <c r="Q2025" t="str">
        <f t="shared" si="189"/>
        <v>Low Loan</v>
      </c>
      <c r="R2025">
        <f t="shared" si="190"/>
        <v>34200000</v>
      </c>
      <c r="S2025" t="str">
        <f t="shared" si="191"/>
        <v>Strong</v>
      </c>
    </row>
    <row r="2026" spans="1:19" x14ac:dyDescent="0.25">
      <c r="A2026">
        <v>2025</v>
      </c>
      <c r="B2026">
        <v>2</v>
      </c>
      <c r="C2026" t="s">
        <v>31</v>
      </c>
      <c r="D2026" t="s">
        <v>32</v>
      </c>
      <c r="E2026">
        <v>5400000</v>
      </c>
      <c r="F2026">
        <v>11900000</v>
      </c>
      <c r="G2026">
        <v>6</v>
      </c>
      <c r="H2026">
        <v>303</v>
      </c>
      <c r="I2026">
        <v>15000000</v>
      </c>
      <c r="J2026">
        <v>9200000</v>
      </c>
      <c r="K2026">
        <v>15400000</v>
      </c>
      <c r="L2026">
        <v>6900000</v>
      </c>
      <c r="M2026" t="s">
        <v>35</v>
      </c>
      <c r="N2026">
        <f t="shared" si="187"/>
        <v>0</v>
      </c>
      <c r="O2026" t="str">
        <f t="shared" si="186"/>
        <v>Low</v>
      </c>
      <c r="P2026" t="str">
        <f t="shared" si="188"/>
        <v>High</v>
      </c>
      <c r="Q2026" t="str">
        <f t="shared" si="189"/>
        <v>Low Loan</v>
      </c>
      <c r="R2026">
        <f t="shared" si="190"/>
        <v>46500000</v>
      </c>
      <c r="S2026" t="str">
        <f t="shared" si="191"/>
        <v>Strong</v>
      </c>
    </row>
    <row r="2027" spans="1:19" x14ac:dyDescent="0.25">
      <c r="A2027">
        <v>2026</v>
      </c>
      <c r="B2027">
        <v>0</v>
      </c>
      <c r="C2027" t="s">
        <v>30</v>
      </c>
      <c r="D2027" t="s">
        <v>32</v>
      </c>
      <c r="E2027">
        <v>9800000</v>
      </c>
      <c r="F2027">
        <v>34800000</v>
      </c>
      <c r="G2027">
        <v>14</v>
      </c>
      <c r="H2027">
        <v>497</v>
      </c>
      <c r="I2027">
        <v>3000000</v>
      </c>
      <c r="J2027">
        <v>2200000</v>
      </c>
      <c r="K2027">
        <v>23800000</v>
      </c>
      <c r="L2027">
        <v>9600000</v>
      </c>
      <c r="M2027" t="s">
        <v>35</v>
      </c>
      <c r="N2027">
        <f t="shared" si="187"/>
        <v>0</v>
      </c>
      <c r="O2027" t="str">
        <f t="shared" si="186"/>
        <v>Low</v>
      </c>
      <c r="P2027" t="str">
        <f t="shared" si="188"/>
        <v>High</v>
      </c>
      <c r="Q2027" t="str">
        <f t="shared" si="189"/>
        <v>High Loan</v>
      </c>
      <c r="R2027">
        <f t="shared" si="190"/>
        <v>38600000</v>
      </c>
      <c r="S2027" t="str">
        <f t="shared" si="191"/>
        <v>Strong</v>
      </c>
    </row>
    <row r="2028" spans="1:19" x14ac:dyDescent="0.25">
      <c r="A2028">
        <v>2027</v>
      </c>
      <c r="B2028">
        <v>4</v>
      </c>
      <c r="C2028" t="s">
        <v>30</v>
      </c>
      <c r="D2028" t="s">
        <v>33</v>
      </c>
      <c r="E2028">
        <v>9800000</v>
      </c>
      <c r="F2028">
        <v>34100000</v>
      </c>
      <c r="G2028">
        <v>14</v>
      </c>
      <c r="H2028">
        <v>740</v>
      </c>
      <c r="I2028">
        <v>6500000</v>
      </c>
      <c r="J2028">
        <v>16900000</v>
      </c>
      <c r="K2028">
        <v>27100000</v>
      </c>
      <c r="L2028">
        <v>5100000</v>
      </c>
      <c r="M2028" t="s">
        <v>34</v>
      </c>
      <c r="N2028">
        <f t="shared" si="187"/>
        <v>1</v>
      </c>
      <c r="O2028" t="str">
        <f t="shared" si="186"/>
        <v>Good</v>
      </c>
      <c r="P2028" t="str">
        <f t="shared" si="188"/>
        <v>High</v>
      </c>
      <c r="Q2028" t="str">
        <f t="shared" si="189"/>
        <v>High Loan</v>
      </c>
      <c r="R2028">
        <f t="shared" si="190"/>
        <v>55600000</v>
      </c>
      <c r="S2028" t="str">
        <f t="shared" si="191"/>
        <v>Strong</v>
      </c>
    </row>
    <row r="2029" spans="1:19" x14ac:dyDescent="0.25">
      <c r="A2029">
        <v>2028</v>
      </c>
      <c r="B2029">
        <v>4</v>
      </c>
      <c r="C2029" t="s">
        <v>31</v>
      </c>
      <c r="D2029" t="s">
        <v>33</v>
      </c>
      <c r="E2029">
        <v>3800000</v>
      </c>
      <c r="F2029">
        <v>8200000</v>
      </c>
      <c r="G2029">
        <v>4</v>
      </c>
      <c r="H2029">
        <v>309</v>
      </c>
      <c r="I2029">
        <v>10900000</v>
      </c>
      <c r="J2029">
        <v>3900000</v>
      </c>
      <c r="K2029">
        <v>10200000</v>
      </c>
      <c r="L2029">
        <v>3300000</v>
      </c>
      <c r="M2029" t="s">
        <v>35</v>
      </c>
      <c r="N2029">
        <f t="shared" si="187"/>
        <v>0</v>
      </c>
      <c r="O2029" t="str">
        <f t="shared" si="186"/>
        <v>Low</v>
      </c>
      <c r="P2029" t="str">
        <f t="shared" si="188"/>
        <v>High</v>
      </c>
      <c r="Q2029" t="str">
        <f t="shared" si="189"/>
        <v>Low Loan</v>
      </c>
      <c r="R2029">
        <f t="shared" si="190"/>
        <v>28300000</v>
      </c>
      <c r="S2029" t="str">
        <f t="shared" si="191"/>
        <v>Strong</v>
      </c>
    </row>
    <row r="2030" spans="1:19" x14ac:dyDescent="0.25">
      <c r="A2030">
        <v>2029</v>
      </c>
      <c r="B2030">
        <v>0</v>
      </c>
      <c r="C2030" t="s">
        <v>31</v>
      </c>
      <c r="D2030" t="s">
        <v>32</v>
      </c>
      <c r="E2030">
        <v>9500000</v>
      </c>
      <c r="F2030">
        <v>24400000</v>
      </c>
      <c r="G2030">
        <v>14</v>
      </c>
      <c r="H2030">
        <v>769</v>
      </c>
      <c r="I2030">
        <v>14400000</v>
      </c>
      <c r="J2030">
        <v>2400000</v>
      </c>
      <c r="K2030">
        <v>30800000</v>
      </c>
      <c r="L2030">
        <v>14200000</v>
      </c>
      <c r="M2030" t="s">
        <v>34</v>
      </c>
      <c r="N2030">
        <f t="shared" si="187"/>
        <v>1</v>
      </c>
      <c r="O2030" t="str">
        <f t="shared" si="186"/>
        <v>Excellent</v>
      </c>
      <c r="P2030" t="str">
        <f t="shared" si="188"/>
        <v>High</v>
      </c>
      <c r="Q2030" t="str">
        <f t="shared" si="189"/>
        <v>High Loan</v>
      </c>
      <c r="R2030">
        <f t="shared" si="190"/>
        <v>61800000</v>
      </c>
      <c r="S2030" t="str">
        <f t="shared" si="191"/>
        <v>Strong</v>
      </c>
    </row>
    <row r="2031" spans="1:19" x14ac:dyDescent="0.25">
      <c r="A2031">
        <v>2030</v>
      </c>
      <c r="B2031">
        <v>3</v>
      </c>
      <c r="C2031" t="s">
        <v>30</v>
      </c>
      <c r="D2031" t="s">
        <v>33</v>
      </c>
      <c r="E2031">
        <v>2500000</v>
      </c>
      <c r="F2031">
        <v>7100000</v>
      </c>
      <c r="G2031">
        <v>6</v>
      </c>
      <c r="H2031">
        <v>420</v>
      </c>
      <c r="I2031">
        <v>3800000</v>
      </c>
      <c r="J2031">
        <v>3300000</v>
      </c>
      <c r="K2031">
        <v>8700000</v>
      </c>
      <c r="L2031">
        <v>3000000</v>
      </c>
      <c r="M2031" t="s">
        <v>35</v>
      </c>
      <c r="N2031">
        <f t="shared" si="187"/>
        <v>0</v>
      </c>
      <c r="O2031" t="str">
        <f t="shared" si="186"/>
        <v>Low</v>
      </c>
      <c r="P2031" t="str">
        <f t="shared" si="188"/>
        <v>High</v>
      </c>
      <c r="Q2031" t="str">
        <f t="shared" si="189"/>
        <v>Low Loan</v>
      </c>
      <c r="R2031">
        <f t="shared" si="190"/>
        <v>18800000</v>
      </c>
      <c r="S2031" t="str">
        <f t="shared" si="191"/>
        <v>Strong</v>
      </c>
    </row>
    <row r="2032" spans="1:19" x14ac:dyDescent="0.25">
      <c r="A2032">
        <v>2031</v>
      </c>
      <c r="B2032">
        <v>1</v>
      </c>
      <c r="C2032" t="s">
        <v>30</v>
      </c>
      <c r="D2032" t="s">
        <v>32</v>
      </c>
      <c r="E2032">
        <v>1900000</v>
      </c>
      <c r="F2032">
        <v>6000000</v>
      </c>
      <c r="G2032">
        <v>20</v>
      </c>
      <c r="H2032">
        <v>540</v>
      </c>
      <c r="I2032">
        <v>1100000</v>
      </c>
      <c r="J2032">
        <v>1400000</v>
      </c>
      <c r="K2032">
        <v>4300000</v>
      </c>
      <c r="L2032">
        <v>1300000</v>
      </c>
      <c r="M2032" t="s">
        <v>35</v>
      </c>
      <c r="N2032">
        <f t="shared" si="187"/>
        <v>0</v>
      </c>
      <c r="O2032" t="str">
        <f t="shared" si="186"/>
        <v>Low</v>
      </c>
      <c r="P2032" t="str">
        <f t="shared" si="188"/>
        <v>High</v>
      </c>
      <c r="Q2032" t="str">
        <f t="shared" si="189"/>
        <v>Low Loan</v>
      </c>
      <c r="R2032">
        <f t="shared" si="190"/>
        <v>8100000</v>
      </c>
      <c r="S2032" t="str">
        <f t="shared" si="191"/>
        <v>Moderate</v>
      </c>
    </row>
    <row r="2033" spans="1:19" x14ac:dyDescent="0.25">
      <c r="A2033">
        <v>2032</v>
      </c>
      <c r="B2033">
        <v>5</v>
      </c>
      <c r="C2033" t="s">
        <v>30</v>
      </c>
      <c r="D2033" t="s">
        <v>33</v>
      </c>
      <c r="E2033">
        <v>4400000</v>
      </c>
      <c r="F2033">
        <v>10600000</v>
      </c>
      <c r="G2033">
        <v>20</v>
      </c>
      <c r="H2033">
        <v>806</v>
      </c>
      <c r="I2033">
        <v>9700000</v>
      </c>
      <c r="J2033">
        <v>3600000</v>
      </c>
      <c r="K2033">
        <v>10800000</v>
      </c>
      <c r="L2033">
        <v>2500000</v>
      </c>
      <c r="M2033" t="s">
        <v>34</v>
      </c>
      <c r="N2033">
        <f t="shared" si="187"/>
        <v>1</v>
      </c>
      <c r="O2033" t="str">
        <f t="shared" si="186"/>
        <v>Excellent</v>
      </c>
      <c r="P2033" t="str">
        <f t="shared" si="188"/>
        <v>High</v>
      </c>
      <c r="Q2033" t="str">
        <f t="shared" si="189"/>
        <v>Low Loan</v>
      </c>
      <c r="R2033">
        <f t="shared" si="190"/>
        <v>26600000</v>
      </c>
      <c r="S2033" t="str">
        <f t="shared" si="191"/>
        <v>Strong</v>
      </c>
    </row>
    <row r="2034" spans="1:19" x14ac:dyDescent="0.25">
      <c r="A2034">
        <v>2033</v>
      </c>
      <c r="B2034">
        <v>4</v>
      </c>
      <c r="C2034" t="s">
        <v>30</v>
      </c>
      <c r="D2034" t="s">
        <v>33</v>
      </c>
      <c r="E2034">
        <v>1400000</v>
      </c>
      <c r="F2034">
        <v>2900000</v>
      </c>
      <c r="G2034">
        <v>6</v>
      </c>
      <c r="H2034">
        <v>723</v>
      </c>
      <c r="I2034">
        <v>3800000</v>
      </c>
      <c r="J2034">
        <v>0</v>
      </c>
      <c r="K2034">
        <v>4700000</v>
      </c>
      <c r="L2034">
        <v>1600000</v>
      </c>
      <c r="M2034" t="s">
        <v>34</v>
      </c>
      <c r="N2034">
        <f t="shared" si="187"/>
        <v>1</v>
      </c>
      <c r="O2034" t="str">
        <f t="shared" si="186"/>
        <v>Good</v>
      </c>
      <c r="P2034" t="str">
        <f t="shared" si="188"/>
        <v>High</v>
      </c>
      <c r="Q2034" t="str">
        <f t="shared" si="189"/>
        <v>Low Loan</v>
      </c>
      <c r="R2034">
        <f t="shared" si="190"/>
        <v>10100000</v>
      </c>
      <c r="S2034" t="str">
        <f t="shared" si="191"/>
        <v>Strong</v>
      </c>
    </row>
    <row r="2035" spans="1:19" x14ac:dyDescent="0.25">
      <c r="A2035">
        <v>2034</v>
      </c>
      <c r="B2035">
        <v>5</v>
      </c>
      <c r="C2035" t="s">
        <v>31</v>
      </c>
      <c r="D2035" t="s">
        <v>33</v>
      </c>
      <c r="E2035">
        <v>3200000</v>
      </c>
      <c r="F2035">
        <v>11800000</v>
      </c>
      <c r="G2035">
        <v>16</v>
      </c>
      <c r="H2035">
        <v>565</v>
      </c>
      <c r="I2035">
        <v>8100000</v>
      </c>
      <c r="J2035">
        <v>2700000</v>
      </c>
      <c r="K2035">
        <v>9200000</v>
      </c>
      <c r="L2035">
        <v>1800000</v>
      </c>
      <c r="M2035" t="s">
        <v>34</v>
      </c>
      <c r="N2035">
        <f t="shared" si="187"/>
        <v>1</v>
      </c>
      <c r="O2035" t="str">
        <f t="shared" si="186"/>
        <v>Low</v>
      </c>
      <c r="P2035" t="str">
        <f t="shared" si="188"/>
        <v>High</v>
      </c>
      <c r="Q2035" t="str">
        <f t="shared" si="189"/>
        <v>Low Loan</v>
      </c>
      <c r="R2035">
        <f t="shared" si="190"/>
        <v>21800000</v>
      </c>
      <c r="S2035" t="str">
        <f t="shared" si="191"/>
        <v>Strong</v>
      </c>
    </row>
    <row r="2036" spans="1:19" x14ac:dyDescent="0.25">
      <c r="A2036">
        <v>2035</v>
      </c>
      <c r="B2036">
        <v>1</v>
      </c>
      <c r="C2036" t="s">
        <v>30</v>
      </c>
      <c r="D2036" t="s">
        <v>33</v>
      </c>
      <c r="E2036">
        <v>3100000</v>
      </c>
      <c r="F2036">
        <v>9200000</v>
      </c>
      <c r="G2036">
        <v>16</v>
      </c>
      <c r="H2036">
        <v>374</v>
      </c>
      <c r="I2036">
        <v>2400000</v>
      </c>
      <c r="J2036">
        <v>3500000</v>
      </c>
      <c r="K2036">
        <v>7100000</v>
      </c>
      <c r="L2036">
        <v>3500000</v>
      </c>
      <c r="M2036" t="s">
        <v>35</v>
      </c>
      <c r="N2036">
        <f t="shared" si="187"/>
        <v>0</v>
      </c>
      <c r="O2036" t="str">
        <f t="shared" si="186"/>
        <v>Low</v>
      </c>
      <c r="P2036" t="str">
        <f t="shared" si="188"/>
        <v>High</v>
      </c>
      <c r="Q2036" t="str">
        <f t="shared" si="189"/>
        <v>Low Loan</v>
      </c>
      <c r="R2036">
        <f t="shared" si="190"/>
        <v>16500000</v>
      </c>
      <c r="S2036" t="str">
        <f t="shared" si="191"/>
        <v>Strong</v>
      </c>
    </row>
    <row r="2037" spans="1:19" x14ac:dyDescent="0.25">
      <c r="A2037">
        <v>2036</v>
      </c>
      <c r="B2037">
        <v>4</v>
      </c>
      <c r="C2037" t="s">
        <v>30</v>
      </c>
      <c r="D2037" t="s">
        <v>32</v>
      </c>
      <c r="E2037">
        <v>4500000</v>
      </c>
      <c r="F2037">
        <v>9900000</v>
      </c>
      <c r="G2037">
        <v>10</v>
      </c>
      <c r="H2037">
        <v>509</v>
      </c>
      <c r="I2037">
        <v>11100000</v>
      </c>
      <c r="J2037">
        <v>3100000</v>
      </c>
      <c r="K2037">
        <v>12200000</v>
      </c>
      <c r="L2037">
        <v>2700000</v>
      </c>
      <c r="M2037" t="s">
        <v>35</v>
      </c>
      <c r="N2037">
        <f t="shared" si="187"/>
        <v>0</v>
      </c>
      <c r="O2037" t="str">
        <f t="shared" si="186"/>
        <v>Low</v>
      </c>
      <c r="P2037" t="str">
        <f t="shared" si="188"/>
        <v>High</v>
      </c>
      <c r="Q2037" t="str">
        <f t="shared" si="189"/>
        <v>Low Loan</v>
      </c>
      <c r="R2037">
        <f t="shared" si="190"/>
        <v>29100000</v>
      </c>
      <c r="S2037" t="str">
        <f t="shared" si="191"/>
        <v>Strong</v>
      </c>
    </row>
    <row r="2038" spans="1:19" x14ac:dyDescent="0.25">
      <c r="A2038">
        <v>2037</v>
      </c>
      <c r="B2038">
        <v>3</v>
      </c>
      <c r="C2038" t="s">
        <v>31</v>
      </c>
      <c r="D2038" t="s">
        <v>33</v>
      </c>
      <c r="E2038">
        <v>9300000</v>
      </c>
      <c r="F2038">
        <v>23500000</v>
      </c>
      <c r="G2038">
        <v>16</v>
      </c>
      <c r="H2038">
        <v>728</v>
      </c>
      <c r="I2038">
        <v>3500000</v>
      </c>
      <c r="J2038">
        <v>9900000</v>
      </c>
      <c r="K2038">
        <v>27300000</v>
      </c>
      <c r="L2038">
        <v>9800000</v>
      </c>
      <c r="M2038" t="s">
        <v>34</v>
      </c>
      <c r="N2038">
        <f t="shared" si="187"/>
        <v>1</v>
      </c>
      <c r="O2038" t="str">
        <f t="shared" si="186"/>
        <v>Good</v>
      </c>
      <c r="P2038" t="str">
        <f t="shared" si="188"/>
        <v>High</v>
      </c>
      <c r="Q2038" t="str">
        <f t="shared" si="189"/>
        <v>High Loan</v>
      </c>
      <c r="R2038">
        <f t="shared" si="190"/>
        <v>50500000</v>
      </c>
      <c r="S2038" t="str">
        <f t="shared" si="191"/>
        <v>Strong</v>
      </c>
    </row>
    <row r="2039" spans="1:19" x14ac:dyDescent="0.25">
      <c r="A2039">
        <v>2038</v>
      </c>
      <c r="B2039">
        <v>2</v>
      </c>
      <c r="C2039" t="s">
        <v>30</v>
      </c>
      <c r="D2039" t="s">
        <v>32</v>
      </c>
      <c r="E2039">
        <v>6900000</v>
      </c>
      <c r="F2039">
        <v>18200000</v>
      </c>
      <c r="G2039">
        <v>20</v>
      </c>
      <c r="H2039">
        <v>396</v>
      </c>
      <c r="I2039">
        <v>15600000</v>
      </c>
      <c r="J2039">
        <v>4300000</v>
      </c>
      <c r="K2039">
        <v>22900000</v>
      </c>
      <c r="L2039">
        <v>5400000</v>
      </c>
      <c r="M2039" t="s">
        <v>35</v>
      </c>
      <c r="N2039">
        <f t="shared" si="187"/>
        <v>0</v>
      </c>
      <c r="O2039" t="str">
        <f t="shared" si="186"/>
        <v>Low</v>
      </c>
      <c r="P2039" t="str">
        <f t="shared" si="188"/>
        <v>High</v>
      </c>
      <c r="Q2039" t="str">
        <f t="shared" si="189"/>
        <v>Low Loan</v>
      </c>
      <c r="R2039">
        <f t="shared" si="190"/>
        <v>48200000</v>
      </c>
      <c r="S2039" t="str">
        <f t="shared" si="191"/>
        <v>Strong</v>
      </c>
    </row>
    <row r="2040" spans="1:19" x14ac:dyDescent="0.25">
      <c r="A2040">
        <v>2039</v>
      </c>
      <c r="B2040">
        <v>0</v>
      </c>
      <c r="C2040" t="s">
        <v>31</v>
      </c>
      <c r="D2040" t="s">
        <v>33</v>
      </c>
      <c r="E2040">
        <v>3900000</v>
      </c>
      <c r="F2040">
        <v>8600000</v>
      </c>
      <c r="G2040">
        <v>2</v>
      </c>
      <c r="H2040">
        <v>667</v>
      </c>
      <c r="I2040">
        <v>4300000</v>
      </c>
      <c r="J2040">
        <v>6600000</v>
      </c>
      <c r="K2040">
        <v>13500000</v>
      </c>
      <c r="L2040">
        <v>2000000</v>
      </c>
      <c r="M2040" t="s">
        <v>34</v>
      </c>
      <c r="N2040">
        <f t="shared" si="187"/>
        <v>1</v>
      </c>
      <c r="O2040" t="str">
        <f t="shared" si="186"/>
        <v>Medium</v>
      </c>
      <c r="P2040" t="str">
        <f t="shared" si="188"/>
        <v>High</v>
      </c>
      <c r="Q2040" t="str">
        <f t="shared" si="189"/>
        <v>Low Loan</v>
      </c>
      <c r="R2040">
        <f t="shared" si="190"/>
        <v>26400000</v>
      </c>
      <c r="S2040" t="str">
        <f t="shared" si="191"/>
        <v>Strong</v>
      </c>
    </row>
    <row r="2041" spans="1:19" x14ac:dyDescent="0.25">
      <c r="A2041">
        <v>2040</v>
      </c>
      <c r="B2041">
        <v>5</v>
      </c>
      <c r="C2041" t="s">
        <v>31</v>
      </c>
      <c r="D2041" t="s">
        <v>32</v>
      </c>
      <c r="E2041">
        <v>3200000</v>
      </c>
      <c r="F2041">
        <v>7400000</v>
      </c>
      <c r="G2041">
        <v>12</v>
      </c>
      <c r="H2041">
        <v>583</v>
      </c>
      <c r="I2041">
        <v>9400000</v>
      </c>
      <c r="J2041">
        <v>5500000</v>
      </c>
      <c r="K2041">
        <v>10600000</v>
      </c>
      <c r="L2041">
        <v>3600000</v>
      </c>
      <c r="M2041" t="s">
        <v>34</v>
      </c>
      <c r="N2041">
        <f t="shared" si="187"/>
        <v>1</v>
      </c>
      <c r="O2041" t="str">
        <f t="shared" si="186"/>
        <v>Low</v>
      </c>
      <c r="P2041" t="str">
        <f t="shared" si="188"/>
        <v>High</v>
      </c>
      <c r="Q2041" t="str">
        <f t="shared" si="189"/>
        <v>Low Loan</v>
      </c>
      <c r="R2041">
        <f t="shared" si="190"/>
        <v>29100000</v>
      </c>
      <c r="S2041" t="str">
        <f t="shared" si="191"/>
        <v>Strong</v>
      </c>
    </row>
    <row r="2042" spans="1:19" x14ac:dyDescent="0.25">
      <c r="A2042">
        <v>2041</v>
      </c>
      <c r="B2042">
        <v>1</v>
      </c>
      <c r="C2042" t="s">
        <v>31</v>
      </c>
      <c r="D2042" t="s">
        <v>33</v>
      </c>
      <c r="E2042">
        <v>5600000</v>
      </c>
      <c r="F2042">
        <v>21100000</v>
      </c>
      <c r="G2042">
        <v>10</v>
      </c>
      <c r="H2042">
        <v>459</v>
      </c>
      <c r="I2042">
        <v>9700000</v>
      </c>
      <c r="J2042">
        <v>1400000</v>
      </c>
      <c r="K2042">
        <v>13900000</v>
      </c>
      <c r="L2042">
        <v>8100000</v>
      </c>
      <c r="M2042" t="s">
        <v>35</v>
      </c>
      <c r="N2042">
        <f t="shared" si="187"/>
        <v>0</v>
      </c>
      <c r="O2042" t="str">
        <f t="shared" si="186"/>
        <v>Low</v>
      </c>
      <c r="P2042" t="str">
        <f t="shared" si="188"/>
        <v>High</v>
      </c>
      <c r="Q2042" t="str">
        <f t="shared" si="189"/>
        <v>High Loan</v>
      </c>
      <c r="R2042">
        <f t="shared" si="190"/>
        <v>33100000</v>
      </c>
      <c r="S2042" t="str">
        <f t="shared" si="191"/>
        <v>Strong</v>
      </c>
    </row>
    <row r="2043" spans="1:19" x14ac:dyDescent="0.25">
      <c r="A2043">
        <v>2042</v>
      </c>
      <c r="B2043">
        <v>4</v>
      </c>
      <c r="C2043" t="s">
        <v>31</v>
      </c>
      <c r="D2043" t="s">
        <v>33</v>
      </c>
      <c r="E2043">
        <v>3700000</v>
      </c>
      <c r="F2043">
        <v>11900000</v>
      </c>
      <c r="G2043">
        <v>18</v>
      </c>
      <c r="H2043">
        <v>635</v>
      </c>
      <c r="I2043">
        <v>6100000</v>
      </c>
      <c r="J2043">
        <v>6400000</v>
      </c>
      <c r="K2043">
        <v>11200000</v>
      </c>
      <c r="L2043">
        <v>4700000</v>
      </c>
      <c r="M2043" t="s">
        <v>34</v>
      </c>
      <c r="N2043">
        <f t="shared" si="187"/>
        <v>1</v>
      </c>
      <c r="O2043" t="str">
        <f t="shared" si="186"/>
        <v>Low</v>
      </c>
      <c r="P2043" t="str">
        <f t="shared" si="188"/>
        <v>High</v>
      </c>
      <c r="Q2043" t="str">
        <f t="shared" si="189"/>
        <v>Low Loan</v>
      </c>
      <c r="R2043">
        <f t="shared" si="190"/>
        <v>28400000</v>
      </c>
      <c r="S2043" t="str">
        <f t="shared" si="191"/>
        <v>Strong</v>
      </c>
    </row>
    <row r="2044" spans="1:19" x14ac:dyDescent="0.25">
      <c r="A2044">
        <v>2043</v>
      </c>
      <c r="B2044">
        <v>3</v>
      </c>
      <c r="C2044" t="s">
        <v>31</v>
      </c>
      <c r="D2044" t="s">
        <v>32</v>
      </c>
      <c r="E2044">
        <v>8400000</v>
      </c>
      <c r="F2044">
        <v>27200000</v>
      </c>
      <c r="G2044">
        <v>12</v>
      </c>
      <c r="H2044">
        <v>604</v>
      </c>
      <c r="I2044">
        <v>21400000</v>
      </c>
      <c r="J2044">
        <v>8800000</v>
      </c>
      <c r="K2044">
        <v>23700000</v>
      </c>
      <c r="L2044">
        <v>4700000</v>
      </c>
      <c r="M2044" t="s">
        <v>34</v>
      </c>
      <c r="N2044">
        <f t="shared" si="187"/>
        <v>1</v>
      </c>
      <c r="O2044" t="str">
        <f t="shared" si="186"/>
        <v>Low</v>
      </c>
      <c r="P2044" t="str">
        <f t="shared" si="188"/>
        <v>High</v>
      </c>
      <c r="Q2044" t="str">
        <f t="shared" si="189"/>
        <v>High Loan</v>
      </c>
      <c r="R2044">
        <f t="shared" si="190"/>
        <v>58600000</v>
      </c>
      <c r="S2044" t="str">
        <f t="shared" si="191"/>
        <v>Strong</v>
      </c>
    </row>
    <row r="2045" spans="1:19" x14ac:dyDescent="0.25">
      <c r="A2045">
        <v>2044</v>
      </c>
      <c r="B2045">
        <v>0</v>
      </c>
      <c r="C2045" t="s">
        <v>31</v>
      </c>
      <c r="D2045" t="s">
        <v>33</v>
      </c>
      <c r="E2045">
        <v>4200000</v>
      </c>
      <c r="F2045">
        <v>8900000</v>
      </c>
      <c r="G2045">
        <v>14</v>
      </c>
      <c r="H2045">
        <v>796</v>
      </c>
      <c r="I2045">
        <v>3000000</v>
      </c>
      <c r="J2045">
        <v>1600000</v>
      </c>
      <c r="K2045">
        <v>13300000</v>
      </c>
      <c r="L2045">
        <v>4800000</v>
      </c>
      <c r="M2045" t="s">
        <v>34</v>
      </c>
      <c r="N2045">
        <f t="shared" si="187"/>
        <v>1</v>
      </c>
      <c r="O2045" t="str">
        <f t="shared" si="186"/>
        <v>Excellent</v>
      </c>
      <c r="P2045" t="str">
        <f t="shared" si="188"/>
        <v>High</v>
      </c>
      <c r="Q2045" t="str">
        <f t="shared" si="189"/>
        <v>Low Loan</v>
      </c>
      <c r="R2045">
        <f t="shared" si="190"/>
        <v>22700000</v>
      </c>
      <c r="S2045" t="str">
        <f t="shared" si="191"/>
        <v>Strong</v>
      </c>
    </row>
    <row r="2046" spans="1:19" x14ac:dyDescent="0.25">
      <c r="A2046">
        <v>2045</v>
      </c>
      <c r="B2046">
        <v>4</v>
      </c>
      <c r="C2046" t="s">
        <v>30</v>
      </c>
      <c r="D2046" t="s">
        <v>32</v>
      </c>
      <c r="E2046">
        <v>3800000</v>
      </c>
      <c r="F2046">
        <v>8500000</v>
      </c>
      <c r="G2046">
        <v>10</v>
      </c>
      <c r="H2046">
        <v>416</v>
      </c>
      <c r="I2046">
        <v>6200000</v>
      </c>
      <c r="J2046">
        <v>4800000</v>
      </c>
      <c r="K2046">
        <v>14900000</v>
      </c>
      <c r="L2046">
        <v>4100000</v>
      </c>
      <c r="M2046" t="s">
        <v>35</v>
      </c>
      <c r="N2046">
        <f t="shared" si="187"/>
        <v>0</v>
      </c>
      <c r="O2046" t="str">
        <f t="shared" si="186"/>
        <v>Low</v>
      </c>
      <c r="P2046" t="str">
        <f t="shared" si="188"/>
        <v>High</v>
      </c>
      <c r="Q2046" t="str">
        <f t="shared" si="189"/>
        <v>Low Loan</v>
      </c>
      <c r="R2046">
        <f t="shared" si="190"/>
        <v>30000000</v>
      </c>
      <c r="S2046" t="str">
        <f t="shared" si="191"/>
        <v>Strong</v>
      </c>
    </row>
    <row r="2047" spans="1:19" x14ac:dyDescent="0.25">
      <c r="A2047">
        <v>2046</v>
      </c>
      <c r="B2047">
        <v>3</v>
      </c>
      <c r="C2047" t="s">
        <v>30</v>
      </c>
      <c r="D2047" t="s">
        <v>32</v>
      </c>
      <c r="E2047">
        <v>3200000</v>
      </c>
      <c r="F2047">
        <v>8200000</v>
      </c>
      <c r="G2047">
        <v>8</v>
      </c>
      <c r="H2047">
        <v>311</v>
      </c>
      <c r="I2047">
        <v>4900000</v>
      </c>
      <c r="J2047">
        <v>5600000</v>
      </c>
      <c r="K2047">
        <v>10700000</v>
      </c>
      <c r="L2047">
        <v>1600000</v>
      </c>
      <c r="M2047" t="s">
        <v>35</v>
      </c>
      <c r="N2047">
        <f t="shared" si="187"/>
        <v>0</v>
      </c>
      <c r="O2047" t="str">
        <f t="shared" si="186"/>
        <v>Low</v>
      </c>
      <c r="P2047" t="str">
        <f t="shared" si="188"/>
        <v>High</v>
      </c>
      <c r="Q2047" t="str">
        <f t="shared" si="189"/>
        <v>Low Loan</v>
      </c>
      <c r="R2047">
        <f t="shared" si="190"/>
        <v>22800000</v>
      </c>
      <c r="S2047" t="str">
        <f t="shared" si="191"/>
        <v>Strong</v>
      </c>
    </row>
    <row r="2048" spans="1:19" x14ac:dyDescent="0.25">
      <c r="A2048">
        <v>2047</v>
      </c>
      <c r="B2048">
        <v>1</v>
      </c>
      <c r="C2048" t="s">
        <v>30</v>
      </c>
      <c r="D2048" t="s">
        <v>32</v>
      </c>
      <c r="E2048">
        <v>9700000</v>
      </c>
      <c r="F2048">
        <v>33900000</v>
      </c>
      <c r="G2048">
        <v>10</v>
      </c>
      <c r="H2048">
        <v>833</v>
      </c>
      <c r="I2048">
        <v>24600000</v>
      </c>
      <c r="J2048">
        <v>16200000</v>
      </c>
      <c r="K2048">
        <v>28300000</v>
      </c>
      <c r="L2048">
        <v>6600000</v>
      </c>
      <c r="M2048" t="s">
        <v>34</v>
      </c>
      <c r="N2048">
        <f t="shared" si="187"/>
        <v>1</v>
      </c>
      <c r="O2048" t="str">
        <f t="shared" si="186"/>
        <v>Excellent</v>
      </c>
      <c r="P2048" t="str">
        <f t="shared" si="188"/>
        <v>High</v>
      </c>
      <c r="Q2048" t="str">
        <f t="shared" si="189"/>
        <v>High Loan</v>
      </c>
      <c r="R2048">
        <f t="shared" si="190"/>
        <v>75700000</v>
      </c>
      <c r="S2048" t="str">
        <f t="shared" si="191"/>
        <v>Strong</v>
      </c>
    </row>
    <row r="2049" spans="1:19" x14ac:dyDescent="0.25">
      <c r="A2049">
        <v>2048</v>
      </c>
      <c r="B2049">
        <v>1</v>
      </c>
      <c r="C2049" t="s">
        <v>31</v>
      </c>
      <c r="D2049" t="s">
        <v>33</v>
      </c>
      <c r="E2049">
        <v>4300000</v>
      </c>
      <c r="F2049">
        <v>9400000</v>
      </c>
      <c r="G2049">
        <v>6</v>
      </c>
      <c r="H2049">
        <v>543</v>
      </c>
      <c r="I2049">
        <v>7400000</v>
      </c>
      <c r="J2049">
        <v>5200000</v>
      </c>
      <c r="K2049">
        <v>14800000</v>
      </c>
      <c r="L2049">
        <v>4200000</v>
      </c>
      <c r="M2049" t="s">
        <v>35</v>
      </c>
      <c r="N2049">
        <f t="shared" si="187"/>
        <v>0</v>
      </c>
      <c r="O2049" t="str">
        <f t="shared" si="186"/>
        <v>Low</v>
      </c>
      <c r="P2049" t="str">
        <f t="shared" si="188"/>
        <v>High</v>
      </c>
      <c r="Q2049" t="str">
        <f t="shared" si="189"/>
        <v>Low Loan</v>
      </c>
      <c r="R2049">
        <f t="shared" si="190"/>
        <v>31600000</v>
      </c>
      <c r="S2049" t="str">
        <f t="shared" si="191"/>
        <v>Strong</v>
      </c>
    </row>
    <row r="2050" spans="1:19" x14ac:dyDescent="0.25">
      <c r="A2050">
        <v>2049</v>
      </c>
      <c r="B2050">
        <v>5</v>
      </c>
      <c r="C2050" t="s">
        <v>30</v>
      </c>
      <c r="D2050" t="s">
        <v>33</v>
      </c>
      <c r="E2050">
        <v>8100000</v>
      </c>
      <c r="F2050">
        <v>20300000</v>
      </c>
      <c r="G2050">
        <v>18</v>
      </c>
      <c r="H2050">
        <v>751</v>
      </c>
      <c r="I2050">
        <v>1600000</v>
      </c>
      <c r="J2050">
        <v>7900000</v>
      </c>
      <c r="K2050">
        <v>31700000</v>
      </c>
      <c r="L2050">
        <v>7400000</v>
      </c>
      <c r="M2050" t="s">
        <v>34</v>
      </c>
      <c r="N2050">
        <f t="shared" si="187"/>
        <v>1</v>
      </c>
      <c r="O2050" t="str">
        <f t="shared" ref="O2050:O2113" si="192">IF(H2050&lt;650,"Low",
 IF(H2050&lt;700,"Medium",
 IF(H2050&lt;750,"Good","Excellent")))</f>
        <v>Excellent</v>
      </c>
      <c r="P2050" t="str">
        <f t="shared" si="188"/>
        <v>High</v>
      </c>
      <c r="Q2050" t="str">
        <f t="shared" si="189"/>
        <v>High Loan</v>
      </c>
      <c r="R2050">
        <f t="shared" si="190"/>
        <v>48600000</v>
      </c>
      <c r="S2050" t="str">
        <f t="shared" si="191"/>
        <v>Strong</v>
      </c>
    </row>
    <row r="2051" spans="1:19" x14ac:dyDescent="0.25">
      <c r="A2051">
        <v>2050</v>
      </c>
      <c r="B2051">
        <v>5</v>
      </c>
      <c r="C2051" t="s">
        <v>31</v>
      </c>
      <c r="D2051" t="s">
        <v>33</v>
      </c>
      <c r="E2051">
        <v>9400000</v>
      </c>
      <c r="F2051">
        <v>23200000</v>
      </c>
      <c r="G2051">
        <v>14</v>
      </c>
      <c r="H2051">
        <v>885</v>
      </c>
      <c r="I2051">
        <v>16900000</v>
      </c>
      <c r="J2051">
        <v>1200000</v>
      </c>
      <c r="K2051">
        <v>34900000</v>
      </c>
      <c r="L2051">
        <v>4700000</v>
      </c>
      <c r="M2051" t="s">
        <v>34</v>
      </c>
      <c r="N2051">
        <f t="shared" ref="N2051:N2114" si="193">IF(TRIM(CLEAN(M2051))="Approved",1,0)</f>
        <v>1</v>
      </c>
      <c r="O2051" t="str">
        <f t="shared" si="192"/>
        <v>Excellent</v>
      </c>
      <c r="P2051" t="str">
        <f t="shared" ref="P2051:P2114" si="194">IF(E2051&lt;300000,"Low",
 IF(E2051&lt;700000,"Middle","High"))</f>
        <v>High</v>
      </c>
      <c r="Q2051" t="str">
        <f t="shared" ref="Q2051:Q2114" si="195">IF(F2051&lt;20000000,"Low Loan","High Loan")</f>
        <v>High Loan</v>
      </c>
      <c r="R2051">
        <f t="shared" ref="R2051:R2114" si="196">I2051+J2051+K2051+L2051</f>
        <v>57700000</v>
      </c>
      <c r="S2051" t="str">
        <f t="shared" ref="S2051:S2114" si="197">IF(R2051&lt;5000000,"Weak",
 IF(R2051&lt;10000000,"Moderate","Strong"))</f>
        <v>Strong</v>
      </c>
    </row>
    <row r="2052" spans="1:19" x14ac:dyDescent="0.25">
      <c r="A2052">
        <v>2051</v>
      </c>
      <c r="B2052">
        <v>4</v>
      </c>
      <c r="C2052" t="s">
        <v>31</v>
      </c>
      <c r="D2052" t="s">
        <v>33</v>
      </c>
      <c r="E2052">
        <v>8100000</v>
      </c>
      <c r="F2052">
        <v>19400000</v>
      </c>
      <c r="G2052">
        <v>6</v>
      </c>
      <c r="H2052">
        <v>346</v>
      </c>
      <c r="I2052">
        <v>7800000</v>
      </c>
      <c r="J2052">
        <v>9300000</v>
      </c>
      <c r="K2052">
        <v>29300000</v>
      </c>
      <c r="L2052">
        <v>4500000</v>
      </c>
      <c r="M2052" t="s">
        <v>35</v>
      </c>
      <c r="N2052">
        <f t="shared" si="193"/>
        <v>0</v>
      </c>
      <c r="O2052" t="str">
        <f t="shared" si="192"/>
        <v>Low</v>
      </c>
      <c r="P2052" t="str">
        <f t="shared" si="194"/>
        <v>High</v>
      </c>
      <c r="Q2052" t="str">
        <f t="shared" si="195"/>
        <v>Low Loan</v>
      </c>
      <c r="R2052">
        <f t="shared" si="196"/>
        <v>50900000</v>
      </c>
      <c r="S2052" t="str">
        <f t="shared" si="197"/>
        <v>Strong</v>
      </c>
    </row>
    <row r="2053" spans="1:19" x14ac:dyDescent="0.25">
      <c r="A2053">
        <v>2052</v>
      </c>
      <c r="B2053">
        <v>4</v>
      </c>
      <c r="C2053" t="s">
        <v>30</v>
      </c>
      <c r="D2053" t="s">
        <v>32</v>
      </c>
      <c r="E2053">
        <v>6500000</v>
      </c>
      <c r="F2053">
        <v>14500000</v>
      </c>
      <c r="G2053">
        <v>4</v>
      </c>
      <c r="H2053">
        <v>588</v>
      </c>
      <c r="I2053">
        <v>10300000</v>
      </c>
      <c r="J2053">
        <v>9500000</v>
      </c>
      <c r="K2053">
        <v>22800000</v>
      </c>
      <c r="L2053">
        <v>6400000</v>
      </c>
      <c r="M2053" t="s">
        <v>34</v>
      </c>
      <c r="N2053">
        <f t="shared" si="193"/>
        <v>1</v>
      </c>
      <c r="O2053" t="str">
        <f t="shared" si="192"/>
        <v>Low</v>
      </c>
      <c r="P2053" t="str">
        <f t="shared" si="194"/>
        <v>High</v>
      </c>
      <c r="Q2053" t="str">
        <f t="shared" si="195"/>
        <v>Low Loan</v>
      </c>
      <c r="R2053">
        <f t="shared" si="196"/>
        <v>49000000</v>
      </c>
      <c r="S2053" t="str">
        <f t="shared" si="197"/>
        <v>Strong</v>
      </c>
    </row>
    <row r="2054" spans="1:19" x14ac:dyDescent="0.25">
      <c r="A2054">
        <v>2053</v>
      </c>
      <c r="B2054">
        <v>2</v>
      </c>
      <c r="C2054" t="s">
        <v>30</v>
      </c>
      <c r="D2054" t="s">
        <v>32</v>
      </c>
      <c r="E2054">
        <v>9400000</v>
      </c>
      <c r="F2054">
        <v>23100000</v>
      </c>
      <c r="G2054">
        <v>4</v>
      </c>
      <c r="H2054">
        <v>488</v>
      </c>
      <c r="I2054">
        <v>20100000</v>
      </c>
      <c r="J2054">
        <v>3500000</v>
      </c>
      <c r="K2054">
        <v>28600000</v>
      </c>
      <c r="L2054">
        <v>10900000</v>
      </c>
      <c r="M2054" t="s">
        <v>35</v>
      </c>
      <c r="N2054">
        <f t="shared" si="193"/>
        <v>0</v>
      </c>
      <c r="O2054" t="str">
        <f t="shared" si="192"/>
        <v>Low</v>
      </c>
      <c r="P2054" t="str">
        <f t="shared" si="194"/>
        <v>High</v>
      </c>
      <c r="Q2054" t="str">
        <f t="shared" si="195"/>
        <v>High Loan</v>
      </c>
      <c r="R2054">
        <f t="shared" si="196"/>
        <v>63100000</v>
      </c>
      <c r="S2054" t="str">
        <f t="shared" si="197"/>
        <v>Strong</v>
      </c>
    </row>
    <row r="2055" spans="1:19" x14ac:dyDescent="0.25">
      <c r="A2055">
        <v>2054</v>
      </c>
      <c r="B2055">
        <v>1</v>
      </c>
      <c r="C2055" t="s">
        <v>31</v>
      </c>
      <c r="D2055" t="s">
        <v>33</v>
      </c>
      <c r="E2055">
        <v>2600000</v>
      </c>
      <c r="F2055">
        <v>6600000</v>
      </c>
      <c r="G2055">
        <v>20</v>
      </c>
      <c r="H2055">
        <v>765</v>
      </c>
      <c r="I2055">
        <v>2100000</v>
      </c>
      <c r="J2055">
        <v>200000</v>
      </c>
      <c r="K2055">
        <v>5200000</v>
      </c>
      <c r="L2055">
        <v>1300000</v>
      </c>
      <c r="M2055" t="s">
        <v>34</v>
      </c>
      <c r="N2055">
        <f t="shared" si="193"/>
        <v>1</v>
      </c>
      <c r="O2055" t="str">
        <f t="shared" si="192"/>
        <v>Excellent</v>
      </c>
      <c r="P2055" t="str">
        <f t="shared" si="194"/>
        <v>High</v>
      </c>
      <c r="Q2055" t="str">
        <f t="shared" si="195"/>
        <v>Low Loan</v>
      </c>
      <c r="R2055">
        <f t="shared" si="196"/>
        <v>8800000</v>
      </c>
      <c r="S2055" t="str">
        <f t="shared" si="197"/>
        <v>Moderate</v>
      </c>
    </row>
    <row r="2056" spans="1:19" x14ac:dyDescent="0.25">
      <c r="A2056">
        <v>2055</v>
      </c>
      <c r="B2056">
        <v>3</v>
      </c>
      <c r="C2056" t="s">
        <v>31</v>
      </c>
      <c r="D2056" t="s">
        <v>33</v>
      </c>
      <c r="E2056">
        <v>8000000</v>
      </c>
      <c r="F2056">
        <v>25600000</v>
      </c>
      <c r="G2056">
        <v>6</v>
      </c>
      <c r="H2056">
        <v>337</v>
      </c>
      <c r="I2056">
        <v>8800000</v>
      </c>
      <c r="J2056">
        <v>500000</v>
      </c>
      <c r="K2056">
        <v>18900000</v>
      </c>
      <c r="L2056">
        <v>9800000</v>
      </c>
      <c r="M2056" t="s">
        <v>35</v>
      </c>
      <c r="N2056">
        <f t="shared" si="193"/>
        <v>0</v>
      </c>
      <c r="O2056" t="str">
        <f t="shared" si="192"/>
        <v>Low</v>
      </c>
      <c r="P2056" t="str">
        <f t="shared" si="194"/>
        <v>High</v>
      </c>
      <c r="Q2056" t="str">
        <f t="shared" si="195"/>
        <v>High Loan</v>
      </c>
      <c r="R2056">
        <f t="shared" si="196"/>
        <v>38000000</v>
      </c>
      <c r="S2056" t="str">
        <f t="shared" si="197"/>
        <v>Strong</v>
      </c>
    </row>
    <row r="2057" spans="1:19" x14ac:dyDescent="0.25">
      <c r="A2057">
        <v>2056</v>
      </c>
      <c r="B2057">
        <v>1</v>
      </c>
      <c r="C2057" t="s">
        <v>30</v>
      </c>
      <c r="D2057" t="s">
        <v>32</v>
      </c>
      <c r="E2057">
        <v>4700000</v>
      </c>
      <c r="F2057">
        <v>9300000</v>
      </c>
      <c r="G2057">
        <v>8</v>
      </c>
      <c r="H2057">
        <v>515</v>
      </c>
      <c r="I2057">
        <v>1000000</v>
      </c>
      <c r="J2057">
        <v>4700000</v>
      </c>
      <c r="K2057">
        <v>14600000</v>
      </c>
      <c r="L2057">
        <v>5700000</v>
      </c>
      <c r="M2057" t="s">
        <v>35</v>
      </c>
      <c r="N2057">
        <f t="shared" si="193"/>
        <v>0</v>
      </c>
      <c r="O2057" t="str">
        <f t="shared" si="192"/>
        <v>Low</v>
      </c>
      <c r="P2057" t="str">
        <f t="shared" si="194"/>
        <v>High</v>
      </c>
      <c r="Q2057" t="str">
        <f t="shared" si="195"/>
        <v>Low Loan</v>
      </c>
      <c r="R2057">
        <f t="shared" si="196"/>
        <v>26000000</v>
      </c>
      <c r="S2057" t="str">
        <f t="shared" si="197"/>
        <v>Strong</v>
      </c>
    </row>
    <row r="2058" spans="1:19" x14ac:dyDescent="0.25">
      <c r="A2058">
        <v>2057</v>
      </c>
      <c r="B2058">
        <v>2</v>
      </c>
      <c r="C2058" t="s">
        <v>30</v>
      </c>
      <c r="D2058" t="s">
        <v>33</v>
      </c>
      <c r="E2058">
        <v>7600000</v>
      </c>
      <c r="F2058">
        <v>22300000</v>
      </c>
      <c r="G2058">
        <v>12</v>
      </c>
      <c r="H2058">
        <v>555</v>
      </c>
      <c r="I2058">
        <v>2100000</v>
      </c>
      <c r="J2058">
        <v>13800000</v>
      </c>
      <c r="K2058">
        <v>17700000</v>
      </c>
      <c r="L2058">
        <v>7100000</v>
      </c>
      <c r="M2058" t="s">
        <v>34</v>
      </c>
      <c r="N2058">
        <f t="shared" si="193"/>
        <v>1</v>
      </c>
      <c r="O2058" t="str">
        <f t="shared" si="192"/>
        <v>Low</v>
      </c>
      <c r="P2058" t="str">
        <f t="shared" si="194"/>
        <v>High</v>
      </c>
      <c r="Q2058" t="str">
        <f t="shared" si="195"/>
        <v>High Loan</v>
      </c>
      <c r="R2058">
        <f t="shared" si="196"/>
        <v>40700000</v>
      </c>
      <c r="S2058" t="str">
        <f t="shared" si="197"/>
        <v>Strong</v>
      </c>
    </row>
    <row r="2059" spans="1:19" x14ac:dyDescent="0.25">
      <c r="A2059">
        <v>2058</v>
      </c>
      <c r="B2059">
        <v>1</v>
      </c>
      <c r="C2059" t="s">
        <v>30</v>
      </c>
      <c r="D2059" t="s">
        <v>33</v>
      </c>
      <c r="E2059">
        <v>6800000</v>
      </c>
      <c r="F2059">
        <v>27200000</v>
      </c>
      <c r="G2059">
        <v>2</v>
      </c>
      <c r="H2059">
        <v>702</v>
      </c>
      <c r="I2059">
        <v>4600000</v>
      </c>
      <c r="J2059">
        <v>2400000</v>
      </c>
      <c r="K2059">
        <v>27100000</v>
      </c>
      <c r="L2059">
        <v>6300000</v>
      </c>
      <c r="M2059" t="s">
        <v>34</v>
      </c>
      <c r="N2059">
        <f t="shared" si="193"/>
        <v>1</v>
      </c>
      <c r="O2059" t="str">
        <f t="shared" si="192"/>
        <v>Good</v>
      </c>
      <c r="P2059" t="str">
        <f t="shared" si="194"/>
        <v>High</v>
      </c>
      <c r="Q2059" t="str">
        <f t="shared" si="195"/>
        <v>High Loan</v>
      </c>
      <c r="R2059">
        <f t="shared" si="196"/>
        <v>40400000</v>
      </c>
      <c r="S2059" t="str">
        <f t="shared" si="197"/>
        <v>Strong</v>
      </c>
    </row>
    <row r="2060" spans="1:19" x14ac:dyDescent="0.25">
      <c r="A2060">
        <v>2059</v>
      </c>
      <c r="B2060">
        <v>2</v>
      </c>
      <c r="C2060" t="s">
        <v>31</v>
      </c>
      <c r="D2060" t="s">
        <v>33</v>
      </c>
      <c r="E2060">
        <v>6600000</v>
      </c>
      <c r="F2060">
        <v>17000000</v>
      </c>
      <c r="G2060">
        <v>2</v>
      </c>
      <c r="H2060">
        <v>457</v>
      </c>
      <c r="I2060">
        <v>100000</v>
      </c>
      <c r="J2060">
        <v>1800000</v>
      </c>
      <c r="K2060">
        <v>23300000</v>
      </c>
      <c r="L2060">
        <v>6700000</v>
      </c>
      <c r="M2060" t="s">
        <v>35</v>
      </c>
      <c r="N2060">
        <f t="shared" si="193"/>
        <v>0</v>
      </c>
      <c r="O2060" t="str">
        <f t="shared" si="192"/>
        <v>Low</v>
      </c>
      <c r="P2060" t="str">
        <f t="shared" si="194"/>
        <v>High</v>
      </c>
      <c r="Q2060" t="str">
        <f t="shared" si="195"/>
        <v>Low Loan</v>
      </c>
      <c r="R2060">
        <f t="shared" si="196"/>
        <v>31900000</v>
      </c>
      <c r="S2060" t="str">
        <f t="shared" si="197"/>
        <v>Strong</v>
      </c>
    </row>
    <row r="2061" spans="1:19" x14ac:dyDescent="0.25">
      <c r="A2061">
        <v>2060</v>
      </c>
      <c r="B2061">
        <v>2</v>
      </c>
      <c r="C2061" t="s">
        <v>30</v>
      </c>
      <c r="D2061" t="s">
        <v>32</v>
      </c>
      <c r="E2061">
        <v>8200000</v>
      </c>
      <c r="F2061">
        <v>27200000</v>
      </c>
      <c r="G2061">
        <v>10</v>
      </c>
      <c r="H2061">
        <v>425</v>
      </c>
      <c r="I2061">
        <v>11400000</v>
      </c>
      <c r="J2061">
        <v>4900000</v>
      </c>
      <c r="K2061">
        <v>29300000</v>
      </c>
      <c r="L2061">
        <v>4500000</v>
      </c>
      <c r="M2061" t="s">
        <v>35</v>
      </c>
      <c r="N2061">
        <f t="shared" si="193"/>
        <v>0</v>
      </c>
      <c r="O2061" t="str">
        <f t="shared" si="192"/>
        <v>Low</v>
      </c>
      <c r="P2061" t="str">
        <f t="shared" si="194"/>
        <v>High</v>
      </c>
      <c r="Q2061" t="str">
        <f t="shared" si="195"/>
        <v>High Loan</v>
      </c>
      <c r="R2061">
        <f t="shared" si="196"/>
        <v>50100000</v>
      </c>
      <c r="S2061" t="str">
        <f t="shared" si="197"/>
        <v>Strong</v>
      </c>
    </row>
    <row r="2062" spans="1:19" x14ac:dyDescent="0.25">
      <c r="A2062">
        <v>2061</v>
      </c>
      <c r="B2062">
        <v>1</v>
      </c>
      <c r="C2062" t="s">
        <v>30</v>
      </c>
      <c r="D2062" t="s">
        <v>33</v>
      </c>
      <c r="E2062">
        <v>4400000</v>
      </c>
      <c r="F2062">
        <v>12300000</v>
      </c>
      <c r="G2062">
        <v>6</v>
      </c>
      <c r="H2062">
        <v>583</v>
      </c>
      <c r="I2062">
        <v>2400000</v>
      </c>
      <c r="J2062">
        <v>7900000</v>
      </c>
      <c r="K2062">
        <v>17200000</v>
      </c>
      <c r="L2062">
        <v>6600000</v>
      </c>
      <c r="M2062" t="s">
        <v>34</v>
      </c>
      <c r="N2062">
        <f t="shared" si="193"/>
        <v>1</v>
      </c>
      <c r="O2062" t="str">
        <f t="shared" si="192"/>
        <v>Low</v>
      </c>
      <c r="P2062" t="str">
        <f t="shared" si="194"/>
        <v>High</v>
      </c>
      <c r="Q2062" t="str">
        <f t="shared" si="195"/>
        <v>Low Loan</v>
      </c>
      <c r="R2062">
        <f t="shared" si="196"/>
        <v>34100000</v>
      </c>
      <c r="S2062" t="str">
        <f t="shared" si="197"/>
        <v>Strong</v>
      </c>
    </row>
    <row r="2063" spans="1:19" x14ac:dyDescent="0.25">
      <c r="A2063">
        <v>2062</v>
      </c>
      <c r="B2063">
        <v>1</v>
      </c>
      <c r="C2063" t="s">
        <v>31</v>
      </c>
      <c r="D2063" t="s">
        <v>32</v>
      </c>
      <c r="E2063">
        <v>8300000</v>
      </c>
      <c r="F2063">
        <v>29200000</v>
      </c>
      <c r="G2063">
        <v>6</v>
      </c>
      <c r="H2063">
        <v>877</v>
      </c>
      <c r="I2063">
        <v>13700000</v>
      </c>
      <c r="J2063">
        <v>9900000</v>
      </c>
      <c r="K2063">
        <v>31500000</v>
      </c>
      <c r="L2063">
        <v>9500000</v>
      </c>
      <c r="M2063" t="s">
        <v>34</v>
      </c>
      <c r="N2063">
        <f t="shared" si="193"/>
        <v>1</v>
      </c>
      <c r="O2063" t="str">
        <f t="shared" si="192"/>
        <v>Excellent</v>
      </c>
      <c r="P2063" t="str">
        <f t="shared" si="194"/>
        <v>High</v>
      </c>
      <c r="Q2063" t="str">
        <f t="shared" si="195"/>
        <v>High Loan</v>
      </c>
      <c r="R2063">
        <f t="shared" si="196"/>
        <v>64600000</v>
      </c>
      <c r="S2063" t="str">
        <f t="shared" si="197"/>
        <v>Strong</v>
      </c>
    </row>
    <row r="2064" spans="1:19" x14ac:dyDescent="0.25">
      <c r="A2064">
        <v>2063</v>
      </c>
      <c r="B2064">
        <v>0</v>
      </c>
      <c r="C2064" t="s">
        <v>30</v>
      </c>
      <c r="D2064" t="s">
        <v>32</v>
      </c>
      <c r="E2064">
        <v>9200000</v>
      </c>
      <c r="F2064">
        <v>36500000</v>
      </c>
      <c r="G2064">
        <v>14</v>
      </c>
      <c r="H2064">
        <v>522</v>
      </c>
      <c r="I2064">
        <v>10500000</v>
      </c>
      <c r="J2064">
        <v>5300000</v>
      </c>
      <c r="K2064">
        <v>22400000</v>
      </c>
      <c r="L2064">
        <v>13200000</v>
      </c>
      <c r="M2064" t="s">
        <v>35</v>
      </c>
      <c r="N2064">
        <f t="shared" si="193"/>
        <v>0</v>
      </c>
      <c r="O2064" t="str">
        <f t="shared" si="192"/>
        <v>Low</v>
      </c>
      <c r="P2064" t="str">
        <f t="shared" si="194"/>
        <v>High</v>
      </c>
      <c r="Q2064" t="str">
        <f t="shared" si="195"/>
        <v>High Loan</v>
      </c>
      <c r="R2064">
        <f t="shared" si="196"/>
        <v>51400000</v>
      </c>
      <c r="S2064" t="str">
        <f t="shared" si="197"/>
        <v>Strong</v>
      </c>
    </row>
    <row r="2065" spans="1:19" x14ac:dyDescent="0.25">
      <c r="A2065">
        <v>2064</v>
      </c>
      <c r="B2065">
        <v>5</v>
      </c>
      <c r="C2065" t="s">
        <v>31</v>
      </c>
      <c r="D2065" t="s">
        <v>33</v>
      </c>
      <c r="E2065">
        <v>2700000</v>
      </c>
      <c r="F2065">
        <v>8700000</v>
      </c>
      <c r="G2065">
        <v>20</v>
      </c>
      <c r="H2065">
        <v>687</v>
      </c>
      <c r="I2065">
        <v>2600000</v>
      </c>
      <c r="J2065">
        <v>1200000</v>
      </c>
      <c r="K2065">
        <v>9000000</v>
      </c>
      <c r="L2065">
        <v>1300000</v>
      </c>
      <c r="M2065" t="s">
        <v>34</v>
      </c>
      <c r="N2065">
        <f t="shared" si="193"/>
        <v>1</v>
      </c>
      <c r="O2065" t="str">
        <f t="shared" si="192"/>
        <v>Medium</v>
      </c>
      <c r="P2065" t="str">
        <f t="shared" si="194"/>
        <v>High</v>
      </c>
      <c r="Q2065" t="str">
        <f t="shared" si="195"/>
        <v>Low Loan</v>
      </c>
      <c r="R2065">
        <f t="shared" si="196"/>
        <v>14100000</v>
      </c>
      <c r="S2065" t="str">
        <f t="shared" si="197"/>
        <v>Strong</v>
      </c>
    </row>
    <row r="2066" spans="1:19" x14ac:dyDescent="0.25">
      <c r="A2066">
        <v>2065</v>
      </c>
      <c r="B2066">
        <v>0</v>
      </c>
      <c r="C2066" t="s">
        <v>30</v>
      </c>
      <c r="D2066" t="s">
        <v>32</v>
      </c>
      <c r="E2066">
        <v>6100000</v>
      </c>
      <c r="F2066">
        <v>23600000</v>
      </c>
      <c r="G2066">
        <v>20</v>
      </c>
      <c r="H2066">
        <v>856</v>
      </c>
      <c r="I2066">
        <v>3300000</v>
      </c>
      <c r="J2066">
        <v>5200000</v>
      </c>
      <c r="K2066">
        <v>17700000</v>
      </c>
      <c r="L2066">
        <v>6400000</v>
      </c>
      <c r="M2066" t="s">
        <v>34</v>
      </c>
      <c r="N2066">
        <f t="shared" si="193"/>
        <v>1</v>
      </c>
      <c r="O2066" t="str">
        <f t="shared" si="192"/>
        <v>Excellent</v>
      </c>
      <c r="P2066" t="str">
        <f t="shared" si="194"/>
        <v>High</v>
      </c>
      <c r="Q2066" t="str">
        <f t="shared" si="195"/>
        <v>High Loan</v>
      </c>
      <c r="R2066">
        <f t="shared" si="196"/>
        <v>32600000</v>
      </c>
      <c r="S2066" t="str">
        <f t="shared" si="197"/>
        <v>Strong</v>
      </c>
    </row>
    <row r="2067" spans="1:19" x14ac:dyDescent="0.25">
      <c r="A2067">
        <v>2066</v>
      </c>
      <c r="B2067">
        <v>4</v>
      </c>
      <c r="C2067" t="s">
        <v>31</v>
      </c>
      <c r="D2067" t="s">
        <v>33</v>
      </c>
      <c r="E2067">
        <v>9100000</v>
      </c>
      <c r="F2067">
        <v>33000000</v>
      </c>
      <c r="G2067">
        <v>8</v>
      </c>
      <c r="H2067">
        <v>543</v>
      </c>
      <c r="I2067">
        <v>15700000</v>
      </c>
      <c r="J2067">
        <v>14400000</v>
      </c>
      <c r="K2067">
        <v>19500000</v>
      </c>
      <c r="L2067">
        <v>11200000</v>
      </c>
      <c r="M2067" t="s">
        <v>35</v>
      </c>
      <c r="N2067">
        <f t="shared" si="193"/>
        <v>0</v>
      </c>
      <c r="O2067" t="str">
        <f t="shared" si="192"/>
        <v>Low</v>
      </c>
      <c r="P2067" t="str">
        <f t="shared" si="194"/>
        <v>High</v>
      </c>
      <c r="Q2067" t="str">
        <f t="shared" si="195"/>
        <v>High Loan</v>
      </c>
      <c r="R2067">
        <f t="shared" si="196"/>
        <v>60800000</v>
      </c>
      <c r="S2067" t="str">
        <f t="shared" si="197"/>
        <v>Strong</v>
      </c>
    </row>
    <row r="2068" spans="1:19" x14ac:dyDescent="0.25">
      <c r="A2068">
        <v>2067</v>
      </c>
      <c r="B2068">
        <v>5</v>
      </c>
      <c r="C2068" t="s">
        <v>31</v>
      </c>
      <c r="D2068" t="s">
        <v>33</v>
      </c>
      <c r="E2068">
        <v>7600000</v>
      </c>
      <c r="F2068">
        <v>15400000</v>
      </c>
      <c r="G2068">
        <v>14</v>
      </c>
      <c r="H2068">
        <v>576</v>
      </c>
      <c r="I2068">
        <v>2300000</v>
      </c>
      <c r="J2068">
        <v>2800000</v>
      </c>
      <c r="K2068">
        <v>24500000</v>
      </c>
      <c r="L2068">
        <v>4700000</v>
      </c>
      <c r="M2068" t="s">
        <v>34</v>
      </c>
      <c r="N2068">
        <f t="shared" si="193"/>
        <v>1</v>
      </c>
      <c r="O2068" t="str">
        <f t="shared" si="192"/>
        <v>Low</v>
      </c>
      <c r="P2068" t="str">
        <f t="shared" si="194"/>
        <v>High</v>
      </c>
      <c r="Q2068" t="str">
        <f t="shared" si="195"/>
        <v>Low Loan</v>
      </c>
      <c r="R2068">
        <f t="shared" si="196"/>
        <v>34300000</v>
      </c>
      <c r="S2068" t="str">
        <f t="shared" si="197"/>
        <v>Strong</v>
      </c>
    </row>
    <row r="2069" spans="1:19" x14ac:dyDescent="0.25">
      <c r="A2069">
        <v>2068</v>
      </c>
      <c r="B2069">
        <v>2</v>
      </c>
      <c r="C2069" t="s">
        <v>31</v>
      </c>
      <c r="D2069" t="s">
        <v>32</v>
      </c>
      <c r="E2069">
        <v>7200000</v>
      </c>
      <c r="F2069">
        <v>17000000</v>
      </c>
      <c r="G2069">
        <v>10</v>
      </c>
      <c r="H2069">
        <v>856</v>
      </c>
      <c r="I2069">
        <v>18100000</v>
      </c>
      <c r="J2069">
        <v>12700000</v>
      </c>
      <c r="K2069">
        <v>15800000</v>
      </c>
      <c r="L2069">
        <v>6000000</v>
      </c>
      <c r="M2069" t="s">
        <v>34</v>
      </c>
      <c r="N2069">
        <f t="shared" si="193"/>
        <v>1</v>
      </c>
      <c r="O2069" t="str">
        <f t="shared" si="192"/>
        <v>Excellent</v>
      </c>
      <c r="P2069" t="str">
        <f t="shared" si="194"/>
        <v>High</v>
      </c>
      <c r="Q2069" t="str">
        <f t="shared" si="195"/>
        <v>Low Loan</v>
      </c>
      <c r="R2069">
        <f t="shared" si="196"/>
        <v>52600000</v>
      </c>
      <c r="S2069" t="str">
        <f t="shared" si="197"/>
        <v>Strong</v>
      </c>
    </row>
    <row r="2070" spans="1:19" x14ac:dyDescent="0.25">
      <c r="A2070">
        <v>2069</v>
      </c>
      <c r="B2070">
        <v>0</v>
      </c>
      <c r="C2070" t="s">
        <v>30</v>
      </c>
      <c r="D2070" t="s">
        <v>33</v>
      </c>
      <c r="E2070">
        <v>2600000</v>
      </c>
      <c r="F2070">
        <v>8200000</v>
      </c>
      <c r="G2070">
        <v>8</v>
      </c>
      <c r="H2070">
        <v>722</v>
      </c>
      <c r="I2070">
        <v>3500000</v>
      </c>
      <c r="J2070">
        <v>4200000</v>
      </c>
      <c r="K2070">
        <v>7100000</v>
      </c>
      <c r="L2070">
        <v>3200000</v>
      </c>
      <c r="M2070" t="s">
        <v>34</v>
      </c>
      <c r="N2070">
        <f t="shared" si="193"/>
        <v>1</v>
      </c>
      <c r="O2070" t="str">
        <f t="shared" si="192"/>
        <v>Good</v>
      </c>
      <c r="P2070" t="str">
        <f t="shared" si="194"/>
        <v>High</v>
      </c>
      <c r="Q2070" t="str">
        <f t="shared" si="195"/>
        <v>Low Loan</v>
      </c>
      <c r="R2070">
        <f t="shared" si="196"/>
        <v>18000000</v>
      </c>
      <c r="S2070" t="str">
        <f t="shared" si="197"/>
        <v>Strong</v>
      </c>
    </row>
    <row r="2071" spans="1:19" x14ac:dyDescent="0.25">
      <c r="A2071">
        <v>2070</v>
      </c>
      <c r="B2071">
        <v>4</v>
      </c>
      <c r="C2071" t="s">
        <v>30</v>
      </c>
      <c r="D2071" t="s">
        <v>33</v>
      </c>
      <c r="E2071">
        <v>6500000</v>
      </c>
      <c r="F2071">
        <v>20200000</v>
      </c>
      <c r="G2071">
        <v>12</v>
      </c>
      <c r="H2071">
        <v>653</v>
      </c>
      <c r="I2071">
        <v>18600000</v>
      </c>
      <c r="J2071">
        <v>1400000</v>
      </c>
      <c r="K2071">
        <v>23800000</v>
      </c>
      <c r="L2071">
        <v>6400000</v>
      </c>
      <c r="M2071" t="s">
        <v>34</v>
      </c>
      <c r="N2071">
        <f t="shared" si="193"/>
        <v>1</v>
      </c>
      <c r="O2071" t="str">
        <f t="shared" si="192"/>
        <v>Medium</v>
      </c>
      <c r="P2071" t="str">
        <f t="shared" si="194"/>
        <v>High</v>
      </c>
      <c r="Q2071" t="str">
        <f t="shared" si="195"/>
        <v>High Loan</v>
      </c>
      <c r="R2071">
        <f t="shared" si="196"/>
        <v>50200000</v>
      </c>
      <c r="S2071" t="str">
        <f t="shared" si="197"/>
        <v>Strong</v>
      </c>
    </row>
    <row r="2072" spans="1:19" x14ac:dyDescent="0.25">
      <c r="A2072">
        <v>2071</v>
      </c>
      <c r="B2072">
        <v>5</v>
      </c>
      <c r="C2072" t="s">
        <v>30</v>
      </c>
      <c r="D2072" t="s">
        <v>32</v>
      </c>
      <c r="E2072">
        <v>8900000</v>
      </c>
      <c r="F2072">
        <v>35500000</v>
      </c>
      <c r="G2072">
        <v>16</v>
      </c>
      <c r="H2072">
        <v>480</v>
      </c>
      <c r="I2072">
        <v>17200000</v>
      </c>
      <c r="J2072">
        <v>11300000</v>
      </c>
      <c r="K2072">
        <v>25200000</v>
      </c>
      <c r="L2072">
        <v>4900000</v>
      </c>
      <c r="M2072" t="s">
        <v>35</v>
      </c>
      <c r="N2072">
        <f t="shared" si="193"/>
        <v>0</v>
      </c>
      <c r="O2072" t="str">
        <f t="shared" si="192"/>
        <v>Low</v>
      </c>
      <c r="P2072" t="str">
        <f t="shared" si="194"/>
        <v>High</v>
      </c>
      <c r="Q2072" t="str">
        <f t="shared" si="195"/>
        <v>High Loan</v>
      </c>
      <c r="R2072">
        <f t="shared" si="196"/>
        <v>58600000</v>
      </c>
      <c r="S2072" t="str">
        <f t="shared" si="197"/>
        <v>Strong</v>
      </c>
    </row>
    <row r="2073" spans="1:19" x14ac:dyDescent="0.25">
      <c r="A2073">
        <v>2072</v>
      </c>
      <c r="B2073">
        <v>2</v>
      </c>
      <c r="C2073" t="s">
        <v>30</v>
      </c>
      <c r="D2073" t="s">
        <v>33</v>
      </c>
      <c r="E2073">
        <v>5400000</v>
      </c>
      <c r="F2073">
        <v>14300000</v>
      </c>
      <c r="G2073">
        <v>14</v>
      </c>
      <c r="H2073">
        <v>477</v>
      </c>
      <c r="I2073">
        <v>10200000</v>
      </c>
      <c r="J2073">
        <v>700000</v>
      </c>
      <c r="K2073">
        <v>11100000</v>
      </c>
      <c r="L2073">
        <v>5500000</v>
      </c>
      <c r="M2073" t="s">
        <v>35</v>
      </c>
      <c r="N2073">
        <f t="shared" si="193"/>
        <v>0</v>
      </c>
      <c r="O2073" t="str">
        <f t="shared" si="192"/>
        <v>Low</v>
      </c>
      <c r="P2073" t="str">
        <f t="shared" si="194"/>
        <v>High</v>
      </c>
      <c r="Q2073" t="str">
        <f t="shared" si="195"/>
        <v>Low Loan</v>
      </c>
      <c r="R2073">
        <f t="shared" si="196"/>
        <v>27500000</v>
      </c>
      <c r="S2073" t="str">
        <f t="shared" si="197"/>
        <v>Strong</v>
      </c>
    </row>
    <row r="2074" spans="1:19" x14ac:dyDescent="0.25">
      <c r="A2074">
        <v>2073</v>
      </c>
      <c r="B2074">
        <v>0</v>
      </c>
      <c r="C2074" t="s">
        <v>30</v>
      </c>
      <c r="D2074" t="s">
        <v>32</v>
      </c>
      <c r="E2074">
        <v>300000</v>
      </c>
      <c r="F2074">
        <v>500000</v>
      </c>
      <c r="G2074">
        <v>2</v>
      </c>
      <c r="H2074">
        <v>885</v>
      </c>
      <c r="I2074">
        <v>200000</v>
      </c>
      <c r="J2074">
        <v>400000</v>
      </c>
      <c r="K2074">
        <v>700000</v>
      </c>
      <c r="L2074">
        <v>200000</v>
      </c>
      <c r="M2074" t="s">
        <v>34</v>
      </c>
      <c r="N2074">
        <f t="shared" si="193"/>
        <v>1</v>
      </c>
      <c r="O2074" t="str">
        <f t="shared" si="192"/>
        <v>Excellent</v>
      </c>
      <c r="P2074" t="str">
        <f t="shared" si="194"/>
        <v>Middle</v>
      </c>
      <c r="Q2074" t="str">
        <f t="shared" si="195"/>
        <v>Low Loan</v>
      </c>
      <c r="R2074">
        <f t="shared" si="196"/>
        <v>1500000</v>
      </c>
      <c r="S2074" t="str">
        <f t="shared" si="197"/>
        <v>Weak</v>
      </c>
    </row>
    <row r="2075" spans="1:19" x14ac:dyDescent="0.25">
      <c r="A2075">
        <v>2074</v>
      </c>
      <c r="B2075">
        <v>0</v>
      </c>
      <c r="C2075" t="s">
        <v>31</v>
      </c>
      <c r="D2075" t="s">
        <v>32</v>
      </c>
      <c r="E2075">
        <v>8400000</v>
      </c>
      <c r="F2075">
        <v>19600000</v>
      </c>
      <c r="G2075">
        <v>18</v>
      </c>
      <c r="H2075">
        <v>530</v>
      </c>
      <c r="I2075">
        <v>17000000</v>
      </c>
      <c r="J2075">
        <v>3600000</v>
      </c>
      <c r="K2075">
        <v>24200000</v>
      </c>
      <c r="L2075">
        <v>12300000</v>
      </c>
      <c r="M2075" t="s">
        <v>35</v>
      </c>
      <c r="N2075">
        <f t="shared" si="193"/>
        <v>0</v>
      </c>
      <c r="O2075" t="str">
        <f t="shared" si="192"/>
        <v>Low</v>
      </c>
      <c r="P2075" t="str">
        <f t="shared" si="194"/>
        <v>High</v>
      </c>
      <c r="Q2075" t="str">
        <f t="shared" si="195"/>
        <v>Low Loan</v>
      </c>
      <c r="R2075">
        <f t="shared" si="196"/>
        <v>57100000</v>
      </c>
      <c r="S2075" t="str">
        <f t="shared" si="197"/>
        <v>Strong</v>
      </c>
    </row>
    <row r="2076" spans="1:19" x14ac:dyDescent="0.25">
      <c r="A2076">
        <v>2075</v>
      </c>
      <c r="B2076">
        <v>3</v>
      </c>
      <c r="C2076" t="s">
        <v>30</v>
      </c>
      <c r="D2076" t="s">
        <v>32</v>
      </c>
      <c r="E2076">
        <v>8300000</v>
      </c>
      <c r="F2076">
        <v>17200000</v>
      </c>
      <c r="G2076">
        <v>8</v>
      </c>
      <c r="H2076">
        <v>870</v>
      </c>
      <c r="I2076">
        <v>4700000</v>
      </c>
      <c r="J2076">
        <v>8800000</v>
      </c>
      <c r="K2076">
        <v>18300000</v>
      </c>
      <c r="L2076">
        <v>10000000</v>
      </c>
      <c r="M2076" t="s">
        <v>34</v>
      </c>
      <c r="N2076">
        <f t="shared" si="193"/>
        <v>1</v>
      </c>
      <c r="O2076" t="str">
        <f t="shared" si="192"/>
        <v>Excellent</v>
      </c>
      <c r="P2076" t="str">
        <f t="shared" si="194"/>
        <v>High</v>
      </c>
      <c r="Q2076" t="str">
        <f t="shared" si="195"/>
        <v>Low Loan</v>
      </c>
      <c r="R2076">
        <f t="shared" si="196"/>
        <v>41800000</v>
      </c>
      <c r="S2076" t="str">
        <f t="shared" si="197"/>
        <v>Strong</v>
      </c>
    </row>
    <row r="2077" spans="1:19" x14ac:dyDescent="0.25">
      <c r="A2077">
        <v>2076</v>
      </c>
      <c r="B2077">
        <v>4</v>
      </c>
      <c r="C2077" t="s">
        <v>31</v>
      </c>
      <c r="D2077" t="s">
        <v>32</v>
      </c>
      <c r="E2077">
        <v>1700000</v>
      </c>
      <c r="F2077">
        <v>5600000</v>
      </c>
      <c r="G2077">
        <v>8</v>
      </c>
      <c r="H2077">
        <v>395</v>
      </c>
      <c r="I2077">
        <v>2700000</v>
      </c>
      <c r="J2077">
        <v>800000</v>
      </c>
      <c r="K2077">
        <v>3500000</v>
      </c>
      <c r="L2077">
        <v>2400000</v>
      </c>
      <c r="M2077" t="s">
        <v>35</v>
      </c>
      <c r="N2077">
        <f t="shared" si="193"/>
        <v>0</v>
      </c>
      <c r="O2077" t="str">
        <f t="shared" si="192"/>
        <v>Low</v>
      </c>
      <c r="P2077" t="str">
        <f t="shared" si="194"/>
        <v>High</v>
      </c>
      <c r="Q2077" t="str">
        <f t="shared" si="195"/>
        <v>Low Loan</v>
      </c>
      <c r="R2077">
        <f t="shared" si="196"/>
        <v>9400000</v>
      </c>
      <c r="S2077" t="str">
        <f t="shared" si="197"/>
        <v>Moderate</v>
      </c>
    </row>
    <row r="2078" spans="1:19" x14ac:dyDescent="0.25">
      <c r="A2078">
        <v>2077</v>
      </c>
      <c r="B2078">
        <v>2</v>
      </c>
      <c r="C2078" t="s">
        <v>31</v>
      </c>
      <c r="D2078" t="s">
        <v>32</v>
      </c>
      <c r="E2078">
        <v>1500000</v>
      </c>
      <c r="F2078">
        <v>4200000</v>
      </c>
      <c r="G2078">
        <v>16</v>
      </c>
      <c r="H2078">
        <v>771</v>
      </c>
      <c r="I2078">
        <v>2500000</v>
      </c>
      <c r="J2078">
        <v>800000</v>
      </c>
      <c r="K2078">
        <v>5700000</v>
      </c>
      <c r="L2078">
        <v>1100000</v>
      </c>
      <c r="M2078" t="s">
        <v>34</v>
      </c>
      <c r="N2078">
        <f t="shared" si="193"/>
        <v>1</v>
      </c>
      <c r="O2078" t="str">
        <f t="shared" si="192"/>
        <v>Excellent</v>
      </c>
      <c r="P2078" t="str">
        <f t="shared" si="194"/>
        <v>High</v>
      </c>
      <c r="Q2078" t="str">
        <f t="shared" si="195"/>
        <v>Low Loan</v>
      </c>
      <c r="R2078">
        <f t="shared" si="196"/>
        <v>10100000</v>
      </c>
      <c r="S2078" t="str">
        <f t="shared" si="197"/>
        <v>Strong</v>
      </c>
    </row>
    <row r="2079" spans="1:19" x14ac:dyDescent="0.25">
      <c r="A2079">
        <v>2078</v>
      </c>
      <c r="B2079">
        <v>1</v>
      </c>
      <c r="C2079" t="s">
        <v>31</v>
      </c>
      <c r="D2079" t="s">
        <v>33</v>
      </c>
      <c r="E2079">
        <v>200000</v>
      </c>
      <c r="F2079">
        <v>500000</v>
      </c>
      <c r="G2079">
        <v>2</v>
      </c>
      <c r="H2079">
        <v>579</v>
      </c>
      <c r="I2079">
        <v>500000</v>
      </c>
      <c r="J2079">
        <v>100000</v>
      </c>
      <c r="K2079">
        <v>500000</v>
      </c>
      <c r="L2079">
        <v>100000</v>
      </c>
      <c r="M2079" t="s">
        <v>34</v>
      </c>
      <c r="N2079">
        <f t="shared" si="193"/>
        <v>1</v>
      </c>
      <c r="O2079" t="str">
        <f t="shared" si="192"/>
        <v>Low</v>
      </c>
      <c r="P2079" t="str">
        <f t="shared" si="194"/>
        <v>Low</v>
      </c>
      <c r="Q2079" t="str">
        <f t="shared" si="195"/>
        <v>Low Loan</v>
      </c>
      <c r="R2079">
        <f t="shared" si="196"/>
        <v>1200000</v>
      </c>
      <c r="S2079" t="str">
        <f t="shared" si="197"/>
        <v>Weak</v>
      </c>
    </row>
    <row r="2080" spans="1:19" x14ac:dyDescent="0.25">
      <c r="A2080">
        <v>2079</v>
      </c>
      <c r="B2080">
        <v>1</v>
      </c>
      <c r="C2080" t="s">
        <v>30</v>
      </c>
      <c r="D2080" t="s">
        <v>33</v>
      </c>
      <c r="E2080">
        <v>1000000</v>
      </c>
      <c r="F2080">
        <v>3700000</v>
      </c>
      <c r="G2080">
        <v>14</v>
      </c>
      <c r="H2080">
        <v>798</v>
      </c>
      <c r="I2080">
        <v>2000000</v>
      </c>
      <c r="J2080">
        <v>200000</v>
      </c>
      <c r="K2080">
        <v>3800000</v>
      </c>
      <c r="L2080">
        <v>1400000</v>
      </c>
      <c r="M2080" t="s">
        <v>34</v>
      </c>
      <c r="N2080">
        <f t="shared" si="193"/>
        <v>1</v>
      </c>
      <c r="O2080" t="str">
        <f t="shared" si="192"/>
        <v>Excellent</v>
      </c>
      <c r="P2080" t="str">
        <f t="shared" si="194"/>
        <v>High</v>
      </c>
      <c r="Q2080" t="str">
        <f t="shared" si="195"/>
        <v>Low Loan</v>
      </c>
      <c r="R2080">
        <f t="shared" si="196"/>
        <v>7400000</v>
      </c>
      <c r="S2080" t="str">
        <f t="shared" si="197"/>
        <v>Moderate</v>
      </c>
    </row>
    <row r="2081" spans="1:19" x14ac:dyDescent="0.25">
      <c r="A2081">
        <v>2080</v>
      </c>
      <c r="B2081">
        <v>3</v>
      </c>
      <c r="C2081" t="s">
        <v>31</v>
      </c>
      <c r="D2081" t="s">
        <v>33</v>
      </c>
      <c r="E2081">
        <v>8800000</v>
      </c>
      <c r="F2081">
        <v>25100000</v>
      </c>
      <c r="G2081">
        <v>8</v>
      </c>
      <c r="H2081">
        <v>473</v>
      </c>
      <c r="I2081">
        <v>17200000</v>
      </c>
      <c r="J2081">
        <v>600000</v>
      </c>
      <c r="K2081">
        <v>24400000</v>
      </c>
      <c r="L2081">
        <v>12400000</v>
      </c>
      <c r="M2081" t="s">
        <v>35</v>
      </c>
      <c r="N2081">
        <f t="shared" si="193"/>
        <v>0</v>
      </c>
      <c r="O2081" t="str">
        <f t="shared" si="192"/>
        <v>Low</v>
      </c>
      <c r="P2081" t="str">
        <f t="shared" si="194"/>
        <v>High</v>
      </c>
      <c r="Q2081" t="str">
        <f t="shared" si="195"/>
        <v>High Loan</v>
      </c>
      <c r="R2081">
        <f t="shared" si="196"/>
        <v>54600000</v>
      </c>
      <c r="S2081" t="str">
        <f t="shared" si="197"/>
        <v>Strong</v>
      </c>
    </row>
    <row r="2082" spans="1:19" x14ac:dyDescent="0.25">
      <c r="A2082">
        <v>2081</v>
      </c>
      <c r="B2082">
        <v>0</v>
      </c>
      <c r="C2082" t="s">
        <v>30</v>
      </c>
      <c r="D2082" t="s">
        <v>33</v>
      </c>
      <c r="E2082">
        <v>1000000</v>
      </c>
      <c r="F2082">
        <v>3200000</v>
      </c>
      <c r="G2082">
        <v>8</v>
      </c>
      <c r="H2082">
        <v>304</v>
      </c>
      <c r="I2082">
        <v>500000</v>
      </c>
      <c r="J2082">
        <v>600000</v>
      </c>
      <c r="K2082">
        <v>3700000</v>
      </c>
      <c r="L2082">
        <v>700000</v>
      </c>
      <c r="M2082" t="s">
        <v>35</v>
      </c>
      <c r="N2082">
        <f t="shared" si="193"/>
        <v>0</v>
      </c>
      <c r="O2082" t="str">
        <f t="shared" si="192"/>
        <v>Low</v>
      </c>
      <c r="P2082" t="str">
        <f t="shared" si="194"/>
        <v>High</v>
      </c>
      <c r="Q2082" t="str">
        <f t="shared" si="195"/>
        <v>Low Loan</v>
      </c>
      <c r="R2082">
        <f t="shared" si="196"/>
        <v>5500000</v>
      </c>
      <c r="S2082" t="str">
        <f t="shared" si="197"/>
        <v>Moderate</v>
      </c>
    </row>
    <row r="2083" spans="1:19" x14ac:dyDescent="0.25">
      <c r="A2083">
        <v>2082</v>
      </c>
      <c r="B2083">
        <v>0</v>
      </c>
      <c r="C2083" t="s">
        <v>31</v>
      </c>
      <c r="D2083" t="s">
        <v>33</v>
      </c>
      <c r="E2083">
        <v>8600000</v>
      </c>
      <c r="F2083">
        <v>23000000</v>
      </c>
      <c r="G2083">
        <v>14</v>
      </c>
      <c r="H2083">
        <v>678</v>
      </c>
      <c r="I2083">
        <v>18800000</v>
      </c>
      <c r="J2083">
        <v>16400000</v>
      </c>
      <c r="K2083">
        <v>22900000</v>
      </c>
      <c r="L2083">
        <v>12000000</v>
      </c>
      <c r="M2083" t="s">
        <v>34</v>
      </c>
      <c r="N2083">
        <f t="shared" si="193"/>
        <v>1</v>
      </c>
      <c r="O2083" t="str">
        <f t="shared" si="192"/>
        <v>Medium</v>
      </c>
      <c r="P2083" t="str">
        <f t="shared" si="194"/>
        <v>High</v>
      </c>
      <c r="Q2083" t="str">
        <f t="shared" si="195"/>
        <v>High Loan</v>
      </c>
      <c r="R2083">
        <f t="shared" si="196"/>
        <v>70100000</v>
      </c>
      <c r="S2083" t="str">
        <f t="shared" si="197"/>
        <v>Strong</v>
      </c>
    </row>
    <row r="2084" spans="1:19" x14ac:dyDescent="0.25">
      <c r="A2084">
        <v>2083</v>
      </c>
      <c r="B2084">
        <v>5</v>
      </c>
      <c r="C2084" t="s">
        <v>30</v>
      </c>
      <c r="D2084" t="s">
        <v>33</v>
      </c>
      <c r="E2084">
        <v>2400000</v>
      </c>
      <c r="F2084">
        <v>8900000</v>
      </c>
      <c r="G2084">
        <v>2</v>
      </c>
      <c r="H2084">
        <v>745</v>
      </c>
      <c r="I2084">
        <v>1700000</v>
      </c>
      <c r="J2084">
        <v>2000000</v>
      </c>
      <c r="K2084">
        <v>9200000</v>
      </c>
      <c r="L2084">
        <v>2100000</v>
      </c>
      <c r="M2084" t="s">
        <v>34</v>
      </c>
      <c r="N2084">
        <f t="shared" si="193"/>
        <v>1</v>
      </c>
      <c r="O2084" t="str">
        <f t="shared" si="192"/>
        <v>Good</v>
      </c>
      <c r="P2084" t="str">
        <f t="shared" si="194"/>
        <v>High</v>
      </c>
      <c r="Q2084" t="str">
        <f t="shared" si="195"/>
        <v>Low Loan</v>
      </c>
      <c r="R2084">
        <f t="shared" si="196"/>
        <v>15000000</v>
      </c>
      <c r="S2084" t="str">
        <f t="shared" si="197"/>
        <v>Strong</v>
      </c>
    </row>
    <row r="2085" spans="1:19" x14ac:dyDescent="0.25">
      <c r="A2085">
        <v>2084</v>
      </c>
      <c r="B2085">
        <v>1</v>
      </c>
      <c r="C2085" t="s">
        <v>30</v>
      </c>
      <c r="D2085" t="s">
        <v>32</v>
      </c>
      <c r="E2085">
        <v>2400000</v>
      </c>
      <c r="F2085">
        <v>8900000</v>
      </c>
      <c r="G2085">
        <v>8</v>
      </c>
      <c r="H2085">
        <v>835</v>
      </c>
      <c r="I2085">
        <v>2400000</v>
      </c>
      <c r="J2085">
        <v>1200000</v>
      </c>
      <c r="K2085">
        <v>5500000</v>
      </c>
      <c r="L2085">
        <v>1100000</v>
      </c>
      <c r="M2085" t="s">
        <v>34</v>
      </c>
      <c r="N2085">
        <f t="shared" si="193"/>
        <v>1</v>
      </c>
      <c r="O2085" t="str">
        <f t="shared" si="192"/>
        <v>Excellent</v>
      </c>
      <c r="P2085" t="str">
        <f t="shared" si="194"/>
        <v>High</v>
      </c>
      <c r="Q2085" t="str">
        <f t="shared" si="195"/>
        <v>Low Loan</v>
      </c>
      <c r="R2085">
        <f t="shared" si="196"/>
        <v>10200000</v>
      </c>
      <c r="S2085" t="str">
        <f t="shared" si="197"/>
        <v>Strong</v>
      </c>
    </row>
    <row r="2086" spans="1:19" x14ac:dyDescent="0.25">
      <c r="A2086">
        <v>2085</v>
      </c>
      <c r="B2086">
        <v>5</v>
      </c>
      <c r="C2086" t="s">
        <v>31</v>
      </c>
      <c r="D2086" t="s">
        <v>33</v>
      </c>
      <c r="E2086">
        <v>6000000</v>
      </c>
      <c r="F2086">
        <v>12100000</v>
      </c>
      <c r="G2086">
        <v>20</v>
      </c>
      <c r="H2086">
        <v>848</v>
      </c>
      <c r="I2086">
        <v>13900000</v>
      </c>
      <c r="J2086">
        <v>4800000</v>
      </c>
      <c r="K2086">
        <v>18000000</v>
      </c>
      <c r="L2086">
        <v>3600000</v>
      </c>
      <c r="M2086" t="s">
        <v>34</v>
      </c>
      <c r="N2086">
        <f t="shared" si="193"/>
        <v>1</v>
      </c>
      <c r="O2086" t="str">
        <f t="shared" si="192"/>
        <v>Excellent</v>
      </c>
      <c r="P2086" t="str">
        <f t="shared" si="194"/>
        <v>High</v>
      </c>
      <c r="Q2086" t="str">
        <f t="shared" si="195"/>
        <v>Low Loan</v>
      </c>
      <c r="R2086">
        <f t="shared" si="196"/>
        <v>40300000</v>
      </c>
      <c r="S2086" t="str">
        <f t="shared" si="197"/>
        <v>Strong</v>
      </c>
    </row>
    <row r="2087" spans="1:19" x14ac:dyDescent="0.25">
      <c r="A2087">
        <v>2086</v>
      </c>
      <c r="B2087">
        <v>5</v>
      </c>
      <c r="C2087" t="s">
        <v>31</v>
      </c>
      <c r="D2087" t="s">
        <v>32</v>
      </c>
      <c r="E2087">
        <v>7600000</v>
      </c>
      <c r="F2087">
        <v>16300000</v>
      </c>
      <c r="G2087">
        <v>18</v>
      </c>
      <c r="H2087">
        <v>872</v>
      </c>
      <c r="I2087">
        <v>5100000</v>
      </c>
      <c r="J2087">
        <v>1900000</v>
      </c>
      <c r="K2087">
        <v>20700000</v>
      </c>
      <c r="L2087">
        <v>5000000</v>
      </c>
      <c r="M2087" t="s">
        <v>34</v>
      </c>
      <c r="N2087">
        <f t="shared" si="193"/>
        <v>1</v>
      </c>
      <c r="O2087" t="str">
        <f t="shared" si="192"/>
        <v>Excellent</v>
      </c>
      <c r="P2087" t="str">
        <f t="shared" si="194"/>
        <v>High</v>
      </c>
      <c r="Q2087" t="str">
        <f t="shared" si="195"/>
        <v>Low Loan</v>
      </c>
      <c r="R2087">
        <f t="shared" si="196"/>
        <v>32700000</v>
      </c>
      <c r="S2087" t="str">
        <f t="shared" si="197"/>
        <v>Strong</v>
      </c>
    </row>
    <row r="2088" spans="1:19" x14ac:dyDescent="0.25">
      <c r="A2088">
        <v>2087</v>
      </c>
      <c r="B2088">
        <v>3</v>
      </c>
      <c r="C2088" t="s">
        <v>31</v>
      </c>
      <c r="D2088" t="s">
        <v>32</v>
      </c>
      <c r="E2088">
        <v>8000000</v>
      </c>
      <c r="F2088">
        <v>20100000</v>
      </c>
      <c r="G2088">
        <v>10</v>
      </c>
      <c r="H2088">
        <v>608</v>
      </c>
      <c r="I2088">
        <v>9800000</v>
      </c>
      <c r="J2088">
        <v>15500000</v>
      </c>
      <c r="K2088">
        <v>26100000</v>
      </c>
      <c r="L2088">
        <v>5200000</v>
      </c>
      <c r="M2088" t="s">
        <v>34</v>
      </c>
      <c r="N2088">
        <f t="shared" si="193"/>
        <v>1</v>
      </c>
      <c r="O2088" t="str">
        <f t="shared" si="192"/>
        <v>Low</v>
      </c>
      <c r="P2088" t="str">
        <f t="shared" si="194"/>
        <v>High</v>
      </c>
      <c r="Q2088" t="str">
        <f t="shared" si="195"/>
        <v>High Loan</v>
      </c>
      <c r="R2088">
        <f t="shared" si="196"/>
        <v>56600000</v>
      </c>
      <c r="S2088" t="str">
        <f t="shared" si="197"/>
        <v>Strong</v>
      </c>
    </row>
    <row r="2089" spans="1:19" x14ac:dyDescent="0.25">
      <c r="A2089">
        <v>2088</v>
      </c>
      <c r="B2089">
        <v>0</v>
      </c>
      <c r="C2089" t="s">
        <v>30</v>
      </c>
      <c r="D2089" t="s">
        <v>33</v>
      </c>
      <c r="E2089">
        <v>5400000</v>
      </c>
      <c r="F2089">
        <v>19500000</v>
      </c>
      <c r="G2089">
        <v>16</v>
      </c>
      <c r="H2089">
        <v>758</v>
      </c>
      <c r="I2089">
        <v>2600000</v>
      </c>
      <c r="J2089">
        <v>2700000</v>
      </c>
      <c r="K2089">
        <v>18300000</v>
      </c>
      <c r="L2089">
        <v>6000000</v>
      </c>
      <c r="M2089" t="s">
        <v>34</v>
      </c>
      <c r="N2089">
        <f t="shared" si="193"/>
        <v>1</v>
      </c>
      <c r="O2089" t="str">
        <f t="shared" si="192"/>
        <v>Excellent</v>
      </c>
      <c r="P2089" t="str">
        <f t="shared" si="194"/>
        <v>High</v>
      </c>
      <c r="Q2089" t="str">
        <f t="shared" si="195"/>
        <v>Low Loan</v>
      </c>
      <c r="R2089">
        <f t="shared" si="196"/>
        <v>29600000</v>
      </c>
      <c r="S2089" t="str">
        <f t="shared" si="197"/>
        <v>Strong</v>
      </c>
    </row>
    <row r="2090" spans="1:19" x14ac:dyDescent="0.25">
      <c r="A2090">
        <v>2089</v>
      </c>
      <c r="B2090">
        <v>0</v>
      </c>
      <c r="C2090" t="s">
        <v>31</v>
      </c>
      <c r="D2090" t="s">
        <v>33</v>
      </c>
      <c r="E2090">
        <v>1400000</v>
      </c>
      <c r="F2090">
        <v>3700000</v>
      </c>
      <c r="G2090">
        <v>4</v>
      </c>
      <c r="H2090">
        <v>841</v>
      </c>
      <c r="I2090">
        <v>3000000</v>
      </c>
      <c r="J2090">
        <v>1000000</v>
      </c>
      <c r="K2090">
        <v>4600000</v>
      </c>
      <c r="L2090">
        <v>1000000</v>
      </c>
      <c r="M2090" t="s">
        <v>34</v>
      </c>
      <c r="N2090">
        <f t="shared" si="193"/>
        <v>1</v>
      </c>
      <c r="O2090" t="str">
        <f t="shared" si="192"/>
        <v>Excellent</v>
      </c>
      <c r="P2090" t="str">
        <f t="shared" si="194"/>
        <v>High</v>
      </c>
      <c r="Q2090" t="str">
        <f t="shared" si="195"/>
        <v>Low Loan</v>
      </c>
      <c r="R2090">
        <f t="shared" si="196"/>
        <v>9600000</v>
      </c>
      <c r="S2090" t="str">
        <f t="shared" si="197"/>
        <v>Moderate</v>
      </c>
    </row>
    <row r="2091" spans="1:19" x14ac:dyDescent="0.25">
      <c r="A2091">
        <v>2090</v>
      </c>
      <c r="B2091">
        <v>0</v>
      </c>
      <c r="C2091" t="s">
        <v>31</v>
      </c>
      <c r="D2091" t="s">
        <v>33</v>
      </c>
      <c r="E2091">
        <v>800000</v>
      </c>
      <c r="F2091">
        <v>2600000</v>
      </c>
      <c r="G2091">
        <v>2</v>
      </c>
      <c r="H2091">
        <v>618</v>
      </c>
      <c r="I2091">
        <v>300000</v>
      </c>
      <c r="J2091">
        <v>1200000</v>
      </c>
      <c r="K2091">
        <v>2000000</v>
      </c>
      <c r="L2091">
        <v>500000</v>
      </c>
      <c r="M2091" t="s">
        <v>34</v>
      </c>
      <c r="N2091">
        <f t="shared" si="193"/>
        <v>1</v>
      </c>
      <c r="O2091" t="str">
        <f t="shared" si="192"/>
        <v>Low</v>
      </c>
      <c r="P2091" t="str">
        <f t="shared" si="194"/>
        <v>High</v>
      </c>
      <c r="Q2091" t="str">
        <f t="shared" si="195"/>
        <v>Low Loan</v>
      </c>
      <c r="R2091">
        <f t="shared" si="196"/>
        <v>4000000</v>
      </c>
      <c r="S2091" t="str">
        <f t="shared" si="197"/>
        <v>Weak</v>
      </c>
    </row>
    <row r="2092" spans="1:19" x14ac:dyDescent="0.25">
      <c r="A2092">
        <v>2091</v>
      </c>
      <c r="B2092">
        <v>4</v>
      </c>
      <c r="C2092" t="s">
        <v>30</v>
      </c>
      <c r="D2092" t="s">
        <v>33</v>
      </c>
      <c r="E2092">
        <v>300000</v>
      </c>
      <c r="F2092">
        <v>1100000</v>
      </c>
      <c r="G2092">
        <v>4</v>
      </c>
      <c r="H2092">
        <v>457</v>
      </c>
      <c r="I2092">
        <v>700000</v>
      </c>
      <c r="J2092">
        <v>100000</v>
      </c>
      <c r="K2092">
        <v>1100000</v>
      </c>
      <c r="L2092">
        <v>400000</v>
      </c>
      <c r="M2092" t="s">
        <v>34</v>
      </c>
      <c r="N2092">
        <f t="shared" si="193"/>
        <v>1</v>
      </c>
      <c r="O2092" t="str">
        <f t="shared" si="192"/>
        <v>Low</v>
      </c>
      <c r="P2092" t="str">
        <f t="shared" si="194"/>
        <v>Middle</v>
      </c>
      <c r="Q2092" t="str">
        <f t="shared" si="195"/>
        <v>Low Loan</v>
      </c>
      <c r="R2092">
        <f t="shared" si="196"/>
        <v>2300000</v>
      </c>
      <c r="S2092" t="str">
        <f t="shared" si="197"/>
        <v>Weak</v>
      </c>
    </row>
    <row r="2093" spans="1:19" x14ac:dyDescent="0.25">
      <c r="A2093">
        <v>2092</v>
      </c>
      <c r="B2093">
        <v>0</v>
      </c>
      <c r="C2093" t="s">
        <v>30</v>
      </c>
      <c r="D2093" t="s">
        <v>32</v>
      </c>
      <c r="E2093">
        <v>4100000</v>
      </c>
      <c r="F2093">
        <v>14400000</v>
      </c>
      <c r="G2093">
        <v>4</v>
      </c>
      <c r="H2093">
        <v>844</v>
      </c>
      <c r="I2093">
        <v>2700000</v>
      </c>
      <c r="J2093">
        <v>6000000</v>
      </c>
      <c r="K2093">
        <v>9900000</v>
      </c>
      <c r="L2093">
        <v>4200000</v>
      </c>
      <c r="M2093" t="s">
        <v>34</v>
      </c>
      <c r="N2093">
        <f t="shared" si="193"/>
        <v>1</v>
      </c>
      <c r="O2093" t="str">
        <f t="shared" si="192"/>
        <v>Excellent</v>
      </c>
      <c r="P2093" t="str">
        <f t="shared" si="194"/>
        <v>High</v>
      </c>
      <c r="Q2093" t="str">
        <f t="shared" si="195"/>
        <v>Low Loan</v>
      </c>
      <c r="R2093">
        <f t="shared" si="196"/>
        <v>22800000</v>
      </c>
      <c r="S2093" t="str">
        <f t="shared" si="197"/>
        <v>Strong</v>
      </c>
    </row>
    <row r="2094" spans="1:19" x14ac:dyDescent="0.25">
      <c r="A2094">
        <v>2093</v>
      </c>
      <c r="B2094">
        <v>2</v>
      </c>
      <c r="C2094" t="s">
        <v>31</v>
      </c>
      <c r="D2094" t="s">
        <v>32</v>
      </c>
      <c r="E2094">
        <v>1500000</v>
      </c>
      <c r="F2094">
        <v>3800000</v>
      </c>
      <c r="G2094">
        <v>4</v>
      </c>
      <c r="H2094">
        <v>776</v>
      </c>
      <c r="I2094">
        <v>2800000</v>
      </c>
      <c r="J2094">
        <v>0</v>
      </c>
      <c r="K2094">
        <v>5300000</v>
      </c>
      <c r="L2094">
        <v>1400000</v>
      </c>
      <c r="M2094" t="s">
        <v>34</v>
      </c>
      <c r="N2094">
        <f t="shared" si="193"/>
        <v>1</v>
      </c>
      <c r="O2094" t="str">
        <f t="shared" si="192"/>
        <v>Excellent</v>
      </c>
      <c r="P2094" t="str">
        <f t="shared" si="194"/>
        <v>High</v>
      </c>
      <c r="Q2094" t="str">
        <f t="shared" si="195"/>
        <v>Low Loan</v>
      </c>
      <c r="R2094">
        <f t="shared" si="196"/>
        <v>9500000</v>
      </c>
      <c r="S2094" t="str">
        <f t="shared" si="197"/>
        <v>Moderate</v>
      </c>
    </row>
    <row r="2095" spans="1:19" x14ac:dyDescent="0.25">
      <c r="A2095">
        <v>2094</v>
      </c>
      <c r="B2095">
        <v>1</v>
      </c>
      <c r="C2095" t="s">
        <v>31</v>
      </c>
      <c r="D2095" t="s">
        <v>32</v>
      </c>
      <c r="E2095">
        <v>4600000</v>
      </c>
      <c r="F2095">
        <v>13900000</v>
      </c>
      <c r="G2095">
        <v>8</v>
      </c>
      <c r="H2095">
        <v>520</v>
      </c>
      <c r="I2095">
        <v>13300000</v>
      </c>
      <c r="J2095">
        <v>6400000</v>
      </c>
      <c r="K2095">
        <v>9800000</v>
      </c>
      <c r="L2095">
        <v>2200000</v>
      </c>
      <c r="M2095" t="s">
        <v>35</v>
      </c>
      <c r="N2095">
        <f t="shared" si="193"/>
        <v>0</v>
      </c>
      <c r="O2095" t="str">
        <f t="shared" si="192"/>
        <v>Low</v>
      </c>
      <c r="P2095" t="str">
        <f t="shared" si="194"/>
        <v>High</v>
      </c>
      <c r="Q2095" t="str">
        <f t="shared" si="195"/>
        <v>Low Loan</v>
      </c>
      <c r="R2095">
        <f t="shared" si="196"/>
        <v>31700000</v>
      </c>
      <c r="S2095" t="str">
        <f t="shared" si="197"/>
        <v>Strong</v>
      </c>
    </row>
    <row r="2096" spans="1:19" x14ac:dyDescent="0.25">
      <c r="A2096">
        <v>2095</v>
      </c>
      <c r="B2096">
        <v>1</v>
      </c>
      <c r="C2096" t="s">
        <v>30</v>
      </c>
      <c r="D2096" t="s">
        <v>33</v>
      </c>
      <c r="E2096">
        <v>3300000</v>
      </c>
      <c r="F2096">
        <v>7500000</v>
      </c>
      <c r="G2096">
        <v>12</v>
      </c>
      <c r="H2096">
        <v>648</v>
      </c>
      <c r="I2096">
        <v>6400000</v>
      </c>
      <c r="J2096">
        <v>1700000</v>
      </c>
      <c r="K2096">
        <v>8700000</v>
      </c>
      <c r="L2096">
        <v>1600000</v>
      </c>
      <c r="M2096" t="s">
        <v>34</v>
      </c>
      <c r="N2096">
        <f t="shared" si="193"/>
        <v>1</v>
      </c>
      <c r="O2096" t="str">
        <f t="shared" si="192"/>
        <v>Low</v>
      </c>
      <c r="P2096" t="str">
        <f t="shared" si="194"/>
        <v>High</v>
      </c>
      <c r="Q2096" t="str">
        <f t="shared" si="195"/>
        <v>Low Loan</v>
      </c>
      <c r="R2096">
        <f t="shared" si="196"/>
        <v>18400000</v>
      </c>
      <c r="S2096" t="str">
        <f t="shared" si="197"/>
        <v>Strong</v>
      </c>
    </row>
    <row r="2097" spans="1:19" x14ac:dyDescent="0.25">
      <c r="A2097">
        <v>2096</v>
      </c>
      <c r="B2097">
        <v>4</v>
      </c>
      <c r="C2097" t="s">
        <v>31</v>
      </c>
      <c r="D2097" t="s">
        <v>33</v>
      </c>
      <c r="E2097">
        <v>7900000</v>
      </c>
      <c r="F2097">
        <v>31400000</v>
      </c>
      <c r="G2097">
        <v>10</v>
      </c>
      <c r="H2097">
        <v>654</v>
      </c>
      <c r="I2097">
        <v>16500000</v>
      </c>
      <c r="J2097">
        <v>15200000</v>
      </c>
      <c r="K2097">
        <v>25400000</v>
      </c>
      <c r="L2097">
        <v>5000000</v>
      </c>
      <c r="M2097" t="s">
        <v>34</v>
      </c>
      <c r="N2097">
        <f t="shared" si="193"/>
        <v>1</v>
      </c>
      <c r="O2097" t="str">
        <f t="shared" si="192"/>
        <v>Medium</v>
      </c>
      <c r="P2097" t="str">
        <f t="shared" si="194"/>
        <v>High</v>
      </c>
      <c r="Q2097" t="str">
        <f t="shared" si="195"/>
        <v>High Loan</v>
      </c>
      <c r="R2097">
        <f t="shared" si="196"/>
        <v>62100000</v>
      </c>
      <c r="S2097" t="str">
        <f t="shared" si="197"/>
        <v>Strong</v>
      </c>
    </row>
    <row r="2098" spans="1:19" x14ac:dyDescent="0.25">
      <c r="A2098">
        <v>2097</v>
      </c>
      <c r="B2098">
        <v>0</v>
      </c>
      <c r="C2098" t="s">
        <v>31</v>
      </c>
      <c r="D2098" t="s">
        <v>32</v>
      </c>
      <c r="E2098">
        <v>8100000</v>
      </c>
      <c r="F2098">
        <v>26500000</v>
      </c>
      <c r="G2098">
        <v>20</v>
      </c>
      <c r="H2098">
        <v>342</v>
      </c>
      <c r="I2098">
        <v>5800000</v>
      </c>
      <c r="J2098">
        <v>5600000</v>
      </c>
      <c r="K2098">
        <v>23700000</v>
      </c>
      <c r="L2098">
        <v>5800000</v>
      </c>
      <c r="M2098" t="s">
        <v>35</v>
      </c>
      <c r="N2098">
        <f t="shared" si="193"/>
        <v>0</v>
      </c>
      <c r="O2098" t="str">
        <f t="shared" si="192"/>
        <v>Low</v>
      </c>
      <c r="P2098" t="str">
        <f t="shared" si="194"/>
        <v>High</v>
      </c>
      <c r="Q2098" t="str">
        <f t="shared" si="195"/>
        <v>High Loan</v>
      </c>
      <c r="R2098">
        <f t="shared" si="196"/>
        <v>40900000</v>
      </c>
      <c r="S2098" t="str">
        <f t="shared" si="197"/>
        <v>Strong</v>
      </c>
    </row>
    <row r="2099" spans="1:19" x14ac:dyDescent="0.25">
      <c r="A2099">
        <v>2098</v>
      </c>
      <c r="B2099">
        <v>5</v>
      </c>
      <c r="C2099" t="s">
        <v>31</v>
      </c>
      <c r="D2099" t="s">
        <v>32</v>
      </c>
      <c r="E2099">
        <v>900000</v>
      </c>
      <c r="F2099">
        <v>2800000</v>
      </c>
      <c r="G2099">
        <v>16</v>
      </c>
      <c r="H2099">
        <v>808</v>
      </c>
      <c r="I2099">
        <v>2100000</v>
      </c>
      <c r="J2099">
        <v>900000</v>
      </c>
      <c r="K2099">
        <v>3100000</v>
      </c>
      <c r="L2099">
        <v>800000</v>
      </c>
      <c r="M2099" t="s">
        <v>34</v>
      </c>
      <c r="N2099">
        <f t="shared" si="193"/>
        <v>1</v>
      </c>
      <c r="O2099" t="str">
        <f t="shared" si="192"/>
        <v>Excellent</v>
      </c>
      <c r="P2099" t="str">
        <f t="shared" si="194"/>
        <v>High</v>
      </c>
      <c r="Q2099" t="str">
        <f t="shared" si="195"/>
        <v>Low Loan</v>
      </c>
      <c r="R2099">
        <f t="shared" si="196"/>
        <v>6900000</v>
      </c>
      <c r="S2099" t="str">
        <f t="shared" si="197"/>
        <v>Moderate</v>
      </c>
    </row>
    <row r="2100" spans="1:19" x14ac:dyDescent="0.25">
      <c r="A2100">
        <v>2099</v>
      </c>
      <c r="B2100">
        <v>1</v>
      </c>
      <c r="C2100" t="s">
        <v>30</v>
      </c>
      <c r="D2100" t="s">
        <v>33</v>
      </c>
      <c r="E2100">
        <v>4900000</v>
      </c>
      <c r="F2100">
        <v>15200000</v>
      </c>
      <c r="G2100">
        <v>10</v>
      </c>
      <c r="H2100">
        <v>429</v>
      </c>
      <c r="I2100">
        <v>5700000</v>
      </c>
      <c r="J2100">
        <v>7300000</v>
      </c>
      <c r="K2100">
        <v>14400000</v>
      </c>
      <c r="L2100">
        <v>3300000</v>
      </c>
      <c r="M2100" t="s">
        <v>35</v>
      </c>
      <c r="N2100">
        <f t="shared" si="193"/>
        <v>0</v>
      </c>
      <c r="O2100" t="str">
        <f t="shared" si="192"/>
        <v>Low</v>
      </c>
      <c r="P2100" t="str">
        <f t="shared" si="194"/>
        <v>High</v>
      </c>
      <c r="Q2100" t="str">
        <f t="shared" si="195"/>
        <v>Low Loan</v>
      </c>
      <c r="R2100">
        <f t="shared" si="196"/>
        <v>30700000</v>
      </c>
      <c r="S2100" t="str">
        <f t="shared" si="197"/>
        <v>Strong</v>
      </c>
    </row>
    <row r="2101" spans="1:19" x14ac:dyDescent="0.25">
      <c r="A2101">
        <v>2100</v>
      </c>
      <c r="B2101">
        <v>3</v>
      </c>
      <c r="C2101" t="s">
        <v>30</v>
      </c>
      <c r="D2101" t="s">
        <v>33</v>
      </c>
      <c r="E2101">
        <v>6100000</v>
      </c>
      <c r="F2101">
        <v>18100000</v>
      </c>
      <c r="G2101">
        <v>14</v>
      </c>
      <c r="H2101">
        <v>538</v>
      </c>
      <c r="I2101">
        <v>11800000</v>
      </c>
      <c r="J2101">
        <v>4200000</v>
      </c>
      <c r="K2101">
        <v>16200000</v>
      </c>
      <c r="L2101">
        <v>7500000</v>
      </c>
      <c r="M2101" t="s">
        <v>35</v>
      </c>
      <c r="N2101">
        <f t="shared" si="193"/>
        <v>0</v>
      </c>
      <c r="O2101" t="str">
        <f t="shared" si="192"/>
        <v>Low</v>
      </c>
      <c r="P2101" t="str">
        <f t="shared" si="194"/>
        <v>High</v>
      </c>
      <c r="Q2101" t="str">
        <f t="shared" si="195"/>
        <v>Low Loan</v>
      </c>
      <c r="R2101">
        <f t="shared" si="196"/>
        <v>39700000</v>
      </c>
      <c r="S2101" t="str">
        <f t="shared" si="197"/>
        <v>Strong</v>
      </c>
    </row>
    <row r="2102" spans="1:19" x14ac:dyDescent="0.25">
      <c r="A2102">
        <v>2101</v>
      </c>
      <c r="B2102">
        <v>3</v>
      </c>
      <c r="C2102" t="s">
        <v>31</v>
      </c>
      <c r="D2102" t="s">
        <v>32</v>
      </c>
      <c r="E2102">
        <v>4500000</v>
      </c>
      <c r="F2102">
        <v>16400000</v>
      </c>
      <c r="G2102">
        <v>6</v>
      </c>
      <c r="H2102">
        <v>533</v>
      </c>
      <c r="I2102">
        <v>1800000</v>
      </c>
      <c r="J2102">
        <v>5600000</v>
      </c>
      <c r="K2102">
        <v>12200000</v>
      </c>
      <c r="L2102">
        <v>3900000</v>
      </c>
      <c r="M2102" t="s">
        <v>35</v>
      </c>
      <c r="N2102">
        <f t="shared" si="193"/>
        <v>0</v>
      </c>
      <c r="O2102" t="str">
        <f t="shared" si="192"/>
        <v>Low</v>
      </c>
      <c r="P2102" t="str">
        <f t="shared" si="194"/>
        <v>High</v>
      </c>
      <c r="Q2102" t="str">
        <f t="shared" si="195"/>
        <v>Low Loan</v>
      </c>
      <c r="R2102">
        <f t="shared" si="196"/>
        <v>23500000</v>
      </c>
      <c r="S2102" t="str">
        <f t="shared" si="197"/>
        <v>Strong</v>
      </c>
    </row>
    <row r="2103" spans="1:19" x14ac:dyDescent="0.25">
      <c r="A2103">
        <v>2102</v>
      </c>
      <c r="B2103">
        <v>2</v>
      </c>
      <c r="C2103" t="s">
        <v>30</v>
      </c>
      <c r="D2103" t="s">
        <v>33</v>
      </c>
      <c r="E2103">
        <v>2900000</v>
      </c>
      <c r="F2103">
        <v>7300000</v>
      </c>
      <c r="G2103">
        <v>8</v>
      </c>
      <c r="H2103">
        <v>394</v>
      </c>
      <c r="I2103">
        <v>7700000</v>
      </c>
      <c r="J2103">
        <v>2600000</v>
      </c>
      <c r="K2103">
        <v>7700000</v>
      </c>
      <c r="L2103">
        <v>4000000</v>
      </c>
      <c r="M2103" t="s">
        <v>35</v>
      </c>
      <c r="N2103">
        <f t="shared" si="193"/>
        <v>0</v>
      </c>
      <c r="O2103" t="str">
        <f t="shared" si="192"/>
        <v>Low</v>
      </c>
      <c r="P2103" t="str">
        <f t="shared" si="194"/>
        <v>High</v>
      </c>
      <c r="Q2103" t="str">
        <f t="shared" si="195"/>
        <v>Low Loan</v>
      </c>
      <c r="R2103">
        <f t="shared" si="196"/>
        <v>22000000</v>
      </c>
      <c r="S2103" t="str">
        <f t="shared" si="197"/>
        <v>Strong</v>
      </c>
    </row>
    <row r="2104" spans="1:19" x14ac:dyDescent="0.25">
      <c r="A2104">
        <v>2103</v>
      </c>
      <c r="B2104">
        <v>1</v>
      </c>
      <c r="C2104" t="s">
        <v>31</v>
      </c>
      <c r="D2104" t="s">
        <v>32</v>
      </c>
      <c r="E2104">
        <v>7900000</v>
      </c>
      <c r="F2104">
        <v>29300000</v>
      </c>
      <c r="G2104">
        <v>2</v>
      </c>
      <c r="H2104">
        <v>771</v>
      </c>
      <c r="I2104">
        <v>17600000</v>
      </c>
      <c r="J2104">
        <v>12800000</v>
      </c>
      <c r="K2104">
        <v>20400000</v>
      </c>
      <c r="L2104">
        <v>4000000</v>
      </c>
      <c r="M2104" t="s">
        <v>34</v>
      </c>
      <c r="N2104">
        <f t="shared" si="193"/>
        <v>1</v>
      </c>
      <c r="O2104" t="str">
        <f t="shared" si="192"/>
        <v>Excellent</v>
      </c>
      <c r="P2104" t="str">
        <f t="shared" si="194"/>
        <v>High</v>
      </c>
      <c r="Q2104" t="str">
        <f t="shared" si="195"/>
        <v>High Loan</v>
      </c>
      <c r="R2104">
        <f t="shared" si="196"/>
        <v>54800000</v>
      </c>
      <c r="S2104" t="str">
        <f t="shared" si="197"/>
        <v>Strong</v>
      </c>
    </row>
    <row r="2105" spans="1:19" x14ac:dyDescent="0.25">
      <c r="A2105">
        <v>2104</v>
      </c>
      <c r="B2105">
        <v>5</v>
      </c>
      <c r="C2105" t="s">
        <v>30</v>
      </c>
      <c r="D2105" t="s">
        <v>33</v>
      </c>
      <c r="E2105">
        <v>4100000</v>
      </c>
      <c r="F2105">
        <v>10100000</v>
      </c>
      <c r="G2105">
        <v>4</v>
      </c>
      <c r="H2105">
        <v>792</v>
      </c>
      <c r="I2105">
        <v>4400000</v>
      </c>
      <c r="J2105">
        <v>6100000</v>
      </c>
      <c r="K2105">
        <v>8600000</v>
      </c>
      <c r="L2105">
        <v>4900000</v>
      </c>
      <c r="M2105" t="s">
        <v>34</v>
      </c>
      <c r="N2105">
        <f t="shared" si="193"/>
        <v>1</v>
      </c>
      <c r="O2105" t="str">
        <f t="shared" si="192"/>
        <v>Excellent</v>
      </c>
      <c r="P2105" t="str">
        <f t="shared" si="194"/>
        <v>High</v>
      </c>
      <c r="Q2105" t="str">
        <f t="shared" si="195"/>
        <v>Low Loan</v>
      </c>
      <c r="R2105">
        <f t="shared" si="196"/>
        <v>24000000</v>
      </c>
      <c r="S2105" t="str">
        <f t="shared" si="197"/>
        <v>Strong</v>
      </c>
    </row>
    <row r="2106" spans="1:19" x14ac:dyDescent="0.25">
      <c r="A2106">
        <v>2105</v>
      </c>
      <c r="B2106">
        <v>5</v>
      </c>
      <c r="C2106" t="s">
        <v>31</v>
      </c>
      <c r="D2106" t="s">
        <v>33</v>
      </c>
      <c r="E2106">
        <v>7700000</v>
      </c>
      <c r="F2106">
        <v>15500000</v>
      </c>
      <c r="G2106">
        <v>8</v>
      </c>
      <c r="H2106">
        <v>407</v>
      </c>
      <c r="I2106">
        <v>6500000</v>
      </c>
      <c r="J2106">
        <v>9100000</v>
      </c>
      <c r="K2106">
        <v>26300000</v>
      </c>
      <c r="L2106">
        <v>4600000</v>
      </c>
      <c r="M2106" t="s">
        <v>35</v>
      </c>
      <c r="N2106">
        <f t="shared" si="193"/>
        <v>0</v>
      </c>
      <c r="O2106" t="str">
        <f t="shared" si="192"/>
        <v>Low</v>
      </c>
      <c r="P2106" t="str">
        <f t="shared" si="194"/>
        <v>High</v>
      </c>
      <c r="Q2106" t="str">
        <f t="shared" si="195"/>
        <v>Low Loan</v>
      </c>
      <c r="R2106">
        <f t="shared" si="196"/>
        <v>46500000</v>
      </c>
      <c r="S2106" t="str">
        <f t="shared" si="197"/>
        <v>Strong</v>
      </c>
    </row>
    <row r="2107" spans="1:19" x14ac:dyDescent="0.25">
      <c r="A2107">
        <v>2106</v>
      </c>
      <c r="B2107">
        <v>0</v>
      </c>
      <c r="C2107" t="s">
        <v>31</v>
      </c>
      <c r="D2107" t="s">
        <v>32</v>
      </c>
      <c r="E2107">
        <v>5600000</v>
      </c>
      <c r="F2107">
        <v>19300000</v>
      </c>
      <c r="G2107">
        <v>18</v>
      </c>
      <c r="H2107">
        <v>544</v>
      </c>
      <c r="I2107">
        <v>6400000</v>
      </c>
      <c r="J2107">
        <v>2800000</v>
      </c>
      <c r="K2107">
        <v>19900000</v>
      </c>
      <c r="L2107">
        <v>6400000</v>
      </c>
      <c r="M2107" t="s">
        <v>35</v>
      </c>
      <c r="N2107">
        <f t="shared" si="193"/>
        <v>0</v>
      </c>
      <c r="O2107" t="str">
        <f t="shared" si="192"/>
        <v>Low</v>
      </c>
      <c r="P2107" t="str">
        <f t="shared" si="194"/>
        <v>High</v>
      </c>
      <c r="Q2107" t="str">
        <f t="shared" si="195"/>
        <v>Low Loan</v>
      </c>
      <c r="R2107">
        <f t="shared" si="196"/>
        <v>35500000</v>
      </c>
      <c r="S2107" t="str">
        <f t="shared" si="197"/>
        <v>Strong</v>
      </c>
    </row>
    <row r="2108" spans="1:19" x14ac:dyDescent="0.25">
      <c r="A2108">
        <v>2107</v>
      </c>
      <c r="B2108">
        <v>5</v>
      </c>
      <c r="C2108" t="s">
        <v>30</v>
      </c>
      <c r="D2108" t="s">
        <v>32</v>
      </c>
      <c r="E2108">
        <v>9000000</v>
      </c>
      <c r="F2108">
        <v>18000000</v>
      </c>
      <c r="G2108">
        <v>18</v>
      </c>
      <c r="H2108">
        <v>509</v>
      </c>
      <c r="I2108">
        <v>24600000</v>
      </c>
      <c r="J2108">
        <v>5200000</v>
      </c>
      <c r="K2108">
        <v>20000000</v>
      </c>
      <c r="L2108">
        <v>6100000</v>
      </c>
      <c r="M2108" t="s">
        <v>35</v>
      </c>
      <c r="N2108">
        <f t="shared" si="193"/>
        <v>0</v>
      </c>
      <c r="O2108" t="str">
        <f t="shared" si="192"/>
        <v>Low</v>
      </c>
      <c r="P2108" t="str">
        <f t="shared" si="194"/>
        <v>High</v>
      </c>
      <c r="Q2108" t="str">
        <f t="shared" si="195"/>
        <v>Low Loan</v>
      </c>
      <c r="R2108">
        <f t="shared" si="196"/>
        <v>55900000</v>
      </c>
      <c r="S2108" t="str">
        <f t="shared" si="197"/>
        <v>Strong</v>
      </c>
    </row>
    <row r="2109" spans="1:19" x14ac:dyDescent="0.25">
      <c r="A2109">
        <v>2108</v>
      </c>
      <c r="B2109">
        <v>4</v>
      </c>
      <c r="C2109" t="s">
        <v>31</v>
      </c>
      <c r="D2109" t="s">
        <v>33</v>
      </c>
      <c r="E2109">
        <v>6400000</v>
      </c>
      <c r="F2109">
        <v>18400000</v>
      </c>
      <c r="G2109">
        <v>16</v>
      </c>
      <c r="H2109">
        <v>320</v>
      </c>
      <c r="I2109">
        <v>17700000</v>
      </c>
      <c r="J2109">
        <v>3600000</v>
      </c>
      <c r="K2109">
        <v>13900000</v>
      </c>
      <c r="L2109">
        <v>8300000</v>
      </c>
      <c r="M2109" t="s">
        <v>35</v>
      </c>
      <c r="N2109">
        <f t="shared" si="193"/>
        <v>0</v>
      </c>
      <c r="O2109" t="str">
        <f t="shared" si="192"/>
        <v>Low</v>
      </c>
      <c r="P2109" t="str">
        <f t="shared" si="194"/>
        <v>High</v>
      </c>
      <c r="Q2109" t="str">
        <f t="shared" si="195"/>
        <v>Low Loan</v>
      </c>
      <c r="R2109">
        <f t="shared" si="196"/>
        <v>43500000</v>
      </c>
      <c r="S2109" t="str">
        <f t="shared" si="197"/>
        <v>Strong</v>
      </c>
    </row>
    <row r="2110" spans="1:19" x14ac:dyDescent="0.25">
      <c r="A2110">
        <v>2109</v>
      </c>
      <c r="B2110">
        <v>4</v>
      </c>
      <c r="C2110" t="s">
        <v>30</v>
      </c>
      <c r="D2110" t="s">
        <v>32</v>
      </c>
      <c r="E2110">
        <v>6900000</v>
      </c>
      <c r="F2110">
        <v>14700000</v>
      </c>
      <c r="G2110">
        <v>2</v>
      </c>
      <c r="H2110">
        <v>496</v>
      </c>
      <c r="I2110">
        <v>12000000</v>
      </c>
      <c r="J2110">
        <v>7000000</v>
      </c>
      <c r="K2110">
        <v>15500000</v>
      </c>
      <c r="L2110">
        <v>4000000</v>
      </c>
      <c r="M2110" t="s">
        <v>35</v>
      </c>
      <c r="N2110">
        <f t="shared" si="193"/>
        <v>0</v>
      </c>
      <c r="O2110" t="str">
        <f t="shared" si="192"/>
        <v>Low</v>
      </c>
      <c r="P2110" t="str">
        <f t="shared" si="194"/>
        <v>High</v>
      </c>
      <c r="Q2110" t="str">
        <f t="shared" si="195"/>
        <v>Low Loan</v>
      </c>
      <c r="R2110">
        <f t="shared" si="196"/>
        <v>38500000</v>
      </c>
      <c r="S2110" t="str">
        <f t="shared" si="197"/>
        <v>Strong</v>
      </c>
    </row>
    <row r="2111" spans="1:19" x14ac:dyDescent="0.25">
      <c r="A2111">
        <v>2110</v>
      </c>
      <c r="B2111">
        <v>3</v>
      </c>
      <c r="C2111" t="s">
        <v>31</v>
      </c>
      <c r="D2111" t="s">
        <v>32</v>
      </c>
      <c r="E2111">
        <v>9100000</v>
      </c>
      <c r="F2111">
        <v>27400000</v>
      </c>
      <c r="G2111">
        <v>18</v>
      </c>
      <c r="H2111">
        <v>652</v>
      </c>
      <c r="I2111">
        <v>8500000</v>
      </c>
      <c r="J2111">
        <v>7300000</v>
      </c>
      <c r="K2111">
        <v>31700000</v>
      </c>
      <c r="L2111">
        <v>6800000</v>
      </c>
      <c r="M2111" t="s">
        <v>34</v>
      </c>
      <c r="N2111">
        <f t="shared" si="193"/>
        <v>1</v>
      </c>
      <c r="O2111" t="str">
        <f t="shared" si="192"/>
        <v>Medium</v>
      </c>
      <c r="P2111" t="str">
        <f t="shared" si="194"/>
        <v>High</v>
      </c>
      <c r="Q2111" t="str">
        <f t="shared" si="195"/>
        <v>High Loan</v>
      </c>
      <c r="R2111">
        <f t="shared" si="196"/>
        <v>54300000</v>
      </c>
      <c r="S2111" t="str">
        <f t="shared" si="197"/>
        <v>Strong</v>
      </c>
    </row>
    <row r="2112" spans="1:19" x14ac:dyDescent="0.25">
      <c r="A2112">
        <v>2111</v>
      </c>
      <c r="B2112">
        <v>2</v>
      </c>
      <c r="C2112" t="s">
        <v>30</v>
      </c>
      <c r="D2112" t="s">
        <v>33</v>
      </c>
      <c r="E2112">
        <v>1100000</v>
      </c>
      <c r="F2112">
        <v>3700000</v>
      </c>
      <c r="G2112">
        <v>2</v>
      </c>
      <c r="H2112">
        <v>806</v>
      </c>
      <c r="I2112">
        <v>2700000</v>
      </c>
      <c r="J2112">
        <v>800000</v>
      </c>
      <c r="K2112">
        <v>2900000</v>
      </c>
      <c r="L2112">
        <v>500000</v>
      </c>
      <c r="M2112" t="s">
        <v>34</v>
      </c>
      <c r="N2112">
        <f t="shared" si="193"/>
        <v>1</v>
      </c>
      <c r="O2112" t="str">
        <f t="shared" si="192"/>
        <v>Excellent</v>
      </c>
      <c r="P2112" t="str">
        <f t="shared" si="194"/>
        <v>High</v>
      </c>
      <c r="Q2112" t="str">
        <f t="shared" si="195"/>
        <v>Low Loan</v>
      </c>
      <c r="R2112">
        <f t="shared" si="196"/>
        <v>6900000</v>
      </c>
      <c r="S2112" t="str">
        <f t="shared" si="197"/>
        <v>Moderate</v>
      </c>
    </row>
    <row r="2113" spans="1:19" x14ac:dyDescent="0.25">
      <c r="A2113">
        <v>2112</v>
      </c>
      <c r="B2113">
        <v>4</v>
      </c>
      <c r="C2113" t="s">
        <v>31</v>
      </c>
      <c r="D2113" t="s">
        <v>32</v>
      </c>
      <c r="E2113">
        <v>1700000</v>
      </c>
      <c r="F2113">
        <v>4500000</v>
      </c>
      <c r="G2113">
        <v>12</v>
      </c>
      <c r="H2113">
        <v>821</v>
      </c>
      <c r="I2113">
        <v>3200000</v>
      </c>
      <c r="J2113">
        <v>1900000</v>
      </c>
      <c r="K2113">
        <v>4900000</v>
      </c>
      <c r="L2113">
        <v>1500000</v>
      </c>
      <c r="M2113" t="s">
        <v>34</v>
      </c>
      <c r="N2113">
        <f t="shared" si="193"/>
        <v>1</v>
      </c>
      <c r="O2113" t="str">
        <f t="shared" si="192"/>
        <v>Excellent</v>
      </c>
      <c r="P2113" t="str">
        <f t="shared" si="194"/>
        <v>High</v>
      </c>
      <c r="Q2113" t="str">
        <f t="shared" si="195"/>
        <v>Low Loan</v>
      </c>
      <c r="R2113">
        <f t="shared" si="196"/>
        <v>11500000</v>
      </c>
      <c r="S2113" t="str">
        <f t="shared" si="197"/>
        <v>Strong</v>
      </c>
    </row>
    <row r="2114" spans="1:19" x14ac:dyDescent="0.25">
      <c r="A2114">
        <v>2113</v>
      </c>
      <c r="B2114">
        <v>5</v>
      </c>
      <c r="C2114" t="s">
        <v>30</v>
      </c>
      <c r="D2114" t="s">
        <v>33</v>
      </c>
      <c r="E2114">
        <v>9200000</v>
      </c>
      <c r="F2114">
        <v>28800000</v>
      </c>
      <c r="G2114">
        <v>20</v>
      </c>
      <c r="H2114">
        <v>618</v>
      </c>
      <c r="I2114">
        <v>14300000</v>
      </c>
      <c r="J2114">
        <v>10800000</v>
      </c>
      <c r="K2114">
        <v>33900000</v>
      </c>
      <c r="L2114">
        <v>10600000</v>
      </c>
      <c r="M2114" t="s">
        <v>34</v>
      </c>
      <c r="N2114">
        <f t="shared" si="193"/>
        <v>1</v>
      </c>
      <c r="O2114" t="str">
        <f t="shared" ref="O2114:O2177" si="198">IF(H2114&lt;650,"Low",
 IF(H2114&lt;700,"Medium",
 IF(H2114&lt;750,"Good","Excellent")))</f>
        <v>Low</v>
      </c>
      <c r="P2114" t="str">
        <f t="shared" si="194"/>
        <v>High</v>
      </c>
      <c r="Q2114" t="str">
        <f t="shared" si="195"/>
        <v>High Loan</v>
      </c>
      <c r="R2114">
        <f t="shared" si="196"/>
        <v>69600000</v>
      </c>
      <c r="S2114" t="str">
        <f t="shared" si="197"/>
        <v>Strong</v>
      </c>
    </row>
    <row r="2115" spans="1:19" x14ac:dyDescent="0.25">
      <c r="A2115">
        <v>2114</v>
      </c>
      <c r="B2115">
        <v>2</v>
      </c>
      <c r="C2115" t="s">
        <v>31</v>
      </c>
      <c r="D2115" t="s">
        <v>33</v>
      </c>
      <c r="E2115">
        <v>8300000</v>
      </c>
      <c r="F2115">
        <v>20600000</v>
      </c>
      <c r="G2115">
        <v>12</v>
      </c>
      <c r="H2115">
        <v>729</v>
      </c>
      <c r="I2115">
        <v>22400000</v>
      </c>
      <c r="J2115">
        <v>9000000</v>
      </c>
      <c r="K2115">
        <v>31400000</v>
      </c>
      <c r="L2115">
        <v>8400000</v>
      </c>
      <c r="M2115" t="s">
        <v>34</v>
      </c>
      <c r="N2115">
        <f t="shared" ref="N2115:N2178" si="199">IF(TRIM(CLEAN(M2115))="Approved",1,0)</f>
        <v>1</v>
      </c>
      <c r="O2115" t="str">
        <f t="shared" si="198"/>
        <v>Good</v>
      </c>
      <c r="P2115" t="str">
        <f t="shared" ref="P2115:P2178" si="200">IF(E2115&lt;300000,"Low",
 IF(E2115&lt;700000,"Middle","High"))</f>
        <v>High</v>
      </c>
      <c r="Q2115" t="str">
        <f t="shared" ref="Q2115:Q2178" si="201">IF(F2115&lt;20000000,"Low Loan","High Loan")</f>
        <v>High Loan</v>
      </c>
      <c r="R2115">
        <f t="shared" ref="R2115:R2178" si="202">I2115+J2115+K2115+L2115</f>
        <v>71200000</v>
      </c>
      <c r="S2115" t="str">
        <f t="shared" ref="S2115:S2178" si="203">IF(R2115&lt;5000000,"Weak",
 IF(R2115&lt;10000000,"Moderate","Strong"))</f>
        <v>Strong</v>
      </c>
    </row>
    <row r="2116" spans="1:19" x14ac:dyDescent="0.25">
      <c r="A2116">
        <v>2115</v>
      </c>
      <c r="B2116">
        <v>5</v>
      </c>
      <c r="C2116" t="s">
        <v>31</v>
      </c>
      <c r="D2116" t="s">
        <v>33</v>
      </c>
      <c r="E2116">
        <v>5000000</v>
      </c>
      <c r="F2116">
        <v>10600000</v>
      </c>
      <c r="G2116">
        <v>6</v>
      </c>
      <c r="H2116">
        <v>839</v>
      </c>
      <c r="I2116">
        <v>12600000</v>
      </c>
      <c r="J2116">
        <v>8600000</v>
      </c>
      <c r="K2116">
        <v>19800000</v>
      </c>
      <c r="L2116">
        <v>3500000</v>
      </c>
      <c r="M2116" t="s">
        <v>34</v>
      </c>
      <c r="N2116">
        <f t="shared" si="199"/>
        <v>1</v>
      </c>
      <c r="O2116" t="str">
        <f t="shared" si="198"/>
        <v>Excellent</v>
      </c>
      <c r="P2116" t="str">
        <f t="shared" si="200"/>
        <v>High</v>
      </c>
      <c r="Q2116" t="str">
        <f t="shared" si="201"/>
        <v>Low Loan</v>
      </c>
      <c r="R2116">
        <f t="shared" si="202"/>
        <v>44500000</v>
      </c>
      <c r="S2116" t="str">
        <f t="shared" si="203"/>
        <v>Strong</v>
      </c>
    </row>
    <row r="2117" spans="1:19" x14ac:dyDescent="0.25">
      <c r="A2117">
        <v>2116</v>
      </c>
      <c r="B2117">
        <v>3</v>
      </c>
      <c r="C2117" t="s">
        <v>30</v>
      </c>
      <c r="D2117" t="s">
        <v>32</v>
      </c>
      <c r="E2117">
        <v>2200000</v>
      </c>
      <c r="F2117">
        <v>6400000</v>
      </c>
      <c r="G2117">
        <v>2</v>
      </c>
      <c r="H2117">
        <v>318</v>
      </c>
      <c r="I2117">
        <v>1400000</v>
      </c>
      <c r="J2117">
        <v>2100000</v>
      </c>
      <c r="K2117">
        <v>4300000</v>
      </c>
      <c r="L2117">
        <v>1500000</v>
      </c>
      <c r="M2117" t="s">
        <v>35</v>
      </c>
      <c r="N2117">
        <f t="shared" si="199"/>
        <v>0</v>
      </c>
      <c r="O2117" t="str">
        <f t="shared" si="198"/>
        <v>Low</v>
      </c>
      <c r="P2117" t="str">
        <f t="shared" si="200"/>
        <v>High</v>
      </c>
      <c r="Q2117" t="str">
        <f t="shared" si="201"/>
        <v>Low Loan</v>
      </c>
      <c r="R2117">
        <f t="shared" si="202"/>
        <v>9300000</v>
      </c>
      <c r="S2117" t="str">
        <f t="shared" si="203"/>
        <v>Moderate</v>
      </c>
    </row>
    <row r="2118" spans="1:19" x14ac:dyDescent="0.25">
      <c r="A2118">
        <v>2117</v>
      </c>
      <c r="B2118">
        <v>2</v>
      </c>
      <c r="C2118" t="s">
        <v>30</v>
      </c>
      <c r="D2118" t="s">
        <v>32</v>
      </c>
      <c r="E2118">
        <v>4500000</v>
      </c>
      <c r="F2118">
        <v>9600000</v>
      </c>
      <c r="G2118">
        <v>16</v>
      </c>
      <c r="H2118">
        <v>404</v>
      </c>
      <c r="I2118">
        <v>1800000</v>
      </c>
      <c r="J2118">
        <v>6000000</v>
      </c>
      <c r="K2118">
        <v>17000000</v>
      </c>
      <c r="L2118">
        <v>2700000</v>
      </c>
      <c r="M2118" t="s">
        <v>35</v>
      </c>
      <c r="N2118">
        <f t="shared" si="199"/>
        <v>0</v>
      </c>
      <c r="O2118" t="str">
        <f t="shared" si="198"/>
        <v>Low</v>
      </c>
      <c r="P2118" t="str">
        <f t="shared" si="200"/>
        <v>High</v>
      </c>
      <c r="Q2118" t="str">
        <f t="shared" si="201"/>
        <v>Low Loan</v>
      </c>
      <c r="R2118">
        <f t="shared" si="202"/>
        <v>27500000</v>
      </c>
      <c r="S2118" t="str">
        <f t="shared" si="203"/>
        <v>Strong</v>
      </c>
    </row>
    <row r="2119" spans="1:19" x14ac:dyDescent="0.25">
      <c r="A2119">
        <v>2118</v>
      </c>
      <c r="B2119">
        <v>5</v>
      </c>
      <c r="C2119" t="s">
        <v>31</v>
      </c>
      <c r="D2119" t="s">
        <v>33</v>
      </c>
      <c r="E2119">
        <v>4100000</v>
      </c>
      <c r="F2119">
        <v>9000000</v>
      </c>
      <c r="G2119">
        <v>6</v>
      </c>
      <c r="H2119">
        <v>581</v>
      </c>
      <c r="I2119">
        <v>6600000</v>
      </c>
      <c r="J2119">
        <v>1500000</v>
      </c>
      <c r="K2119">
        <v>11300000</v>
      </c>
      <c r="L2119">
        <v>3400000</v>
      </c>
      <c r="M2119" t="s">
        <v>34</v>
      </c>
      <c r="N2119">
        <f t="shared" si="199"/>
        <v>1</v>
      </c>
      <c r="O2119" t="str">
        <f t="shared" si="198"/>
        <v>Low</v>
      </c>
      <c r="P2119" t="str">
        <f t="shared" si="200"/>
        <v>High</v>
      </c>
      <c r="Q2119" t="str">
        <f t="shared" si="201"/>
        <v>Low Loan</v>
      </c>
      <c r="R2119">
        <f t="shared" si="202"/>
        <v>22800000</v>
      </c>
      <c r="S2119" t="str">
        <f t="shared" si="203"/>
        <v>Strong</v>
      </c>
    </row>
    <row r="2120" spans="1:19" x14ac:dyDescent="0.25">
      <c r="A2120">
        <v>2119</v>
      </c>
      <c r="B2120">
        <v>1</v>
      </c>
      <c r="C2120" t="s">
        <v>31</v>
      </c>
      <c r="D2120" t="s">
        <v>32</v>
      </c>
      <c r="E2120">
        <v>2800000</v>
      </c>
      <c r="F2120">
        <v>6800000</v>
      </c>
      <c r="G2120">
        <v>18</v>
      </c>
      <c r="H2120">
        <v>596</v>
      </c>
      <c r="I2120">
        <v>7900000</v>
      </c>
      <c r="J2120">
        <v>400000</v>
      </c>
      <c r="K2120">
        <v>7300000</v>
      </c>
      <c r="L2120">
        <v>1500000</v>
      </c>
      <c r="M2120" t="s">
        <v>34</v>
      </c>
      <c r="N2120">
        <f t="shared" si="199"/>
        <v>1</v>
      </c>
      <c r="O2120" t="str">
        <f t="shared" si="198"/>
        <v>Low</v>
      </c>
      <c r="P2120" t="str">
        <f t="shared" si="200"/>
        <v>High</v>
      </c>
      <c r="Q2120" t="str">
        <f t="shared" si="201"/>
        <v>Low Loan</v>
      </c>
      <c r="R2120">
        <f t="shared" si="202"/>
        <v>17100000</v>
      </c>
      <c r="S2120" t="str">
        <f t="shared" si="203"/>
        <v>Strong</v>
      </c>
    </row>
    <row r="2121" spans="1:19" x14ac:dyDescent="0.25">
      <c r="A2121">
        <v>2120</v>
      </c>
      <c r="B2121">
        <v>1</v>
      </c>
      <c r="C2121" t="s">
        <v>31</v>
      </c>
      <c r="D2121" t="s">
        <v>32</v>
      </c>
      <c r="E2121">
        <v>6600000</v>
      </c>
      <c r="F2121">
        <v>20700000</v>
      </c>
      <c r="G2121">
        <v>4</v>
      </c>
      <c r="H2121">
        <v>415</v>
      </c>
      <c r="I2121">
        <v>12800000</v>
      </c>
      <c r="J2121">
        <v>11900000</v>
      </c>
      <c r="K2121">
        <v>17700000</v>
      </c>
      <c r="L2121">
        <v>3900000</v>
      </c>
      <c r="M2121" t="s">
        <v>34</v>
      </c>
      <c r="N2121">
        <f t="shared" si="199"/>
        <v>1</v>
      </c>
      <c r="O2121" t="str">
        <f t="shared" si="198"/>
        <v>Low</v>
      </c>
      <c r="P2121" t="str">
        <f t="shared" si="200"/>
        <v>High</v>
      </c>
      <c r="Q2121" t="str">
        <f t="shared" si="201"/>
        <v>High Loan</v>
      </c>
      <c r="R2121">
        <f t="shared" si="202"/>
        <v>46300000</v>
      </c>
      <c r="S2121" t="str">
        <f t="shared" si="203"/>
        <v>Strong</v>
      </c>
    </row>
    <row r="2122" spans="1:19" x14ac:dyDescent="0.25">
      <c r="A2122">
        <v>2121</v>
      </c>
      <c r="B2122">
        <v>3</v>
      </c>
      <c r="C2122" t="s">
        <v>31</v>
      </c>
      <c r="D2122" t="s">
        <v>33</v>
      </c>
      <c r="E2122">
        <v>3200000</v>
      </c>
      <c r="F2122">
        <v>7200000</v>
      </c>
      <c r="G2122">
        <v>6</v>
      </c>
      <c r="H2122">
        <v>728</v>
      </c>
      <c r="I2122">
        <v>4800000</v>
      </c>
      <c r="J2122">
        <v>2000000</v>
      </c>
      <c r="K2122">
        <v>8000000</v>
      </c>
      <c r="L2122">
        <v>4600000</v>
      </c>
      <c r="M2122" t="s">
        <v>34</v>
      </c>
      <c r="N2122">
        <f t="shared" si="199"/>
        <v>1</v>
      </c>
      <c r="O2122" t="str">
        <f t="shared" si="198"/>
        <v>Good</v>
      </c>
      <c r="P2122" t="str">
        <f t="shared" si="200"/>
        <v>High</v>
      </c>
      <c r="Q2122" t="str">
        <f t="shared" si="201"/>
        <v>Low Loan</v>
      </c>
      <c r="R2122">
        <f t="shared" si="202"/>
        <v>19400000</v>
      </c>
      <c r="S2122" t="str">
        <f t="shared" si="203"/>
        <v>Strong</v>
      </c>
    </row>
    <row r="2123" spans="1:19" x14ac:dyDescent="0.25">
      <c r="A2123">
        <v>2122</v>
      </c>
      <c r="B2123">
        <v>0</v>
      </c>
      <c r="C2123" t="s">
        <v>31</v>
      </c>
      <c r="D2123" t="s">
        <v>32</v>
      </c>
      <c r="E2123">
        <v>6300000</v>
      </c>
      <c r="F2123">
        <v>13300000</v>
      </c>
      <c r="G2123">
        <v>2</v>
      </c>
      <c r="H2123">
        <v>666</v>
      </c>
      <c r="I2123">
        <v>8800000</v>
      </c>
      <c r="J2123">
        <v>4000000</v>
      </c>
      <c r="K2123">
        <v>14200000</v>
      </c>
      <c r="L2123">
        <v>4900000</v>
      </c>
      <c r="M2123" t="s">
        <v>34</v>
      </c>
      <c r="N2123">
        <f t="shared" si="199"/>
        <v>1</v>
      </c>
      <c r="O2123" t="str">
        <f t="shared" si="198"/>
        <v>Medium</v>
      </c>
      <c r="P2123" t="str">
        <f t="shared" si="200"/>
        <v>High</v>
      </c>
      <c r="Q2123" t="str">
        <f t="shared" si="201"/>
        <v>Low Loan</v>
      </c>
      <c r="R2123">
        <f t="shared" si="202"/>
        <v>31900000</v>
      </c>
      <c r="S2123" t="str">
        <f t="shared" si="203"/>
        <v>Strong</v>
      </c>
    </row>
    <row r="2124" spans="1:19" x14ac:dyDescent="0.25">
      <c r="A2124">
        <v>2123</v>
      </c>
      <c r="B2124">
        <v>2</v>
      </c>
      <c r="C2124" t="s">
        <v>30</v>
      </c>
      <c r="D2124" t="s">
        <v>32</v>
      </c>
      <c r="E2124">
        <v>4700000</v>
      </c>
      <c r="F2124">
        <v>17700000</v>
      </c>
      <c r="G2124">
        <v>14</v>
      </c>
      <c r="H2124">
        <v>675</v>
      </c>
      <c r="I2124">
        <v>5800000</v>
      </c>
      <c r="J2124">
        <v>7200000</v>
      </c>
      <c r="K2124">
        <v>13100000</v>
      </c>
      <c r="L2124">
        <v>6500000</v>
      </c>
      <c r="M2124" t="s">
        <v>34</v>
      </c>
      <c r="N2124">
        <f t="shared" si="199"/>
        <v>1</v>
      </c>
      <c r="O2124" t="str">
        <f t="shared" si="198"/>
        <v>Medium</v>
      </c>
      <c r="P2124" t="str">
        <f t="shared" si="200"/>
        <v>High</v>
      </c>
      <c r="Q2124" t="str">
        <f t="shared" si="201"/>
        <v>Low Loan</v>
      </c>
      <c r="R2124">
        <f t="shared" si="202"/>
        <v>32600000</v>
      </c>
      <c r="S2124" t="str">
        <f t="shared" si="203"/>
        <v>Strong</v>
      </c>
    </row>
    <row r="2125" spans="1:19" x14ac:dyDescent="0.25">
      <c r="A2125">
        <v>2124</v>
      </c>
      <c r="B2125">
        <v>0</v>
      </c>
      <c r="C2125" t="s">
        <v>30</v>
      </c>
      <c r="D2125" t="s">
        <v>32</v>
      </c>
      <c r="E2125">
        <v>4100000</v>
      </c>
      <c r="F2125">
        <v>15400000</v>
      </c>
      <c r="G2125">
        <v>16</v>
      </c>
      <c r="H2125">
        <v>304</v>
      </c>
      <c r="I2125">
        <v>3000000</v>
      </c>
      <c r="J2125">
        <v>5200000</v>
      </c>
      <c r="K2125">
        <v>16200000</v>
      </c>
      <c r="L2125">
        <v>3100000</v>
      </c>
      <c r="M2125" t="s">
        <v>35</v>
      </c>
      <c r="N2125">
        <f t="shared" si="199"/>
        <v>0</v>
      </c>
      <c r="O2125" t="str">
        <f t="shared" si="198"/>
        <v>Low</v>
      </c>
      <c r="P2125" t="str">
        <f t="shared" si="200"/>
        <v>High</v>
      </c>
      <c r="Q2125" t="str">
        <f t="shared" si="201"/>
        <v>Low Loan</v>
      </c>
      <c r="R2125">
        <f t="shared" si="202"/>
        <v>27500000</v>
      </c>
      <c r="S2125" t="str">
        <f t="shared" si="203"/>
        <v>Strong</v>
      </c>
    </row>
    <row r="2126" spans="1:19" x14ac:dyDescent="0.25">
      <c r="A2126">
        <v>2125</v>
      </c>
      <c r="B2126">
        <v>5</v>
      </c>
      <c r="C2126" t="s">
        <v>30</v>
      </c>
      <c r="D2126" t="s">
        <v>33</v>
      </c>
      <c r="E2126">
        <v>7100000</v>
      </c>
      <c r="F2126">
        <v>15500000</v>
      </c>
      <c r="G2126">
        <v>4</v>
      </c>
      <c r="H2126">
        <v>474</v>
      </c>
      <c r="I2126">
        <v>7600000</v>
      </c>
      <c r="J2126">
        <v>9000000</v>
      </c>
      <c r="K2126">
        <v>22400000</v>
      </c>
      <c r="L2126">
        <v>9400000</v>
      </c>
      <c r="M2126" t="s">
        <v>35</v>
      </c>
      <c r="N2126">
        <f t="shared" si="199"/>
        <v>0</v>
      </c>
      <c r="O2126" t="str">
        <f t="shared" si="198"/>
        <v>Low</v>
      </c>
      <c r="P2126" t="str">
        <f t="shared" si="200"/>
        <v>High</v>
      </c>
      <c r="Q2126" t="str">
        <f t="shared" si="201"/>
        <v>Low Loan</v>
      </c>
      <c r="R2126">
        <f t="shared" si="202"/>
        <v>48400000</v>
      </c>
      <c r="S2126" t="str">
        <f t="shared" si="203"/>
        <v>Strong</v>
      </c>
    </row>
    <row r="2127" spans="1:19" x14ac:dyDescent="0.25">
      <c r="A2127">
        <v>2126</v>
      </c>
      <c r="B2127">
        <v>4</v>
      </c>
      <c r="C2127" t="s">
        <v>30</v>
      </c>
      <c r="D2127" t="s">
        <v>33</v>
      </c>
      <c r="E2127">
        <v>4900000</v>
      </c>
      <c r="F2127">
        <v>10200000</v>
      </c>
      <c r="G2127">
        <v>18</v>
      </c>
      <c r="H2127">
        <v>370</v>
      </c>
      <c r="I2127">
        <v>10900000</v>
      </c>
      <c r="J2127">
        <v>2200000</v>
      </c>
      <c r="K2127">
        <v>13700000</v>
      </c>
      <c r="L2127">
        <v>6600000</v>
      </c>
      <c r="M2127" t="s">
        <v>35</v>
      </c>
      <c r="N2127">
        <f t="shared" si="199"/>
        <v>0</v>
      </c>
      <c r="O2127" t="str">
        <f t="shared" si="198"/>
        <v>Low</v>
      </c>
      <c r="P2127" t="str">
        <f t="shared" si="200"/>
        <v>High</v>
      </c>
      <c r="Q2127" t="str">
        <f t="shared" si="201"/>
        <v>Low Loan</v>
      </c>
      <c r="R2127">
        <f t="shared" si="202"/>
        <v>33400000</v>
      </c>
      <c r="S2127" t="str">
        <f t="shared" si="203"/>
        <v>Strong</v>
      </c>
    </row>
    <row r="2128" spans="1:19" x14ac:dyDescent="0.25">
      <c r="A2128">
        <v>2127</v>
      </c>
      <c r="B2128">
        <v>4</v>
      </c>
      <c r="C2128" t="s">
        <v>30</v>
      </c>
      <c r="D2128" t="s">
        <v>32</v>
      </c>
      <c r="E2128">
        <v>5600000</v>
      </c>
      <c r="F2128">
        <v>20300000</v>
      </c>
      <c r="G2128">
        <v>20</v>
      </c>
      <c r="H2128">
        <v>596</v>
      </c>
      <c r="I2128">
        <v>5100000</v>
      </c>
      <c r="J2128">
        <v>10900000</v>
      </c>
      <c r="K2128">
        <v>12700000</v>
      </c>
      <c r="L2128">
        <v>7900000</v>
      </c>
      <c r="M2128" t="s">
        <v>34</v>
      </c>
      <c r="N2128">
        <f t="shared" si="199"/>
        <v>1</v>
      </c>
      <c r="O2128" t="str">
        <f t="shared" si="198"/>
        <v>Low</v>
      </c>
      <c r="P2128" t="str">
        <f t="shared" si="200"/>
        <v>High</v>
      </c>
      <c r="Q2128" t="str">
        <f t="shared" si="201"/>
        <v>High Loan</v>
      </c>
      <c r="R2128">
        <f t="shared" si="202"/>
        <v>36600000</v>
      </c>
      <c r="S2128" t="str">
        <f t="shared" si="203"/>
        <v>Strong</v>
      </c>
    </row>
    <row r="2129" spans="1:19" x14ac:dyDescent="0.25">
      <c r="A2129">
        <v>2128</v>
      </c>
      <c r="B2129">
        <v>4</v>
      </c>
      <c r="C2129" t="s">
        <v>30</v>
      </c>
      <c r="D2129" t="s">
        <v>32</v>
      </c>
      <c r="E2129">
        <v>3400000</v>
      </c>
      <c r="F2129">
        <v>8300000</v>
      </c>
      <c r="G2129">
        <v>2</v>
      </c>
      <c r="H2129">
        <v>567</v>
      </c>
      <c r="I2129">
        <v>5700000</v>
      </c>
      <c r="J2129">
        <v>1900000</v>
      </c>
      <c r="K2129">
        <v>10200000</v>
      </c>
      <c r="L2129">
        <v>2700000</v>
      </c>
      <c r="M2129" t="s">
        <v>34</v>
      </c>
      <c r="N2129">
        <f t="shared" si="199"/>
        <v>1</v>
      </c>
      <c r="O2129" t="str">
        <f t="shared" si="198"/>
        <v>Low</v>
      </c>
      <c r="P2129" t="str">
        <f t="shared" si="200"/>
        <v>High</v>
      </c>
      <c r="Q2129" t="str">
        <f t="shared" si="201"/>
        <v>Low Loan</v>
      </c>
      <c r="R2129">
        <f t="shared" si="202"/>
        <v>20500000</v>
      </c>
      <c r="S2129" t="str">
        <f t="shared" si="203"/>
        <v>Strong</v>
      </c>
    </row>
    <row r="2130" spans="1:19" x14ac:dyDescent="0.25">
      <c r="A2130">
        <v>2129</v>
      </c>
      <c r="B2130">
        <v>3</v>
      </c>
      <c r="C2130" t="s">
        <v>31</v>
      </c>
      <c r="D2130" t="s">
        <v>32</v>
      </c>
      <c r="E2130">
        <v>4500000</v>
      </c>
      <c r="F2130">
        <v>16100000</v>
      </c>
      <c r="G2130">
        <v>16</v>
      </c>
      <c r="H2130">
        <v>671</v>
      </c>
      <c r="I2130">
        <v>10500000</v>
      </c>
      <c r="J2130">
        <v>3600000</v>
      </c>
      <c r="K2130">
        <v>12400000</v>
      </c>
      <c r="L2130">
        <v>5800000</v>
      </c>
      <c r="M2130" t="s">
        <v>34</v>
      </c>
      <c r="N2130">
        <f t="shared" si="199"/>
        <v>1</v>
      </c>
      <c r="O2130" t="str">
        <f t="shared" si="198"/>
        <v>Medium</v>
      </c>
      <c r="P2130" t="str">
        <f t="shared" si="200"/>
        <v>High</v>
      </c>
      <c r="Q2130" t="str">
        <f t="shared" si="201"/>
        <v>Low Loan</v>
      </c>
      <c r="R2130">
        <f t="shared" si="202"/>
        <v>32300000</v>
      </c>
      <c r="S2130" t="str">
        <f t="shared" si="203"/>
        <v>Strong</v>
      </c>
    </row>
    <row r="2131" spans="1:19" x14ac:dyDescent="0.25">
      <c r="A2131">
        <v>2130</v>
      </c>
      <c r="B2131">
        <v>2</v>
      </c>
      <c r="C2131" t="s">
        <v>30</v>
      </c>
      <c r="D2131" t="s">
        <v>32</v>
      </c>
      <c r="E2131">
        <v>300000</v>
      </c>
      <c r="F2131">
        <v>800000</v>
      </c>
      <c r="G2131">
        <v>18</v>
      </c>
      <c r="H2131">
        <v>819</v>
      </c>
      <c r="I2131">
        <v>300000</v>
      </c>
      <c r="J2131">
        <v>300000</v>
      </c>
      <c r="K2131">
        <v>900000</v>
      </c>
      <c r="L2131">
        <v>400000</v>
      </c>
      <c r="M2131" t="s">
        <v>34</v>
      </c>
      <c r="N2131">
        <f t="shared" si="199"/>
        <v>1</v>
      </c>
      <c r="O2131" t="str">
        <f t="shared" si="198"/>
        <v>Excellent</v>
      </c>
      <c r="P2131" t="str">
        <f t="shared" si="200"/>
        <v>Middle</v>
      </c>
      <c r="Q2131" t="str">
        <f t="shared" si="201"/>
        <v>Low Loan</v>
      </c>
      <c r="R2131">
        <f t="shared" si="202"/>
        <v>1900000</v>
      </c>
      <c r="S2131" t="str">
        <f t="shared" si="203"/>
        <v>Weak</v>
      </c>
    </row>
    <row r="2132" spans="1:19" x14ac:dyDescent="0.25">
      <c r="A2132">
        <v>2131</v>
      </c>
      <c r="B2132">
        <v>5</v>
      </c>
      <c r="C2132" t="s">
        <v>31</v>
      </c>
      <c r="D2132" t="s">
        <v>33</v>
      </c>
      <c r="E2132">
        <v>7600000</v>
      </c>
      <c r="F2132">
        <v>23000000</v>
      </c>
      <c r="G2132">
        <v>10</v>
      </c>
      <c r="H2132">
        <v>829</v>
      </c>
      <c r="I2132">
        <v>3100000</v>
      </c>
      <c r="J2132">
        <v>7300000</v>
      </c>
      <c r="K2132">
        <v>17600000</v>
      </c>
      <c r="L2132">
        <v>7300000</v>
      </c>
      <c r="M2132" t="s">
        <v>34</v>
      </c>
      <c r="N2132">
        <f t="shared" si="199"/>
        <v>1</v>
      </c>
      <c r="O2132" t="str">
        <f t="shared" si="198"/>
        <v>Excellent</v>
      </c>
      <c r="P2132" t="str">
        <f t="shared" si="200"/>
        <v>High</v>
      </c>
      <c r="Q2132" t="str">
        <f t="shared" si="201"/>
        <v>High Loan</v>
      </c>
      <c r="R2132">
        <f t="shared" si="202"/>
        <v>35300000</v>
      </c>
      <c r="S2132" t="str">
        <f t="shared" si="203"/>
        <v>Strong</v>
      </c>
    </row>
    <row r="2133" spans="1:19" x14ac:dyDescent="0.25">
      <c r="A2133">
        <v>2132</v>
      </c>
      <c r="B2133">
        <v>5</v>
      </c>
      <c r="C2133" t="s">
        <v>30</v>
      </c>
      <c r="D2133" t="s">
        <v>32</v>
      </c>
      <c r="E2133">
        <v>500000</v>
      </c>
      <c r="F2133">
        <v>1200000</v>
      </c>
      <c r="G2133">
        <v>12</v>
      </c>
      <c r="H2133">
        <v>454</v>
      </c>
      <c r="I2133">
        <v>1400000</v>
      </c>
      <c r="J2133">
        <v>500000</v>
      </c>
      <c r="K2133">
        <v>1000000</v>
      </c>
      <c r="L2133">
        <v>300000</v>
      </c>
      <c r="M2133" t="s">
        <v>35</v>
      </c>
      <c r="N2133">
        <f t="shared" si="199"/>
        <v>0</v>
      </c>
      <c r="O2133" t="str">
        <f t="shared" si="198"/>
        <v>Low</v>
      </c>
      <c r="P2133" t="str">
        <f t="shared" si="200"/>
        <v>Middle</v>
      </c>
      <c r="Q2133" t="str">
        <f t="shared" si="201"/>
        <v>Low Loan</v>
      </c>
      <c r="R2133">
        <f t="shared" si="202"/>
        <v>3200000</v>
      </c>
      <c r="S2133" t="str">
        <f t="shared" si="203"/>
        <v>Weak</v>
      </c>
    </row>
    <row r="2134" spans="1:19" x14ac:dyDescent="0.25">
      <c r="A2134">
        <v>2133</v>
      </c>
      <c r="B2134">
        <v>0</v>
      </c>
      <c r="C2134" t="s">
        <v>30</v>
      </c>
      <c r="D2134" t="s">
        <v>33</v>
      </c>
      <c r="E2134">
        <v>5900000</v>
      </c>
      <c r="F2134">
        <v>15200000</v>
      </c>
      <c r="G2134">
        <v>16</v>
      </c>
      <c r="H2134">
        <v>399</v>
      </c>
      <c r="I2134">
        <v>15200000</v>
      </c>
      <c r="J2134">
        <v>3200000</v>
      </c>
      <c r="K2134">
        <v>12200000</v>
      </c>
      <c r="L2134">
        <v>6500000</v>
      </c>
      <c r="M2134" t="s">
        <v>35</v>
      </c>
      <c r="N2134">
        <f t="shared" si="199"/>
        <v>0</v>
      </c>
      <c r="O2134" t="str">
        <f t="shared" si="198"/>
        <v>Low</v>
      </c>
      <c r="P2134" t="str">
        <f t="shared" si="200"/>
        <v>High</v>
      </c>
      <c r="Q2134" t="str">
        <f t="shared" si="201"/>
        <v>Low Loan</v>
      </c>
      <c r="R2134">
        <f t="shared" si="202"/>
        <v>37100000</v>
      </c>
      <c r="S2134" t="str">
        <f t="shared" si="203"/>
        <v>Strong</v>
      </c>
    </row>
    <row r="2135" spans="1:19" x14ac:dyDescent="0.25">
      <c r="A2135">
        <v>2134</v>
      </c>
      <c r="B2135">
        <v>0</v>
      </c>
      <c r="C2135" t="s">
        <v>30</v>
      </c>
      <c r="D2135" t="s">
        <v>32</v>
      </c>
      <c r="E2135">
        <v>7100000</v>
      </c>
      <c r="F2135">
        <v>20700000</v>
      </c>
      <c r="G2135">
        <v>10</v>
      </c>
      <c r="H2135">
        <v>784</v>
      </c>
      <c r="I2135">
        <v>9500000</v>
      </c>
      <c r="J2135">
        <v>11400000</v>
      </c>
      <c r="K2135">
        <v>27900000</v>
      </c>
      <c r="L2135">
        <v>8600000</v>
      </c>
      <c r="M2135" t="s">
        <v>34</v>
      </c>
      <c r="N2135">
        <f t="shared" si="199"/>
        <v>1</v>
      </c>
      <c r="O2135" t="str">
        <f t="shared" si="198"/>
        <v>Excellent</v>
      </c>
      <c r="P2135" t="str">
        <f t="shared" si="200"/>
        <v>High</v>
      </c>
      <c r="Q2135" t="str">
        <f t="shared" si="201"/>
        <v>High Loan</v>
      </c>
      <c r="R2135">
        <f t="shared" si="202"/>
        <v>57400000</v>
      </c>
      <c r="S2135" t="str">
        <f t="shared" si="203"/>
        <v>Strong</v>
      </c>
    </row>
    <row r="2136" spans="1:19" x14ac:dyDescent="0.25">
      <c r="A2136">
        <v>2135</v>
      </c>
      <c r="B2136">
        <v>2</v>
      </c>
      <c r="C2136" t="s">
        <v>31</v>
      </c>
      <c r="D2136" t="s">
        <v>33</v>
      </c>
      <c r="E2136">
        <v>8500000</v>
      </c>
      <c r="F2136">
        <v>26900000</v>
      </c>
      <c r="G2136">
        <v>6</v>
      </c>
      <c r="H2136">
        <v>538</v>
      </c>
      <c r="I2136">
        <v>21300000</v>
      </c>
      <c r="J2136">
        <v>16400000</v>
      </c>
      <c r="K2136">
        <v>21500000</v>
      </c>
      <c r="L2136">
        <v>4600000</v>
      </c>
      <c r="M2136" t="s">
        <v>35</v>
      </c>
      <c r="N2136">
        <f t="shared" si="199"/>
        <v>0</v>
      </c>
      <c r="O2136" t="str">
        <f t="shared" si="198"/>
        <v>Low</v>
      </c>
      <c r="P2136" t="str">
        <f t="shared" si="200"/>
        <v>High</v>
      </c>
      <c r="Q2136" t="str">
        <f t="shared" si="201"/>
        <v>High Loan</v>
      </c>
      <c r="R2136">
        <f t="shared" si="202"/>
        <v>63800000</v>
      </c>
      <c r="S2136" t="str">
        <f t="shared" si="203"/>
        <v>Strong</v>
      </c>
    </row>
    <row r="2137" spans="1:19" x14ac:dyDescent="0.25">
      <c r="A2137">
        <v>2136</v>
      </c>
      <c r="B2137">
        <v>0</v>
      </c>
      <c r="C2137" t="s">
        <v>30</v>
      </c>
      <c r="D2137" t="s">
        <v>33</v>
      </c>
      <c r="E2137">
        <v>6400000</v>
      </c>
      <c r="F2137">
        <v>16900000</v>
      </c>
      <c r="G2137">
        <v>16</v>
      </c>
      <c r="H2137">
        <v>759</v>
      </c>
      <c r="I2137">
        <v>16200000</v>
      </c>
      <c r="J2137">
        <v>7100000</v>
      </c>
      <c r="K2137">
        <v>15200000</v>
      </c>
      <c r="L2137">
        <v>3100000</v>
      </c>
      <c r="M2137" t="s">
        <v>34</v>
      </c>
      <c r="N2137">
        <f t="shared" si="199"/>
        <v>1</v>
      </c>
      <c r="O2137" t="str">
        <f t="shared" si="198"/>
        <v>Excellent</v>
      </c>
      <c r="P2137" t="str">
        <f t="shared" si="200"/>
        <v>High</v>
      </c>
      <c r="Q2137" t="str">
        <f t="shared" si="201"/>
        <v>Low Loan</v>
      </c>
      <c r="R2137">
        <f t="shared" si="202"/>
        <v>41600000</v>
      </c>
      <c r="S2137" t="str">
        <f t="shared" si="203"/>
        <v>Strong</v>
      </c>
    </row>
    <row r="2138" spans="1:19" x14ac:dyDescent="0.25">
      <c r="A2138">
        <v>2137</v>
      </c>
      <c r="B2138">
        <v>2</v>
      </c>
      <c r="C2138" t="s">
        <v>30</v>
      </c>
      <c r="D2138" t="s">
        <v>32</v>
      </c>
      <c r="E2138">
        <v>7100000</v>
      </c>
      <c r="F2138">
        <v>21400000</v>
      </c>
      <c r="G2138">
        <v>12</v>
      </c>
      <c r="H2138">
        <v>699</v>
      </c>
      <c r="I2138">
        <v>11400000</v>
      </c>
      <c r="J2138">
        <v>13400000</v>
      </c>
      <c r="K2138">
        <v>22600000</v>
      </c>
      <c r="L2138">
        <v>4800000</v>
      </c>
      <c r="M2138" t="s">
        <v>34</v>
      </c>
      <c r="N2138">
        <f t="shared" si="199"/>
        <v>1</v>
      </c>
      <c r="O2138" t="str">
        <f t="shared" si="198"/>
        <v>Medium</v>
      </c>
      <c r="P2138" t="str">
        <f t="shared" si="200"/>
        <v>High</v>
      </c>
      <c r="Q2138" t="str">
        <f t="shared" si="201"/>
        <v>High Loan</v>
      </c>
      <c r="R2138">
        <f t="shared" si="202"/>
        <v>52200000</v>
      </c>
      <c r="S2138" t="str">
        <f t="shared" si="203"/>
        <v>Strong</v>
      </c>
    </row>
    <row r="2139" spans="1:19" x14ac:dyDescent="0.25">
      <c r="A2139">
        <v>2138</v>
      </c>
      <c r="B2139">
        <v>5</v>
      </c>
      <c r="C2139" t="s">
        <v>31</v>
      </c>
      <c r="D2139" t="s">
        <v>32</v>
      </c>
      <c r="E2139">
        <v>1800000</v>
      </c>
      <c r="F2139">
        <v>5400000</v>
      </c>
      <c r="G2139">
        <v>14</v>
      </c>
      <c r="H2139">
        <v>347</v>
      </c>
      <c r="I2139">
        <v>3800000</v>
      </c>
      <c r="J2139">
        <v>1300000</v>
      </c>
      <c r="K2139">
        <v>4900000</v>
      </c>
      <c r="L2139">
        <v>1700000</v>
      </c>
      <c r="M2139" t="s">
        <v>35</v>
      </c>
      <c r="N2139">
        <f t="shared" si="199"/>
        <v>0</v>
      </c>
      <c r="O2139" t="str">
        <f t="shared" si="198"/>
        <v>Low</v>
      </c>
      <c r="P2139" t="str">
        <f t="shared" si="200"/>
        <v>High</v>
      </c>
      <c r="Q2139" t="str">
        <f t="shared" si="201"/>
        <v>Low Loan</v>
      </c>
      <c r="R2139">
        <f t="shared" si="202"/>
        <v>11700000</v>
      </c>
      <c r="S2139" t="str">
        <f t="shared" si="203"/>
        <v>Strong</v>
      </c>
    </row>
    <row r="2140" spans="1:19" x14ac:dyDescent="0.25">
      <c r="A2140">
        <v>2139</v>
      </c>
      <c r="B2140">
        <v>3</v>
      </c>
      <c r="C2140" t="s">
        <v>31</v>
      </c>
      <c r="D2140" t="s">
        <v>33</v>
      </c>
      <c r="E2140">
        <v>6600000</v>
      </c>
      <c r="F2140">
        <v>25200000</v>
      </c>
      <c r="G2140">
        <v>20</v>
      </c>
      <c r="H2140">
        <v>598</v>
      </c>
      <c r="I2140">
        <v>13100000</v>
      </c>
      <c r="J2140">
        <v>3600000</v>
      </c>
      <c r="K2140">
        <v>20700000</v>
      </c>
      <c r="L2140">
        <v>8600000</v>
      </c>
      <c r="M2140" t="s">
        <v>34</v>
      </c>
      <c r="N2140">
        <f t="shared" si="199"/>
        <v>1</v>
      </c>
      <c r="O2140" t="str">
        <f t="shared" si="198"/>
        <v>Low</v>
      </c>
      <c r="P2140" t="str">
        <f t="shared" si="200"/>
        <v>High</v>
      </c>
      <c r="Q2140" t="str">
        <f t="shared" si="201"/>
        <v>High Loan</v>
      </c>
      <c r="R2140">
        <f t="shared" si="202"/>
        <v>46000000</v>
      </c>
      <c r="S2140" t="str">
        <f t="shared" si="203"/>
        <v>Strong</v>
      </c>
    </row>
    <row r="2141" spans="1:19" x14ac:dyDescent="0.25">
      <c r="A2141">
        <v>2140</v>
      </c>
      <c r="B2141">
        <v>4</v>
      </c>
      <c r="C2141" t="s">
        <v>30</v>
      </c>
      <c r="D2141" t="s">
        <v>33</v>
      </c>
      <c r="E2141">
        <v>8800000</v>
      </c>
      <c r="F2141">
        <v>27100000</v>
      </c>
      <c r="G2141">
        <v>2</v>
      </c>
      <c r="H2141">
        <v>406</v>
      </c>
      <c r="I2141">
        <v>16300000</v>
      </c>
      <c r="J2141">
        <v>6200000</v>
      </c>
      <c r="K2141">
        <v>26100000</v>
      </c>
      <c r="L2141">
        <v>5800000</v>
      </c>
      <c r="M2141" t="s">
        <v>34</v>
      </c>
      <c r="N2141">
        <f t="shared" si="199"/>
        <v>1</v>
      </c>
      <c r="O2141" t="str">
        <f t="shared" si="198"/>
        <v>Low</v>
      </c>
      <c r="P2141" t="str">
        <f t="shared" si="200"/>
        <v>High</v>
      </c>
      <c r="Q2141" t="str">
        <f t="shared" si="201"/>
        <v>High Loan</v>
      </c>
      <c r="R2141">
        <f t="shared" si="202"/>
        <v>54400000</v>
      </c>
      <c r="S2141" t="str">
        <f t="shared" si="203"/>
        <v>Strong</v>
      </c>
    </row>
    <row r="2142" spans="1:19" x14ac:dyDescent="0.25">
      <c r="A2142">
        <v>2141</v>
      </c>
      <c r="B2142">
        <v>2</v>
      </c>
      <c r="C2142" t="s">
        <v>31</v>
      </c>
      <c r="D2142" t="s">
        <v>32</v>
      </c>
      <c r="E2142">
        <v>4800000</v>
      </c>
      <c r="F2142">
        <v>15800000</v>
      </c>
      <c r="G2142">
        <v>20</v>
      </c>
      <c r="H2142">
        <v>860</v>
      </c>
      <c r="I2142">
        <v>1700000</v>
      </c>
      <c r="J2142">
        <v>3300000</v>
      </c>
      <c r="K2142">
        <v>13400000</v>
      </c>
      <c r="L2142">
        <v>5100000</v>
      </c>
      <c r="M2142" t="s">
        <v>34</v>
      </c>
      <c r="N2142">
        <f t="shared" si="199"/>
        <v>1</v>
      </c>
      <c r="O2142" t="str">
        <f t="shared" si="198"/>
        <v>Excellent</v>
      </c>
      <c r="P2142" t="str">
        <f t="shared" si="200"/>
        <v>High</v>
      </c>
      <c r="Q2142" t="str">
        <f t="shared" si="201"/>
        <v>Low Loan</v>
      </c>
      <c r="R2142">
        <f t="shared" si="202"/>
        <v>23500000</v>
      </c>
      <c r="S2142" t="str">
        <f t="shared" si="203"/>
        <v>Strong</v>
      </c>
    </row>
    <row r="2143" spans="1:19" x14ac:dyDescent="0.25">
      <c r="A2143">
        <v>2142</v>
      </c>
      <c r="B2143">
        <v>5</v>
      </c>
      <c r="C2143" t="s">
        <v>30</v>
      </c>
      <c r="D2143" t="s">
        <v>33</v>
      </c>
      <c r="E2143">
        <v>4400000</v>
      </c>
      <c r="F2143">
        <v>16500000</v>
      </c>
      <c r="G2143">
        <v>10</v>
      </c>
      <c r="H2143">
        <v>806</v>
      </c>
      <c r="I2143">
        <v>3500000</v>
      </c>
      <c r="J2143">
        <v>4400000</v>
      </c>
      <c r="K2143">
        <v>11200000</v>
      </c>
      <c r="L2143">
        <v>2800000</v>
      </c>
      <c r="M2143" t="s">
        <v>34</v>
      </c>
      <c r="N2143">
        <f t="shared" si="199"/>
        <v>1</v>
      </c>
      <c r="O2143" t="str">
        <f t="shared" si="198"/>
        <v>Excellent</v>
      </c>
      <c r="P2143" t="str">
        <f t="shared" si="200"/>
        <v>High</v>
      </c>
      <c r="Q2143" t="str">
        <f t="shared" si="201"/>
        <v>Low Loan</v>
      </c>
      <c r="R2143">
        <f t="shared" si="202"/>
        <v>21900000</v>
      </c>
      <c r="S2143" t="str">
        <f t="shared" si="203"/>
        <v>Strong</v>
      </c>
    </row>
    <row r="2144" spans="1:19" x14ac:dyDescent="0.25">
      <c r="A2144">
        <v>2143</v>
      </c>
      <c r="B2144">
        <v>0</v>
      </c>
      <c r="C2144" t="s">
        <v>31</v>
      </c>
      <c r="D2144" t="s">
        <v>32</v>
      </c>
      <c r="E2144">
        <v>2000000</v>
      </c>
      <c r="F2144">
        <v>6900000</v>
      </c>
      <c r="G2144">
        <v>2</v>
      </c>
      <c r="H2144">
        <v>448</v>
      </c>
      <c r="I2144">
        <v>2700000</v>
      </c>
      <c r="J2144">
        <v>3800000</v>
      </c>
      <c r="K2144">
        <v>7100000</v>
      </c>
      <c r="L2144">
        <v>1600000</v>
      </c>
      <c r="M2144" t="s">
        <v>34</v>
      </c>
      <c r="N2144">
        <f t="shared" si="199"/>
        <v>1</v>
      </c>
      <c r="O2144" t="str">
        <f t="shared" si="198"/>
        <v>Low</v>
      </c>
      <c r="P2144" t="str">
        <f t="shared" si="200"/>
        <v>High</v>
      </c>
      <c r="Q2144" t="str">
        <f t="shared" si="201"/>
        <v>Low Loan</v>
      </c>
      <c r="R2144">
        <f t="shared" si="202"/>
        <v>15200000</v>
      </c>
      <c r="S2144" t="str">
        <f t="shared" si="203"/>
        <v>Strong</v>
      </c>
    </row>
    <row r="2145" spans="1:19" x14ac:dyDescent="0.25">
      <c r="A2145">
        <v>2144</v>
      </c>
      <c r="B2145">
        <v>2</v>
      </c>
      <c r="C2145" t="s">
        <v>30</v>
      </c>
      <c r="D2145" t="s">
        <v>32</v>
      </c>
      <c r="E2145">
        <v>6800000</v>
      </c>
      <c r="F2145">
        <v>22600000</v>
      </c>
      <c r="G2145">
        <v>20</v>
      </c>
      <c r="H2145">
        <v>393</v>
      </c>
      <c r="I2145">
        <v>2100000</v>
      </c>
      <c r="J2145">
        <v>2200000</v>
      </c>
      <c r="K2145">
        <v>20300000</v>
      </c>
      <c r="L2145">
        <v>8200000</v>
      </c>
      <c r="M2145" t="s">
        <v>35</v>
      </c>
      <c r="N2145">
        <f t="shared" si="199"/>
        <v>0</v>
      </c>
      <c r="O2145" t="str">
        <f t="shared" si="198"/>
        <v>Low</v>
      </c>
      <c r="P2145" t="str">
        <f t="shared" si="200"/>
        <v>High</v>
      </c>
      <c r="Q2145" t="str">
        <f t="shared" si="201"/>
        <v>High Loan</v>
      </c>
      <c r="R2145">
        <f t="shared" si="202"/>
        <v>32800000</v>
      </c>
      <c r="S2145" t="str">
        <f t="shared" si="203"/>
        <v>Strong</v>
      </c>
    </row>
    <row r="2146" spans="1:19" x14ac:dyDescent="0.25">
      <c r="A2146">
        <v>2145</v>
      </c>
      <c r="B2146">
        <v>5</v>
      </c>
      <c r="C2146" t="s">
        <v>31</v>
      </c>
      <c r="D2146" t="s">
        <v>33</v>
      </c>
      <c r="E2146">
        <v>6600000</v>
      </c>
      <c r="F2146">
        <v>16000000</v>
      </c>
      <c r="G2146">
        <v>12</v>
      </c>
      <c r="H2146">
        <v>811</v>
      </c>
      <c r="I2146">
        <v>13100000</v>
      </c>
      <c r="J2146">
        <v>5000000</v>
      </c>
      <c r="K2146">
        <v>14700000</v>
      </c>
      <c r="L2146">
        <v>5000000</v>
      </c>
      <c r="M2146" t="s">
        <v>34</v>
      </c>
      <c r="N2146">
        <f t="shared" si="199"/>
        <v>1</v>
      </c>
      <c r="O2146" t="str">
        <f t="shared" si="198"/>
        <v>Excellent</v>
      </c>
      <c r="P2146" t="str">
        <f t="shared" si="200"/>
        <v>High</v>
      </c>
      <c r="Q2146" t="str">
        <f t="shared" si="201"/>
        <v>Low Loan</v>
      </c>
      <c r="R2146">
        <f t="shared" si="202"/>
        <v>37800000</v>
      </c>
      <c r="S2146" t="str">
        <f t="shared" si="203"/>
        <v>Strong</v>
      </c>
    </row>
    <row r="2147" spans="1:19" x14ac:dyDescent="0.25">
      <c r="A2147">
        <v>2146</v>
      </c>
      <c r="B2147">
        <v>2</v>
      </c>
      <c r="C2147" t="s">
        <v>30</v>
      </c>
      <c r="D2147" t="s">
        <v>32</v>
      </c>
      <c r="E2147">
        <v>3300000</v>
      </c>
      <c r="F2147">
        <v>7900000</v>
      </c>
      <c r="G2147">
        <v>20</v>
      </c>
      <c r="H2147">
        <v>829</v>
      </c>
      <c r="I2147">
        <v>4800000</v>
      </c>
      <c r="J2147">
        <v>2100000</v>
      </c>
      <c r="K2147">
        <v>13200000</v>
      </c>
      <c r="L2147">
        <v>2600000</v>
      </c>
      <c r="M2147" t="s">
        <v>34</v>
      </c>
      <c r="N2147">
        <f t="shared" si="199"/>
        <v>1</v>
      </c>
      <c r="O2147" t="str">
        <f t="shared" si="198"/>
        <v>Excellent</v>
      </c>
      <c r="P2147" t="str">
        <f t="shared" si="200"/>
        <v>High</v>
      </c>
      <c r="Q2147" t="str">
        <f t="shared" si="201"/>
        <v>Low Loan</v>
      </c>
      <c r="R2147">
        <f t="shared" si="202"/>
        <v>22700000</v>
      </c>
      <c r="S2147" t="str">
        <f t="shared" si="203"/>
        <v>Strong</v>
      </c>
    </row>
    <row r="2148" spans="1:19" x14ac:dyDescent="0.25">
      <c r="A2148">
        <v>2147</v>
      </c>
      <c r="B2148">
        <v>3</v>
      </c>
      <c r="C2148" t="s">
        <v>31</v>
      </c>
      <c r="D2148" t="s">
        <v>32</v>
      </c>
      <c r="E2148">
        <v>7400000</v>
      </c>
      <c r="F2148">
        <v>23400000</v>
      </c>
      <c r="G2148">
        <v>16</v>
      </c>
      <c r="H2148">
        <v>700</v>
      </c>
      <c r="I2148">
        <v>19300000</v>
      </c>
      <c r="J2148">
        <v>3000000</v>
      </c>
      <c r="K2148">
        <v>20700000</v>
      </c>
      <c r="L2148">
        <v>8900000</v>
      </c>
      <c r="M2148" t="s">
        <v>34</v>
      </c>
      <c r="N2148">
        <f t="shared" si="199"/>
        <v>1</v>
      </c>
      <c r="O2148" t="str">
        <f t="shared" si="198"/>
        <v>Good</v>
      </c>
      <c r="P2148" t="str">
        <f t="shared" si="200"/>
        <v>High</v>
      </c>
      <c r="Q2148" t="str">
        <f t="shared" si="201"/>
        <v>High Loan</v>
      </c>
      <c r="R2148">
        <f t="shared" si="202"/>
        <v>51900000</v>
      </c>
      <c r="S2148" t="str">
        <f t="shared" si="203"/>
        <v>Strong</v>
      </c>
    </row>
    <row r="2149" spans="1:19" x14ac:dyDescent="0.25">
      <c r="A2149">
        <v>2148</v>
      </c>
      <c r="B2149">
        <v>0</v>
      </c>
      <c r="C2149" t="s">
        <v>31</v>
      </c>
      <c r="D2149" t="s">
        <v>33</v>
      </c>
      <c r="E2149">
        <v>4500000</v>
      </c>
      <c r="F2149">
        <v>12400000</v>
      </c>
      <c r="G2149">
        <v>18</v>
      </c>
      <c r="H2149">
        <v>719</v>
      </c>
      <c r="I2149">
        <v>10300000</v>
      </c>
      <c r="J2149">
        <v>200000</v>
      </c>
      <c r="K2149">
        <v>9200000</v>
      </c>
      <c r="L2149">
        <v>3100000</v>
      </c>
      <c r="M2149" t="s">
        <v>34</v>
      </c>
      <c r="N2149">
        <f t="shared" si="199"/>
        <v>1</v>
      </c>
      <c r="O2149" t="str">
        <f t="shared" si="198"/>
        <v>Good</v>
      </c>
      <c r="P2149" t="str">
        <f t="shared" si="200"/>
        <v>High</v>
      </c>
      <c r="Q2149" t="str">
        <f t="shared" si="201"/>
        <v>Low Loan</v>
      </c>
      <c r="R2149">
        <f t="shared" si="202"/>
        <v>22800000</v>
      </c>
      <c r="S2149" t="str">
        <f t="shared" si="203"/>
        <v>Strong</v>
      </c>
    </row>
    <row r="2150" spans="1:19" x14ac:dyDescent="0.25">
      <c r="A2150">
        <v>2149</v>
      </c>
      <c r="B2150">
        <v>1</v>
      </c>
      <c r="C2150" t="s">
        <v>31</v>
      </c>
      <c r="D2150" t="s">
        <v>33</v>
      </c>
      <c r="E2150">
        <v>9500000</v>
      </c>
      <c r="F2150">
        <v>30500000</v>
      </c>
      <c r="G2150">
        <v>12</v>
      </c>
      <c r="H2150">
        <v>430</v>
      </c>
      <c r="I2150">
        <v>5400000</v>
      </c>
      <c r="J2150">
        <v>8000000</v>
      </c>
      <c r="K2150">
        <v>30800000</v>
      </c>
      <c r="L2150">
        <v>10500000</v>
      </c>
      <c r="M2150" t="s">
        <v>35</v>
      </c>
      <c r="N2150">
        <f t="shared" si="199"/>
        <v>0</v>
      </c>
      <c r="O2150" t="str">
        <f t="shared" si="198"/>
        <v>Low</v>
      </c>
      <c r="P2150" t="str">
        <f t="shared" si="200"/>
        <v>High</v>
      </c>
      <c r="Q2150" t="str">
        <f t="shared" si="201"/>
        <v>High Loan</v>
      </c>
      <c r="R2150">
        <f t="shared" si="202"/>
        <v>54700000</v>
      </c>
      <c r="S2150" t="str">
        <f t="shared" si="203"/>
        <v>Strong</v>
      </c>
    </row>
    <row r="2151" spans="1:19" x14ac:dyDescent="0.25">
      <c r="A2151">
        <v>2150</v>
      </c>
      <c r="B2151">
        <v>1</v>
      </c>
      <c r="C2151" t="s">
        <v>30</v>
      </c>
      <c r="D2151" t="s">
        <v>32</v>
      </c>
      <c r="E2151">
        <v>800000</v>
      </c>
      <c r="F2151">
        <v>3000000</v>
      </c>
      <c r="G2151">
        <v>4</v>
      </c>
      <c r="H2151">
        <v>338</v>
      </c>
      <c r="I2151">
        <v>900000</v>
      </c>
      <c r="J2151">
        <v>1000000</v>
      </c>
      <c r="K2151">
        <v>2600000</v>
      </c>
      <c r="L2151">
        <v>400000</v>
      </c>
      <c r="M2151" t="s">
        <v>34</v>
      </c>
      <c r="N2151">
        <f t="shared" si="199"/>
        <v>1</v>
      </c>
      <c r="O2151" t="str">
        <f t="shared" si="198"/>
        <v>Low</v>
      </c>
      <c r="P2151" t="str">
        <f t="shared" si="200"/>
        <v>High</v>
      </c>
      <c r="Q2151" t="str">
        <f t="shared" si="201"/>
        <v>Low Loan</v>
      </c>
      <c r="R2151">
        <f t="shared" si="202"/>
        <v>4900000</v>
      </c>
      <c r="S2151" t="str">
        <f t="shared" si="203"/>
        <v>Weak</v>
      </c>
    </row>
    <row r="2152" spans="1:19" x14ac:dyDescent="0.25">
      <c r="A2152">
        <v>2151</v>
      </c>
      <c r="B2152">
        <v>2</v>
      </c>
      <c r="C2152" t="s">
        <v>30</v>
      </c>
      <c r="D2152" t="s">
        <v>32</v>
      </c>
      <c r="E2152">
        <v>4000000</v>
      </c>
      <c r="F2152">
        <v>13000000</v>
      </c>
      <c r="G2152">
        <v>4</v>
      </c>
      <c r="H2152">
        <v>695</v>
      </c>
      <c r="I2152">
        <v>6400000</v>
      </c>
      <c r="J2152">
        <v>6900000</v>
      </c>
      <c r="K2152">
        <v>15400000</v>
      </c>
      <c r="L2152">
        <v>4300000</v>
      </c>
      <c r="M2152" t="s">
        <v>34</v>
      </c>
      <c r="N2152">
        <f t="shared" si="199"/>
        <v>1</v>
      </c>
      <c r="O2152" t="str">
        <f t="shared" si="198"/>
        <v>Medium</v>
      </c>
      <c r="P2152" t="str">
        <f t="shared" si="200"/>
        <v>High</v>
      </c>
      <c r="Q2152" t="str">
        <f t="shared" si="201"/>
        <v>Low Loan</v>
      </c>
      <c r="R2152">
        <f t="shared" si="202"/>
        <v>33000000</v>
      </c>
      <c r="S2152" t="str">
        <f t="shared" si="203"/>
        <v>Strong</v>
      </c>
    </row>
    <row r="2153" spans="1:19" x14ac:dyDescent="0.25">
      <c r="A2153">
        <v>2152</v>
      </c>
      <c r="B2153">
        <v>2</v>
      </c>
      <c r="C2153" t="s">
        <v>31</v>
      </c>
      <c r="D2153" t="s">
        <v>32</v>
      </c>
      <c r="E2153">
        <v>7000000</v>
      </c>
      <c r="F2153">
        <v>25700000</v>
      </c>
      <c r="G2153">
        <v>18</v>
      </c>
      <c r="H2153">
        <v>374</v>
      </c>
      <c r="I2153">
        <v>3400000</v>
      </c>
      <c r="J2153">
        <v>13700000</v>
      </c>
      <c r="K2153">
        <v>14900000</v>
      </c>
      <c r="L2153">
        <v>4500000</v>
      </c>
      <c r="M2153" t="s">
        <v>35</v>
      </c>
      <c r="N2153">
        <f t="shared" si="199"/>
        <v>0</v>
      </c>
      <c r="O2153" t="str">
        <f t="shared" si="198"/>
        <v>Low</v>
      </c>
      <c r="P2153" t="str">
        <f t="shared" si="200"/>
        <v>High</v>
      </c>
      <c r="Q2153" t="str">
        <f t="shared" si="201"/>
        <v>High Loan</v>
      </c>
      <c r="R2153">
        <f t="shared" si="202"/>
        <v>36500000</v>
      </c>
      <c r="S2153" t="str">
        <f t="shared" si="203"/>
        <v>Strong</v>
      </c>
    </row>
    <row r="2154" spans="1:19" x14ac:dyDescent="0.25">
      <c r="A2154">
        <v>2153</v>
      </c>
      <c r="B2154">
        <v>3</v>
      </c>
      <c r="C2154" t="s">
        <v>30</v>
      </c>
      <c r="D2154" t="s">
        <v>32</v>
      </c>
      <c r="E2154">
        <v>3500000</v>
      </c>
      <c r="F2154">
        <v>8500000</v>
      </c>
      <c r="G2154">
        <v>18</v>
      </c>
      <c r="H2154">
        <v>609</v>
      </c>
      <c r="I2154">
        <v>7300000</v>
      </c>
      <c r="J2154">
        <v>0</v>
      </c>
      <c r="K2154">
        <v>12700000</v>
      </c>
      <c r="L2154">
        <v>2500000</v>
      </c>
      <c r="M2154" t="s">
        <v>34</v>
      </c>
      <c r="N2154">
        <f t="shared" si="199"/>
        <v>1</v>
      </c>
      <c r="O2154" t="str">
        <f t="shared" si="198"/>
        <v>Low</v>
      </c>
      <c r="P2154" t="str">
        <f t="shared" si="200"/>
        <v>High</v>
      </c>
      <c r="Q2154" t="str">
        <f t="shared" si="201"/>
        <v>Low Loan</v>
      </c>
      <c r="R2154">
        <f t="shared" si="202"/>
        <v>22500000</v>
      </c>
      <c r="S2154" t="str">
        <f t="shared" si="203"/>
        <v>Strong</v>
      </c>
    </row>
    <row r="2155" spans="1:19" x14ac:dyDescent="0.25">
      <c r="A2155">
        <v>2154</v>
      </c>
      <c r="B2155">
        <v>3</v>
      </c>
      <c r="C2155" t="s">
        <v>30</v>
      </c>
      <c r="D2155" t="s">
        <v>33</v>
      </c>
      <c r="E2155">
        <v>9700000</v>
      </c>
      <c r="F2155">
        <v>36000000</v>
      </c>
      <c r="G2155">
        <v>6</v>
      </c>
      <c r="H2155">
        <v>631</v>
      </c>
      <c r="I2155">
        <v>3500000</v>
      </c>
      <c r="J2155">
        <v>5500000</v>
      </c>
      <c r="K2155">
        <v>28500000</v>
      </c>
      <c r="L2155">
        <v>7500000</v>
      </c>
      <c r="M2155" t="s">
        <v>34</v>
      </c>
      <c r="N2155">
        <f t="shared" si="199"/>
        <v>1</v>
      </c>
      <c r="O2155" t="str">
        <f t="shared" si="198"/>
        <v>Low</v>
      </c>
      <c r="P2155" t="str">
        <f t="shared" si="200"/>
        <v>High</v>
      </c>
      <c r="Q2155" t="str">
        <f t="shared" si="201"/>
        <v>High Loan</v>
      </c>
      <c r="R2155">
        <f t="shared" si="202"/>
        <v>45000000</v>
      </c>
      <c r="S2155" t="str">
        <f t="shared" si="203"/>
        <v>Strong</v>
      </c>
    </row>
    <row r="2156" spans="1:19" x14ac:dyDescent="0.25">
      <c r="A2156">
        <v>2155</v>
      </c>
      <c r="B2156">
        <v>0</v>
      </c>
      <c r="C2156" t="s">
        <v>31</v>
      </c>
      <c r="D2156" t="s">
        <v>32</v>
      </c>
      <c r="E2156">
        <v>3400000</v>
      </c>
      <c r="F2156">
        <v>10800000</v>
      </c>
      <c r="G2156">
        <v>6</v>
      </c>
      <c r="H2156">
        <v>439</v>
      </c>
      <c r="I2156">
        <v>5300000</v>
      </c>
      <c r="J2156">
        <v>1400000</v>
      </c>
      <c r="K2156">
        <v>11600000</v>
      </c>
      <c r="L2156">
        <v>1900000</v>
      </c>
      <c r="M2156" t="s">
        <v>35</v>
      </c>
      <c r="N2156">
        <f t="shared" si="199"/>
        <v>0</v>
      </c>
      <c r="O2156" t="str">
        <f t="shared" si="198"/>
        <v>Low</v>
      </c>
      <c r="P2156" t="str">
        <f t="shared" si="200"/>
        <v>High</v>
      </c>
      <c r="Q2156" t="str">
        <f t="shared" si="201"/>
        <v>Low Loan</v>
      </c>
      <c r="R2156">
        <f t="shared" si="202"/>
        <v>20200000</v>
      </c>
      <c r="S2156" t="str">
        <f t="shared" si="203"/>
        <v>Strong</v>
      </c>
    </row>
    <row r="2157" spans="1:19" x14ac:dyDescent="0.25">
      <c r="A2157">
        <v>2156</v>
      </c>
      <c r="B2157">
        <v>1</v>
      </c>
      <c r="C2157" t="s">
        <v>30</v>
      </c>
      <c r="D2157" t="s">
        <v>33</v>
      </c>
      <c r="E2157">
        <v>4600000</v>
      </c>
      <c r="F2157">
        <v>13500000</v>
      </c>
      <c r="G2157">
        <v>20</v>
      </c>
      <c r="H2157">
        <v>837</v>
      </c>
      <c r="I2157">
        <v>5600000</v>
      </c>
      <c r="J2157">
        <v>7700000</v>
      </c>
      <c r="K2157">
        <v>11900000</v>
      </c>
      <c r="L2157">
        <v>2500000</v>
      </c>
      <c r="M2157" t="s">
        <v>34</v>
      </c>
      <c r="N2157">
        <f t="shared" si="199"/>
        <v>1</v>
      </c>
      <c r="O2157" t="str">
        <f t="shared" si="198"/>
        <v>Excellent</v>
      </c>
      <c r="P2157" t="str">
        <f t="shared" si="200"/>
        <v>High</v>
      </c>
      <c r="Q2157" t="str">
        <f t="shared" si="201"/>
        <v>Low Loan</v>
      </c>
      <c r="R2157">
        <f t="shared" si="202"/>
        <v>27700000</v>
      </c>
      <c r="S2157" t="str">
        <f t="shared" si="203"/>
        <v>Strong</v>
      </c>
    </row>
    <row r="2158" spans="1:19" x14ac:dyDescent="0.25">
      <c r="A2158">
        <v>2157</v>
      </c>
      <c r="B2158">
        <v>4</v>
      </c>
      <c r="C2158" t="s">
        <v>30</v>
      </c>
      <c r="D2158" t="s">
        <v>32</v>
      </c>
      <c r="E2158">
        <v>3800000</v>
      </c>
      <c r="F2158">
        <v>10400000</v>
      </c>
      <c r="G2158">
        <v>10</v>
      </c>
      <c r="H2158">
        <v>833</v>
      </c>
      <c r="I2158">
        <v>7500000</v>
      </c>
      <c r="J2158">
        <v>2500000</v>
      </c>
      <c r="K2158">
        <v>14100000</v>
      </c>
      <c r="L2158">
        <v>4200000</v>
      </c>
      <c r="M2158" t="s">
        <v>34</v>
      </c>
      <c r="N2158">
        <f t="shared" si="199"/>
        <v>1</v>
      </c>
      <c r="O2158" t="str">
        <f t="shared" si="198"/>
        <v>Excellent</v>
      </c>
      <c r="P2158" t="str">
        <f t="shared" si="200"/>
        <v>High</v>
      </c>
      <c r="Q2158" t="str">
        <f t="shared" si="201"/>
        <v>Low Loan</v>
      </c>
      <c r="R2158">
        <f t="shared" si="202"/>
        <v>28300000</v>
      </c>
      <c r="S2158" t="str">
        <f t="shared" si="203"/>
        <v>Strong</v>
      </c>
    </row>
    <row r="2159" spans="1:19" x14ac:dyDescent="0.25">
      <c r="A2159">
        <v>2158</v>
      </c>
      <c r="B2159">
        <v>4</v>
      </c>
      <c r="C2159" t="s">
        <v>31</v>
      </c>
      <c r="D2159" t="s">
        <v>33</v>
      </c>
      <c r="E2159">
        <v>4200000</v>
      </c>
      <c r="F2159">
        <v>9600000</v>
      </c>
      <c r="G2159">
        <v>20</v>
      </c>
      <c r="H2159">
        <v>863</v>
      </c>
      <c r="I2159">
        <v>7400000</v>
      </c>
      <c r="J2159">
        <v>900000</v>
      </c>
      <c r="K2159">
        <v>9100000</v>
      </c>
      <c r="L2159">
        <v>3400000</v>
      </c>
      <c r="M2159" t="s">
        <v>34</v>
      </c>
      <c r="N2159">
        <f t="shared" si="199"/>
        <v>1</v>
      </c>
      <c r="O2159" t="str">
        <f t="shared" si="198"/>
        <v>Excellent</v>
      </c>
      <c r="P2159" t="str">
        <f t="shared" si="200"/>
        <v>High</v>
      </c>
      <c r="Q2159" t="str">
        <f t="shared" si="201"/>
        <v>Low Loan</v>
      </c>
      <c r="R2159">
        <f t="shared" si="202"/>
        <v>20800000</v>
      </c>
      <c r="S2159" t="str">
        <f t="shared" si="203"/>
        <v>Strong</v>
      </c>
    </row>
    <row r="2160" spans="1:19" x14ac:dyDescent="0.25">
      <c r="A2160">
        <v>2159</v>
      </c>
      <c r="B2160">
        <v>2</v>
      </c>
      <c r="C2160" t="s">
        <v>30</v>
      </c>
      <c r="D2160" t="s">
        <v>32</v>
      </c>
      <c r="E2160">
        <v>2500000</v>
      </c>
      <c r="F2160">
        <v>8700000</v>
      </c>
      <c r="G2160">
        <v>4</v>
      </c>
      <c r="H2160">
        <v>684</v>
      </c>
      <c r="I2160">
        <v>0</v>
      </c>
      <c r="J2160">
        <v>600000</v>
      </c>
      <c r="K2160">
        <v>9700000</v>
      </c>
      <c r="L2160">
        <v>2600000</v>
      </c>
      <c r="M2160" t="s">
        <v>34</v>
      </c>
      <c r="N2160">
        <f t="shared" si="199"/>
        <v>1</v>
      </c>
      <c r="O2160" t="str">
        <f t="shared" si="198"/>
        <v>Medium</v>
      </c>
      <c r="P2160" t="str">
        <f t="shared" si="200"/>
        <v>High</v>
      </c>
      <c r="Q2160" t="str">
        <f t="shared" si="201"/>
        <v>Low Loan</v>
      </c>
      <c r="R2160">
        <f t="shared" si="202"/>
        <v>12900000</v>
      </c>
      <c r="S2160" t="str">
        <f t="shared" si="203"/>
        <v>Strong</v>
      </c>
    </row>
    <row r="2161" spans="1:19" x14ac:dyDescent="0.25">
      <c r="A2161">
        <v>2160</v>
      </c>
      <c r="B2161">
        <v>0</v>
      </c>
      <c r="C2161" t="s">
        <v>31</v>
      </c>
      <c r="D2161" t="s">
        <v>33</v>
      </c>
      <c r="E2161">
        <v>7000000</v>
      </c>
      <c r="F2161">
        <v>24600000</v>
      </c>
      <c r="G2161">
        <v>6</v>
      </c>
      <c r="H2161">
        <v>542</v>
      </c>
      <c r="I2161">
        <v>6400000</v>
      </c>
      <c r="J2161">
        <v>2600000</v>
      </c>
      <c r="K2161">
        <v>24500000</v>
      </c>
      <c r="L2161">
        <v>4700000</v>
      </c>
      <c r="M2161" t="s">
        <v>35</v>
      </c>
      <c r="N2161">
        <f t="shared" si="199"/>
        <v>0</v>
      </c>
      <c r="O2161" t="str">
        <f t="shared" si="198"/>
        <v>Low</v>
      </c>
      <c r="P2161" t="str">
        <f t="shared" si="200"/>
        <v>High</v>
      </c>
      <c r="Q2161" t="str">
        <f t="shared" si="201"/>
        <v>High Loan</v>
      </c>
      <c r="R2161">
        <f t="shared" si="202"/>
        <v>38200000</v>
      </c>
      <c r="S2161" t="str">
        <f t="shared" si="203"/>
        <v>Strong</v>
      </c>
    </row>
    <row r="2162" spans="1:19" x14ac:dyDescent="0.25">
      <c r="A2162">
        <v>2161</v>
      </c>
      <c r="B2162">
        <v>1</v>
      </c>
      <c r="C2162" t="s">
        <v>31</v>
      </c>
      <c r="D2162" t="s">
        <v>32</v>
      </c>
      <c r="E2162">
        <v>5300000</v>
      </c>
      <c r="F2162">
        <v>11500000</v>
      </c>
      <c r="G2162">
        <v>8</v>
      </c>
      <c r="H2162">
        <v>753</v>
      </c>
      <c r="I2162">
        <v>10000000</v>
      </c>
      <c r="J2162">
        <v>4200000</v>
      </c>
      <c r="K2162">
        <v>14400000</v>
      </c>
      <c r="L2162">
        <v>3000000</v>
      </c>
      <c r="M2162" t="s">
        <v>34</v>
      </c>
      <c r="N2162">
        <f t="shared" si="199"/>
        <v>1</v>
      </c>
      <c r="O2162" t="str">
        <f t="shared" si="198"/>
        <v>Excellent</v>
      </c>
      <c r="P2162" t="str">
        <f t="shared" si="200"/>
        <v>High</v>
      </c>
      <c r="Q2162" t="str">
        <f t="shared" si="201"/>
        <v>Low Loan</v>
      </c>
      <c r="R2162">
        <f t="shared" si="202"/>
        <v>31600000</v>
      </c>
      <c r="S2162" t="str">
        <f t="shared" si="203"/>
        <v>Strong</v>
      </c>
    </row>
    <row r="2163" spans="1:19" x14ac:dyDescent="0.25">
      <c r="A2163">
        <v>2162</v>
      </c>
      <c r="B2163">
        <v>0</v>
      </c>
      <c r="C2163" t="s">
        <v>31</v>
      </c>
      <c r="D2163" t="s">
        <v>32</v>
      </c>
      <c r="E2163">
        <v>6400000</v>
      </c>
      <c r="F2163">
        <v>14200000</v>
      </c>
      <c r="G2163">
        <v>2</v>
      </c>
      <c r="H2163">
        <v>512</v>
      </c>
      <c r="I2163">
        <v>1600000</v>
      </c>
      <c r="J2163">
        <v>9200000</v>
      </c>
      <c r="K2163">
        <v>23100000</v>
      </c>
      <c r="L2163">
        <v>3500000</v>
      </c>
      <c r="M2163" t="s">
        <v>35</v>
      </c>
      <c r="N2163">
        <f t="shared" si="199"/>
        <v>0</v>
      </c>
      <c r="O2163" t="str">
        <f t="shared" si="198"/>
        <v>Low</v>
      </c>
      <c r="P2163" t="str">
        <f t="shared" si="200"/>
        <v>High</v>
      </c>
      <c r="Q2163" t="str">
        <f t="shared" si="201"/>
        <v>Low Loan</v>
      </c>
      <c r="R2163">
        <f t="shared" si="202"/>
        <v>37400000</v>
      </c>
      <c r="S2163" t="str">
        <f t="shared" si="203"/>
        <v>Strong</v>
      </c>
    </row>
    <row r="2164" spans="1:19" x14ac:dyDescent="0.25">
      <c r="A2164">
        <v>2163</v>
      </c>
      <c r="B2164">
        <v>3</v>
      </c>
      <c r="C2164" t="s">
        <v>31</v>
      </c>
      <c r="D2164" t="s">
        <v>32</v>
      </c>
      <c r="E2164">
        <v>3400000</v>
      </c>
      <c r="F2164">
        <v>8100000</v>
      </c>
      <c r="G2164">
        <v>12</v>
      </c>
      <c r="H2164">
        <v>385</v>
      </c>
      <c r="I2164">
        <v>6100000</v>
      </c>
      <c r="J2164">
        <v>4000000</v>
      </c>
      <c r="K2164">
        <v>10700000</v>
      </c>
      <c r="L2164">
        <v>4000000</v>
      </c>
      <c r="M2164" t="s">
        <v>35</v>
      </c>
      <c r="N2164">
        <f t="shared" si="199"/>
        <v>0</v>
      </c>
      <c r="O2164" t="str">
        <f t="shared" si="198"/>
        <v>Low</v>
      </c>
      <c r="P2164" t="str">
        <f t="shared" si="200"/>
        <v>High</v>
      </c>
      <c r="Q2164" t="str">
        <f t="shared" si="201"/>
        <v>Low Loan</v>
      </c>
      <c r="R2164">
        <f t="shared" si="202"/>
        <v>24800000</v>
      </c>
      <c r="S2164" t="str">
        <f t="shared" si="203"/>
        <v>Strong</v>
      </c>
    </row>
    <row r="2165" spans="1:19" x14ac:dyDescent="0.25">
      <c r="A2165">
        <v>2164</v>
      </c>
      <c r="B2165">
        <v>4</v>
      </c>
      <c r="C2165" t="s">
        <v>31</v>
      </c>
      <c r="D2165" t="s">
        <v>32</v>
      </c>
      <c r="E2165">
        <v>6700000</v>
      </c>
      <c r="F2165">
        <v>18800000</v>
      </c>
      <c r="G2165">
        <v>2</v>
      </c>
      <c r="H2165">
        <v>749</v>
      </c>
      <c r="I2165">
        <v>15600000</v>
      </c>
      <c r="J2165">
        <v>7900000</v>
      </c>
      <c r="K2165">
        <v>19900000</v>
      </c>
      <c r="L2165">
        <v>8600000</v>
      </c>
      <c r="M2165" t="s">
        <v>34</v>
      </c>
      <c r="N2165">
        <f t="shared" si="199"/>
        <v>1</v>
      </c>
      <c r="O2165" t="str">
        <f t="shared" si="198"/>
        <v>Good</v>
      </c>
      <c r="P2165" t="str">
        <f t="shared" si="200"/>
        <v>High</v>
      </c>
      <c r="Q2165" t="str">
        <f t="shared" si="201"/>
        <v>Low Loan</v>
      </c>
      <c r="R2165">
        <f t="shared" si="202"/>
        <v>52000000</v>
      </c>
      <c r="S2165" t="str">
        <f t="shared" si="203"/>
        <v>Strong</v>
      </c>
    </row>
    <row r="2166" spans="1:19" x14ac:dyDescent="0.25">
      <c r="A2166">
        <v>2165</v>
      </c>
      <c r="B2166">
        <v>1</v>
      </c>
      <c r="C2166" t="s">
        <v>31</v>
      </c>
      <c r="D2166" t="s">
        <v>33</v>
      </c>
      <c r="E2166">
        <v>4600000</v>
      </c>
      <c r="F2166">
        <v>10100000</v>
      </c>
      <c r="G2166">
        <v>4</v>
      </c>
      <c r="H2166">
        <v>618</v>
      </c>
      <c r="I2166">
        <v>2200000</v>
      </c>
      <c r="J2166">
        <v>100000</v>
      </c>
      <c r="K2166">
        <v>12900000</v>
      </c>
      <c r="L2166">
        <v>4300000</v>
      </c>
      <c r="M2166" t="s">
        <v>34</v>
      </c>
      <c r="N2166">
        <f t="shared" si="199"/>
        <v>1</v>
      </c>
      <c r="O2166" t="str">
        <f t="shared" si="198"/>
        <v>Low</v>
      </c>
      <c r="P2166" t="str">
        <f t="shared" si="200"/>
        <v>High</v>
      </c>
      <c r="Q2166" t="str">
        <f t="shared" si="201"/>
        <v>Low Loan</v>
      </c>
      <c r="R2166">
        <f t="shared" si="202"/>
        <v>19500000</v>
      </c>
      <c r="S2166" t="str">
        <f t="shared" si="203"/>
        <v>Strong</v>
      </c>
    </row>
    <row r="2167" spans="1:19" x14ac:dyDescent="0.25">
      <c r="A2167">
        <v>2166</v>
      </c>
      <c r="B2167">
        <v>4</v>
      </c>
      <c r="C2167" t="s">
        <v>30</v>
      </c>
      <c r="D2167" t="s">
        <v>33</v>
      </c>
      <c r="E2167">
        <v>900000</v>
      </c>
      <c r="F2167">
        <v>2500000</v>
      </c>
      <c r="G2167">
        <v>4</v>
      </c>
      <c r="H2167">
        <v>583</v>
      </c>
      <c r="I2167">
        <v>1300000</v>
      </c>
      <c r="J2167">
        <v>800000</v>
      </c>
      <c r="K2167">
        <v>1800000</v>
      </c>
      <c r="L2167">
        <v>1100000</v>
      </c>
      <c r="M2167" t="s">
        <v>34</v>
      </c>
      <c r="N2167">
        <f t="shared" si="199"/>
        <v>1</v>
      </c>
      <c r="O2167" t="str">
        <f t="shared" si="198"/>
        <v>Low</v>
      </c>
      <c r="P2167" t="str">
        <f t="shared" si="200"/>
        <v>High</v>
      </c>
      <c r="Q2167" t="str">
        <f t="shared" si="201"/>
        <v>Low Loan</v>
      </c>
      <c r="R2167">
        <f t="shared" si="202"/>
        <v>5000000</v>
      </c>
      <c r="S2167" t="str">
        <f t="shared" si="203"/>
        <v>Moderate</v>
      </c>
    </row>
    <row r="2168" spans="1:19" x14ac:dyDescent="0.25">
      <c r="A2168">
        <v>2167</v>
      </c>
      <c r="B2168">
        <v>0</v>
      </c>
      <c r="C2168" t="s">
        <v>30</v>
      </c>
      <c r="D2168" t="s">
        <v>32</v>
      </c>
      <c r="E2168">
        <v>5100000</v>
      </c>
      <c r="F2168">
        <v>19900000</v>
      </c>
      <c r="G2168">
        <v>18</v>
      </c>
      <c r="H2168">
        <v>655</v>
      </c>
      <c r="I2168">
        <v>4400000</v>
      </c>
      <c r="J2168">
        <v>0</v>
      </c>
      <c r="K2168">
        <v>17100000</v>
      </c>
      <c r="L2168">
        <v>7100000</v>
      </c>
      <c r="M2168" t="s">
        <v>34</v>
      </c>
      <c r="N2168">
        <f t="shared" si="199"/>
        <v>1</v>
      </c>
      <c r="O2168" t="str">
        <f t="shared" si="198"/>
        <v>Medium</v>
      </c>
      <c r="P2168" t="str">
        <f t="shared" si="200"/>
        <v>High</v>
      </c>
      <c r="Q2168" t="str">
        <f t="shared" si="201"/>
        <v>Low Loan</v>
      </c>
      <c r="R2168">
        <f t="shared" si="202"/>
        <v>28600000</v>
      </c>
      <c r="S2168" t="str">
        <f t="shared" si="203"/>
        <v>Strong</v>
      </c>
    </row>
    <row r="2169" spans="1:19" x14ac:dyDescent="0.25">
      <c r="A2169">
        <v>2168</v>
      </c>
      <c r="B2169">
        <v>0</v>
      </c>
      <c r="C2169" t="s">
        <v>31</v>
      </c>
      <c r="D2169" t="s">
        <v>33</v>
      </c>
      <c r="E2169">
        <v>7000000</v>
      </c>
      <c r="F2169">
        <v>20900000</v>
      </c>
      <c r="G2169">
        <v>20</v>
      </c>
      <c r="H2169">
        <v>380</v>
      </c>
      <c r="I2169">
        <v>11800000</v>
      </c>
      <c r="J2169">
        <v>10800000</v>
      </c>
      <c r="K2169">
        <v>21100000</v>
      </c>
      <c r="L2169">
        <v>6200000</v>
      </c>
      <c r="M2169" t="s">
        <v>35</v>
      </c>
      <c r="N2169">
        <f t="shared" si="199"/>
        <v>0</v>
      </c>
      <c r="O2169" t="str">
        <f t="shared" si="198"/>
        <v>Low</v>
      </c>
      <c r="P2169" t="str">
        <f t="shared" si="200"/>
        <v>High</v>
      </c>
      <c r="Q2169" t="str">
        <f t="shared" si="201"/>
        <v>High Loan</v>
      </c>
      <c r="R2169">
        <f t="shared" si="202"/>
        <v>49900000</v>
      </c>
      <c r="S2169" t="str">
        <f t="shared" si="203"/>
        <v>Strong</v>
      </c>
    </row>
    <row r="2170" spans="1:19" x14ac:dyDescent="0.25">
      <c r="A2170">
        <v>2169</v>
      </c>
      <c r="B2170">
        <v>3</v>
      </c>
      <c r="C2170" t="s">
        <v>30</v>
      </c>
      <c r="D2170" t="s">
        <v>33</v>
      </c>
      <c r="E2170">
        <v>4100000</v>
      </c>
      <c r="F2170">
        <v>14700000</v>
      </c>
      <c r="G2170">
        <v>6</v>
      </c>
      <c r="H2170">
        <v>679</v>
      </c>
      <c r="I2170">
        <v>6600000</v>
      </c>
      <c r="J2170">
        <v>3700000</v>
      </c>
      <c r="K2170">
        <v>10500000</v>
      </c>
      <c r="L2170">
        <v>5600000</v>
      </c>
      <c r="M2170" t="s">
        <v>34</v>
      </c>
      <c r="N2170">
        <f t="shared" si="199"/>
        <v>1</v>
      </c>
      <c r="O2170" t="str">
        <f t="shared" si="198"/>
        <v>Medium</v>
      </c>
      <c r="P2170" t="str">
        <f t="shared" si="200"/>
        <v>High</v>
      </c>
      <c r="Q2170" t="str">
        <f t="shared" si="201"/>
        <v>Low Loan</v>
      </c>
      <c r="R2170">
        <f t="shared" si="202"/>
        <v>26400000</v>
      </c>
      <c r="S2170" t="str">
        <f t="shared" si="203"/>
        <v>Strong</v>
      </c>
    </row>
    <row r="2171" spans="1:19" x14ac:dyDescent="0.25">
      <c r="A2171">
        <v>2170</v>
      </c>
      <c r="B2171">
        <v>2</v>
      </c>
      <c r="C2171" t="s">
        <v>30</v>
      </c>
      <c r="D2171" t="s">
        <v>32</v>
      </c>
      <c r="E2171">
        <v>4600000</v>
      </c>
      <c r="F2171">
        <v>14800000</v>
      </c>
      <c r="G2171">
        <v>6</v>
      </c>
      <c r="H2171">
        <v>410</v>
      </c>
      <c r="I2171">
        <v>12900000</v>
      </c>
      <c r="J2171">
        <v>6800000</v>
      </c>
      <c r="K2171">
        <v>16100000</v>
      </c>
      <c r="L2171">
        <v>5800000</v>
      </c>
      <c r="M2171" t="s">
        <v>35</v>
      </c>
      <c r="N2171">
        <f t="shared" si="199"/>
        <v>0</v>
      </c>
      <c r="O2171" t="str">
        <f t="shared" si="198"/>
        <v>Low</v>
      </c>
      <c r="P2171" t="str">
        <f t="shared" si="200"/>
        <v>High</v>
      </c>
      <c r="Q2171" t="str">
        <f t="shared" si="201"/>
        <v>Low Loan</v>
      </c>
      <c r="R2171">
        <f t="shared" si="202"/>
        <v>41600000</v>
      </c>
      <c r="S2171" t="str">
        <f t="shared" si="203"/>
        <v>Strong</v>
      </c>
    </row>
    <row r="2172" spans="1:19" x14ac:dyDescent="0.25">
      <c r="A2172">
        <v>2171</v>
      </c>
      <c r="B2172">
        <v>2</v>
      </c>
      <c r="C2172" t="s">
        <v>30</v>
      </c>
      <c r="D2172" t="s">
        <v>33</v>
      </c>
      <c r="E2172">
        <v>3600000</v>
      </c>
      <c r="F2172">
        <v>11500000</v>
      </c>
      <c r="G2172">
        <v>8</v>
      </c>
      <c r="H2172">
        <v>590</v>
      </c>
      <c r="I2172">
        <v>1600000</v>
      </c>
      <c r="J2172">
        <v>5200000</v>
      </c>
      <c r="K2172">
        <v>10900000</v>
      </c>
      <c r="L2172">
        <v>3000000</v>
      </c>
      <c r="M2172" t="s">
        <v>34</v>
      </c>
      <c r="N2172">
        <f t="shared" si="199"/>
        <v>1</v>
      </c>
      <c r="O2172" t="str">
        <f t="shared" si="198"/>
        <v>Low</v>
      </c>
      <c r="P2172" t="str">
        <f t="shared" si="200"/>
        <v>High</v>
      </c>
      <c r="Q2172" t="str">
        <f t="shared" si="201"/>
        <v>Low Loan</v>
      </c>
      <c r="R2172">
        <f t="shared" si="202"/>
        <v>20700000</v>
      </c>
      <c r="S2172" t="str">
        <f t="shared" si="203"/>
        <v>Strong</v>
      </c>
    </row>
    <row r="2173" spans="1:19" x14ac:dyDescent="0.25">
      <c r="A2173">
        <v>2172</v>
      </c>
      <c r="B2173">
        <v>5</v>
      </c>
      <c r="C2173" t="s">
        <v>30</v>
      </c>
      <c r="D2173" t="s">
        <v>32</v>
      </c>
      <c r="E2173">
        <v>5900000</v>
      </c>
      <c r="F2173">
        <v>13800000</v>
      </c>
      <c r="G2173">
        <v>14</v>
      </c>
      <c r="H2173">
        <v>397</v>
      </c>
      <c r="I2173">
        <v>12400000</v>
      </c>
      <c r="J2173">
        <v>600000</v>
      </c>
      <c r="K2173">
        <v>20400000</v>
      </c>
      <c r="L2173">
        <v>3000000</v>
      </c>
      <c r="M2173" t="s">
        <v>35</v>
      </c>
      <c r="N2173">
        <f t="shared" si="199"/>
        <v>0</v>
      </c>
      <c r="O2173" t="str">
        <f t="shared" si="198"/>
        <v>Low</v>
      </c>
      <c r="P2173" t="str">
        <f t="shared" si="200"/>
        <v>High</v>
      </c>
      <c r="Q2173" t="str">
        <f t="shared" si="201"/>
        <v>Low Loan</v>
      </c>
      <c r="R2173">
        <f t="shared" si="202"/>
        <v>36400000</v>
      </c>
      <c r="S2173" t="str">
        <f t="shared" si="203"/>
        <v>Strong</v>
      </c>
    </row>
    <row r="2174" spans="1:19" x14ac:dyDescent="0.25">
      <c r="A2174">
        <v>2173</v>
      </c>
      <c r="B2174">
        <v>2</v>
      </c>
      <c r="C2174" t="s">
        <v>30</v>
      </c>
      <c r="D2174" t="s">
        <v>32</v>
      </c>
      <c r="E2174">
        <v>600000</v>
      </c>
      <c r="F2174">
        <v>2100000</v>
      </c>
      <c r="G2174">
        <v>16</v>
      </c>
      <c r="H2174">
        <v>425</v>
      </c>
      <c r="I2174">
        <v>900000</v>
      </c>
      <c r="J2174">
        <v>500000</v>
      </c>
      <c r="K2174">
        <v>2300000</v>
      </c>
      <c r="L2174">
        <v>300000</v>
      </c>
      <c r="M2174" t="s">
        <v>35</v>
      </c>
      <c r="N2174">
        <f t="shared" si="199"/>
        <v>0</v>
      </c>
      <c r="O2174" t="str">
        <f t="shared" si="198"/>
        <v>Low</v>
      </c>
      <c r="P2174" t="str">
        <f t="shared" si="200"/>
        <v>Middle</v>
      </c>
      <c r="Q2174" t="str">
        <f t="shared" si="201"/>
        <v>Low Loan</v>
      </c>
      <c r="R2174">
        <f t="shared" si="202"/>
        <v>4000000</v>
      </c>
      <c r="S2174" t="str">
        <f t="shared" si="203"/>
        <v>Weak</v>
      </c>
    </row>
    <row r="2175" spans="1:19" x14ac:dyDescent="0.25">
      <c r="A2175">
        <v>2174</v>
      </c>
      <c r="B2175">
        <v>0</v>
      </c>
      <c r="C2175" t="s">
        <v>30</v>
      </c>
      <c r="D2175" t="s">
        <v>32</v>
      </c>
      <c r="E2175">
        <v>4900000</v>
      </c>
      <c r="F2175">
        <v>16400000</v>
      </c>
      <c r="G2175">
        <v>2</v>
      </c>
      <c r="H2175">
        <v>383</v>
      </c>
      <c r="I2175">
        <v>3300000</v>
      </c>
      <c r="J2175">
        <v>3500000</v>
      </c>
      <c r="K2175">
        <v>15000000</v>
      </c>
      <c r="L2175">
        <v>5800000</v>
      </c>
      <c r="M2175" t="s">
        <v>34</v>
      </c>
      <c r="N2175">
        <f t="shared" si="199"/>
        <v>1</v>
      </c>
      <c r="O2175" t="str">
        <f t="shared" si="198"/>
        <v>Low</v>
      </c>
      <c r="P2175" t="str">
        <f t="shared" si="200"/>
        <v>High</v>
      </c>
      <c r="Q2175" t="str">
        <f t="shared" si="201"/>
        <v>Low Loan</v>
      </c>
      <c r="R2175">
        <f t="shared" si="202"/>
        <v>27600000</v>
      </c>
      <c r="S2175" t="str">
        <f t="shared" si="203"/>
        <v>Strong</v>
      </c>
    </row>
    <row r="2176" spans="1:19" x14ac:dyDescent="0.25">
      <c r="A2176">
        <v>2175</v>
      </c>
      <c r="B2176">
        <v>5</v>
      </c>
      <c r="C2176" t="s">
        <v>30</v>
      </c>
      <c r="D2176" t="s">
        <v>33</v>
      </c>
      <c r="E2176">
        <v>6400000</v>
      </c>
      <c r="F2176">
        <v>23900000</v>
      </c>
      <c r="G2176">
        <v>6</v>
      </c>
      <c r="H2176">
        <v>406</v>
      </c>
      <c r="I2176">
        <v>14700000</v>
      </c>
      <c r="J2176">
        <v>12400000</v>
      </c>
      <c r="K2176">
        <v>25400000</v>
      </c>
      <c r="L2176">
        <v>4300000</v>
      </c>
      <c r="M2176" t="s">
        <v>35</v>
      </c>
      <c r="N2176">
        <f t="shared" si="199"/>
        <v>0</v>
      </c>
      <c r="O2176" t="str">
        <f t="shared" si="198"/>
        <v>Low</v>
      </c>
      <c r="P2176" t="str">
        <f t="shared" si="200"/>
        <v>High</v>
      </c>
      <c r="Q2176" t="str">
        <f t="shared" si="201"/>
        <v>High Loan</v>
      </c>
      <c r="R2176">
        <f t="shared" si="202"/>
        <v>56800000</v>
      </c>
      <c r="S2176" t="str">
        <f t="shared" si="203"/>
        <v>Strong</v>
      </c>
    </row>
    <row r="2177" spans="1:19" x14ac:dyDescent="0.25">
      <c r="A2177">
        <v>2176</v>
      </c>
      <c r="B2177">
        <v>2</v>
      </c>
      <c r="C2177" t="s">
        <v>30</v>
      </c>
      <c r="D2177" t="s">
        <v>32</v>
      </c>
      <c r="E2177">
        <v>7000000</v>
      </c>
      <c r="F2177">
        <v>19800000</v>
      </c>
      <c r="G2177">
        <v>10</v>
      </c>
      <c r="H2177">
        <v>563</v>
      </c>
      <c r="I2177">
        <v>3900000</v>
      </c>
      <c r="J2177">
        <v>9400000</v>
      </c>
      <c r="K2177">
        <v>22800000</v>
      </c>
      <c r="L2177">
        <v>8000000</v>
      </c>
      <c r="M2177" t="s">
        <v>34</v>
      </c>
      <c r="N2177">
        <f t="shared" si="199"/>
        <v>1</v>
      </c>
      <c r="O2177" t="str">
        <f t="shared" si="198"/>
        <v>Low</v>
      </c>
      <c r="P2177" t="str">
        <f t="shared" si="200"/>
        <v>High</v>
      </c>
      <c r="Q2177" t="str">
        <f t="shared" si="201"/>
        <v>Low Loan</v>
      </c>
      <c r="R2177">
        <f t="shared" si="202"/>
        <v>44100000</v>
      </c>
      <c r="S2177" t="str">
        <f t="shared" si="203"/>
        <v>Strong</v>
      </c>
    </row>
    <row r="2178" spans="1:19" x14ac:dyDescent="0.25">
      <c r="A2178">
        <v>2177</v>
      </c>
      <c r="B2178">
        <v>3</v>
      </c>
      <c r="C2178" t="s">
        <v>30</v>
      </c>
      <c r="D2178" t="s">
        <v>33</v>
      </c>
      <c r="E2178">
        <v>6700000</v>
      </c>
      <c r="F2178">
        <v>13400000</v>
      </c>
      <c r="G2178">
        <v>14</v>
      </c>
      <c r="H2178">
        <v>782</v>
      </c>
      <c r="I2178">
        <v>4900000</v>
      </c>
      <c r="J2178">
        <v>4000000</v>
      </c>
      <c r="K2178">
        <v>25800000</v>
      </c>
      <c r="L2178">
        <v>9600000</v>
      </c>
      <c r="M2178" t="s">
        <v>34</v>
      </c>
      <c r="N2178">
        <f t="shared" si="199"/>
        <v>1</v>
      </c>
      <c r="O2178" t="str">
        <f t="shared" ref="O2178:O2241" si="204">IF(H2178&lt;650,"Low",
 IF(H2178&lt;700,"Medium",
 IF(H2178&lt;750,"Good","Excellent")))</f>
        <v>Excellent</v>
      </c>
      <c r="P2178" t="str">
        <f t="shared" si="200"/>
        <v>High</v>
      </c>
      <c r="Q2178" t="str">
        <f t="shared" si="201"/>
        <v>Low Loan</v>
      </c>
      <c r="R2178">
        <f t="shared" si="202"/>
        <v>44300000</v>
      </c>
      <c r="S2178" t="str">
        <f t="shared" si="203"/>
        <v>Strong</v>
      </c>
    </row>
    <row r="2179" spans="1:19" x14ac:dyDescent="0.25">
      <c r="A2179">
        <v>2178</v>
      </c>
      <c r="B2179">
        <v>1</v>
      </c>
      <c r="C2179" t="s">
        <v>31</v>
      </c>
      <c r="D2179" t="s">
        <v>33</v>
      </c>
      <c r="E2179">
        <v>800000</v>
      </c>
      <c r="F2179">
        <v>2200000</v>
      </c>
      <c r="G2179">
        <v>4</v>
      </c>
      <c r="H2179">
        <v>852</v>
      </c>
      <c r="I2179">
        <v>900000</v>
      </c>
      <c r="J2179">
        <v>200000</v>
      </c>
      <c r="K2179">
        <v>2200000</v>
      </c>
      <c r="L2179">
        <v>1000000</v>
      </c>
      <c r="M2179" t="s">
        <v>34</v>
      </c>
      <c r="N2179">
        <f t="shared" ref="N2179:N2242" si="205">IF(TRIM(CLEAN(M2179))="Approved",1,0)</f>
        <v>1</v>
      </c>
      <c r="O2179" t="str">
        <f t="shared" si="204"/>
        <v>Excellent</v>
      </c>
      <c r="P2179" t="str">
        <f t="shared" ref="P2179:P2242" si="206">IF(E2179&lt;300000,"Low",
 IF(E2179&lt;700000,"Middle","High"))</f>
        <v>High</v>
      </c>
      <c r="Q2179" t="str">
        <f t="shared" ref="Q2179:Q2242" si="207">IF(F2179&lt;20000000,"Low Loan","High Loan")</f>
        <v>Low Loan</v>
      </c>
      <c r="R2179">
        <f t="shared" ref="R2179:R2242" si="208">I2179+J2179+K2179+L2179</f>
        <v>4300000</v>
      </c>
      <c r="S2179" t="str">
        <f t="shared" ref="S2179:S2242" si="209">IF(R2179&lt;5000000,"Weak",
 IF(R2179&lt;10000000,"Moderate","Strong"))</f>
        <v>Weak</v>
      </c>
    </row>
    <row r="2180" spans="1:19" x14ac:dyDescent="0.25">
      <c r="A2180">
        <v>2179</v>
      </c>
      <c r="B2180">
        <v>5</v>
      </c>
      <c r="C2180" t="s">
        <v>31</v>
      </c>
      <c r="D2180" t="s">
        <v>32</v>
      </c>
      <c r="E2180">
        <v>7600000</v>
      </c>
      <c r="F2180">
        <v>27800000</v>
      </c>
      <c r="G2180">
        <v>2</v>
      </c>
      <c r="H2180">
        <v>753</v>
      </c>
      <c r="I2180">
        <v>18400000</v>
      </c>
      <c r="J2180">
        <v>12200000</v>
      </c>
      <c r="K2180">
        <v>16900000</v>
      </c>
      <c r="L2180">
        <v>8000000</v>
      </c>
      <c r="M2180" t="s">
        <v>34</v>
      </c>
      <c r="N2180">
        <f t="shared" si="205"/>
        <v>1</v>
      </c>
      <c r="O2180" t="str">
        <f t="shared" si="204"/>
        <v>Excellent</v>
      </c>
      <c r="P2180" t="str">
        <f t="shared" si="206"/>
        <v>High</v>
      </c>
      <c r="Q2180" t="str">
        <f t="shared" si="207"/>
        <v>High Loan</v>
      </c>
      <c r="R2180">
        <f t="shared" si="208"/>
        <v>55500000</v>
      </c>
      <c r="S2180" t="str">
        <f t="shared" si="209"/>
        <v>Strong</v>
      </c>
    </row>
    <row r="2181" spans="1:19" x14ac:dyDescent="0.25">
      <c r="A2181">
        <v>2180</v>
      </c>
      <c r="B2181">
        <v>5</v>
      </c>
      <c r="C2181" t="s">
        <v>30</v>
      </c>
      <c r="D2181" t="s">
        <v>33</v>
      </c>
      <c r="E2181">
        <v>3200000</v>
      </c>
      <c r="F2181">
        <v>7600000</v>
      </c>
      <c r="G2181">
        <v>4</v>
      </c>
      <c r="H2181">
        <v>489</v>
      </c>
      <c r="I2181">
        <v>5000000</v>
      </c>
      <c r="J2181">
        <v>2900000</v>
      </c>
      <c r="K2181">
        <v>10600000</v>
      </c>
      <c r="L2181">
        <v>1900000</v>
      </c>
      <c r="M2181" t="s">
        <v>35</v>
      </c>
      <c r="N2181">
        <f t="shared" si="205"/>
        <v>0</v>
      </c>
      <c r="O2181" t="str">
        <f t="shared" si="204"/>
        <v>Low</v>
      </c>
      <c r="P2181" t="str">
        <f t="shared" si="206"/>
        <v>High</v>
      </c>
      <c r="Q2181" t="str">
        <f t="shared" si="207"/>
        <v>Low Loan</v>
      </c>
      <c r="R2181">
        <f t="shared" si="208"/>
        <v>20400000</v>
      </c>
      <c r="S2181" t="str">
        <f t="shared" si="209"/>
        <v>Strong</v>
      </c>
    </row>
    <row r="2182" spans="1:19" x14ac:dyDescent="0.25">
      <c r="A2182">
        <v>2181</v>
      </c>
      <c r="B2182">
        <v>2</v>
      </c>
      <c r="C2182" t="s">
        <v>31</v>
      </c>
      <c r="D2182" t="s">
        <v>33</v>
      </c>
      <c r="E2182">
        <v>4900000</v>
      </c>
      <c r="F2182">
        <v>13800000</v>
      </c>
      <c r="G2182">
        <v>2</v>
      </c>
      <c r="H2182">
        <v>586</v>
      </c>
      <c r="I2182">
        <v>9900000</v>
      </c>
      <c r="J2182">
        <v>1400000</v>
      </c>
      <c r="K2182">
        <v>9900000</v>
      </c>
      <c r="L2182">
        <v>7000000</v>
      </c>
      <c r="M2182" t="s">
        <v>34</v>
      </c>
      <c r="N2182">
        <f t="shared" si="205"/>
        <v>1</v>
      </c>
      <c r="O2182" t="str">
        <f t="shared" si="204"/>
        <v>Low</v>
      </c>
      <c r="P2182" t="str">
        <f t="shared" si="206"/>
        <v>High</v>
      </c>
      <c r="Q2182" t="str">
        <f t="shared" si="207"/>
        <v>Low Loan</v>
      </c>
      <c r="R2182">
        <f t="shared" si="208"/>
        <v>28200000</v>
      </c>
      <c r="S2182" t="str">
        <f t="shared" si="209"/>
        <v>Strong</v>
      </c>
    </row>
    <row r="2183" spans="1:19" x14ac:dyDescent="0.25">
      <c r="A2183">
        <v>2182</v>
      </c>
      <c r="B2183">
        <v>3</v>
      </c>
      <c r="C2183" t="s">
        <v>31</v>
      </c>
      <c r="D2183" t="s">
        <v>32</v>
      </c>
      <c r="E2183">
        <v>7200000</v>
      </c>
      <c r="F2183">
        <v>20800000</v>
      </c>
      <c r="G2183">
        <v>16</v>
      </c>
      <c r="H2183">
        <v>560</v>
      </c>
      <c r="I2183">
        <v>2100000</v>
      </c>
      <c r="J2183">
        <v>10700000</v>
      </c>
      <c r="K2183">
        <v>21100000</v>
      </c>
      <c r="L2183">
        <v>3600000</v>
      </c>
      <c r="M2183" t="s">
        <v>34</v>
      </c>
      <c r="N2183">
        <f t="shared" si="205"/>
        <v>1</v>
      </c>
      <c r="O2183" t="str">
        <f t="shared" si="204"/>
        <v>Low</v>
      </c>
      <c r="P2183" t="str">
        <f t="shared" si="206"/>
        <v>High</v>
      </c>
      <c r="Q2183" t="str">
        <f t="shared" si="207"/>
        <v>High Loan</v>
      </c>
      <c r="R2183">
        <f t="shared" si="208"/>
        <v>37500000</v>
      </c>
      <c r="S2183" t="str">
        <f t="shared" si="209"/>
        <v>Strong</v>
      </c>
    </row>
    <row r="2184" spans="1:19" x14ac:dyDescent="0.25">
      <c r="A2184">
        <v>2183</v>
      </c>
      <c r="B2184">
        <v>3</v>
      </c>
      <c r="C2184" t="s">
        <v>30</v>
      </c>
      <c r="D2184" t="s">
        <v>32</v>
      </c>
      <c r="E2184">
        <v>5600000</v>
      </c>
      <c r="F2184">
        <v>20600000</v>
      </c>
      <c r="G2184">
        <v>6</v>
      </c>
      <c r="H2184">
        <v>487</v>
      </c>
      <c r="I2184">
        <v>6400000</v>
      </c>
      <c r="J2184">
        <v>9700000</v>
      </c>
      <c r="K2184">
        <v>20200000</v>
      </c>
      <c r="L2184">
        <v>4100000</v>
      </c>
      <c r="M2184" t="s">
        <v>35</v>
      </c>
      <c r="N2184">
        <f t="shared" si="205"/>
        <v>0</v>
      </c>
      <c r="O2184" t="str">
        <f t="shared" si="204"/>
        <v>Low</v>
      </c>
      <c r="P2184" t="str">
        <f t="shared" si="206"/>
        <v>High</v>
      </c>
      <c r="Q2184" t="str">
        <f t="shared" si="207"/>
        <v>High Loan</v>
      </c>
      <c r="R2184">
        <f t="shared" si="208"/>
        <v>40400000</v>
      </c>
      <c r="S2184" t="str">
        <f t="shared" si="209"/>
        <v>Strong</v>
      </c>
    </row>
    <row r="2185" spans="1:19" x14ac:dyDescent="0.25">
      <c r="A2185">
        <v>2184</v>
      </c>
      <c r="B2185">
        <v>4</v>
      </c>
      <c r="C2185" t="s">
        <v>30</v>
      </c>
      <c r="D2185" t="s">
        <v>33</v>
      </c>
      <c r="E2185">
        <v>7300000</v>
      </c>
      <c r="F2185">
        <v>18300000</v>
      </c>
      <c r="G2185">
        <v>8</v>
      </c>
      <c r="H2185">
        <v>434</v>
      </c>
      <c r="I2185">
        <v>10000000</v>
      </c>
      <c r="J2185">
        <v>2900000</v>
      </c>
      <c r="K2185">
        <v>26800000</v>
      </c>
      <c r="L2185">
        <v>6700000</v>
      </c>
      <c r="M2185" t="s">
        <v>35</v>
      </c>
      <c r="N2185">
        <f t="shared" si="205"/>
        <v>0</v>
      </c>
      <c r="O2185" t="str">
        <f t="shared" si="204"/>
        <v>Low</v>
      </c>
      <c r="P2185" t="str">
        <f t="shared" si="206"/>
        <v>High</v>
      </c>
      <c r="Q2185" t="str">
        <f t="shared" si="207"/>
        <v>Low Loan</v>
      </c>
      <c r="R2185">
        <f t="shared" si="208"/>
        <v>46400000</v>
      </c>
      <c r="S2185" t="str">
        <f t="shared" si="209"/>
        <v>Strong</v>
      </c>
    </row>
    <row r="2186" spans="1:19" x14ac:dyDescent="0.25">
      <c r="A2186">
        <v>2185</v>
      </c>
      <c r="B2186">
        <v>4</v>
      </c>
      <c r="C2186" t="s">
        <v>31</v>
      </c>
      <c r="D2186" t="s">
        <v>32</v>
      </c>
      <c r="E2186">
        <v>3300000</v>
      </c>
      <c r="F2186">
        <v>7000000</v>
      </c>
      <c r="G2186">
        <v>20</v>
      </c>
      <c r="H2186">
        <v>504</v>
      </c>
      <c r="I2186">
        <v>8200000</v>
      </c>
      <c r="J2186">
        <v>3200000</v>
      </c>
      <c r="K2186">
        <v>7300000</v>
      </c>
      <c r="L2186">
        <v>2500000</v>
      </c>
      <c r="M2186" t="s">
        <v>35</v>
      </c>
      <c r="N2186">
        <f t="shared" si="205"/>
        <v>0</v>
      </c>
      <c r="O2186" t="str">
        <f t="shared" si="204"/>
        <v>Low</v>
      </c>
      <c r="P2186" t="str">
        <f t="shared" si="206"/>
        <v>High</v>
      </c>
      <c r="Q2186" t="str">
        <f t="shared" si="207"/>
        <v>Low Loan</v>
      </c>
      <c r="R2186">
        <f t="shared" si="208"/>
        <v>21200000</v>
      </c>
      <c r="S2186" t="str">
        <f t="shared" si="209"/>
        <v>Strong</v>
      </c>
    </row>
    <row r="2187" spans="1:19" x14ac:dyDescent="0.25">
      <c r="A2187">
        <v>2186</v>
      </c>
      <c r="B2187">
        <v>2</v>
      </c>
      <c r="C2187" t="s">
        <v>30</v>
      </c>
      <c r="D2187" t="s">
        <v>33</v>
      </c>
      <c r="E2187">
        <v>9200000</v>
      </c>
      <c r="F2187">
        <v>25300000</v>
      </c>
      <c r="G2187">
        <v>4</v>
      </c>
      <c r="H2187">
        <v>827</v>
      </c>
      <c r="I2187">
        <v>25900000</v>
      </c>
      <c r="J2187">
        <v>15900000</v>
      </c>
      <c r="K2187">
        <v>19300000</v>
      </c>
      <c r="L2187">
        <v>11000000</v>
      </c>
      <c r="M2187" t="s">
        <v>34</v>
      </c>
      <c r="N2187">
        <f t="shared" si="205"/>
        <v>1</v>
      </c>
      <c r="O2187" t="str">
        <f t="shared" si="204"/>
        <v>Excellent</v>
      </c>
      <c r="P2187" t="str">
        <f t="shared" si="206"/>
        <v>High</v>
      </c>
      <c r="Q2187" t="str">
        <f t="shared" si="207"/>
        <v>High Loan</v>
      </c>
      <c r="R2187">
        <f t="shared" si="208"/>
        <v>72100000</v>
      </c>
      <c r="S2187" t="str">
        <f t="shared" si="209"/>
        <v>Strong</v>
      </c>
    </row>
    <row r="2188" spans="1:19" x14ac:dyDescent="0.25">
      <c r="A2188">
        <v>2187</v>
      </c>
      <c r="B2188">
        <v>3</v>
      </c>
      <c r="C2188" t="s">
        <v>31</v>
      </c>
      <c r="D2188" t="s">
        <v>33</v>
      </c>
      <c r="E2188">
        <v>8100000</v>
      </c>
      <c r="F2188">
        <v>23300000</v>
      </c>
      <c r="G2188">
        <v>20</v>
      </c>
      <c r="H2188">
        <v>657</v>
      </c>
      <c r="I2188">
        <v>15700000</v>
      </c>
      <c r="J2188">
        <v>2900000</v>
      </c>
      <c r="K2188">
        <v>28100000</v>
      </c>
      <c r="L2188">
        <v>6200000</v>
      </c>
      <c r="M2188" t="s">
        <v>34</v>
      </c>
      <c r="N2188">
        <f t="shared" si="205"/>
        <v>1</v>
      </c>
      <c r="O2188" t="str">
        <f t="shared" si="204"/>
        <v>Medium</v>
      </c>
      <c r="P2188" t="str">
        <f t="shared" si="206"/>
        <v>High</v>
      </c>
      <c r="Q2188" t="str">
        <f t="shared" si="207"/>
        <v>High Loan</v>
      </c>
      <c r="R2188">
        <f t="shared" si="208"/>
        <v>52900000</v>
      </c>
      <c r="S2188" t="str">
        <f t="shared" si="209"/>
        <v>Strong</v>
      </c>
    </row>
    <row r="2189" spans="1:19" x14ac:dyDescent="0.25">
      <c r="A2189">
        <v>2188</v>
      </c>
      <c r="B2189">
        <v>5</v>
      </c>
      <c r="C2189" t="s">
        <v>30</v>
      </c>
      <c r="D2189" t="s">
        <v>32</v>
      </c>
      <c r="E2189">
        <v>6600000</v>
      </c>
      <c r="F2189">
        <v>21400000</v>
      </c>
      <c r="G2189">
        <v>10</v>
      </c>
      <c r="H2189">
        <v>447</v>
      </c>
      <c r="I2189">
        <v>12700000</v>
      </c>
      <c r="J2189">
        <v>11100000</v>
      </c>
      <c r="K2189">
        <v>20200000</v>
      </c>
      <c r="L2189">
        <v>6400000</v>
      </c>
      <c r="M2189" t="s">
        <v>35</v>
      </c>
      <c r="N2189">
        <f t="shared" si="205"/>
        <v>0</v>
      </c>
      <c r="O2189" t="str">
        <f t="shared" si="204"/>
        <v>Low</v>
      </c>
      <c r="P2189" t="str">
        <f t="shared" si="206"/>
        <v>High</v>
      </c>
      <c r="Q2189" t="str">
        <f t="shared" si="207"/>
        <v>High Loan</v>
      </c>
      <c r="R2189">
        <f t="shared" si="208"/>
        <v>50400000</v>
      </c>
      <c r="S2189" t="str">
        <f t="shared" si="209"/>
        <v>Strong</v>
      </c>
    </row>
    <row r="2190" spans="1:19" x14ac:dyDescent="0.25">
      <c r="A2190">
        <v>2189</v>
      </c>
      <c r="B2190">
        <v>0</v>
      </c>
      <c r="C2190" t="s">
        <v>30</v>
      </c>
      <c r="D2190" t="s">
        <v>33</v>
      </c>
      <c r="E2190">
        <v>4200000</v>
      </c>
      <c r="F2190">
        <v>13600000</v>
      </c>
      <c r="G2190">
        <v>4</v>
      </c>
      <c r="H2190">
        <v>834</v>
      </c>
      <c r="I2190">
        <v>8700000</v>
      </c>
      <c r="J2190">
        <v>3400000</v>
      </c>
      <c r="K2190">
        <v>12000000</v>
      </c>
      <c r="L2190">
        <v>3100000</v>
      </c>
      <c r="M2190" t="s">
        <v>34</v>
      </c>
      <c r="N2190">
        <f t="shared" si="205"/>
        <v>1</v>
      </c>
      <c r="O2190" t="str">
        <f t="shared" si="204"/>
        <v>Excellent</v>
      </c>
      <c r="P2190" t="str">
        <f t="shared" si="206"/>
        <v>High</v>
      </c>
      <c r="Q2190" t="str">
        <f t="shared" si="207"/>
        <v>Low Loan</v>
      </c>
      <c r="R2190">
        <f t="shared" si="208"/>
        <v>27200000</v>
      </c>
      <c r="S2190" t="str">
        <f t="shared" si="209"/>
        <v>Strong</v>
      </c>
    </row>
    <row r="2191" spans="1:19" x14ac:dyDescent="0.25">
      <c r="A2191">
        <v>2190</v>
      </c>
      <c r="B2191">
        <v>2</v>
      </c>
      <c r="C2191" t="s">
        <v>30</v>
      </c>
      <c r="D2191" t="s">
        <v>32</v>
      </c>
      <c r="E2191">
        <v>5800000</v>
      </c>
      <c r="F2191">
        <v>21700000</v>
      </c>
      <c r="G2191">
        <v>8</v>
      </c>
      <c r="H2191">
        <v>354</v>
      </c>
      <c r="I2191">
        <v>12500000</v>
      </c>
      <c r="J2191">
        <v>2300000</v>
      </c>
      <c r="K2191">
        <v>12200000</v>
      </c>
      <c r="L2191">
        <v>6800000</v>
      </c>
      <c r="M2191" t="s">
        <v>35</v>
      </c>
      <c r="N2191">
        <f t="shared" si="205"/>
        <v>0</v>
      </c>
      <c r="O2191" t="str">
        <f t="shared" si="204"/>
        <v>Low</v>
      </c>
      <c r="P2191" t="str">
        <f t="shared" si="206"/>
        <v>High</v>
      </c>
      <c r="Q2191" t="str">
        <f t="shared" si="207"/>
        <v>High Loan</v>
      </c>
      <c r="R2191">
        <f t="shared" si="208"/>
        <v>33800000</v>
      </c>
      <c r="S2191" t="str">
        <f t="shared" si="209"/>
        <v>Strong</v>
      </c>
    </row>
    <row r="2192" spans="1:19" x14ac:dyDescent="0.25">
      <c r="A2192">
        <v>2191</v>
      </c>
      <c r="B2192">
        <v>2</v>
      </c>
      <c r="C2192" t="s">
        <v>30</v>
      </c>
      <c r="D2192" t="s">
        <v>33</v>
      </c>
      <c r="E2192">
        <v>5600000</v>
      </c>
      <c r="F2192">
        <v>21000000</v>
      </c>
      <c r="G2192">
        <v>18</v>
      </c>
      <c r="H2192">
        <v>883</v>
      </c>
      <c r="I2192">
        <v>9800000</v>
      </c>
      <c r="J2192">
        <v>1600000</v>
      </c>
      <c r="K2192">
        <v>20900000</v>
      </c>
      <c r="L2192">
        <v>6000000</v>
      </c>
      <c r="M2192" t="s">
        <v>34</v>
      </c>
      <c r="N2192">
        <f t="shared" si="205"/>
        <v>1</v>
      </c>
      <c r="O2192" t="str">
        <f t="shared" si="204"/>
        <v>Excellent</v>
      </c>
      <c r="P2192" t="str">
        <f t="shared" si="206"/>
        <v>High</v>
      </c>
      <c r="Q2192" t="str">
        <f t="shared" si="207"/>
        <v>High Loan</v>
      </c>
      <c r="R2192">
        <f t="shared" si="208"/>
        <v>38300000</v>
      </c>
      <c r="S2192" t="str">
        <f t="shared" si="209"/>
        <v>Strong</v>
      </c>
    </row>
    <row r="2193" spans="1:19" x14ac:dyDescent="0.25">
      <c r="A2193">
        <v>2192</v>
      </c>
      <c r="B2193">
        <v>0</v>
      </c>
      <c r="C2193" t="s">
        <v>31</v>
      </c>
      <c r="D2193" t="s">
        <v>33</v>
      </c>
      <c r="E2193">
        <v>3600000</v>
      </c>
      <c r="F2193">
        <v>9900000</v>
      </c>
      <c r="G2193">
        <v>12</v>
      </c>
      <c r="H2193">
        <v>641</v>
      </c>
      <c r="I2193">
        <v>10300000</v>
      </c>
      <c r="J2193">
        <v>2400000</v>
      </c>
      <c r="K2193">
        <v>9100000</v>
      </c>
      <c r="L2193">
        <v>2700000</v>
      </c>
      <c r="M2193" t="s">
        <v>34</v>
      </c>
      <c r="N2193">
        <f t="shared" si="205"/>
        <v>1</v>
      </c>
      <c r="O2193" t="str">
        <f t="shared" si="204"/>
        <v>Low</v>
      </c>
      <c r="P2193" t="str">
        <f t="shared" si="206"/>
        <v>High</v>
      </c>
      <c r="Q2193" t="str">
        <f t="shared" si="207"/>
        <v>Low Loan</v>
      </c>
      <c r="R2193">
        <f t="shared" si="208"/>
        <v>24500000</v>
      </c>
      <c r="S2193" t="str">
        <f t="shared" si="209"/>
        <v>Strong</v>
      </c>
    </row>
    <row r="2194" spans="1:19" x14ac:dyDescent="0.25">
      <c r="A2194">
        <v>2193</v>
      </c>
      <c r="B2194">
        <v>1</v>
      </c>
      <c r="C2194" t="s">
        <v>30</v>
      </c>
      <c r="D2194" t="s">
        <v>33</v>
      </c>
      <c r="E2194">
        <v>7700000</v>
      </c>
      <c r="F2194">
        <v>16900000</v>
      </c>
      <c r="G2194">
        <v>6</v>
      </c>
      <c r="H2194">
        <v>621</v>
      </c>
      <c r="I2194">
        <v>22600000</v>
      </c>
      <c r="J2194">
        <v>7900000</v>
      </c>
      <c r="K2194">
        <v>27400000</v>
      </c>
      <c r="L2194">
        <v>10200000</v>
      </c>
      <c r="M2194" t="s">
        <v>34</v>
      </c>
      <c r="N2194">
        <f t="shared" si="205"/>
        <v>1</v>
      </c>
      <c r="O2194" t="str">
        <f t="shared" si="204"/>
        <v>Low</v>
      </c>
      <c r="P2194" t="str">
        <f t="shared" si="206"/>
        <v>High</v>
      </c>
      <c r="Q2194" t="str">
        <f t="shared" si="207"/>
        <v>Low Loan</v>
      </c>
      <c r="R2194">
        <f t="shared" si="208"/>
        <v>68100000</v>
      </c>
      <c r="S2194" t="str">
        <f t="shared" si="209"/>
        <v>Strong</v>
      </c>
    </row>
    <row r="2195" spans="1:19" x14ac:dyDescent="0.25">
      <c r="A2195">
        <v>2194</v>
      </c>
      <c r="B2195">
        <v>0</v>
      </c>
      <c r="C2195" t="s">
        <v>30</v>
      </c>
      <c r="D2195" t="s">
        <v>33</v>
      </c>
      <c r="E2195">
        <v>7800000</v>
      </c>
      <c r="F2195">
        <v>23300000</v>
      </c>
      <c r="G2195">
        <v>10</v>
      </c>
      <c r="H2195">
        <v>587</v>
      </c>
      <c r="I2195">
        <v>12500000</v>
      </c>
      <c r="J2195">
        <v>9300000</v>
      </c>
      <c r="K2195">
        <v>27500000</v>
      </c>
      <c r="L2195">
        <v>9700000</v>
      </c>
      <c r="M2195" t="s">
        <v>34</v>
      </c>
      <c r="N2195">
        <f t="shared" si="205"/>
        <v>1</v>
      </c>
      <c r="O2195" t="str">
        <f t="shared" si="204"/>
        <v>Low</v>
      </c>
      <c r="P2195" t="str">
        <f t="shared" si="206"/>
        <v>High</v>
      </c>
      <c r="Q2195" t="str">
        <f t="shared" si="207"/>
        <v>High Loan</v>
      </c>
      <c r="R2195">
        <f t="shared" si="208"/>
        <v>59000000</v>
      </c>
      <c r="S2195" t="str">
        <f t="shared" si="209"/>
        <v>Strong</v>
      </c>
    </row>
    <row r="2196" spans="1:19" x14ac:dyDescent="0.25">
      <c r="A2196">
        <v>2195</v>
      </c>
      <c r="B2196">
        <v>3</v>
      </c>
      <c r="C2196" t="s">
        <v>31</v>
      </c>
      <c r="D2196" t="s">
        <v>32</v>
      </c>
      <c r="E2196">
        <v>5700000</v>
      </c>
      <c r="F2196">
        <v>15400000</v>
      </c>
      <c r="G2196">
        <v>16</v>
      </c>
      <c r="H2196">
        <v>424</v>
      </c>
      <c r="I2196">
        <v>4700000</v>
      </c>
      <c r="J2196">
        <v>3000000</v>
      </c>
      <c r="K2196">
        <v>16400000</v>
      </c>
      <c r="L2196">
        <v>5600000</v>
      </c>
      <c r="M2196" t="s">
        <v>35</v>
      </c>
      <c r="N2196">
        <f t="shared" si="205"/>
        <v>0</v>
      </c>
      <c r="O2196" t="str">
        <f t="shared" si="204"/>
        <v>Low</v>
      </c>
      <c r="P2196" t="str">
        <f t="shared" si="206"/>
        <v>High</v>
      </c>
      <c r="Q2196" t="str">
        <f t="shared" si="207"/>
        <v>Low Loan</v>
      </c>
      <c r="R2196">
        <f t="shared" si="208"/>
        <v>29700000</v>
      </c>
      <c r="S2196" t="str">
        <f t="shared" si="209"/>
        <v>Strong</v>
      </c>
    </row>
    <row r="2197" spans="1:19" x14ac:dyDescent="0.25">
      <c r="A2197">
        <v>2196</v>
      </c>
      <c r="B2197">
        <v>5</v>
      </c>
      <c r="C2197" t="s">
        <v>30</v>
      </c>
      <c r="D2197" t="s">
        <v>32</v>
      </c>
      <c r="E2197">
        <v>6300000</v>
      </c>
      <c r="F2197">
        <v>20500000</v>
      </c>
      <c r="G2197">
        <v>14</v>
      </c>
      <c r="H2197">
        <v>515</v>
      </c>
      <c r="I2197">
        <v>4300000</v>
      </c>
      <c r="J2197">
        <v>3600000</v>
      </c>
      <c r="K2197">
        <v>18300000</v>
      </c>
      <c r="L2197">
        <v>9100000</v>
      </c>
      <c r="M2197" t="s">
        <v>35</v>
      </c>
      <c r="N2197">
        <f t="shared" si="205"/>
        <v>0</v>
      </c>
      <c r="O2197" t="str">
        <f t="shared" si="204"/>
        <v>Low</v>
      </c>
      <c r="P2197" t="str">
        <f t="shared" si="206"/>
        <v>High</v>
      </c>
      <c r="Q2197" t="str">
        <f t="shared" si="207"/>
        <v>High Loan</v>
      </c>
      <c r="R2197">
        <f t="shared" si="208"/>
        <v>35300000</v>
      </c>
      <c r="S2197" t="str">
        <f t="shared" si="209"/>
        <v>Strong</v>
      </c>
    </row>
    <row r="2198" spans="1:19" x14ac:dyDescent="0.25">
      <c r="A2198">
        <v>2197</v>
      </c>
      <c r="B2198">
        <v>5</v>
      </c>
      <c r="C2198" t="s">
        <v>31</v>
      </c>
      <c r="D2198" t="s">
        <v>33</v>
      </c>
      <c r="E2198">
        <v>2300000</v>
      </c>
      <c r="F2198">
        <v>4700000</v>
      </c>
      <c r="G2198">
        <v>18</v>
      </c>
      <c r="H2198">
        <v>592</v>
      </c>
      <c r="I2198">
        <v>1600000</v>
      </c>
      <c r="J2198">
        <v>3900000</v>
      </c>
      <c r="K2198">
        <v>6200000</v>
      </c>
      <c r="L2198">
        <v>2800000</v>
      </c>
      <c r="M2198" t="s">
        <v>34</v>
      </c>
      <c r="N2198">
        <f t="shared" si="205"/>
        <v>1</v>
      </c>
      <c r="O2198" t="str">
        <f t="shared" si="204"/>
        <v>Low</v>
      </c>
      <c r="P2198" t="str">
        <f t="shared" si="206"/>
        <v>High</v>
      </c>
      <c r="Q2198" t="str">
        <f t="shared" si="207"/>
        <v>Low Loan</v>
      </c>
      <c r="R2198">
        <f t="shared" si="208"/>
        <v>14500000</v>
      </c>
      <c r="S2198" t="str">
        <f t="shared" si="209"/>
        <v>Strong</v>
      </c>
    </row>
    <row r="2199" spans="1:19" x14ac:dyDescent="0.25">
      <c r="A2199">
        <v>2198</v>
      </c>
      <c r="B2199">
        <v>4</v>
      </c>
      <c r="C2199" t="s">
        <v>30</v>
      </c>
      <c r="D2199" t="s">
        <v>33</v>
      </c>
      <c r="E2199">
        <v>9600000</v>
      </c>
      <c r="F2199">
        <v>19900000</v>
      </c>
      <c r="G2199">
        <v>6</v>
      </c>
      <c r="H2199">
        <v>319</v>
      </c>
      <c r="I2199">
        <v>3200000</v>
      </c>
      <c r="J2199">
        <v>16500000</v>
      </c>
      <c r="K2199">
        <v>28100000</v>
      </c>
      <c r="L2199">
        <v>6600000</v>
      </c>
      <c r="M2199" t="s">
        <v>35</v>
      </c>
      <c r="N2199">
        <f t="shared" si="205"/>
        <v>0</v>
      </c>
      <c r="O2199" t="str">
        <f t="shared" si="204"/>
        <v>Low</v>
      </c>
      <c r="P2199" t="str">
        <f t="shared" si="206"/>
        <v>High</v>
      </c>
      <c r="Q2199" t="str">
        <f t="shared" si="207"/>
        <v>Low Loan</v>
      </c>
      <c r="R2199">
        <f t="shared" si="208"/>
        <v>54400000</v>
      </c>
      <c r="S2199" t="str">
        <f t="shared" si="209"/>
        <v>Strong</v>
      </c>
    </row>
    <row r="2200" spans="1:19" x14ac:dyDescent="0.25">
      <c r="A2200">
        <v>2199</v>
      </c>
      <c r="B2200">
        <v>1</v>
      </c>
      <c r="C2200" t="s">
        <v>31</v>
      </c>
      <c r="D2200" t="s">
        <v>33</v>
      </c>
      <c r="E2200">
        <v>1000000</v>
      </c>
      <c r="F2200">
        <v>3900000</v>
      </c>
      <c r="G2200">
        <v>16</v>
      </c>
      <c r="H2200">
        <v>360</v>
      </c>
      <c r="I2200">
        <v>2500000</v>
      </c>
      <c r="J2200">
        <v>300000</v>
      </c>
      <c r="K2200">
        <v>2100000</v>
      </c>
      <c r="L2200">
        <v>600000</v>
      </c>
      <c r="M2200" t="s">
        <v>35</v>
      </c>
      <c r="N2200">
        <f t="shared" si="205"/>
        <v>0</v>
      </c>
      <c r="O2200" t="str">
        <f t="shared" si="204"/>
        <v>Low</v>
      </c>
      <c r="P2200" t="str">
        <f t="shared" si="206"/>
        <v>High</v>
      </c>
      <c r="Q2200" t="str">
        <f t="shared" si="207"/>
        <v>Low Loan</v>
      </c>
      <c r="R2200">
        <f t="shared" si="208"/>
        <v>5500000</v>
      </c>
      <c r="S2200" t="str">
        <f t="shared" si="209"/>
        <v>Moderate</v>
      </c>
    </row>
    <row r="2201" spans="1:19" x14ac:dyDescent="0.25">
      <c r="A2201">
        <v>2200</v>
      </c>
      <c r="B2201">
        <v>5</v>
      </c>
      <c r="C2201" t="s">
        <v>30</v>
      </c>
      <c r="D2201" t="s">
        <v>33</v>
      </c>
      <c r="E2201">
        <v>7200000</v>
      </c>
      <c r="F2201">
        <v>27100000</v>
      </c>
      <c r="G2201">
        <v>12</v>
      </c>
      <c r="H2201">
        <v>535</v>
      </c>
      <c r="I2201">
        <v>8400000</v>
      </c>
      <c r="J2201">
        <v>12800000</v>
      </c>
      <c r="K2201">
        <v>28100000</v>
      </c>
      <c r="L2201">
        <v>4800000</v>
      </c>
      <c r="M2201" t="s">
        <v>35</v>
      </c>
      <c r="N2201">
        <f t="shared" si="205"/>
        <v>0</v>
      </c>
      <c r="O2201" t="str">
        <f t="shared" si="204"/>
        <v>Low</v>
      </c>
      <c r="P2201" t="str">
        <f t="shared" si="206"/>
        <v>High</v>
      </c>
      <c r="Q2201" t="str">
        <f t="shared" si="207"/>
        <v>High Loan</v>
      </c>
      <c r="R2201">
        <f t="shared" si="208"/>
        <v>54100000</v>
      </c>
      <c r="S2201" t="str">
        <f t="shared" si="209"/>
        <v>Strong</v>
      </c>
    </row>
    <row r="2202" spans="1:19" x14ac:dyDescent="0.25">
      <c r="A2202">
        <v>2201</v>
      </c>
      <c r="B2202">
        <v>2</v>
      </c>
      <c r="C2202" t="s">
        <v>31</v>
      </c>
      <c r="D2202" t="s">
        <v>33</v>
      </c>
      <c r="E2202">
        <v>3800000</v>
      </c>
      <c r="F2202">
        <v>11400000</v>
      </c>
      <c r="G2202">
        <v>16</v>
      </c>
      <c r="H2202">
        <v>666</v>
      </c>
      <c r="I2202">
        <v>9000000</v>
      </c>
      <c r="J2202">
        <v>2400000</v>
      </c>
      <c r="K2202">
        <v>8000000</v>
      </c>
      <c r="L2202">
        <v>3800000</v>
      </c>
      <c r="M2202" t="s">
        <v>34</v>
      </c>
      <c r="N2202">
        <f t="shared" si="205"/>
        <v>1</v>
      </c>
      <c r="O2202" t="str">
        <f t="shared" si="204"/>
        <v>Medium</v>
      </c>
      <c r="P2202" t="str">
        <f t="shared" si="206"/>
        <v>High</v>
      </c>
      <c r="Q2202" t="str">
        <f t="shared" si="207"/>
        <v>Low Loan</v>
      </c>
      <c r="R2202">
        <f t="shared" si="208"/>
        <v>23200000</v>
      </c>
      <c r="S2202" t="str">
        <f t="shared" si="209"/>
        <v>Strong</v>
      </c>
    </row>
    <row r="2203" spans="1:19" x14ac:dyDescent="0.25">
      <c r="A2203">
        <v>2202</v>
      </c>
      <c r="B2203">
        <v>4</v>
      </c>
      <c r="C2203" t="s">
        <v>31</v>
      </c>
      <c r="D2203" t="s">
        <v>33</v>
      </c>
      <c r="E2203">
        <v>9300000</v>
      </c>
      <c r="F2203">
        <v>24600000</v>
      </c>
      <c r="G2203">
        <v>16</v>
      </c>
      <c r="H2203">
        <v>419</v>
      </c>
      <c r="I2203">
        <v>18100000</v>
      </c>
      <c r="J2203">
        <v>0</v>
      </c>
      <c r="K2203">
        <v>26700000</v>
      </c>
      <c r="L2203">
        <v>5100000</v>
      </c>
      <c r="M2203" t="s">
        <v>35</v>
      </c>
      <c r="N2203">
        <f t="shared" si="205"/>
        <v>0</v>
      </c>
      <c r="O2203" t="str">
        <f t="shared" si="204"/>
        <v>Low</v>
      </c>
      <c r="P2203" t="str">
        <f t="shared" si="206"/>
        <v>High</v>
      </c>
      <c r="Q2203" t="str">
        <f t="shared" si="207"/>
        <v>High Loan</v>
      </c>
      <c r="R2203">
        <f t="shared" si="208"/>
        <v>49900000</v>
      </c>
      <c r="S2203" t="str">
        <f t="shared" si="209"/>
        <v>Strong</v>
      </c>
    </row>
    <row r="2204" spans="1:19" x14ac:dyDescent="0.25">
      <c r="A2204">
        <v>2203</v>
      </c>
      <c r="B2204">
        <v>2</v>
      </c>
      <c r="C2204" t="s">
        <v>31</v>
      </c>
      <c r="D2204" t="s">
        <v>33</v>
      </c>
      <c r="E2204">
        <v>7200000</v>
      </c>
      <c r="F2204">
        <v>21900000</v>
      </c>
      <c r="G2204">
        <v>12</v>
      </c>
      <c r="H2204">
        <v>640</v>
      </c>
      <c r="I2204">
        <v>0</v>
      </c>
      <c r="J2204">
        <v>11400000</v>
      </c>
      <c r="K2204">
        <v>14600000</v>
      </c>
      <c r="L2204">
        <v>3800000</v>
      </c>
      <c r="M2204" t="s">
        <v>34</v>
      </c>
      <c r="N2204">
        <f t="shared" si="205"/>
        <v>1</v>
      </c>
      <c r="O2204" t="str">
        <f t="shared" si="204"/>
        <v>Low</v>
      </c>
      <c r="P2204" t="str">
        <f t="shared" si="206"/>
        <v>High</v>
      </c>
      <c r="Q2204" t="str">
        <f t="shared" si="207"/>
        <v>High Loan</v>
      </c>
      <c r="R2204">
        <f t="shared" si="208"/>
        <v>29800000</v>
      </c>
      <c r="S2204" t="str">
        <f t="shared" si="209"/>
        <v>Strong</v>
      </c>
    </row>
    <row r="2205" spans="1:19" x14ac:dyDescent="0.25">
      <c r="A2205">
        <v>2204</v>
      </c>
      <c r="B2205">
        <v>0</v>
      </c>
      <c r="C2205" t="s">
        <v>30</v>
      </c>
      <c r="D2205" t="s">
        <v>32</v>
      </c>
      <c r="E2205">
        <v>7600000</v>
      </c>
      <c r="F2205">
        <v>19700000</v>
      </c>
      <c r="G2205">
        <v>12</v>
      </c>
      <c r="H2205">
        <v>545</v>
      </c>
      <c r="I2205">
        <v>4300000</v>
      </c>
      <c r="J2205">
        <v>5200000</v>
      </c>
      <c r="K2205">
        <v>29500000</v>
      </c>
      <c r="L2205">
        <v>7300000</v>
      </c>
      <c r="M2205" t="s">
        <v>35</v>
      </c>
      <c r="N2205">
        <f t="shared" si="205"/>
        <v>0</v>
      </c>
      <c r="O2205" t="str">
        <f t="shared" si="204"/>
        <v>Low</v>
      </c>
      <c r="P2205" t="str">
        <f t="shared" si="206"/>
        <v>High</v>
      </c>
      <c r="Q2205" t="str">
        <f t="shared" si="207"/>
        <v>Low Loan</v>
      </c>
      <c r="R2205">
        <f t="shared" si="208"/>
        <v>46300000</v>
      </c>
      <c r="S2205" t="str">
        <f t="shared" si="209"/>
        <v>Strong</v>
      </c>
    </row>
    <row r="2206" spans="1:19" x14ac:dyDescent="0.25">
      <c r="A2206">
        <v>2205</v>
      </c>
      <c r="B2206">
        <v>4</v>
      </c>
      <c r="C2206" t="s">
        <v>30</v>
      </c>
      <c r="D2206" t="s">
        <v>32</v>
      </c>
      <c r="E2206">
        <v>4500000</v>
      </c>
      <c r="F2206">
        <v>15300000</v>
      </c>
      <c r="G2206">
        <v>10</v>
      </c>
      <c r="H2206">
        <v>843</v>
      </c>
      <c r="I2206">
        <v>13200000</v>
      </c>
      <c r="J2206">
        <v>6900000</v>
      </c>
      <c r="K2206">
        <v>10800000</v>
      </c>
      <c r="L2206">
        <v>2200000</v>
      </c>
      <c r="M2206" t="s">
        <v>34</v>
      </c>
      <c r="N2206">
        <f t="shared" si="205"/>
        <v>1</v>
      </c>
      <c r="O2206" t="str">
        <f t="shared" si="204"/>
        <v>Excellent</v>
      </c>
      <c r="P2206" t="str">
        <f t="shared" si="206"/>
        <v>High</v>
      </c>
      <c r="Q2206" t="str">
        <f t="shared" si="207"/>
        <v>Low Loan</v>
      </c>
      <c r="R2206">
        <f t="shared" si="208"/>
        <v>33100000</v>
      </c>
      <c r="S2206" t="str">
        <f t="shared" si="209"/>
        <v>Strong</v>
      </c>
    </row>
    <row r="2207" spans="1:19" x14ac:dyDescent="0.25">
      <c r="A2207">
        <v>2206</v>
      </c>
      <c r="B2207">
        <v>1</v>
      </c>
      <c r="C2207" t="s">
        <v>31</v>
      </c>
      <c r="D2207" t="s">
        <v>33</v>
      </c>
      <c r="E2207">
        <v>9900000</v>
      </c>
      <c r="F2207">
        <v>30900000</v>
      </c>
      <c r="G2207">
        <v>20</v>
      </c>
      <c r="H2207">
        <v>559</v>
      </c>
      <c r="I2207">
        <v>12100000</v>
      </c>
      <c r="J2207">
        <v>6100000</v>
      </c>
      <c r="K2207">
        <v>38600000</v>
      </c>
      <c r="L2207">
        <v>12100000</v>
      </c>
      <c r="M2207" t="s">
        <v>34</v>
      </c>
      <c r="N2207">
        <f t="shared" si="205"/>
        <v>1</v>
      </c>
      <c r="O2207" t="str">
        <f t="shared" si="204"/>
        <v>Low</v>
      </c>
      <c r="P2207" t="str">
        <f t="shared" si="206"/>
        <v>High</v>
      </c>
      <c r="Q2207" t="str">
        <f t="shared" si="207"/>
        <v>High Loan</v>
      </c>
      <c r="R2207">
        <f t="shared" si="208"/>
        <v>68900000</v>
      </c>
      <c r="S2207" t="str">
        <f t="shared" si="209"/>
        <v>Strong</v>
      </c>
    </row>
    <row r="2208" spans="1:19" x14ac:dyDescent="0.25">
      <c r="A2208">
        <v>2207</v>
      </c>
      <c r="B2208">
        <v>0</v>
      </c>
      <c r="C2208" t="s">
        <v>31</v>
      </c>
      <c r="D2208" t="s">
        <v>33</v>
      </c>
      <c r="E2208">
        <v>700000</v>
      </c>
      <c r="F2208">
        <v>2000000</v>
      </c>
      <c r="G2208">
        <v>18</v>
      </c>
      <c r="H2208">
        <v>650</v>
      </c>
      <c r="I2208">
        <v>400000</v>
      </c>
      <c r="J2208">
        <v>1300000</v>
      </c>
      <c r="K2208">
        <v>2800000</v>
      </c>
      <c r="L2208">
        <v>500000</v>
      </c>
      <c r="M2208" t="s">
        <v>34</v>
      </c>
      <c r="N2208">
        <f t="shared" si="205"/>
        <v>1</v>
      </c>
      <c r="O2208" t="str">
        <f t="shared" si="204"/>
        <v>Medium</v>
      </c>
      <c r="P2208" t="str">
        <f t="shared" si="206"/>
        <v>High</v>
      </c>
      <c r="Q2208" t="str">
        <f t="shared" si="207"/>
        <v>Low Loan</v>
      </c>
      <c r="R2208">
        <f t="shared" si="208"/>
        <v>5000000</v>
      </c>
      <c r="S2208" t="str">
        <f t="shared" si="209"/>
        <v>Moderate</v>
      </c>
    </row>
    <row r="2209" spans="1:19" x14ac:dyDescent="0.25">
      <c r="A2209">
        <v>2208</v>
      </c>
      <c r="B2209">
        <v>0</v>
      </c>
      <c r="C2209" t="s">
        <v>30</v>
      </c>
      <c r="D2209" t="s">
        <v>32</v>
      </c>
      <c r="E2209">
        <v>3500000</v>
      </c>
      <c r="F2209">
        <v>12300000</v>
      </c>
      <c r="G2209">
        <v>16</v>
      </c>
      <c r="H2209">
        <v>479</v>
      </c>
      <c r="I2209">
        <v>9700000</v>
      </c>
      <c r="J2209">
        <v>6000000</v>
      </c>
      <c r="K2209">
        <v>7900000</v>
      </c>
      <c r="L2209">
        <v>4700000</v>
      </c>
      <c r="M2209" t="s">
        <v>35</v>
      </c>
      <c r="N2209">
        <f t="shared" si="205"/>
        <v>0</v>
      </c>
      <c r="O2209" t="str">
        <f t="shared" si="204"/>
        <v>Low</v>
      </c>
      <c r="P2209" t="str">
        <f t="shared" si="206"/>
        <v>High</v>
      </c>
      <c r="Q2209" t="str">
        <f t="shared" si="207"/>
        <v>Low Loan</v>
      </c>
      <c r="R2209">
        <f t="shared" si="208"/>
        <v>28300000</v>
      </c>
      <c r="S2209" t="str">
        <f t="shared" si="209"/>
        <v>Strong</v>
      </c>
    </row>
    <row r="2210" spans="1:19" x14ac:dyDescent="0.25">
      <c r="A2210">
        <v>2209</v>
      </c>
      <c r="B2210">
        <v>1</v>
      </c>
      <c r="C2210" t="s">
        <v>30</v>
      </c>
      <c r="D2210" t="s">
        <v>33</v>
      </c>
      <c r="E2210">
        <v>300000</v>
      </c>
      <c r="F2210">
        <v>1000000</v>
      </c>
      <c r="G2210">
        <v>14</v>
      </c>
      <c r="H2210">
        <v>324</v>
      </c>
      <c r="I2210">
        <v>100000</v>
      </c>
      <c r="J2210">
        <v>100000</v>
      </c>
      <c r="K2210">
        <v>1100000</v>
      </c>
      <c r="L2210">
        <v>100000</v>
      </c>
      <c r="M2210" t="s">
        <v>35</v>
      </c>
      <c r="N2210">
        <f t="shared" si="205"/>
        <v>0</v>
      </c>
      <c r="O2210" t="str">
        <f t="shared" si="204"/>
        <v>Low</v>
      </c>
      <c r="P2210" t="str">
        <f t="shared" si="206"/>
        <v>Middle</v>
      </c>
      <c r="Q2210" t="str">
        <f t="shared" si="207"/>
        <v>Low Loan</v>
      </c>
      <c r="R2210">
        <f t="shared" si="208"/>
        <v>1400000</v>
      </c>
      <c r="S2210" t="str">
        <f t="shared" si="209"/>
        <v>Weak</v>
      </c>
    </row>
    <row r="2211" spans="1:19" x14ac:dyDescent="0.25">
      <c r="A2211">
        <v>2210</v>
      </c>
      <c r="B2211">
        <v>5</v>
      </c>
      <c r="C2211" t="s">
        <v>31</v>
      </c>
      <c r="D2211" t="s">
        <v>33</v>
      </c>
      <c r="E2211">
        <v>5400000</v>
      </c>
      <c r="F2211">
        <v>16700000</v>
      </c>
      <c r="G2211">
        <v>2</v>
      </c>
      <c r="H2211">
        <v>354</v>
      </c>
      <c r="I2211">
        <v>1100000</v>
      </c>
      <c r="J2211">
        <v>4500000</v>
      </c>
      <c r="K2211">
        <v>19300000</v>
      </c>
      <c r="L2211">
        <v>5200000</v>
      </c>
      <c r="M2211" t="s">
        <v>34</v>
      </c>
      <c r="N2211">
        <f t="shared" si="205"/>
        <v>1</v>
      </c>
      <c r="O2211" t="str">
        <f t="shared" si="204"/>
        <v>Low</v>
      </c>
      <c r="P2211" t="str">
        <f t="shared" si="206"/>
        <v>High</v>
      </c>
      <c r="Q2211" t="str">
        <f t="shared" si="207"/>
        <v>Low Loan</v>
      </c>
      <c r="R2211">
        <f t="shared" si="208"/>
        <v>30100000</v>
      </c>
      <c r="S2211" t="str">
        <f t="shared" si="209"/>
        <v>Strong</v>
      </c>
    </row>
    <row r="2212" spans="1:19" x14ac:dyDescent="0.25">
      <c r="A2212">
        <v>2211</v>
      </c>
      <c r="B2212">
        <v>4</v>
      </c>
      <c r="C2212" t="s">
        <v>31</v>
      </c>
      <c r="D2212" t="s">
        <v>33</v>
      </c>
      <c r="E2212">
        <v>2800000</v>
      </c>
      <c r="F2212">
        <v>8400000</v>
      </c>
      <c r="G2212">
        <v>10</v>
      </c>
      <c r="H2212">
        <v>521</v>
      </c>
      <c r="I2212">
        <v>1500000</v>
      </c>
      <c r="J2212">
        <v>1200000</v>
      </c>
      <c r="K2212">
        <v>9100000</v>
      </c>
      <c r="L2212">
        <v>3700000</v>
      </c>
      <c r="M2212" t="s">
        <v>35</v>
      </c>
      <c r="N2212">
        <f t="shared" si="205"/>
        <v>0</v>
      </c>
      <c r="O2212" t="str">
        <f t="shared" si="204"/>
        <v>Low</v>
      </c>
      <c r="P2212" t="str">
        <f t="shared" si="206"/>
        <v>High</v>
      </c>
      <c r="Q2212" t="str">
        <f t="shared" si="207"/>
        <v>Low Loan</v>
      </c>
      <c r="R2212">
        <f t="shared" si="208"/>
        <v>15500000</v>
      </c>
      <c r="S2212" t="str">
        <f t="shared" si="209"/>
        <v>Strong</v>
      </c>
    </row>
    <row r="2213" spans="1:19" x14ac:dyDescent="0.25">
      <c r="A2213">
        <v>2212</v>
      </c>
      <c r="B2213">
        <v>5</v>
      </c>
      <c r="C2213" t="s">
        <v>31</v>
      </c>
      <c r="D2213" t="s">
        <v>33</v>
      </c>
      <c r="E2213">
        <v>4900000</v>
      </c>
      <c r="F2213">
        <v>15900000</v>
      </c>
      <c r="G2213">
        <v>8</v>
      </c>
      <c r="H2213">
        <v>505</v>
      </c>
      <c r="I2213">
        <v>12400000</v>
      </c>
      <c r="J2213">
        <v>4900000</v>
      </c>
      <c r="K2213">
        <v>14900000</v>
      </c>
      <c r="L2213">
        <v>6100000</v>
      </c>
      <c r="M2213" t="s">
        <v>35</v>
      </c>
      <c r="N2213">
        <f t="shared" si="205"/>
        <v>0</v>
      </c>
      <c r="O2213" t="str">
        <f t="shared" si="204"/>
        <v>Low</v>
      </c>
      <c r="P2213" t="str">
        <f t="shared" si="206"/>
        <v>High</v>
      </c>
      <c r="Q2213" t="str">
        <f t="shared" si="207"/>
        <v>Low Loan</v>
      </c>
      <c r="R2213">
        <f t="shared" si="208"/>
        <v>38300000</v>
      </c>
      <c r="S2213" t="str">
        <f t="shared" si="209"/>
        <v>Strong</v>
      </c>
    </row>
    <row r="2214" spans="1:19" x14ac:dyDescent="0.25">
      <c r="A2214">
        <v>2213</v>
      </c>
      <c r="B2214">
        <v>4</v>
      </c>
      <c r="C2214" t="s">
        <v>31</v>
      </c>
      <c r="D2214" t="s">
        <v>32</v>
      </c>
      <c r="E2214">
        <v>600000</v>
      </c>
      <c r="F2214">
        <v>1700000</v>
      </c>
      <c r="G2214">
        <v>12</v>
      </c>
      <c r="H2214">
        <v>436</v>
      </c>
      <c r="I2214">
        <v>400000</v>
      </c>
      <c r="J2214">
        <v>0</v>
      </c>
      <c r="K2214">
        <v>1700000</v>
      </c>
      <c r="L2214">
        <v>700000</v>
      </c>
      <c r="M2214" t="s">
        <v>35</v>
      </c>
      <c r="N2214">
        <f t="shared" si="205"/>
        <v>0</v>
      </c>
      <c r="O2214" t="str">
        <f t="shared" si="204"/>
        <v>Low</v>
      </c>
      <c r="P2214" t="str">
        <f t="shared" si="206"/>
        <v>Middle</v>
      </c>
      <c r="Q2214" t="str">
        <f t="shared" si="207"/>
        <v>Low Loan</v>
      </c>
      <c r="R2214">
        <f t="shared" si="208"/>
        <v>2800000</v>
      </c>
      <c r="S2214" t="str">
        <f t="shared" si="209"/>
        <v>Weak</v>
      </c>
    </row>
    <row r="2215" spans="1:19" x14ac:dyDescent="0.25">
      <c r="A2215">
        <v>2214</v>
      </c>
      <c r="B2215">
        <v>0</v>
      </c>
      <c r="C2215" t="s">
        <v>30</v>
      </c>
      <c r="D2215" t="s">
        <v>32</v>
      </c>
      <c r="E2215">
        <v>3000000</v>
      </c>
      <c r="F2215">
        <v>8100000</v>
      </c>
      <c r="G2215">
        <v>6</v>
      </c>
      <c r="H2215">
        <v>683</v>
      </c>
      <c r="I2215">
        <v>3200000</v>
      </c>
      <c r="J2215">
        <v>4900000</v>
      </c>
      <c r="K2215">
        <v>10200000</v>
      </c>
      <c r="L2215">
        <v>3200000</v>
      </c>
      <c r="M2215" t="s">
        <v>34</v>
      </c>
      <c r="N2215">
        <f t="shared" si="205"/>
        <v>1</v>
      </c>
      <c r="O2215" t="str">
        <f t="shared" si="204"/>
        <v>Medium</v>
      </c>
      <c r="P2215" t="str">
        <f t="shared" si="206"/>
        <v>High</v>
      </c>
      <c r="Q2215" t="str">
        <f t="shared" si="207"/>
        <v>Low Loan</v>
      </c>
      <c r="R2215">
        <f t="shared" si="208"/>
        <v>21500000</v>
      </c>
      <c r="S2215" t="str">
        <f t="shared" si="209"/>
        <v>Strong</v>
      </c>
    </row>
    <row r="2216" spans="1:19" x14ac:dyDescent="0.25">
      <c r="A2216">
        <v>2215</v>
      </c>
      <c r="B2216">
        <v>0</v>
      </c>
      <c r="C2216" t="s">
        <v>30</v>
      </c>
      <c r="D2216" t="s">
        <v>32</v>
      </c>
      <c r="E2216">
        <v>1800000</v>
      </c>
      <c r="F2216">
        <v>5800000</v>
      </c>
      <c r="G2216">
        <v>18</v>
      </c>
      <c r="H2216">
        <v>348</v>
      </c>
      <c r="I2216">
        <v>2900000</v>
      </c>
      <c r="J2216">
        <v>700000</v>
      </c>
      <c r="K2216">
        <v>6700000</v>
      </c>
      <c r="L2216">
        <v>1000000</v>
      </c>
      <c r="M2216" t="s">
        <v>35</v>
      </c>
      <c r="N2216">
        <f t="shared" si="205"/>
        <v>0</v>
      </c>
      <c r="O2216" t="str">
        <f t="shared" si="204"/>
        <v>Low</v>
      </c>
      <c r="P2216" t="str">
        <f t="shared" si="206"/>
        <v>High</v>
      </c>
      <c r="Q2216" t="str">
        <f t="shared" si="207"/>
        <v>Low Loan</v>
      </c>
      <c r="R2216">
        <f t="shared" si="208"/>
        <v>11300000</v>
      </c>
      <c r="S2216" t="str">
        <f t="shared" si="209"/>
        <v>Strong</v>
      </c>
    </row>
    <row r="2217" spans="1:19" x14ac:dyDescent="0.25">
      <c r="A2217">
        <v>2216</v>
      </c>
      <c r="B2217">
        <v>4</v>
      </c>
      <c r="C2217" t="s">
        <v>30</v>
      </c>
      <c r="D2217" t="s">
        <v>33</v>
      </c>
      <c r="E2217">
        <v>5100000</v>
      </c>
      <c r="F2217">
        <v>15700000</v>
      </c>
      <c r="G2217">
        <v>6</v>
      </c>
      <c r="H2217">
        <v>867</v>
      </c>
      <c r="I2217">
        <v>11200000</v>
      </c>
      <c r="J2217">
        <v>8300000</v>
      </c>
      <c r="K2217">
        <v>19200000</v>
      </c>
      <c r="L2217">
        <v>3600000</v>
      </c>
      <c r="M2217" t="s">
        <v>34</v>
      </c>
      <c r="N2217">
        <f t="shared" si="205"/>
        <v>1</v>
      </c>
      <c r="O2217" t="str">
        <f t="shared" si="204"/>
        <v>Excellent</v>
      </c>
      <c r="P2217" t="str">
        <f t="shared" si="206"/>
        <v>High</v>
      </c>
      <c r="Q2217" t="str">
        <f t="shared" si="207"/>
        <v>Low Loan</v>
      </c>
      <c r="R2217">
        <f t="shared" si="208"/>
        <v>42300000</v>
      </c>
      <c r="S2217" t="str">
        <f t="shared" si="209"/>
        <v>Strong</v>
      </c>
    </row>
    <row r="2218" spans="1:19" x14ac:dyDescent="0.25">
      <c r="A2218">
        <v>2217</v>
      </c>
      <c r="B2218">
        <v>5</v>
      </c>
      <c r="C2218" t="s">
        <v>30</v>
      </c>
      <c r="D2218" t="s">
        <v>32</v>
      </c>
      <c r="E2218">
        <v>1400000</v>
      </c>
      <c r="F2218">
        <v>4100000</v>
      </c>
      <c r="G2218">
        <v>14</v>
      </c>
      <c r="H2218">
        <v>880</v>
      </c>
      <c r="I2218">
        <v>3700000</v>
      </c>
      <c r="J2218">
        <v>1800000</v>
      </c>
      <c r="K2218">
        <v>2800000</v>
      </c>
      <c r="L2218">
        <v>2100000</v>
      </c>
      <c r="M2218" t="s">
        <v>34</v>
      </c>
      <c r="N2218">
        <f t="shared" si="205"/>
        <v>1</v>
      </c>
      <c r="O2218" t="str">
        <f t="shared" si="204"/>
        <v>Excellent</v>
      </c>
      <c r="P2218" t="str">
        <f t="shared" si="206"/>
        <v>High</v>
      </c>
      <c r="Q2218" t="str">
        <f t="shared" si="207"/>
        <v>Low Loan</v>
      </c>
      <c r="R2218">
        <f t="shared" si="208"/>
        <v>10400000</v>
      </c>
      <c r="S2218" t="str">
        <f t="shared" si="209"/>
        <v>Strong</v>
      </c>
    </row>
    <row r="2219" spans="1:19" x14ac:dyDescent="0.25">
      <c r="A2219">
        <v>2218</v>
      </c>
      <c r="B2219">
        <v>2</v>
      </c>
      <c r="C2219" t="s">
        <v>30</v>
      </c>
      <c r="D2219" t="s">
        <v>33</v>
      </c>
      <c r="E2219">
        <v>6700000</v>
      </c>
      <c r="F2219">
        <v>25500000</v>
      </c>
      <c r="G2219">
        <v>10</v>
      </c>
      <c r="H2219">
        <v>673</v>
      </c>
      <c r="I2219">
        <v>11100000</v>
      </c>
      <c r="J2219">
        <v>8600000</v>
      </c>
      <c r="K2219">
        <v>25100000</v>
      </c>
      <c r="L2219">
        <v>5000000</v>
      </c>
      <c r="M2219" t="s">
        <v>34</v>
      </c>
      <c r="N2219">
        <f t="shared" si="205"/>
        <v>1</v>
      </c>
      <c r="O2219" t="str">
        <f t="shared" si="204"/>
        <v>Medium</v>
      </c>
      <c r="P2219" t="str">
        <f t="shared" si="206"/>
        <v>High</v>
      </c>
      <c r="Q2219" t="str">
        <f t="shared" si="207"/>
        <v>High Loan</v>
      </c>
      <c r="R2219">
        <f t="shared" si="208"/>
        <v>49800000</v>
      </c>
      <c r="S2219" t="str">
        <f t="shared" si="209"/>
        <v>Strong</v>
      </c>
    </row>
    <row r="2220" spans="1:19" x14ac:dyDescent="0.25">
      <c r="A2220">
        <v>2219</v>
      </c>
      <c r="B2220">
        <v>3</v>
      </c>
      <c r="C2220" t="s">
        <v>31</v>
      </c>
      <c r="D2220" t="s">
        <v>32</v>
      </c>
      <c r="E2220">
        <v>4300000</v>
      </c>
      <c r="F2220">
        <v>12600000</v>
      </c>
      <c r="G2220">
        <v>18</v>
      </c>
      <c r="H2220">
        <v>482</v>
      </c>
      <c r="I2220">
        <v>9300000</v>
      </c>
      <c r="J2220">
        <v>900000</v>
      </c>
      <c r="K2220">
        <v>13200000</v>
      </c>
      <c r="L2220">
        <v>6100000</v>
      </c>
      <c r="M2220" t="s">
        <v>35</v>
      </c>
      <c r="N2220">
        <f t="shared" si="205"/>
        <v>0</v>
      </c>
      <c r="O2220" t="str">
        <f t="shared" si="204"/>
        <v>Low</v>
      </c>
      <c r="P2220" t="str">
        <f t="shared" si="206"/>
        <v>High</v>
      </c>
      <c r="Q2220" t="str">
        <f t="shared" si="207"/>
        <v>Low Loan</v>
      </c>
      <c r="R2220">
        <f t="shared" si="208"/>
        <v>29500000</v>
      </c>
      <c r="S2220" t="str">
        <f t="shared" si="209"/>
        <v>Strong</v>
      </c>
    </row>
    <row r="2221" spans="1:19" x14ac:dyDescent="0.25">
      <c r="A2221">
        <v>2220</v>
      </c>
      <c r="B2221">
        <v>3</v>
      </c>
      <c r="C2221" t="s">
        <v>30</v>
      </c>
      <c r="D2221" t="s">
        <v>33</v>
      </c>
      <c r="E2221">
        <v>7800000</v>
      </c>
      <c r="F2221">
        <v>19600000</v>
      </c>
      <c r="G2221">
        <v>4</v>
      </c>
      <c r="H2221">
        <v>767</v>
      </c>
      <c r="I2221">
        <v>18100000</v>
      </c>
      <c r="J2221">
        <v>10500000</v>
      </c>
      <c r="K2221">
        <v>20500000</v>
      </c>
      <c r="L2221">
        <v>7700000</v>
      </c>
      <c r="M2221" t="s">
        <v>34</v>
      </c>
      <c r="N2221">
        <f t="shared" si="205"/>
        <v>1</v>
      </c>
      <c r="O2221" t="str">
        <f t="shared" si="204"/>
        <v>Excellent</v>
      </c>
      <c r="P2221" t="str">
        <f t="shared" si="206"/>
        <v>High</v>
      </c>
      <c r="Q2221" t="str">
        <f t="shared" si="207"/>
        <v>Low Loan</v>
      </c>
      <c r="R2221">
        <f t="shared" si="208"/>
        <v>56800000</v>
      </c>
      <c r="S2221" t="str">
        <f t="shared" si="209"/>
        <v>Strong</v>
      </c>
    </row>
    <row r="2222" spans="1:19" x14ac:dyDescent="0.25">
      <c r="A2222">
        <v>2221</v>
      </c>
      <c r="B2222">
        <v>3</v>
      </c>
      <c r="C2222" t="s">
        <v>31</v>
      </c>
      <c r="D2222" t="s">
        <v>32</v>
      </c>
      <c r="E2222">
        <v>5400000</v>
      </c>
      <c r="F2222">
        <v>15800000</v>
      </c>
      <c r="G2222">
        <v>18</v>
      </c>
      <c r="H2222">
        <v>760</v>
      </c>
      <c r="I2222">
        <v>12700000</v>
      </c>
      <c r="J2222">
        <v>2300000</v>
      </c>
      <c r="K2222">
        <v>16400000</v>
      </c>
      <c r="L2222">
        <v>7200000</v>
      </c>
      <c r="M2222" t="s">
        <v>34</v>
      </c>
      <c r="N2222">
        <f t="shared" si="205"/>
        <v>1</v>
      </c>
      <c r="O2222" t="str">
        <f t="shared" si="204"/>
        <v>Excellent</v>
      </c>
      <c r="P2222" t="str">
        <f t="shared" si="206"/>
        <v>High</v>
      </c>
      <c r="Q2222" t="str">
        <f t="shared" si="207"/>
        <v>Low Loan</v>
      </c>
      <c r="R2222">
        <f t="shared" si="208"/>
        <v>38600000</v>
      </c>
      <c r="S2222" t="str">
        <f t="shared" si="209"/>
        <v>Strong</v>
      </c>
    </row>
    <row r="2223" spans="1:19" x14ac:dyDescent="0.25">
      <c r="A2223">
        <v>2222</v>
      </c>
      <c r="B2223">
        <v>0</v>
      </c>
      <c r="C2223" t="s">
        <v>31</v>
      </c>
      <c r="D2223" t="s">
        <v>32</v>
      </c>
      <c r="E2223">
        <v>500000</v>
      </c>
      <c r="F2223">
        <v>1900000</v>
      </c>
      <c r="G2223">
        <v>2</v>
      </c>
      <c r="H2223">
        <v>857</v>
      </c>
      <c r="I2223">
        <v>1100000</v>
      </c>
      <c r="J2223">
        <v>500000</v>
      </c>
      <c r="K2223">
        <v>1800000</v>
      </c>
      <c r="L2223">
        <v>300000</v>
      </c>
      <c r="M2223" t="s">
        <v>34</v>
      </c>
      <c r="N2223">
        <f t="shared" si="205"/>
        <v>1</v>
      </c>
      <c r="O2223" t="str">
        <f t="shared" si="204"/>
        <v>Excellent</v>
      </c>
      <c r="P2223" t="str">
        <f t="shared" si="206"/>
        <v>Middle</v>
      </c>
      <c r="Q2223" t="str">
        <f t="shared" si="207"/>
        <v>Low Loan</v>
      </c>
      <c r="R2223">
        <f t="shared" si="208"/>
        <v>3700000</v>
      </c>
      <c r="S2223" t="str">
        <f t="shared" si="209"/>
        <v>Weak</v>
      </c>
    </row>
    <row r="2224" spans="1:19" x14ac:dyDescent="0.25">
      <c r="A2224">
        <v>2223</v>
      </c>
      <c r="B2224">
        <v>1</v>
      </c>
      <c r="C2224" t="s">
        <v>30</v>
      </c>
      <c r="D2224" t="s">
        <v>32</v>
      </c>
      <c r="E2224">
        <v>8600000</v>
      </c>
      <c r="F2224">
        <v>26700000</v>
      </c>
      <c r="G2224">
        <v>10</v>
      </c>
      <c r="H2224">
        <v>735</v>
      </c>
      <c r="I2224">
        <v>11800000</v>
      </c>
      <c r="J2224">
        <v>9100000</v>
      </c>
      <c r="K2224">
        <v>20700000</v>
      </c>
      <c r="L2224">
        <v>11200000</v>
      </c>
      <c r="M2224" t="s">
        <v>34</v>
      </c>
      <c r="N2224">
        <f t="shared" si="205"/>
        <v>1</v>
      </c>
      <c r="O2224" t="str">
        <f t="shared" si="204"/>
        <v>Good</v>
      </c>
      <c r="P2224" t="str">
        <f t="shared" si="206"/>
        <v>High</v>
      </c>
      <c r="Q2224" t="str">
        <f t="shared" si="207"/>
        <v>High Loan</v>
      </c>
      <c r="R2224">
        <f t="shared" si="208"/>
        <v>52800000</v>
      </c>
      <c r="S2224" t="str">
        <f t="shared" si="209"/>
        <v>Strong</v>
      </c>
    </row>
    <row r="2225" spans="1:19" x14ac:dyDescent="0.25">
      <c r="A2225">
        <v>2224</v>
      </c>
      <c r="B2225">
        <v>3</v>
      </c>
      <c r="C2225" t="s">
        <v>30</v>
      </c>
      <c r="D2225" t="s">
        <v>32</v>
      </c>
      <c r="E2225">
        <v>2500000</v>
      </c>
      <c r="F2225">
        <v>9300000</v>
      </c>
      <c r="G2225">
        <v>4</v>
      </c>
      <c r="H2225">
        <v>810</v>
      </c>
      <c r="I2225">
        <v>2700000</v>
      </c>
      <c r="J2225">
        <v>3300000</v>
      </c>
      <c r="K2225">
        <v>9400000</v>
      </c>
      <c r="L2225">
        <v>3700000</v>
      </c>
      <c r="M2225" t="s">
        <v>34</v>
      </c>
      <c r="N2225">
        <f t="shared" si="205"/>
        <v>1</v>
      </c>
      <c r="O2225" t="str">
        <f t="shared" si="204"/>
        <v>Excellent</v>
      </c>
      <c r="P2225" t="str">
        <f t="shared" si="206"/>
        <v>High</v>
      </c>
      <c r="Q2225" t="str">
        <f t="shared" si="207"/>
        <v>Low Loan</v>
      </c>
      <c r="R2225">
        <f t="shared" si="208"/>
        <v>19100000</v>
      </c>
      <c r="S2225" t="str">
        <f t="shared" si="209"/>
        <v>Strong</v>
      </c>
    </row>
    <row r="2226" spans="1:19" x14ac:dyDescent="0.25">
      <c r="A2226">
        <v>2225</v>
      </c>
      <c r="B2226">
        <v>4</v>
      </c>
      <c r="C2226" t="s">
        <v>31</v>
      </c>
      <c r="D2226" t="s">
        <v>32</v>
      </c>
      <c r="E2226">
        <v>3000000</v>
      </c>
      <c r="F2226">
        <v>7200000</v>
      </c>
      <c r="G2226">
        <v>2</v>
      </c>
      <c r="H2226">
        <v>680</v>
      </c>
      <c r="I2226">
        <v>900000</v>
      </c>
      <c r="J2226">
        <v>3400000</v>
      </c>
      <c r="K2226">
        <v>9600000</v>
      </c>
      <c r="L2226">
        <v>1700000</v>
      </c>
      <c r="M2226" t="s">
        <v>34</v>
      </c>
      <c r="N2226">
        <f t="shared" si="205"/>
        <v>1</v>
      </c>
      <c r="O2226" t="str">
        <f t="shared" si="204"/>
        <v>Medium</v>
      </c>
      <c r="P2226" t="str">
        <f t="shared" si="206"/>
        <v>High</v>
      </c>
      <c r="Q2226" t="str">
        <f t="shared" si="207"/>
        <v>Low Loan</v>
      </c>
      <c r="R2226">
        <f t="shared" si="208"/>
        <v>15600000</v>
      </c>
      <c r="S2226" t="str">
        <f t="shared" si="209"/>
        <v>Strong</v>
      </c>
    </row>
    <row r="2227" spans="1:19" x14ac:dyDescent="0.25">
      <c r="A2227">
        <v>2226</v>
      </c>
      <c r="B2227">
        <v>5</v>
      </c>
      <c r="C2227" t="s">
        <v>31</v>
      </c>
      <c r="D2227" t="s">
        <v>33</v>
      </c>
      <c r="E2227">
        <v>7000000</v>
      </c>
      <c r="F2227">
        <v>26900000</v>
      </c>
      <c r="G2227">
        <v>4</v>
      </c>
      <c r="H2227">
        <v>889</v>
      </c>
      <c r="I2227">
        <v>1400000</v>
      </c>
      <c r="J2227">
        <v>4200000</v>
      </c>
      <c r="K2227">
        <v>22400000</v>
      </c>
      <c r="L2227">
        <v>7400000</v>
      </c>
      <c r="M2227" t="s">
        <v>34</v>
      </c>
      <c r="N2227">
        <f t="shared" si="205"/>
        <v>1</v>
      </c>
      <c r="O2227" t="str">
        <f t="shared" si="204"/>
        <v>Excellent</v>
      </c>
      <c r="P2227" t="str">
        <f t="shared" si="206"/>
        <v>High</v>
      </c>
      <c r="Q2227" t="str">
        <f t="shared" si="207"/>
        <v>High Loan</v>
      </c>
      <c r="R2227">
        <f t="shared" si="208"/>
        <v>35400000</v>
      </c>
      <c r="S2227" t="str">
        <f t="shared" si="209"/>
        <v>Strong</v>
      </c>
    </row>
    <row r="2228" spans="1:19" x14ac:dyDescent="0.25">
      <c r="A2228">
        <v>2227</v>
      </c>
      <c r="B2228">
        <v>1</v>
      </c>
      <c r="C2228" t="s">
        <v>31</v>
      </c>
      <c r="D2228" t="s">
        <v>33</v>
      </c>
      <c r="E2228">
        <v>400000</v>
      </c>
      <c r="F2228">
        <v>1500000</v>
      </c>
      <c r="G2228">
        <v>16</v>
      </c>
      <c r="H2228">
        <v>688</v>
      </c>
      <c r="I2228">
        <v>400000</v>
      </c>
      <c r="J2228">
        <v>300000</v>
      </c>
      <c r="K2228">
        <v>1200000</v>
      </c>
      <c r="L2228">
        <v>200000</v>
      </c>
      <c r="M2228" t="s">
        <v>34</v>
      </c>
      <c r="N2228">
        <f t="shared" si="205"/>
        <v>1</v>
      </c>
      <c r="O2228" t="str">
        <f t="shared" si="204"/>
        <v>Medium</v>
      </c>
      <c r="P2228" t="str">
        <f t="shared" si="206"/>
        <v>Middle</v>
      </c>
      <c r="Q2228" t="str">
        <f t="shared" si="207"/>
        <v>Low Loan</v>
      </c>
      <c r="R2228">
        <f t="shared" si="208"/>
        <v>2100000</v>
      </c>
      <c r="S2228" t="str">
        <f t="shared" si="209"/>
        <v>Weak</v>
      </c>
    </row>
    <row r="2229" spans="1:19" x14ac:dyDescent="0.25">
      <c r="A2229">
        <v>2228</v>
      </c>
      <c r="B2229">
        <v>5</v>
      </c>
      <c r="C2229" t="s">
        <v>31</v>
      </c>
      <c r="D2229" t="s">
        <v>32</v>
      </c>
      <c r="E2229">
        <v>5200000</v>
      </c>
      <c r="F2229">
        <v>13700000</v>
      </c>
      <c r="G2229">
        <v>16</v>
      </c>
      <c r="H2229">
        <v>531</v>
      </c>
      <c r="I2229">
        <v>8800000</v>
      </c>
      <c r="J2229">
        <v>4500000</v>
      </c>
      <c r="K2229">
        <v>15700000</v>
      </c>
      <c r="L2229">
        <v>2900000</v>
      </c>
      <c r="M2229" t="s">
        <v>35</v>
      </c>
      <c r="N2229">
        <f t="shared" si="205"/>
        <v>0</v>
      </c>
      <c r="O2229" t="str">
        <f t="shared" si="204"/>
        <v>Low</v>
      </c>
      <c r="P2229" t="str">
        <f t="shared" si="206"/>
        <v>High</v>
      </c>
      <c r="Q2229" t="str">
        <f t="shared" si="207"/>
        <v>Low Loan</v>
      </c>
      <c r="R2229">
        <f t="shared" si="208"/>
        <v>31900000</v>
      </c>
      <c r="S2229" t="str">
        <f t="shared" si="209"/>
        <v>Strong</v>
      </c>
    </row>
    <row r="2230" spans="1:19" x14ac:dyDescent="0.25">
      <c r="A2230">
        <v>2229</v>
      </c>
      <c r="B2230">
        <v>3</v>
      </c>
      <c r="C2230" t="s">
        <v>30</v>
      </c>
      <c r="D2230" t="s">
        <v>32</v>
      </c>
      <c r="E2230">
        <v>3300000</v>
      </c>
      <c r="F2230">
        <v>11100000</v>
      </c>
      <c r="G2230">
        <v>2</v>
      </c>
      <c r="H2230">
        <v>660</v>
      </c>
      <c r="I2230">
        <v>6500000</v>
      </c>
      <c r="J2230">
        <v>3700000</v>
      </c>
      <c r="K2230">
        <v>12300000</v>
      </c>
      <c r="L2230">
        <v>4500000</v>
      </c>
      <c r="M2230" t="s">
        <v>34</v>
      </c>
      <c r="N2230">
        <f t="shared" si="205"/>
        <v>1</v>
      </c>
      <c r="O2230" t="str">
        <f t="shared" si="204"/>
        <v>Medium</v>
      </c>
      <c r="P2230" t="str">
        <f t="shared" si="206"/>
        <v>High</v>
      </c>
      <c r="Q2230" t="str">
        <f t="shared" si="207"/>
        <v>Low Loan</v>
      </c>
      <c r="R2230">
        <f t="shared" si="208"/>
        <v>27000000</v>
      </c>
      <c r="S2230" t="str">
        <f t="shared" si="209"/>
        <v>Strong</v>
      </c>
    </row>
    <row r="2231" spans="1:19" x14ac:dyDescent="0.25">
      <c r="A2231">
        <v>2230</v>
      </c>
      <c r="B2231">
        <v>1</v>
      </c>
      <c r="C2231" t="s">
        <v>31</v>
      </c>
      <c r="D2231" t="s">
        <v>33</v>
      </c>
      <c r="E2231">
        <v>2400000</v>
      </c>
      <c r="F2231">
        <v>8800000</v>
      </c>
      <c r="G2231">
        <v>18</v>
      </c>
      <c r="H2231">
        <v>414</v>
      </c>
      <c r="I2231">
        <v>3600000</v>
      </c>
      <c r="J2231">
        <v>2200000</v>
      </c>
      <c r="K2231">
        <v>7100000</v>
      </c>
      <c r="L2231">
        <v>2500000</v>
      </c>
      <c r="M2231" t="s">
        <v>35</v>
      </c>
      <c r="N2231">
        <f t="shared" si="205"/>
        <v>0</v>
      </c>
      <c r="O2231" t="str">
        <f t="shared" si="204"/>
        <v>Low</v>
      </c>
      <c r="P2231" t="str">
        <f t="shared" si="206"/>
        <v>High</v>
      </c>
      <c r="Q2231" t="str">
        <f t="shared" si="207"/>
        <v>Low Loan</v>
      </c>
      <c r="R2231">
        <f t="shared" si="208"/>
        <v>15400000</v>
      </c>
      <c r="S2231" t="str">
        <f t="shared" si="209"/>
        <v>Strong</v>
      </c>
    </row>
    <row r="2232" spans="1:19" x14ac:dyDescent="0.25">
      <c r="A2232">
        <v>2231</v>
      </c>
      <c r="B2232">
        <v>4</v>
      </c>
      <c r="C2232" t="s">
        <v>30</v>
      </c>
      <c r="D2232" t="s">
        <v>33</v>
      </c>
      <c r="E2232">
        <v>5800000</v>
      </c>
      <c r="F2232">
        <v>15800000</v>
      </c>
      <c r="G2232">
        <v>14</v>
      </c>
      <c r="H2232">
        <v>528</v>
      </c>
      <c r="I2232">
        <v>6300000</v>
      </c>
      <c r="J2232">
        <v>100000</v>
      </c>
      <c r="K2232">
        <v>21400000</v>
      </c>
      <c r="L2232">
        <v>8700000</v>
      </c>
      <c r="M2232" t="s">
        <v>35</v>
      </c>
      <c r="N2232">
        <f t="shared" si="205"/>
        <v>0</v>
      </c>
      <c r="O2232" t="str">
        <f t="shared" si="204"/>
        <v>Low</v>
      </c>
      <c r="P2232" t="str">
        <f t="shared" si="206"/>
        <v>High</v>
      </c>
      <c r="Q2232" t="str">
        <f t="shared" si="207"/>
        <v>Low Loan</v>
      </c>
      <c r="R2232">
        <f t="shared" si="208"/>
        <v>36500000</v>
      </c>
      <c r="S2232" t="str">
        <f t="shared" si="209"/>
        <v>Strong</v>
      </c>
    </row>
    <row r="2233" spans="1:19" x14ac:dyDescent="0.25">
      <c r="A2233">
        <v>2232</v>
      </c>
      <c r="B2233">
        <v>4</v>
      </c>
      <c r="C2233" t="s">
        <v>31</v>
      </c>
      <c r="D2233" t="s">
        <v>33</v>
      </c>
      <c r="E2233">
        <v>9400000</v>
      </c>
      <c r="F2233">
        <v>20000000</v>
      </c>
      <c r="G2233">
        <v>12</v>
      </c>
      <c r="H2233">
        <v>817</v>
      </c>
      <c r="I2233">
        <v>3600000</v>
      </c>
      <c r="J2233">
        <v>1600000</v>
      </c>
      <c r="K2233">
        <v>34400000</v>
      </c>
      <c r="L2233">
        <v>8000000</v>
      </c>
      <c r="M2233" t="s">
        <v>34</v>
      </c>
      <c r="N2233">
        <f t="shared" si="205"/>
        <v>1</v>
      </c>
      <c r="O2233" t="str">
        <f t="shared" si="204"/>
        <v>Excellent</v>
      </c>
      <c r="P2233" t="str">
        <f t="shared" si="206"/>
        <v>High</v>
      </c>
      <c r="Q2233" t="str">
        <f t="shared" si="207"/>
        <v>High Loan</v>
      </c>
      <c r="R2233">
        <f t="shared" si="208"/>
        <v>47600000</v>
      </c>
      <c r="S2233" t="str">
        <f t="shared" si="209"/>
        <v>Strong</v>
      </c>
    </row>
    <row r="2234" spans="1:19" x14ac:dyDescent="0.25">
      <c r="A2234">
        <v>2233</v>
      </c>
      <c r="B2234">
        <v>2</v>
      </c>
      <c r="C2234" t="s">
        <v>31</v>
      </c>
      <c r="D2234" t="s">
        <v>32</v>
      </c>
      <c r="E2234">
        <v>6100000</v>
      </c>
      <c r="F2234">
        <v>15300000</v>
      </c>
      <c r="G2234">
        <v>2</v>
      </c>
      <c r="H2234">
        <v>799</v>
      </c>
      <c r="I2234">
        <v>7100000</v>
      </c>
      <c r="J2234">
        <v>5500000</v>
      </c>
      <c r="K2234">
        <v>17800000</v>
      </c>
      <c r="L2234">
        <v>5300000</v>
      </c>
      <c r="M2234" t="s">
        <v>34</v>
      </c>
      <c r="N2234">
        <f t="shared" si="205"/>
        <v>1</v>
      </c>
      <c r="O2234" t="str">
        <f t="shared" si="204"/>
        <v>Excellent</v>
      </c>
      <c r="P2234" t="str">
        <f t="shared" si="206"/>
        <v>High</v>
      </c>
      <c r="Q2234" t="str">
        <f t="shared" si="207"/>
        <v>Low Loan</v>
      </c>
      <c r="R2234">
        <f t="shared" si="208"/>
        <v>35700000</v>
      </c>
      <c r="S2234" t="str">
        <f t="shared" si="209"/>
        <v>Strong</v>
      </c>
    </row>
    <row r="2235" spans="1:19" x14ac:dyDescent="0.25">
      <c r="A2235">
        <v>2234</v>
      </c>
      <c r="B2235">
        <v>1</v>
      </c>
      <c r="C2235" t="s">
        <v>30</v>
      </c>
      <c r="D2235" t="s">
        <v>33</v>
      </c>
      <c r="E2235">
        <v>7500000</v>
      </c>
      <c r="F2235">
        <v>21400000</v>
      </c>
      <c r="G2235">
        <v>20</v>
      </c>
      <c r="H2235">
        <v>655</v>
      </c>
      <c r="I2235">
        <v>13000000</v>
      </c>
      <c r="J2235">
        <v>10300000</v>
      </c>
      <c r="K2235">
        <v>28100000</v>
      </c>
      <c r="L2235">
        <v>8100000</v>
      </c>
      <c r="M2235" t="s">
        <v>34</v>
      </c>
      <c r="N2235">
        <f t="shared" si="205"/>
        <v>1</v>
      </c>
      <c r="O2235" t="str">
        <f t="shared" si="204"/>
        <v>Medium</v>
      </c>
      <c r="P2235" t="str">
        <f t="shared" si="206"/>
        <v>High</v>
      </c>
      <c r="Q2235" t="str">
        <f t="shared" si="207"/>
        <v>High Loan</v>
      </c>
      <c r="R2235">
        <f t="shared" si="208"/>
        <v>59500000</v>
      </c>
      <c r="S2235" t="str">
        <f t="shared" si="209"/>
        <v>Strong</v>
      </c>
    </row>
    <row r="2236" spans="1:19" x14ac:dyDescent="0.25">
      <c r="A2236">
        <v>2235</v>
      </c>
      <c r="B2236">
        <v>2</v>
      </c>
      <c r="C2236" t="s">
        <v>31</v>
      </c>
      <c r="D2236" t="s">
        <v>32</v>
      </c>
      <c r="E2236">
        <v>4100000</v>
      </c>
      <c r="F2236">
        <v>16200000</v>
      </c>
      <c r="G2236">
        <v>6</v>
      </c>
      <c r="H2236">
        <v>546</v>
      </c>
      <c r="I2236">
        <v>3500000</v>
      </c>
      <c r="J2236">
        <v>3100000</v>
      </c>
      <c r="K2236">
        <v>15100000</v>
      </c>
      <c r="L2236">
        <v>3700000</v>
      </c>
      <c r="M2236" t="s">
        <v>35</v>
      </c>
      <c r="N2236">
        <f t="shared" si="205"/>
        <v>0</v>
      </c>
      <c r="O2236" t="str">
        <f t="shared" si="204"/>
        <v>Low</v>
      </c>
      <c r="P2236" t="str">
        <f t="shared" si="206"/>
        <v>High</v>
      </c>
      <c r="Q2236" t="str">
        <f t="shared" si="207"/>
        <v>Low Loan</v>
      </c>
      <c r="R2236">
        <f t="shared" si="208"/>
        <v>25400000</v>
      </c>
      <c r="S2236" t="str">
        <f t="shared" si="209"/>
        <v>Strong</v>
      </c>
    </row>
    <row r="2237" spans="1:19" x14ac:dyDescent="0.25">
      <c r="A2237">
        <v>2236</v>
      </c>
      <c r="B2237">
        <v>3</v>
      </c>
      <c r="C2237" t="s">
        <v>31</v>
      </c>
      <c r="D2237" t="s">
        <v>32</v>
      </c>
      <c r="E2237">
        <v>8500000</v>
      </c>
      <c r="F2237">
        <v>30800000</v>
      </c>
      <c r="G2237">
        <v>14</v>
      </c>
      <c r="H2237">
        <v>745</v>
      </c>
      <c r="I2237">
        <v>11000000</v>
      </c>
      <c r="J2237">
        <v>8200000</v>
      </c>
      <c r="K2237">
        <v>19400000</v>
      </c>
      <c r="L2237">
        <v>7200000</v>
      </c>
      <c r="M2237" t="s">
        <v>34</v>
      </c>
      <c r="N2237">
        <f t="shared" si="205"/>
        <v>1</v>
      </c>
      <c r="O2237" t="str">
        <f t="shared" si="204"/>
        <v>Good</v>
      </c>
      <c r="P2237" t="str">
        <f t="shared" si="206"/>
        <v>High</v>
      </c>
      <c r="Q2237" t="str">
        <f t="shared" si="207"/>
        <v>High Loan</v>
      </c>
      <c r="R2237">
        <f t="shared" si="208"/>
        <v>45800000</v>
      </c>
      <c r="S2237" t="str">
        <f t="shared" si="209"/>
        <v>Strong</v>
      </c>
    </row>
    <row r="2238" spans="1:19" x14ac:dyDescent="0.25">
      <c r="A2238">
        <v>2237</v>
      </c>
      <c r="B2238">
        <v>0</v>
      </c>
      <c r="C2238" t="s">
        <v>30</v>
      </c>
      <c r="D2238" t="s">
        <v>32</v>
      </c>
      <c r="E2238">
        <v>4300000</v>
      </c>
      <c r="F2238">
        <v>16900000</v>
      </c>
      <c r="G2238">
        <v>8</v>
      </c>
      <c r="H2238">
        <v>884</v>
      </c>
      <c r="I2238">
        <v>6500000</v>
      </c>
      <c r="J2238">
        <v>5400000</v>
      </c>
      <c r="K2238">
        <v>12000000</v>
      </c>
      <c r="L2238">
        <v>3700000</v>
      </c>
      <c r="M2238" t="s">
        <v>34</v>
      </c>
      <c r="N2238">
        <f t="shared" si="205"/>
        <v>1</v>
      </c>
      <c r="O2238" t="str">
        <f t="shared" si="204"/>
        <v>Excellent</v>
      </c>
      <c r="P2238" t="str">
        <f t="shared" si="206"/>
        <v>High</v>
      </c>
      <c r="Q2238" t="str">
        <f t="shared" si="207"/>
        <v>Low Loan</v>
      </c>
      <c r="R2238">
        <f t="shared" si="208"/>
        <v>27600000</v>
      </c>
      <c r="S2238" t="str">
        <f t="shared" si="209"/>
        <v>Strong</v>
      </c>
    </row>
    <row r="2239" spans="1:19" x14ac:dyDescent="0.25">
      <c r="A2239">
        <v>2238</v>
      </c>
      <c r="B2239">
        <v>5</v>
      </c>
      <c r="C2239" t="s">
        <v>31</v>
      </c>
      <c r="D2239" t="s">
        <v>32</v>
      </c>
      <c r="E2239">
        <v>9300000</v>
      </c>
      <c r="F2239">
        <v>22000000</v>
      </c>
      <c r="G2239">
        <v>4</v>
      </c>
      <c r="H2239">
        <v>822</v>
      </c>
      <c r="I2239">
        <v>20900000</v>
      </c>
      <c r="J2239">
        <v>10000000</v>
      </c>
      <c r="K2239">
        <v>24200000</v>
      </c>
      <c r="L2239">
        <v>12100000</v>
      </c>
      <c r="M2239" t="s">
        <v>34</v>
      </c>
      <c r="N2239">
        <f t="shared" si="205"/>
        <v>1</v>
      </c>
      <c r="O2239" t="str">
        <f t="shared" si="204"/>
        <v>Excellent</v>
      </c>
      <c r="P2239" t="str">
        <f t="shared" si="206"/>
        <v>High</v>
      </c>
      <c r="Q2239" t="str">
        <f t="shared" si="207"/>
        <v>High Loan</v>
      </c>
      <c r="R2239">
        <f t="shared" si="208"/>
        <v>67200000</v>
      </c>
      <c r="S2239" t="str">
        <f t="shared" si="209"/>
        <v>Strong</v>
      </c>
    </row>
    <row r="2240" spans="1:19" x14ac:dyDescent="0.25">
      <c r="A2240">
        <v>2239</v>
      </c>
      <c r="B2240">
        <v>4</v>
      </c>
      <c r="C2240" t="s">
        <v>31</v>
      </c>
      <c r="D2240" t="s">
        <v>32</v>
      </c>
      <c r="E2240">
        <v>6000000</v>
      </c>
      <c r="F2240">
        <v>18700000</v>
      </c>
      <c r="G2240">
        <v>2</v>
      </c>
      <c r="H2240">
        <v>623</v>
      </c>
      <c r="I2240">
        <v>4300000</v>
      </c>
      <c r="J2240">
        <v>4000000</v>
      </c>
      <c r="K2240">
        <v>19100000</v>
      </c>
      <c r="L2240">
        <v>5700000</v>
      </c>
      <c r="M2240" t="s">
        <v>34</v>
      </c>
      <c r="N2240">
        <f t="shared" si="205"/>
        <v>1</v>
      </c>
      <c r="O2240" t="str">
        <f t="shared" si="204"/>
        <v>Low</v>
      </c>
      <c r="P2240" t="str">
        <f t="shared" si="206"/>
        <v>High</v>
      </c>
      <c r="Q2240" t="str">
        <f t="shared" si="207"/>
        <v>Low Loan</v>
      </c>
      <c r="R2240">
        <f t="shared" si="208"/>
        <v>33100000</v>
      </c>
      <c r="S2240" t="str">
        <f t="shared" si="209"/>
        <v>Strong</v>
      </c>
    </row>
    <row r="2241" spans="1:19" x14ac:dyDescent="0.25">
      <c r="A2241">
        <v>2240</v>
      </c>
      <c r="B2241">
        <v>1</v>
      </c>
      <c r="C2241" t="s">
        <v>31</v>
      </c>
      <c r="D2241" t="s">
        <v>33</v>
      </c>
      <c r="E2241">
        <v>5300000</v>
      </c>
      <c r="F2241">
        <v>18900000</v>
      </c>
      <c r="G2241">
        <v>16</v>
      </c>
      <c r="H2241">
        <v>361</v>
      </c>
      <c r="I2241">
        <v>300000</v>
      </c>
      <c r="J2241">
        <v>5000000</v>
      </c>
      <c r="K2241">
        <v>11900000</v>
      </c>
      <c r="L2241">
        <v>5500000</v>
      </c>
      <c r="M2241" t="s">
        <v>35</v>
      </c>
      <c r="N2241">
        <f t="shared" si="205"/>
        <v>0</v>
      </c>
      <c r="O2241" t="str">
        <f t="shared" si="204"/>
        <v>Low</v>
      </c>
      <c r="P2241" t="str">
        <f t="shared" si="206"/>
        <v>High</v>
      </c>
      <c r="Q2241" t="str">
        <f t="shared" si="207"/>
        <v>Low Loan</v>
      </c>
      <c r="R2241">
        <f t="shared" si="208"/>
        <v>22700000</v>
      </c>
      <c r="S2241" t="str">
        <f t="shared" si="209"/>
        <v>Strong</v>
      </c>
    </row>
    <row r="2242" spans="1:19" x14ac:dyDescent="0.25">
      <c r="A2242">
        <v>2241</v>
      </c>
      <c r="B2242">
        <v>5</v>
      </c>
      <c r="C2242" t="s">
        <v>31</v>
      </c>
      <c r="D2242" t="s">
        <v>33</v>
      </c>
      <c r="E2242">
        <v>7400000</v>
      </c>
      <c r="F2242">
        <v>16200000</v>
      </c>
      <c r="G2242">
        <v>2</v>
      </c>
      <c r="H2242">
        <v>778</v>
      </c>
      <c r="I2242">
        <v>17000000</v>
      </c>
      <c r="J2242">
        <v>2700000</v>
      </c>
      <c r="K2242">
        <v>19400000</v>
      </c>
      <c r="L2242">
        <v>9200000</v>
      </c>
      <c r="M2242" t="s">
        <v>34</v>
      </c>
      <c r="N2242">
        <f t="shared" si="205"/>
        <v>1</v>
      </c>
      <c r="O2242" t="str">
        <f t="shared" ref="O2242:O2305" si="210">IF(H2242&lt;650,"Low",
 IF(H2242&lt;700,"Medium",
 IF(H2242&lt;750,"Good","Excellent")))</f>
        <v>Excellent</v>
      </c>
      <c r="P2242" t="str">
        <f t="shared" si="206"/>
        <v>High</v>
      </c>
      <c r="Q2242" t="str">
        <f t="shared" si="207"/>
        <v>Low Loan</v>
      </c>
      <c r="R2242">
        <f t="shared" si="208"/>
        <v>48300000</v>
      </c>
      <c r="S2242" t="str">
        <f t="shared" si="209"/>
        <v>Strong</v>
      </c>
    </row>
    <row r="2243" spans="1:19" x14ac:dyDescent="0.25">
      <c r="A2243">
        <v>2242</v>
      </c>
      <c r="B2243">
        <v>1</v>
      </c>
      <c r="C2243" t="s">
        <v>31</v>
      </c>
      <c r="D2243" t="s">
        <v>33</v>
      </c>
      <c r="E2243">
        <v>1100000</v>
      </c>
      <c r="F2243">
        <v>3800000</v>
      </c>
      <c r="G2243">
        <v>8</v>
      </c>
      <c r="H2243">
        <v>779</v>
      </c>
      <c r="I2243">
        <v>600000</v>
      </c>
      <c r="J2243">
        <v>1800000</v>
      </c>
      <c r="K2243">
        <v>4000000</v>
      </c>
      <c r="L2243">
        <v>1600000</v>
      </c>
      <c r="M2243" t="s">
        <v>34</v>
      </c>
      <c r="N2243">
        <f t="shared" ref="N2243:N2306" si="211">IF(TRIM(CLEAN(M2243))="Approved",1,0)</f>
        <v>1</v>
      </c>
      <c r="O2243" t="str">
        <f t="shared" si="210"/>
        <v>Excellent</v>
      </c>
      <c r="P2243" t="str">
        <f t="shared" ref="P2243:P2306" si="212">IF(E2243&lt;300000,"Low",
 IF(E2243&lt;700000,"Middle","High"))</f>
        <v>High</v>
      </c>
      <c r="Q2243" t="str">
        <f t="shared" ref="Q2243:Q2306" si="213">IF(F2243&lt;20000000,"Low Loan","High Loan")</f>
        <v>Low Loan</v>
      </c>
      <c r="R2243">
        <f t="shared" ref="R2243:R2306" si="214">I2243+J2243+K2243+L2243</f>
        <v>8000000</v>
      </c>
      <c r="S2243" t="str">
        <f t="shared" ref="S2243:S2306" si="215">IF(R2243&lt;5000000,"Weak",
 IF(R2243&lt;10000000,"Moderate","Strong"))</f>
        <v>Moderate</v>
      </c>
    </row>
    <row r="2244" spans="1:19" x14ac:dyDescent="0.25">
      <c r="A2244">
        <v>2243</v>
      </c>
      <c r="B2244">
        <v>1</v>
      </c>
      <c r="C2244" t="s">
        <v>30</v>
      </c>
      <c r="D2244" t="s">
        <v>33</v>
      </c>
      <c r="E2244">
        <v>6600000</v>
      </c>
      <c r="F2244">
        <v>20700000</v>
      </c>
      <c r="G2244">
        <v>4</v>
      </c>
      <c r="H2244">
        <v>594</v>
      </c>
      <c r="I2244">
        <v>4800000</v>
      </c>
      <c r="J2244">
        <v>200000</v>
      </c>
      <c r="K2244">
        <v>26400000</v>
      </c>
      <c r="L2244">
        <v>8900000</v>
      </c>
      <c r="M2244" t="s">
        <v>34</v>
      </c>
      <c r="N2244">
        <f t="shared" si="211"/>
        <v>1</v>
      </c>
      <c r="O2244" t="str">
        <f t="shared" si="210"/>
        <v>Low</v>
      </c>
      <c r="P2244" t="str">
        <f t="shared" si="212"/>
        <v>High</v>
      </c>
      <c r="Q2244" t="str">
        <f t="shared" si="213"/>
        <v>High Loan</v>
      </c>
      <c r="R2244">
        <f t="shared" si="214"/>
        <v>40300000</v>
      </c>
      <c r="S2244" t="str">
        <f t="shared" si="215"/>
        <v>Strong</v>
      </c>
    </row>
    <row r="2245" spans="1:19" x14ac:dyDescent="0.25">
      <c r="A2245">
        <v>2244</v>
      </c>
      <c r="B2245">
        <v>3</v>
      </c>
      <c r="C2245" t="s">
        <v>30</v>
      </c>
      <c r="D2245" t="s">
        <v>32</v>
      </c>
      <c r="E2245">
        <v>8200000</v>
      </c>
      <c r="F2245">
        <v>28300000</v>
      </c>
      <c r="G2245">
        <v>2</v>
      </c>
      <c r="H2245">
        <v>530</v>
      </c>
      <c r="I2245">
        <v>15000000</v>
      </c>
      <c r="J2245">
        <v>10500000</v>
      </c>
      <c r="K2245">
        <v>20200000</v>
      </c>
      <c r="L2245">
        <v>12100000</v>
      </c>
      <c r="M2245" t="s">
        <v>34</v>
      </c>
      <c r="N2245">
        <f t="shared" si="211"/>
        <v>1</v>
      </c>
      <c r="O2245" t="str">
        <f t="shared" si="210"/>
        <v>Low</v>
      </c>
      <c r="P2245" t="str">
        <f t="shared" si="212"/>
        <v>High</v>
      </c>
      <c r="Q2245" t="str">
        <f t="shared" si="213"/>
        <v>High Loan</v>
      </c>
      <c r="R2245">
        <f t="shared" si="214"/>
        <v>57800000</v>
      </c>
      <c r="S2245" t="str">
        <f t="shared" si="215"/>
        <v>Strong</v>
      </c>
    </row>
    <row r="2246" spans="1:19" x14ac:dyDescent="0.25">
      <c r="A2246">
        <v>2245</v>
      </c>
      <c r="B2246">
        <v>3</v>
      </c>
      <c r="C2246" t="s">
        <v>31</v>
      </c>
      <c r="D2246" t="s">
        <v>32</v>
      </c>
      <c r="E2246">
        <v>3300000</v>
      </c>
      <c r="F2246">
        <v>9300000</v>
      </c>
      <c r="G2246">
        <v>12</v>
      </c>
      <c r="H2246">
        <v>324</v>
      </c>
      <c r="I2246">
        <v>5300000</v>
      </c>
      <c r="J2246">
        <v>2600000</v>
      </c>
      <c r="K2246">
        <v>7500000</v>
      </c>
      <c r="L2246">
        <v>2000000</v>
      </c>
      <c r="M2246" t="s">
        <v>35</v>
      </c>
      <c r="N2246">
        <f t="shared" si="211"/>
        <v>0</v>
      </c>
      <c r="O2246" t="str">
        <f t="shared" si="210"/>
        <v>Low</v>
      </c>
      <c r="P2246" t="str">
        <f t="shared" si="212"/>
        <v>High</v>
      </c>
      <c r="Q2246" t="str">
        <f t="shared" si="213"/>
        <v>Low Loan</v>
      </c>
      <c r="R2246">
        <f t="shared" si="214"/>
        <v>17400000</v>
      </c>
      <c r="S2246" t="str">
        <f t="shared" si="215"/>
        <v>Strong</v>
      </c>
    </row>
    <row r="2247" spans="1:19" x14ac:dyDescent="0.25">
      <c r="A2247">
        <v>2246</v>
      </c>
      <c r="B2247">
        <v>4</v>
      </c>
      <c r="C2247" t="s">
        <v>30</v>
      </c>
      <c r="D2247" t="s">
        <v>33</v>
      </c>
      <c r="E2247">
        <v>2500000</v>
      </c>
      <c r="F2247">
        <v>9000000</v>
      </c>
      <c r="G2247">
        <v>10</v>
      </c>
      <c r="H2247">
        <v>394</v>
      </c>
      <c r="I2247">
        <v>6700000</v>
      </c>
      <c r="J2247">
        <v>2000000</v>
      </c>
      <c r="K2247">
        <v>7300000</v>
      </c>
      <c r="L2247">
        <v>3000000</v>
      </c>
      <c r="M2247" t="s">
        <v>35</v>
      </c>
      <c r="N2247">
        <f t="shared" si="211"/>
        <v>0</v>
      </c>
      <c r="O2247" t="str">
        <f t="shared" si="210"/>
        <v>Low</v>
      </c>
      <c r="P2247" t="str">
        <f t="shared" si="212"/>
        <v>High</v>
      </c>
      <c r="Q2247" t="str">
        <f t="shared" si="213"/>
        <v>Low Loan</v>
      </c>
      <c r="R2247">
        <f t="shared" si="214"/>
        <v>19000000</v>
      </c>
      <c r="S2247" t="str">
        <f t="shared" si="215"/>
        <v>Strong</v>
      </c>
    </row>
    <row r="2248" spans="1:19" x14ac:dyDescent="0.25">
      <c r="A2248">
        <v>2247</v>
      </c>
      <c r="B2248">
        <v>3</v>
      </c>
      <c r="C2248" t="s">
        <v>30</v>
      </c>
      <c r="D2248" t="s">
        <v>33</v>
      </c>
      <c r="E2248">
        <v>3300000</v>
      </c>
      <c r="F2248">
        <v>10400000</v>
      </c>
      <c r="G2248">
        <v>12</v>
      </c>
      <c r="H2248">
        <v>816</v>
      </c>
      <c r="I2248">
        <v>7100000</v>
      </c>
      <c r="J2248">
        <v>6300000</v>
      </c>
      <c r="K2248">
        <v>11800000</v>
      </c>
      <c r="L2248">
        <v>4900000</v>
      </c>
      <c r="M2248" t="s">
        <v>34</v>
      </c>
      <c r="N2248">
        <f t="shared" si="211"/>
        <v>1</v>
      </c>
      <c r="O2248" t="str">
        <f t="shared" si="210"/>
        <v>Excellent</v>
      </c>
      <c r="P2248" t="str">
        <f t="shared" si="212"/>
        <v>High</v>
      </c>
      <c r="Q2248" t="str">
        <f t="shared" si="213"/>
        <v>Low Loan</v>
      </c>
      <c r="R2248">
        <f t="shared" si="214"/>
        <v>30100000</v>
      </c>
      <c r="S2248" t="str">
        <f t="shared" si="215"/>
        <v>Strong</v>
      </c>
    </row>
    <row r="2249" spans="1:19" x14ac:dyDescent="0.25">
      <c r="A2249">
        <v>2248</v>
      </c>
      <c r="B2249">
        <v>5</v>
      </c>
      <c r="C2249" t="s">
        <v>31</v>
      </c>
      <c r="D2249" t="s">
        <v>32</v>
      </c>
      <c r="E2249">
        <v>1000000</v>
      </c>
      <c r="F2249">
        <v>2300000</v>
      </c>
      <c r="G2249">
        <v>16</v>
      </c>
      <c r="H2249">
        <v>423</v>
      </c>
      <c r="I2249">
        <v>1700000</v>
      </c>
      <c r="J2249">
        <v>700000</v>
      </c>
      <c r="K2249">
        <v>2900000</v>
      </c>
      <c r="L2249">
        <v>1400000</v>
      </c>
      <c r="M2249" t="s">
        <v>35</v>
      </c>
      <c r="N2249">
        <f t="shared" si="211"/>
        <v>0</v>
      </c>
      <c r="O2249" t="str">
        <f t="shared" si="210"/>
        <v>Low</v>
      </c>
      <c r="P2249" t="str">
        <f t="shared" si="212"/>
        <v>High</v>
      </c>
      <c r="Q2249" t="str">
        <f t="shared" si="213"/>
        <v>Low Loan</v>
      </c>
      <c r="R2249">
        <f t="shared" si="214"/>
        <v>6700000</v>
      </c>
      <c r="S2249" t="str">
        <f t="shared" si="215"/>
        <v>Moderate</v>
      </c>
    </row>
    <row r="2250" spans="1:19" x14ac:dyDescent="0.25">
      <c r="A2250">
        <v>2249</v>
      </c>
      <c r="B2250">
        <v>5</v>
      </c>
      <c r="C2250" t="s">
        <v>30</v>
      </c>
      <c r="D2250" t="s">
        <v>33</v>
      </c>
      <c r="E2250">
        <v>6200000</v>
      </c>
      <c r="F2250">
        <v>12800000</v>
      </c>
      <c r="G2250">
        <v>2</v>
      </c>
      <c r="H2250">
        <v>539</v>
      </c>
      <c r="I2250">
        <v>5600000</v>
      </c>
      <c r="J2250">
        <v>9800000</v>
      </c>
      <c r="K2250">
        <v>22300000</v>
      </c>
      <c r="L2250">
        <v>4800000</v>
      </c>
      <c r="M2250" t="s">
        <v>35</v>
      </c>
      <c r="N2250">
        <f t="shared" si="211"/>
        <v>0</v>
      </c>
      <c r="O2250" t="str">
        <f t="shared" si="210"/>
        <v>Low</v>
      </c>
      <c r="P2250" t="str">
        <f t="shared" si="212"/>
        <v>High</v>
      </c>
      <c r="Q2250" t="str">
        <f t="shared" si="213"/>
        <v>Low Loan</v>
      </c>
      <c r="R2250">
        <f t="shared" si="214"/>
        <v>42500000</v>
      </c>
      <c r="S2250" t="str">
        <f t="shared" si="215"/>
        <v>Strong</v>
      </c>
    </row>
    <row r="2251" spans="1:19" x14ac:dyDescent="0.25">
      <c r="A2251">
        <v>2250</v>
      </c>
      <c r="B2251">
        <v>1</v>
      </c>
      <c r="C2251" t="s">
        <v>30</v>
      </c>
      <c r="D2251" t="s">
        <v>32</v>
      </c>
      <c r="E2251">
        <v>7000000</v>
      </c>
      <c r="F2251">
        <v>21000000</v>
      </c>
      <c r="G2251">
        <v>20</v>
      </c>
      <c r="H2251">
        <v>554</v>
      </c>
      <c r="I2251">
        <v>16900000</v>
      </c>
      <c r="J2251">
        <v>6600000</v>
      </c>
      <c r="K2251">
        <v>14600000</v>
      </c>
      <c r="L2251">
        <v>5600000</v>
      </c>
      <c r="M2251" t="s">
        <v>34</v>
      </c>
      <c r="N2251">
        <f t="shared" si="211"/>
        <v>1</v>
      </c>
      <c r="O2251" t="str">
        <f t="shared" si="210"/>
        <v>Low</v>
      </c>
      <c r="P2251" t="str">
        <f t="shared" si="212"/>
        <v>High</v>
      </c>
      <c r="Q2251" t="str">
        <f t="shared" si="213"/>
        <v>High Loan</v>
      </c>
      <c r="R2251">
        <f t="shared" si="214"/>
        <v>43700000</v>
      </c>
      <c r="S2251" t="str">
        <f t="shared" si="215"/>
        <v>Strong</v>
      </c>
    </row>
    <row r="2252" spans="1:19" x14ac:dyDescent="0.25">
      <c r="A2252">
        <v>2251</v>
      </c>
      <c r="B2252">
        <v>2</v>
      </c>
      <c r="C2252" t="s">
        <v>30</v>
      </c>
      <c r="D2252" t="s">
        <v>33</v>
      </c>
      <c r="E2252">
        <v>7000000</v>
      </c>
      <c r="F2252">
        <v>19000000</v>
      </c>
      <c r="G2252">
        <v>6</v>
      </c>
      <c r="H2252">
        <v>523</v>
      </c>
      <c r="I2252">
        <v>5300000</v>
      </c>
      <c r="J2252">
        <v>9300000</v>
      </c>
      <c r="K2252">
        <v>25800000</v>
      </c>
      <c r="L2252">
        <v>9500000</v>
      </c>
      <c r="M2252" t="s">
        <v>35</v>
      </c>
      <c r="N2252">
        <f t="shared" si="211"/>
        <v>0</v>
      </c>
      <c r="O2252" t="str">
        <f t="shared" si="210"/>
        <v>Low</v>
      </c>
      <c r="P2252" t="str">
        <f t="shared" si="212"/>
        <v>High</v>
      </c>
      <c r="Q2252" t="str">
        <f t="shared" si="213"/>
        <v>Low Loan</v>
      </c>
      <c r="R2252">
        <f t="shared" si="214"/>
        <v>49900000</v>
      </c>
      <c r="S2252" t="str">
        <f t="shared" si="215"/>
        <v>Strong</v>
      </c>
    </row>
    <row r="2253" spans="1:19" x14ac:dyDescent="0.25">
      <c r="A2253">
        <v>2252</v>
      </c>
      <c r="B2253">
        <v>1</v>
      </c>
      <c r="C2253" t="s">
        <v>31</v>
      </c>
      <c r="D2253" t="s">
        <v>33</v>
      </c>
      <c r="E2253">
        <v>5300000</v>
      </c>
      <c r="F2253">
        <v>12000000</v>
      </c>
      <c r="G2253">
        <v>10</v>
      </c>
      <c r="H2253">
        <v>852</v>
      </c>
      <c r="I2253">
        <v>400000</v>
      </c>
      <c r="J2253">
        <v>10400000</v>
      </c>
      <c r="K2253">
        <v>18900000</v>
      </c>
      <c r="L2253">
        <v>5000000</v>
      </c>
      <c r="M2253" t="s">
        <v>34</v>
      </c>
      <c r="N2253">
        <f t="shared" si="211"/>
        <v>1</v>
      </c>
      <c r="O2253" t="str">
        <f t="shared" si="210"/>
        <v>Excellent</v>
      </c>
      <c r="P2253" t="str">
        <f t="shared" si="212"/>
        <v>High</v>
      </c>
      <c r="Q2253" t="str">
        <f t="shared" si="213"/>
        <v>Low Loan</v>
      </c>
      <c r="R2253">
        <f t="shared" si="214"/>
        <v>34700000</v>
      </c>
      <c r="S2253" t="str">
        <f t="shared" si="215"/>
        <v>Strong</v>
      </c>
    </row>
    <row r="2254" spans="1:19" x14ac:dyDescent="0.25">
      <c r="A2254">
        <v>2253</v>
      </c>
      <c r="B2254">
        <v>0</v>
      </c>
      <c r="C2254" t="s">
        <v>31</v>
      </c>
      <c r="D2254" t="s">
        <v>33</v>
      </c>
      <c r="E2254">
        <v>1800000</v>
      </c>
      <c r="F2254">
        <v>3700000</v>
      </c>
      <c r="G2254">
        <v>2</v>
      </c>
      <c r="H2254">
        <v>505</v>
      </c>
      <c r="I2254">
        <v>3900000</v>
      </c>
      <c r="J2254">
        <v>2400000</v>
      </c>
      <c r="K2254">
        <v>4500000</v>
      </c>
      <c r="L2254">
        <v>1400000</v>
      </c>
      <c r="M2254" t="s">
        <v>35</v>
      </c>
      <c r="N2254">
        <f t="shared" si="211"/>
        <v>0</v>
      </c>
      <c r="O2254" t="str">
        <f t="shared" si="210"/>
        <v>Low</v>
      </c>
      <c r="P2254" t="str">
        <f t="shared" si="212"/>
        <v>High</v>
      </c>
      <c r="Q2254" t="str">
        <f t="shared" si="213"/>
        <v>Low Loan</v>
      </c>
      <c r="R2254">
        <f t="shared" si="214"/>
        <v>12200000</v>
      </c>
      <c r="S2254" t="str">
        <f t="shared" si="215"/>
        <v>Strong</v>
      </c>
    </row>
    <row r="2255" spans="1:19" x14ac:dyDescent="0.25">
      <c r="A2255">
        <v>2254</v>
      </c>
      <c r="B2255">
        <v>0</v>
      </c>
      <c r="C2255" t="s">
        <v>30</v>
      </c>
      <c r="D2255" t="s">
        <v>33</v>
      </c>
      <c r="E2255">
        <v>2300000</v>
      </c>
      <c r="F2255">
        <v>7900000</v>
      </c>
      <c r="G2255">
        <v>10</v>
      </c>
      <c r="H2255">
        <v>430</v>
      </c>
      <c r="I2255">
        <v>6600000</v>
      </c>
      <c r="J2255">
        <v>2800000</v>
      </c>
      <c r="K2255">
        <v>8100000</v>
      </c>
      <c r="L2255">
        <v>1900000</v>
      </c>
      <c r="M2255" t="s">
        <v>35</v>
      </c>
      <c r="N2255">
        <f t="shared" si="211"/>
        <v>0</v>
      </c>
      <c r="O2255" t="str">
        <f t="shared" si="210"/>
        <v>Low</v>
      </c>
      <c r="P2255" t="str">
        <f t="shared" si="212"/>
        <v>High</v>
      </c>
      <c r="Q2255" t="str">
        <f t="shared" si="213"/>
        <v>Low Loan</v>
      </c>
      <c r="R2255">
        <f t="shared" si="214"/>
        <v>19400000</v>
      </c>
      <c r="S2255" t="str">
        <f t="shared" si="215"/>
        <v>Strong</v>
      </c>
    </row>
    <row r="2256" spans="1:19" x14ac:dyDescent="0.25">
      <c r="A2256">
        <v>2255</v>
      </c>
      <c r="B2256">
        <v>2</v>
      </c>
      <c r="C2256" t="s">
        <v>30</v>
      </c>
      <c r="D2256" t="s">
        <v>32</v>
      </c>
      <c r="E2256">
        <v>4000000</v>
      </c>
      <c r="F2256">
        <v>9200000</v>
      </c>
      <c r="G2256">
        <v>16</v>
      </c>
      <c r="H2256">
        <v>784</v>
      </c>
      <c r="I2256">
        <v>3200000</v>
      </c>
      <c r="J2256">
        <v>600000</v>
      </c>
      <c r="K2256">
        <v>13000000</v>
      </c>
      <c r="L2256">
        <v>4900000</v>
      </c>
      <c r="M2256" t="s">
        <v>34</v>
      </c>
      <c r="N2256">
        <f t="shared" si="211"/>
        <v>1</v>
      </c>
      <c r="O2256" t="str">
        <f t="shared" si="210"/>
        <v>Excellent</v>
      </c>
      <c r="P2256" t="str">
        <f t="shared" si="212"/>
        <v>High</v>
      </c>
      <c r="Q2256" t="str">
        <f t="shared" si="213"/>
        <v>Low Loan</v>
      </c>
      <c r="R2256">
        <f t="shared" si="214"/>
        <v>21700000</v>
      </c>
      <c r="S2256" t="str">
        <f t="shared" si="215"/>
        <v>Strong</v>
      </c>
    </row>
    <row r="2257" spans="1:19" x14ac:dyDescent="0.25">
      <c r="A2257">
        <v>2256</v>
      </c>
      <c r="B2257">
        <v>1</v>
      </c>
      <c r="C2257" t="s">
        <v>31</v>
      </c>
      <c r="D2257" t="s">
        <v>32</v>
      </c>
      <c r="E2257">
        <v>8900000</v>
      </c>
      <c r="F2257">
        <v>24000000</v>
      </c>
      <c r="G2257">
        <v>6</v>
      </c>
      <c r="H2257">
        <v>380</v>
      </c>
      <c r="I2257">
        <v>16500000</v>
      </c>
      <c r="J2257">
        <v>7400000</v>
      </c>
      <c r="K2257">
        <v>27700000</v>
      </c>
      <c r="L2257">
        <v>7500000</v>
      </c>
      <c r="M2257" t="s">
        <v>35</v>
      </c>
      <c r="N2257">
        <f t="shared" si="211"/>
        <v>0</v>
      </c>
      <c r="O2257" t="str">
        <f t="shared" si="210"/>
        <v>Low</v>
      </c>
      <c r="P2257" t="str">
        <f t="shared" si="212"/>
        <v>High</v>
      </c>
      <c r="Q2257" t="str">
        <f t="shared" si="213"/>
        <v>High Loan</v>
      </c>
      <c r="R2257">
        <f t="shared" si="214"/>
        <v>59100000</v>
      </c>
      <c r="S2257" t="str">
        <f t="shared" si="215"/>
        <v>Strong</v>
      </c>
    </row>
    <row r="2258" spans="1:19" x14ac:dyDescent="0.25">
      <c r="A2258">
        <v>2257</v>
      </c>
      <c r="B2258">
        <v>3</v>
      </c>
      <c r="C2258" t="s">
        <v>30</v>
      </c>
      <c r="D2258" t="s">
        <v>32</v>
      </c>
      <c r="E2258">
        <v>8000000</v>
      </c>
      <c r="F2258">
        <v>18600000</v>
      </c>
      <c r="G2258">
        <v>20</v>
      </c>
      <c r="H2258">
        <v>565</v>
      </c>
      <c r="I2258">
        <v>1600000</v>
      </c>
      <c r="J2258">
        <v>8600000</v>
      </c>
      <c r="K2258">
        <v>22500000</v>
      </c>
      <c r="L2258">
        <v>9400000</v>
      </c>
      <c r="M2258" t="s">
        <v>34</v>
      </c>
      <c r="N2258">
        <f t="shared" si="211"/>
        <v>1</v>
      </c>
      <c r="O2258" t="str">
        <f t="shared" si="210"/>
        <v>Low</v>
      </c>
      <c r="P2258" t="str">
        <f t="shared" si="212"/>
        <v>High</v>
      </c>
      <c r="Q2258" t="str">
        <f t="shared" si="213"/>
        <v>Low Loan</v>
      </c>
      <c r="R2258">
        <f t="shared" si="214"/>
        <v>42100000</v>
      </c>
      <c r="S2258" t="str">
        <f t="shared" si="215"/>
        <v>Strong</v>
      </c>
    </row>
    <row r="2259" spans="1:19" x14ac:dyDescent="0.25">
      <c r="A2259">
        <v>2258</v>
      </c>
      <c r="B2259">
        <v>4</v>
      </c>
      <c r="C2259" t="s">
        <v>30</v>
      </c>
      <c r="D2259" t="s">
        <v>33</v>
      </c>
      <c r="E2259">
        <v>7900000</v>
      </c>
      <c r="F2259">
        <v>26900000</v>
      </c>
      <c r="G2259">
        <v>14</v>
      </c>
      <c r="H2259">
        <v>446</v>
      </c>
      <c r="I2259">
        <v>17900000</v>
      </c>
      <c r="J2259">
        <v>7300000</v>
      </c>
      <c r="K2259">
        <v>16500000</v>
      </c>
      <c r="L2259">
        <v>8200000</v>
      </c>
      <c r="M2259" t="s">
        <v>35</v>
      </c>
      <c r="N2259">
        <f t="shared" si="211"/>
        <v>0</v>
      </c>
      <c r="O2259" t="str">
        <f t="shared" si="210"/>
        <v>Low</v>
      </c>
      <c r="P2259" t="str">
        <f t="shared" si="212"/>
        <v>High</v>
      </c>
      <c r="Q2259" t="str">
        <f t="shared" si="213"/>
        <v>High Loan</v>
      </c>
      <c r="R2259">
        <f t="shared" si="214"/>
        <v>49900000</v>
      </c>
      <c r="S2259" t="str">
        <f t="shared" si="215"/>
        <v>Strong</v>
      </c>
    </row>
    <row r="2260" spans="1:19" x14ac:dyDescent="0.25">
      <c r="A2260">
        <v>2259</v>
      </c>
      <c r="B2260">
        <v>5</v>
      </c>
      <c r="C2260" t="s">
        <v>30</v>
      </c>
      <c r="D2260" t="s">
        <v>33</v>
      </c>
      <c r="E2260">
        <v>6700000</v>
      </c>
      <c r="F2260">
        <v>20200000</v>
      </c>
      <c r="G2260">
        <v>8</v>
      </c>
      <c r="H2260">
        <v>406</v>
      </c>
      <c r="I2260">
        <v>6900000</v>
      </c>
      <c r="J2260">
        <v>4900000</v>
      </c>
      <c r="K2260">
        <v>15300000</v>
      </c>
      <c r="L2260">
        <v>7100000</v>
      </c>
      <c r="M2260" t="s">
        <v>35</v>
      </c>
      <c r="N2260">
        <f t="shared" si="211"/>
        <v>0</v>
      </c>
      <c r="O2260" t="str">
        <f t="shared" si="210"/>
        <v>Low</v>
      </c>
      <c r="P2260" t="str">
        <f t="shared" si="212"/>
        <v>High</v>
      </c>
      <c r="Q2260" t="str">
        <f t="shared" si="213"/>
        <v>High Loan</v>
      </c>
      <c r="R2260">
        <f t="shared" si="214"/>
        <v>34200000</v>
      </c>
      <c r="S2260" t="str">
        <f t="shared" si="215"/>
        <v>Strong</v>
      </c>
    </row>
    <row r="2261" spans="1:19" x14ac:dyDescent="0.25">
      <c r="A2261">
        <v>2260</v>
      </c>
      <c r="B2261">
        <v>4</v>
      </c>
      <c r="C2261" t="s">
        <v>31</v>
      </c>
      <c r="D2261" t="s">
        <v>32</v>
      </c>
      <c r="E2261">
        <v>2400000</v>
      </c>
      <c r="F2261">
        <v>6000000</v>
      </c>
      <c r="G2261">
        <v>6</v>
      </c>
      <c r="H2261">
        <v>712</v>
      </c>
      <c r="I2261">
        <v>6800000</v>
      </c>
      <c r="J2261">
        <v>2200000</v>
      </c>
      <c r="K2261">
        <v>6000000</v>
      </c>
      <c r="L2261">
        <v>1200000</v>
      </c>
      <c r="M2261" t="s">
        <v>34</v>
      </c>
      <c r="N2261">
        <f t="shared" si="211"/>
        <v>1</v>
      </c>
      <c r="O2261" t="str">
        <f t="shared" si="210"/>
        <v>Good</v>
      </c>
      <c r="P2261" t="str">
        <f t="shared" si="212"/>
        <v>High</v>
      </c>
      <c r="Q2261" t="str">
        <f t="shared" si="213"/>
        <v>Low Loan</v>
      </c>
      <c r="R2261">
        <f t="shared" si="214"/>
        <v>16200000</v>
      </c>
      <c r="S2261" t="str">
        <f t="shared" si="215"/>
        <v>Strong</v>
      </c>
    </row>
    <row r="2262" spans="1:19" x14ac:dyDescent="0.25">
      <c r="A2262">
        <v>2261</v>
      </c>
      <c r="B2262">
        <v>4</v>
      </c>
      <c r="C2262" t="s">
        <v>31</v>
      </c>
      <c r="D2262" t="s">
        <v>32</v>
      </c>
      <c r="E2262">
        <v>8600000</v>
      </c>
      <c r="F2262">
        <v>22600000</v>
      </c>
      <c r="G2262">
        <v>14</v>
      </c>
      <c r="H2262">
        <v>729</v>
      </c>
      <c r="I2262">
        <v>300000</v>
      </c>
      <c r="J2262">
        <v>16200000</v>
      </c>
      <c r="K2262">
        <v>20500000</v>
      </c>
      <c r="L2262">
        <v>11900000</v>
      </c>
      <c r="M2262" t="s">
        <v>34</v>
      </c>
      <c r="N2262">
        <f t="shared" si="211"/>
        <v>1</v>
      </c>
      <c r="O2262" t="str">
        <f t="shared" si="210"/>
        <v>Good</v>
      </c>
      <c r="P2262" t="str">
        <f t="shared" si="212"/>
        <v>High</v>
      </c>
      <c r="Q2262" t="str">
        <f t="shared" si="213"/>
        <v>High Loan</v>
      </c>
      <c r="R2262">
        <f t="shared" si="214"/>
        <v>48900000</v>
      </c>
      <c r="S2262" t="str">
        <f t="shared" si="215"/>
        <v>Strong</v>
      </c>
    </row>
    <row r="2263" spans="1:19" x14ac:dyDescent="0.25">
      <c r="A2263">
        <v>2262</v>
      </c>
      <c r="B2263">
        <v>1</v>
      </c>
      <c r="C2263" t="s">
        <v>31</v>
      </c>
      <c r="D2263" t="s">
        <v>33</v>
      </c>
      <c r="E2263">
        <v>5300000</v>
      </c>
      <c r="F2263">
        <v>14600000</v>
      </c>
      <c r="G2263">
        <v>20</v>
      </c>
      <c r="H2263">
        <v>508</v>
      </c>
      <c r="I2263">
        <v>11200000</v>
      </c>
      <c r="J2263">
        <v>2800000</v>
      </c>
      <c r="K2263">
        <v>17000000</v>
      </c>
      <c r="L2263">
        <v>4600000</v>
      </c>
      <c r="M2263" t="s">
        <v>35</v>
      </c>
      <c r="N2263">
        <f t="shared" si="211"/>
        <v>0</v>
      </c>
      <c r="O2263" t="str">
        <f t="shared" si="210"/>
        <v>Low</v>
      </c>
      <c r="P2263" t="str">
        <f t="shared" si="212"/>
        <v>High</v>
      </c>
      <c r="Q2263" t="str">
        <f t="shared" si="213"/>
        <v>Low Loan</v>
      </c>
      <c r="R2263">
        <f t="shared" si="214"/>
        <v>35600000</v>
      </c>
      <c r="S2263" t="str">
        <f t="shared" si="215"/>
        <v>Strong</v>
      </c>
    </row>
    <row r="2264" spans="1:19" x14ac:dyDescent="0.25">
      <c r="A2264">
        <v>2263</v>
      </c>
      <c r="B2264">
        <v>0</v>
      </c>
      <c r="C2264" t="s">
        <v>30</v>
      </c>
      <c r="D2264" t="s">
        <v>32</v>
      </c>
      <c r="E2264">
        <v>7400000</v>
      </c>
      <c r="F2264">
        <v>24900000</v>
      </c>
      <c r="G2264">
        <v>20</v>
      </c>
      <c r="H2264">
        <v>648</v>
      </c>
      <c r="I2264">
        <v>7100000</v>
      </c>
      <c r="J2264">
        <v>7900000</v>
      </c>
      <c r="K2264">
        <v>23300000</v>
      </c>
      <c r="L2264">
        <v>6200000</v>
      </c>
      <c r="M2264" t="s">
        <v>34</v>
      </c>
      <c r="N2264">
        <f t="shared" si="211"/>
        <v>1</v>
      </c>
      <c r="O2264" t="str">
        <f t="shared" si="210"/>
        <v>Low</v>
      </c>
      <c r="P2264" t="str">
        <f t="shared" si="212"/>
        <v>High</v>
      </c>
      <c r="Q2264" t="str">
        <f t="shared" si="213"/>
        <v>High Loan</v>
      </c>
      <c r="R2264">
        <f t="shared" si="214"/>
        <v>44500000</v>
      </c>
      <c r="S2264" t="str">
        <f t="shared" si="215"/>
        <v>Strong</v>
      </c>
    </row>
    <row r="2265" spans="1:19" x14ac:dyDescent="0.25">
      <c r="A2265">
        <v>2264</v>
      </c>
      <c r="B2265">
        <v>0</v>
      </c>
      <c r="C2265" t="s">
        <v>31</v>
      </c>
      <c r="D2265" t="s">
        <v>33</v>
      </c>
      <c r="E2265">
        <v>8700000</v>
      </c>
      <c r="F2265">
        <v>18700000</v>
      </c>
      <c r="G2265">
        <v>10</v>
      </c>
      <c r="H2265">
        <v>346</v>
      </c>
      <c r="I2265">
        <v>1200000</v>
      </c>
      <c r="J2265">
        <v>1800000</v>
      </c>
      <c r="K2265">
        <v>30700000</v>
      </c>
      <c r="L2265">
        <v>8200000</v>
      </c>
      <c r="M2265" t="s">
        <v>35</v>
      </c>
      <c r="N2265">
        <f t="shared" si="211"/>
        <v>0</v>
      </c>
      <c r="O2265" t="str">
        <f t="shared" si="210"/>
        <v>Low</v>
      </c>
      <c r="P2265" t="str">
        <f t="shared" si="212"/>
        <v>High</v>
      </c>
      <c r="Q2265" t="str">
        <f t="shared" si="213"/>
        <v>Low Loan</v>
      </c>
      <c r="R2265">
        <f t="shared" si="214"/>
        <v>41900000</v>
      </c>
      <c r="S2265" t="str">
        <f t="shared" si="215"/>
        <v>Strong</v>
      </c>
    </row>
    <row r="2266" spans="1:19" x14ac:dyDescent="0.25">
      <c r="A2266">
        <v>2265</v>
      </c>
      <c r="B2266">
        <v>5</v>
      </c>
      <c r="C2266" t="s">
        <v>30</v>
      </c>
      <c r="D2266" t="s">
        <v>32</v>
      </c>
      <c r="E2266">
        <v>8200000</v>
      </c>
      <c r="F2266">
        <v>18500000</v>
      </c>
      <c r="G2266">
        <v>4</v>
      </c>
      <c r="H2266">
        <v>394</v>
      </c>
      <c r="I2266">
        <v>9600000</v>
      </c>
      <c r="J2266">
        <v>5700000</v>
      </c>
      <c r="K2266">
        <v>27400000</v>
      </c>
      <c r="L2266">
        <v>11100000</v>
      </c>
      <c r="M2266" t="s">
        <v>35</v>
      </c>
      <c r="N2266">
        <f t="shared" si="211"/>
        <v>0</v>
      </c>
      <c r="O2266" t="str">
        <f t="shared" si="210"/>
        <v>Low</v>
      </c>
      <c r="P2266" t="str">
        <f t="shared" si="212"/>
        <v>High</v>
      </c>
      <c r="Q2266" t="str">
        <f t="shared" si="213"/>
        <v>Low Loan</v>
      </c>
      <c r="R2266">
        <f t="shared" si="214"/>
        <v>53800000</v>
      </c>
      <c r="S2266" t="str">
        <f t="shared" si="215"/>
        <v>Strong</v>
      </c>
    </row>
    <row r="2267" spans="1:19" x14ac:dyDescent="0.25">
      <c r="A2267">
        <v>2266</v>
      </c>
      <c r="B2267">
        <v>0</v>
      </c>
      <c r="C2267" t="s">
        <v>31</v>
      </c>
      <c r="D2267" t="s">
        <v>33</v>
      </c>
      <c r="E2267">
        <v>3700000</v>
      </c>
      <c r="F2267">
        <v>9700000</v>
      </c>
      <c r="G2267">
        <v>12</v>
      </c>
      <c r="H2267">
        <v>501</v>
      </c>
      <c r="I2267">
        <v>2600000</v>
      </c>
      <c r="J2267">
        <v>6600000</v>
      </c>
      <c r="K2267">
        <v>9200000</v>
      </c>
      <c r="L2267">
        <v>4600000</v>
      </c>
      <c r="M2267" t="s">
        <v>35</v>
      </c>
      <c r="N2267">
        <f t="shared" si="211"/>
        <v>0</v>
      </c>
      <c r="O2267" t="str">
        <f t="shared" si="210"/>
        <v>Low</v>
      </c>
      <c r="P2267" t="str">
        <f t="shared" si="212"/>
        <v>High</v>
      </c>
      <c r="Q2267" t="str">
        <f t="shared" si="213"/>
        <v>Low Loan</v>
      </c>
      <c r="R2267">
        <f t="shared" si="214"/>
        <v>23000000</v>
      </c>
      <c r="S2267" t="str">
        <f t="shared" si="215"/>
        <v>Strong</v>
      </c>
    </row>
    <row r="2268" spans="1:19" x14ac:dyDescent="0.25">
      <c r="A2268">
        <v>2267</v>
      </c>
      <c r="B2268">
        <v>5</v>
      </c>
      <c r="C2268" t="s">
        <v>31</v>
      </c>
      <c r="D2268" t="s">
        <v>33</v>
      </c>
      <c r="E2268">
        <v>9200000</v>
      </c>
      <c r="F2268">
        <v>36300000</v>
      </c>
      <c r="G2268">
        <v>2</v>
      </c>
      <c r="H2268">
        <v>655</v>
      </c>
      <c r="I2268">
        <v>3000000</v>
      </c>
      <c r="J2268">
        <v>1200000</v>
      </c>
      <c r="K2268">
        <v>32200000</v>
      </c>
      <c r="L2268">
        <v>8700000</v>
      </c>
      <c r="M2268" t="s">
        <v>34</v>
      </c>
      <c r="N2268">
        <f t="shared" si="211"/>
        <v>1</v>
      </c>
      <c r="O2268" t="str">
        <f t="shared" si="210"/>
        <v>Medium</v>
      </c>
      <c r="P2268" t="str">
        <f t="shared" si="212"/>
        <v>High</v>
      </c>
      <c r="Q2268" t="str">
        <f t="shared" si="213"/>
        <v>High Loan</v>
      </c>
      <c r="R2268">
        <f t="shared" si="214"/>
        <v>45100000</v>
      </c>
      <c r="S2268" t="str">
        <f t="shared" si="215"/>
        <v>Strong</v>
      </c>
    </row>
    <row r="2269" spans="1:19" x14ac:dyDescent="0.25">
      <c r="A2269">
        <v>2268</v>
      </c>
      <c r="B2269">
        <v>4</v>
      </c>
      <c r="C2269" t="s">
        <v>31</v>
      </c>
      <c r="D2269" t="s">
        <v>32</v>
      </c>
      <c r="E2269">
        <v>6100000</v>
      </c>
      <c r="F2269">
        <v>20900000</v>
      </c>
      <c r="G2269">
        <v>4</v>
      </c>
      <c r="H2269">
        <v>662</v>
      </c>
      <c r="I2269">
        <v>10200000</v>
      </c>
      <c r="J2269">
        <v>7000000</v>
      </c>
      <c r="K2269">
        <v>23300000</v>
      </c>
      <c r="L2269">
        <v>4100000</v>
      </c>
      <c r="M2269" t="s">
        <v>34</v>
      </c>
      <c r="N2269">
        <f t="shared" si="211"/>
        <v>1</v>
      </c>
      <c r="O2269" t="str">
        <f t="shared" si="210"/>
        <v>Medium</v>
      </c>
      <c r="P2269" t="str">
        <f t="shared" si="212"/>
        <v>High</v>
      </c>
      <c r="Q2269" t="str">
        <f t="shared" si="213"/>
        <v>High Loan</v>
      </c>
      <c r="R2269">
        <f t="shared" si="214"/>
        <v>44600000</v>
      </c>
      <c r="S2269" t="str">
        <f t="shared" si="215"/>
        <v>Strong</v>
      </c>
    </row>
    <row r="2270" spans="1:19" x14ac:dyDescent="0.25">
      <c r="A2270">
        <v>2269</v>
      </c>
      <c r="B2270">
        <v>2</v>
      </c>
      <c r="C2270" t="s">
        <v>30</v>
      </c>
      <c r="D2270" t="s">
        <v>33</v>
      </c>
      <c r="E2270">
        <v>8800000</v>
      </c>
      <c r="F2270">
        <v>30800000</v>
      </c>
      <c r="G2270">
        <v>20</v>
      </c>
      <c r="H2270">
        <v>820</v>
      </c>
      <c r="I2270">
        <v>700000</v>
      </c>
      <c r="J2270">
        <v>4800000</v>
      </c>
      <c r="K2270">
        <v>25900000</v>
      </c>
      <c r="L2270">
        <v>12700000</v>
      </c>
      <c r="M2270" t="s">
        <v>34</v>
      </c>
      <c r="N2270">
        <f t="shared" si="211"/>
        <v>1</v>
      </c>
      <c r="O2270" t="str">
        <f t="shared" si="210"/>
        <v>Excellent</v>
      </c>
      <c r="P2270" t="str">
        <f t="shared" si="212"/>
        <v>High</v>
      </c>
      <c r="Q2270" t="str">
        <f t="shared" si="213"/>
        <v>High Loan</v>
      </c>
      <c r="R2270">
        <f t="shared" si="214"/>
        <v>44100000</v>
      </c>
      <c r="S2270" t="str">
        <f t="shared" si="215"/>
        <v>Strong</v>
      </c>
    </row>
    <row r="2271" spans="1:19" x14ac:dyDescent="0.25">
      <c r="A2271">
        <v>2270</v>
      </c>
      <c r="B2271">
        <v>5</v>
      </c>
      <c r="C2271" t="s">
        <v>31</v>
      </c>
      <c r="D2271" t="s">
        <v>32</v>
      </c>
      <c r="E2271">
        <v>9200000</v>
      </c>
      <c r="F2271">
        <v>18900000</v>
      </c>
      <c r="G2271">
        <v>10</v>
      </c>
      <c r="H2271">
        <v>521</v>
      </c>
      <c r="I2271">
        <v>8300000</v>
      </c>
      <c r="J2271">
        <v>14500000</v>
      </c>
      <c r="K2271">
        <v>23400000</v>
      </c>
      <c r="L2271">
        <v>6900000</v>
      </c>
      <c r="M2271" t="s">
        <v>35</v>
      </c>
      <c r="N2271">
        <f t="shared" si="211"/>
        <v>0</v>
      </c>
      <c r="O2271" t="str">
        <f t="shared" si="210"/>
        <v>Low</v>
      </c>
      <c r="P2271" t="str">
        <f t="shared" si="212"/>
        <v>High</v>
      </c>
      <c r="Q2271" t="str">
        <f t="shared" si="213"/>
        <v>Low Loan</v>
      </c>
      <c r="R2271">
        <f t="shared" si="214"/>
        <v>53100000</v>
      </c>
      <c r="S2271" t="str">
        <f t="shared" si="215"/>
        <v>Strong</v>
      </c>
    </row>
    <row r="2272" spans="1:19" x14ac:dyDescent="0.25">
      <c r="A2272">
        <v>2271</v>
      </c>
      <c r="B2272">
        <v>3</v>
      </c>
      <c r="C2272" t="s">
        <v>30</v>
      </c>
      <c r="D2272" t="s">
        <v>32</v>
      </c>
      <c r="E2272">
        <v>7200000</v>
      </c>
      <c r="F2272">
        <v>27900000</v>
      </c>
      <c r="G2272">
        <v>12</v>
      </c>
      <c r="H2272">
        <v>473</v>
      </c>
      <c r="I2272">
        <v>21100000</v>
      </c>
      <c r="J2272">
        <v>8800000</v>
      </c>
      <c r="K2272">
        <v>27800000</v>
      </c>
      <c r="L2272">
        <v>8700000</v>
      </c>
      <c r="M2272" t="s">
        <v>35</v>
      </c>
      <c r="N2272">
        <f t="shared" si="211"/>
        <v>0</v>
      </c>
      <c r="O2272" t="str">
        <f t="shared" si="210"/>
        <v>Low</v>
      </c>
      <c r="P2272" t="str">
        <f t="shared" si="212"/>
        <v>High</v>
      </c>
      <c r="Q2272" t="str">
        <f t="shared" si="213"/>
        <v>High Loan</v>
      </c>
      <c r="R2272">
        <f t="shared" si="214"/>
        <v>66400000</v>
      </c>
      <c r="S2272" t="str">
        <f t="shared" si="215"/>
        <v>Strong</v>
      </c>
    </row>
    <row r="2273" spans="1:19" x14ac:dyDescent="0.25">
      <c r="A2273">
        <v>2272</v>
      </c>
      <c r="B2273">
        <v>1</v>
      </c>
      <c r="C2273" t="s">
        <v>30</v>
      </c>
      <c r="D2273" t="s">
        <v>32</v>
      </c>
      <c r="E2273">
        <v>600000</v>
      </c>
      <c r="F2273">
        <v>1200000</v>
      </c>
      <c r="G2273">
        <v>10</v>
      </c>
      <c r="H2273">
        <v>561</v>
      </c>
      <c r="I2273">
        <v>900000</v>
      </c>
      <c r="J2273">
        <v>300000</v>
      </c>
      <c r="K2273">
        <v>1400000</v>
      </c>
      <c r="L2273">
        <v>600000</v>
      </c>
      <c r="M2273" t="s">
        <v>34</v>
      </c>
      <c r="N2273">
        <f t="shared" si="211"/>
        <v>1</v>
      </c>
      <c r="O2273" t="str">
        <f t="shared" si="210"/>
        <v>Low</v>
      </c>
      <c r="P2273" t="str">
        <f t="shared" si="212"/>
        <v>Middle</v>
      </c>
      <c r="Q2273" t="str">
        <f t="shared" si="213"/>
        <v>Low Loan</v>
      </c>
      <c r="R2273">
        <f t="shared" si="214"/>
        <v>3200000</v>
      </c>
      <c r="S2273" t="str">
        <f t="shared" si="215"/>
        <v>Weak</v>
      </c>
    </row>
    <row r="2274" spans="1:19" x14ac:dyDescent="0.25">
      <c r="A2274">
        <v>2273</v>
      </c>
      <c r="B2274">
        <v>5</v>
      </c>
      <c r="C2274" t="s">
        <v>30</v>
      </c>
      <c r="D2274" t="s">
        <v>32</v>
      </c>
      <c r="E2274">
        <v>8000000</v>
      </c>
      <c r="F2274">
        <v>23100000</v>
      </c>
      <c r="G2274">
        <v>20</v>
      </c>
      <c r="H2274">
        <v>461</v>
      </c>
      <c r="I2274">
        <v>5900000</v>
      </c>
      <c r="J2274">
        <v>2400000</v>
      </c>
      <c r="K2274">
        <v>29300000</v>
      </c>
      <c r="L2274">
        <v>7200000</v>
      </c>
      <c r="M2274" t="s">
        <v>35</v>
      </c>
      <c r="N2274">
        <f t="shared" si="211"/>
        <v>0</v>
      </c>
      <c r="O2274" t="str">
        <f t="shared" si="210"/>
        <v>Low</v>
      </c>
      <c r="P2274" t="str">
        <f t="shared" si="212"/>
        <v>High</v>
      </c>
      <c r="Q2274" t="str">
        <f t="shared" si="213"/>
        <v>High Loan</v>
      </c>
      <c r="R2274">
        <f t="shared" si="214"/>
        <v>44800000</v>
      </c>
      <c r="S2274" t="str">
        <f t="shared" si="215"/>
        <v>Strong</v>
      </c>
    </row>
    <row r="2275" spans="1:19" x14ac:dyDescent="0.25">
      <c r="A2275">
        <v>2274</v>
      </c>
      <c r="B2275">
        <v>4</v>
      </c>
      <c r="C2275" t="s">
        <v>30</v>
      </c>
      <c r="D2275" t="s">
        <v>33</v>
      </c>
      <c r="E2275">
        <v>6900000</v>
      </c>
      <c r="F2275">
        <v>13800000</v>
      </c>
      <c r="G2275">
        <v>16</v>
      </c>
      <c r="H2275">
        <v>715</v>
      </c>
      <c r="I2275">
        <v>2100000</v>
      </c>
      <c r="J2275">
        <v>6100000</v>
      </c>
      <c r="K2275">
        <v>20900000</v>
      </c>
      <c r="L2275">
        <v>8200000</v>
      </c>
      <c r="M2275" t="s">
        <v>34</v>
      </c>
      <c r="N2275">
        <f t="shared" si="211"/>
        <v>1</v>
      </c>
      <c r="O2275" t="str">
        <f t="shared" si="210"/>
        <v>Good</v>
      </c>
      <c r="P2275" t="str">
        <f t="shared" si="212"/>
        <v>High</v>
      </c>
      <c r="Q2275" t="str">
        <f t="shared" si="213"/>
        <v>Low Loan</v>
      </c>
      <c r="R2275">
        <f t="shared" si="214"/>
        <v>37300000</v>
      </c>
      <c r="S2275" t="str">
        <f t="shared" si="215"/>
        <v>Strong</v>
      </c>
    </row>
    <row r="2276" spans="1:19" x14ac:dyDescent="0.25">
      <c r="A2276">
        <v>2275</v>
      </c>
      <c r="B2276">
        <v>0</v>
      </c>
      <c r="C2276" t="s">
        <v>31</v>
      </c>
      <c r="D2276" t="s">
        <v>33</v>
      </c>
      <c r="E2276">
        <v>4300000</v>
      </c>
      <c r="F2276">
        <v>15600000</v>
      </c>
      <c r="G2276">
        <v>18</v>
      </c>
      <c r="H2276">
        <v>440</v>
      </c>
      <c r="I2276">
        <v>6200000</v>
      </c>
      <c r="J2276">
        <v>1300000</v>
      </c>
      <c r="K2276">
        <v>10000000</v>
      </c>
      <c r="L2276">
        <v>4700000</v>
      </c>
      <c r="M2276" t="s">
        <v>35</v>
      </c>
      <c r="N2276">
        <f t="shared" si="211"/>
        <v>0</v>
      </c>
      <c r="O2276" t="str">
        <f t="shared" si="210"/>
        <v>Low</v>
      </c>
      <c r="P2276" t="str">
        <f t="shared" si="212"/>
        <v>High</v>
      </c>
      <c r="Q2276" t="str">
        <f t="shared" si="213"/>
        <v>Low Loan</v>
      </c>
      <c r="R2276">
        <f t="shared" si="214"/>
        <v>22200000</v>
      </c>
      <c r="S2276" t="str">
        <f t="shared" si="215"/>
        <v>Strong</v>
      </c>
    </row>
    <row r="2277" spans="1:19" x14ac:dyDescent="0.25">
      <c r="A2277">
        <v>2276</v>
      </c>
      <c r="B2277">
        <v>3</v>
      </c>
      <c r="C2277" t="s">
        <v>31</v>
      </c>
      <c r="D2277" t="s">
        <v>33</v>
      </c>
      <c r="E2277">
        <v>8500000</v>
      </c>
      <c r="F2277">
        <v>24900000</v>
      </c>
      <c r="G2277">
        <v>18</v>
      </c>
      <c r="H2277">
        <v>749</v>
      </c>
      <c r="I2277">
        <v>9600000</v>
      </c>
      <c r="J2277">
        <v>1200000</v>
      </c>
      <c r="K2277">
        <v>31700000</v>
      </c>
      <c r="L2277">
        <v>10100000</v>
      </c>
      <c r="M2277" t="s">
        <v>34</v>
      </c>
      <c r="N2277">
        <f t="shared" si="211"/>
        <v>1</v>
      </c>
      <c r="O2277" t="str">
        <f t="shared" si="210"/>
        <v>Good</v>
      </c>
      <c r="P2277" t="str">
        <f t="shared" si="212"/>
        <v>High</v>
      </c>
      <c r="Q2277" t="str">
        <f t="shared" si="213"/>
        <v>High Loan</v>
      </c>
      <c r="R2277">
        <f t="shared" si="214"/>
        <v>52600000</v>
      </c>
      <c r="S2277" t="str">
        <f t="shared" si="215"/>
        <v>Strong</v>
      </c>
    </row>
    <row r="2278" spans="1:19" x14ac:dyDescent="0.25">
      <c r="A2278">
        <v>2277</v>
      </c>
      <c r="B2278">
        <v>4</v>
      </c>
      <c r="C2278" t="s">
        <v>31</v>
      </c>
      <c r="D2278" t="s">
        <v>32</v>
      </c>
      <c r="E2278">
        <v>8600000</v>
      </c>
      <c r="F2278">
        <v>17400000</v>
      </c>
      <c r="G2278">
        <v>2</v>
      </c>
      <c r="H2278">
        <v>787</v>
      </c>
      <c r="I2278">
        <v>11700000</v>
      </c>
      <c r="J2278">
        <v>10600000</v>
      </c>
      <c r="K2278">
        <v>18400000</v>
      </c>
      <c r="L2278">
        <v>10600000</v>
      </c>
      <c r="M2278" t="s">
        <v>34</v>
      </c>
      <c r="N2278">
        <f t="shared" si="211"/>
        <v>1</v>
      </c>
      <c r="O2278" t="str">
        <f t="shared" si="210"/>
        <v>Excellent</v>
      </c>
      <c r="P2278" t="str">
        <f t="shared" si="212"/>
        <v>High</v>
      </c>
      <c r="Q2278" t="str">
        <f t="shared" si="213"/>
        <v>Low Loan</v>
      </c>
      <c r="R2278">
        <f t="shared" si="214"/>
        <v>51300000</v>
      </c>
      <c r="S2278" t="str">
        <f t="shared" si="215"/>
        <v>Strong</v>
      </c>
    </row>
    <row r="2279" spans="1:19" x14ac:dyDescent="0.25">
      <c r="A2279">
        <v>2278</v>
      </c>
      <c r="B2279">
        <v>3</v>
      </c>
      <c r="C2279" t="s">
        <v>30</v>
      </c>
      <c r="D2279" t="s">
        <v>32</v>
      </c>
      <c r="E2279">
        <v>6300000</v>
      </c>
      <c r="F2279">
        <v>13900000</v>
      </c>
      <c r="G2279">
        <v>18</v>
      </c>
      <c r="H2279">
        <v>748</v>
      </c>
      <c r="I2279">
        <v>17700000</v>
      </c>
      <c r="J2279">
        <v>8800000</v>
      </c>
      <c r="K2279">
        <v>21700000</v>
      </c>
      <c r="L2279">
        <v>8600000</v>
      </c>
      <c r="M2279" t="s">
        <v>34</v>
      </c>
      <c r="N2279">
        <f t="shared" si="211"/>
        <v>1</v>
      </c>
      <c r="O2279" t="str">
        <f t="shared" si="210"/>
        <v>Good</v>
      </c>
      <c r="P2279" t="str">
        <f t="shared" si="212"/>
        <v>High</v>
      </c>
      <c r="Q2279" t="str">
        <f t="shared" si="213"/>
        <v>Low Loan</v>
      </c>
      <c r="R2279">
        <f t="shared" si="214"/>
        <v>56800000</v>
      </c>
      <c r="S2279" t="str">
        <f t="shared" si="215"/>
        <v>Strong</v>
      </c>
    </row>
    <row r="2280" spans="1:19" x14ac:dyDescent="0.25">
      <c r="A2280">
        <v>2279</v>
      </c>
      <c r="B2280">
        <v>3</v>
      </c>
      <c r="C2280" t="s">
        <v>31</v>
      </c>
      <c r="D2280" t="s">
        <v>33</v>
      </c>
      <c r="E2280">
        <v>5800000</v>
      </c>
      <c r="F2280">
        <v>13600000</v>
      </c>
      <c r="G2280">
        <v>12</v>
      </c>
      <c r="H2280">
        <v>321</v>
      </c>
      <c r="I2280">
        <v>1700000</v>
      </c>
      <c r="J2280">
        <v>3300000</v>
      </c>
      <c r="K2280">
        <v>22300000</v>
      </c>
      <c r="L2280">
        <v>3400000</v>
      </c>
      <c r="M2280" t="s">
        <v>35</v>
      </c>
      <c r="N2280">
        <f t="shared" si="211"/>
        <v>0</v>
      </c>
      <c r="O2280" t="str">
        <f t="shared" si="210"/>
        <v>Low</v>
      </c>
      <c r="P2280" t="str">
        <f t="shared" si="212"/>
        <v>High</v>
      </c>
      <c r="Q2280" t="str">
        <f t="shared" si="213"/>
        <v>Low Loan</v>
      </c>
      <c r="R2280">
        <f t="shared" si="214"/>
        <v>30700000</v>
      </c>
      <c r="S2280" t="str">
        <f t="shared" si="215"/>
        <v>Strong</v>
      </c>
    </row>
    <row r="2281" spans="1:19" x14ac:dyDescent="0.25">
      <c r="A2281">
        <v>2280</v>
      </c>
      <c r="B2281">
        <v>3</v>
      </c>
      <c r="C2281" t="s">
        <v>30</v>
      </c>
      <c r="D2281" t="s">
        <v>33</v>
      </c>
      <c r="E2281">
        <v>1000000</v>
      </c>
      <c r="F2281">
        <v>2300000</v>
      </c>
      <c r="G2281">
        <v>10</v>
      </c>
      <c r="H2281">
        <v>303</v>
      </c>
      <c r="I2281">
        <v>1000000</v>
      </c>
      <c r="J2281">
        <v>400000</v>
      </c>
      <c r="K2281">
        <v>2500000</v>
      </c>
      <c r="L2281">
        <v>1000000</v>
      </c>
      <c r="M2281" t="s">
        <v>35</v>
      </c>
      <c r="N2281">
        <f t="shared" si="211"/>
        <v>0</v>
      </c>
      <c r="O2281" t="str">
        <f t="shared" si="210"/>
        <v>Low</v>
      </c>
      <c r="P2281" t="str">
        <f t="shared" si="212"/>
        <v>High</v>
      </c>
      <c r="Q2281" t="str">
        <f t="shared" si="213"/>
        <v>Low Loan</v>
      </c>
      <c r="R2281">
        <f t="shared" si="214"/>
        <v>4900000</v>
      </c>
      <c r="S2281" t="str">
        <f t="shared" si="215"/>
        <v>Weak</v>
      </c>
    </row>
    <row r="2282" spans="1:19" x14ac:dyDescent="0.25">
      <c r="A2282">
        <v>2281</v>
      </c>
      <c r="B2282">
        <v>0</v>
      </c>
      <c r="C2282" t="s">
        <v>31</v>
      </c>
      <c r="D2282" t="s">
        <v>33</v>
      </c>
      <c r="E2282">
        <v>1700000</v>
      </c>
      <c r="F2282">
        <v>5400000</v>
      </c>
      <c r="G2282">
        <v>8</v>
      </c>
      <c r="H2282">
        <v>682</v>
      </c>
      <c r="I2282">
        <v>2400000</v>
      </c>
      <c r="J2282">
        <v>1000000</v>
      </c>
      <c r="K2282">
        <v>3900000</v>
      </c>
      <c r="L2282">
        <v>2100000</v>
      </c>
      <c r="M2282" t="s">
        <v>34</v>
      </c>
      <c r="N2282">
        <f t="shared" si="211"/>
        <v>1</v>
      </c>
      <c r="O2282" t="str">
        <f t="shared" si="210"/>
        <v>Medium</v>
      </c>
      <c r="P2282" t="str">
        <f t="shared" si="212"/>
        <v>High</v>
      </c>
      <c r="Q2282" t="str">
        <f t="shared" si="213"/>
        <v>Low Loan</v>
      </c>
      <c r="R2282">
        <f t="shared" si="214"/>
        <v>9400000</v>
      </c>
      <c r="S2282" t="str">
        <f t="shared" si="215"/>
        <v>Moderate</v>
      </c>
    </row>
    <row r="2283" spans="1:19" x14ac:dyDescent="0.25">
      <c r="A2283">
        <v>2282</v>
      </c>
      <c r="B2283">
        <v>2</v>
      </c>
      <c r="C2283" t="s">
        <v>31</v>
      </c>
      <c r="D2283" t="s">
        <v>32</v>
      </c>
      <c r="E2283">
        <v>3200000</v>
      </c>
      <c r="F2283">
        <v>8600000</v>
      </c>
      <c r="G2283">
        <v>18</v>
      </c>
      <c r="H2283">
        <v>638</v>
      </c>
      <c r="I2283">
        <v>1000000</v>
      </c>
      <c r="J2283">
        <v>4900000</v>
      </c>
      <c r="K2283">
        <v>8600000</v>
      </c>
      <c r="L2283">
        <v>3500000</v>
      </c>
      <c r="M2283" t="s">
        <v>34</v>
      </c>
      <c r="N2283">
        <f t="shared" si="211"/>
        <v>1</v>
      </c>
      <c r="O2283" t="str">
        <f t="shared" si="210"/>
        <v>Low</v>
      </c>
      <c r="P2283" t="str">
        <f t="shared" si="212"/>
        <v>High</v>
      </c>
      <c r="Q2283" t="str">
        <f t="shared" si="213"/>
        <v>Low Loan</v>
      </c>
      <c r="R2283">
        <f t="shared" si="214"/>
        <v>18000000</v>
      </c>
      <c r="S2283" t="str">
        <f t="shared" si="215"/>
        <v>Strong</v>
      </c>
    </row>
    <row r="2284" spans="1:19" x14ac:dyDescent="0.25">
      <c r="A2284">
        <v>2283</v>
      </c>
      <c r="B2284">
        <v>0</v>
      </c>
      <c r="C2284" t="s">
        <v>30</v>
      </c>
      <c r="D2284" t="s">
        <v>33</v>
      </c>
      <c r="E2284">
        <v>7500000</v>
      </c>
      <c r="F2284">
        <v>16600000</v>
      </c>
      <c r="G2284">
        <v>14</v>
      </c>
      <c r="H2284">
        <v>440</v>
      </c>
      <c r="I2284">
        <v>17200000</v>
      </c>
      <c r="J2284">
        <v>14500000</v>
      </c>
      <c r="K2284">
        <v>24100000</v>
      </c>
      <c r="L2284">
        <v>10300000</v>
      </c>
      <c r="M2284" t="s">
        <v>35</v>
      </c>
      <c r="N2284">
        <f t="shared" si="211"/>
        <v>0</v>
      </c>
      <c r="O2284" t="str">
        <f t="shared" si="210"/>
        <v>Low</v>
      </c>
      <c r="P2284" t="str">
        <f t="shared" si="212"/>
        <v>High</v>
      </c>
      <c r="Q2284" t="str">
        <f t="shared" si="213"/>
        <v>Low Loan</v>
      </c>
      <c r="R2284">
        <f t="shared" si="214"/>
        <v>66100000</v>
      </c>
      <c r="S2284" t="str">
        <f t="shared" si="215"/>
        <v>Strong</v>
      </c>
    </row>
    <row r="2285" spans="1:19" x14ac:dyDescent="0.25">
      <c r="A2285">
        <v>2284</v>
      </c>
      <c r="B2285">
        <v>1</v>
      </c>
      <c r="C2285" t="s">
        <v>31</v>
      </c>
      <c r="D2285" t="s">
        <v>33</v>
      </c>
      <c r="E2285">
        <v>2000000</v>
      </c>
      <c r="F2285">
        <v>6600000</v>
      </c>
      <c r="G2285">
        <v>10</v>
      </c>
      <c r="H2285">
        <v>873</v>
      </c>
      <c r="I2285">
        <v>1400000</v>
      </c>
      <c r="J2285">
        <v>200000</v>
      </c>
      <c r="K2285">
        <v>6300000</v>
      </c>
      <c r="L2285">
        <v>2400000</v>
      </c>
      <c r="M2285" t="s">
        <v>34</v>
      </c>
      <c r="N2285">
        <f t="shared" si="211"/>
        <v>1</v>
      </c>
      <c r="O2285" t="str">
        <f t="shared" si="210"/>
        <v>Excellent</v>
      </c>
      <c r="P2285" t="str">
        <f t="shared" si="212"/>
        <v>High</v>
      </c>
      <c r="Q2285" t="str">
        <f t="shared" si="213"/>
        <v>Low Loan</v>
      </c>
      <c r="R2285">
        <f t="shared" si="214"/>
        <v>10300000</v>
      </c>
      <c r="S2285" t="str">
        <f t="shared" si="215"/>
        <v>Strong</v>
      </c>
    </row>
    <row r="2286" spans="1:19" x14ac:dyDescent="0.25">
      <c r="A2286">
        <v>2285</v>
      </c>
      <c r="B2286">
        <v>3</v>
      </c>
      <c r="C2286" t="s">
        <v>31</v>
      </c>
      <c r="D2286" t="s">
        <v>32</v>
      </c>
      <c r="E2286">
        <v>9100000</v>
      </c>
      <c r="F2286">
        <v>19700000</v>
      </c>
      <c r="G2286">
        <v>20</v>
      </c>
      <c r="H2286">
        <v>437</v>
      </c>
      <c r="I2286">
        <v>6300000</v>
      </c>
      <c r="J2286">
        <v>13700000</v>
      </c>
      <c r="K2286">
        <v>23700000</v>
      </c>
      <c r="L2286">
        <v>12900000</v>
      </c>
      <c r="M2286" t="s">
        <v>35</v>
      </c>
      <c r="N2286">
        <f t="shared" si="211"/>
        <v>0</v>
      </c>
      <c r="O2286" t="str">
        <f t="shared" si="210"/>
        <v>Low</v>
      </c>
      <c r="P2286" t="str">
        <f t="shared" si="212"/>
        <v>High</v>
      </c>
      <c r="Q2286" t="str">
        <f t="shared" si="213"/>
        <v>Low Loan</v>
      </c>
      <c r="R2286">
        <f t="shared" si="214"/>
        <v>56600000</v>
      </c>
      <c r="S2286" t="str">
        <f t="shared" si="215"/>
        <v>Strong</v>
      </c>
    </row>
    <row r="2287" spans="1:19" x14ac:dyDescent="0.25">
      <c r="A2287">
        <v>2286</v>
      </c>
      <c r="B2287">
        <v>4</v>
      </c>
      <c r="C2287" t="s">
        <v>30</v>
      </c>
      <c r="D2287" t="s">
        <v>33</v>
      </c>
      <c r="E2287">
        <v>8400000</v>
      </c>
      <c r="F2287">
        <v>19700000</v>
      </c>
      <c r="G2287">
        <v>8</v>
      </c>
      <c r="H2287">
        <v>796</v>
      </c>
      <c r="I2287">
        <v>17900000</v>
      </c>
      <c r="J2287">
        <v>9200000</v>
      </c>
      <c r="K2287">
        <v>20200000</v>
      </c>
      <c r="L2287">
        <v>7700000</v>
      </c>
      <c r="M2287" t="s">
        <v>34</v>
      </c>
      <c r="N2287">
        <f t="shared" si="211"/>
        <v>1</v>
      </c>
      <c r="O2287" t="str">
        <f t="shared" si="210"/>
        <v>Excellent</v>
      </c>
      <c r="P2287" t="str">
        <f t="shared" si="212"/>
        <v>High</v>
      </c>
      <c r="Q2287" t="str">
        <f t="shared" si="213"/>
        <v>Low Loan</v>
      </c>
      <c r="R2287">
        <f t="shared" si="214"/>
        <v>55000000</v>
      </c>
      <c r="S2287" t="str">
        <f t="shared" si="215"/>
        <v>Strong</v>
      </c>
    </row>
    <row r="2288" spans="1:19" x14ac:dyDescent="0.25">
      <c r="A2288">
        <v>2287</v>
      </c>
      <c r="B2288">
        <v>4</v>
      </c>
      <c r="C2288" t="s">
        <v>30</v>
      </c>
      <c r="D2288" t="s">
        <v>32</v>
      </c>
      <c r="E2288">
        <v>7100000</v>
      </c>
      <c r="F2288">
        <v>27200000</v>
      </c>
      <c r="G2288">
        <v>16</v>
      </c>
      <c r="H2288">
        <v>824</v>
      </c>
      <c r="I2288">
        <v>2400000</v>
      </c>
      <c r="J2288">
        <v>8000000</v>
      </c>
      <c r="K2288">
        <v>22400000</v>
      </c>
      <c r="L2288">
        <v>3900000</v>
      </c>
      <c r="M2288" t="s">
        <v>34</v>
      </c>
      <c r="N2288">
        <f t="shared" si="211"/>
        <v>1</v>
      </c>
      <c r="O2288" t="str">
        <f t="shared" si="210"/>
        <v>Excellent</v>
      </c>
      <c r="P2288" t="str">
        <f t="shared" si="212"/>
        <v>High</v>
      </c>
      <c r="Q2288" t="str">
        <f t="shared" si="213"/>
        <v>High Loan</v>
      </c>
      <c r="R2288">
        <f t="shared" si="214"/>
        <v>36700000</v>
      </c>
      <c r="S2288" t="str">
        <f t="shared" si="215"/>
        <v>Strong</v>
      </c>
    </row>
    <row r="2289" spans="1:19" x14ac:dyDescent="0.25">
      <c r="A2289">
        <v>2288</v>
      </c>
      <c r="B2289">
        <v>2</v>
      </c>
      <c r="C2289" t="s">
        <v>31</v>
      </c>
      <c r="D2289" t="s">
        <v>32</v>
      </c>
      <c r="E2289">
        <v>200000</v>
      </c>
      <c r="F2289">
        <v>800000</v>
      </c>
      <c r="G2289">
        <v>6</v>
      </c>
      <c r="H2289">
        <v>338</v>
      </c>
      <c r="I2289">
        <v>100000</v>
      </c>
      <c r="J2289">
        <v>0</v>
      </c>
      <c r="K2289">
        <v>400000</v>
      </c>
      <c r="L2289">
        <v>100000</v>
      </c>
      <c r="M2289" t="s">
        <v>35</v>
      </c>
      <c r="N2289">
        <f t="shared" si="211"/>
        <v>0</v>
      </c>
      <c r="O2289" t="str">
        <f t="shared" si="210"/>
        <v>Low</v>
      </c>
      <c r="P2289" t="str">
        <f t="shared" si="212"/>
        <v>Low</v>
      </c>
      <c r="Q2289" t="str">
        <f t="shared" si="213"/>
        <v>Low Loan</v>
      </c>
      <c r="R2289">
        <f t="shared" si="214"/>
        <v>600000</v>
      </c>
      <c r="S2289" t="str">
        <f t="shared" si="215"/>
        <v>Weak</v>
      </c>
    </row>
    <row r="2290" spans="1:19" x14ac:dyDescent="0.25">
      <c r="A2290">
        <v>2289</v>
      </c>
      <c r="B2290">
        <v>0</v>
      </c>
      <c r="C2290" t="s">
        <v>31</v>
      </c>
      <c r="D2290" t="s">
        <v>33</v>
      </c>
      <c r="E2290">
        <v>5000000</v>
      </c>
      <c r="F2290">
        <v>14900000</v>
      </c>
      <c r="G2290">
        <v>12</v>
      </c>
      <c r="H2290">
        <v>575</v>
      </c>
      <c r="I2290">
        <v>12800000</v>
      </c>
      <c r="J2290">
        <v>1500000</v>
      </c>
      <c r="K2290">
        <v>12300000</v>
      </c>
      <c r="L2290">
        <v>6600000</v>
      </c>
      <c r="M2290" t="s">
        <v>34</v>
      </c>
      <c r="N2290">
        <f t="shared" si="211"/>
        <v>1</v>
      </c>
      <c r="O2290" t="str">
        <f t="shared" si="210"/>
        <v>Low</v>
      </c>
      <c r="P2290" t="str">
        <f t="shared" si="212"/>
        <v>High</v>
      </c>
      <c r="Q2290" t="str">
        <f t="shared" si="213"/>
        <v>Low Loan</v>
      </c>
      <c r="R2290">
        <f t="shared" si="214"/>
        <v>33200000</v>
      </c>
      <c r="S2290" t="str">
        <f t="shared" si="215"/>
        <v>Strong</v>
      </c>
    </row>
    <row r="2291" spans="1:19" x14ac:dyDescent="0.25">
      <c r="A2291">
        <v>2290</v>
      </c>
      <c r="B2291">
        <v>0</v>
      </c>
      <c r="C2291" t="s">
        <v>31</v>
      </c>
      <c r="D2291" t="s">
        <v>33</v>
      </c>
      <c r="E2291">
        <v>4500000</v>
      </c>
      <c r="F2291">
        <v>16900000</v>
      </c>
      <c r="G2291">
        <v>8</v>
      </c>
      <c r="H2291">
        <v>773</v>
      </c>
      <c r="I2291">
        <v>6300000</v>
      </c>
      <c r="J2291">
        <v>6800000</v>
      </c>
      <c r="K2291">
        <v>14000000</v>
      </c>
      <c r="L2291">
        <v>6000000</v>
      </c>
      <c r="M2291" t="s">
        <v>34</v>
      </c>
      <c r="N2291">
        <f t="shared" si="211"/>
        <v>1</v>
      </c>
      <c r="O2291" t="str">
        <f t="shared" si="210"/>
        <v>Excellent</v>
      </c>
      <c r="P2291" t="str">
        <f t="shared" si="212"/>
        <v>High</v>
      </c>
      <c r="Q2291" t="str">
        <f t="shared" si="213"/>
        <v>Low Loan</v>
      </c>
      <c r="R2291">
        <f t="shared" si="214"/>
        <v>33100000</v>
      </c>
      <c r="S2291" t="str">
        <f t="shared" si="215"/>
        <v>Strong</v>
      </c>
    </row>
    <row r="2292" spans="1:19" x14ac:dyDescent="0.25">
      <c r="A2292">
        <v>2291</v>
      </c>
      <c r="B2292">
        <v>2</v>
      </c>
      <c r="C2292" t="s">
        <v>31</v>
      </c>
      <c r="D2292" t="s">
        <v>33</v>
      </c>
      <c r="E2292">
        <v>5100000</v>
      </c>
      <c r="F2292">
        <v>19700000</v>
      </c>
      <c r="G2292">
        <v>2</v>
      </c>
      <c r="H2292">
        <v>733</v>
      </c>
      <c r="I2292">
        <v>0</v>
      </c>
      <c r="J2292">
        <v>4500000</v>
      </c>
      <c r="K2292">
        <v>12900000</v>
      </c>
      <c r="L2292">
        <v>6200000</v>
      </c>
      <c r="M2292" t="s">
        <v>34</v>
      </c>
      <c r="N2292">
        <f t="shared" si="211"/>
        <v>1</v>
      </c>
      <c r="O2292" t="str">
        <f t="shared" si="210"/>
        <v>Good</v>
      </c>
      <c r="P2292" t="str">
        <f t="shared" si="212"/>
        <v>High</v>
      </c>
      <c r="Q2292" t="str">
        <f t="shared" si="213"/>
        <v>Low Loan</v>
      </c>
      <c r="R2292">
        <f t="shared" si="214"/>
        <v>23600000</v>
      </c>
      <c r="S2292" t="str">
        <f t="shared" si="215"/>
        <v>Strong</v>
      </c>
    </row>
    <row r="2293" spans="1:19" x14ac:dyDescent="0.25">
      <c r="A2293">
        <v>2292</v>
      </c>
      <c r="B2293">
        <v>3</v>
      </c>
      <c r="C2293" t="s">
        <v>30</v>
      </c>
      <c r="D2293" t="s">
        <v>33</v>
      </c>
      <c r="E2293">
        <v>4100000</v>
      </c>
      <c r="F2293">
        <v>10600000</v>
      </c>
      <c r="G2293">
        <v>14</v>
      </c>
      <c r="H2293">
        <v>475</v>
      </c>
      <c r="I2293">
        <v>5400000</v>
      </c>
      <c r="J2293">
        <v>4300000</v>
      </c>
      <c r="K2293">
        <v>13900000</v>
      </c>
      <c r="L2293">
        <v>4500000</v>
      </c>
      <c r="M2293" t="s">
        <v>35</v>
      </c>
      <c r="N2293">
        <f t="shared" si="211"/>
        <v>0</v>
      </c>
      <c r="O2293" t="str">
        <f t="shared" si="210"/>
        <v>Low</v>
      </c>
      <c r="P2293" t="str">
        <f t="shared" si="212"/>
        <v>High</v>
      </c>
      <c r="Q2293" t="str">
        <f t="shared" si="213"/>
        <v>Low Loan</v>
      </c>
      <c r="R2293">
        <f t="shared" si="214"/>
        <v>28100000</v>
      </c>
      <c r="S2293" t="str">
        <f t="shared" si="215"/>
        <v>Strong</v>
      </c>
    </row>
    <row r="2294" spans="1:19" x14ac:dyDescent="0.25">
      <c r="A2294">
        <v>2293</v>
      </c>
      <c r="B2294">
        <v>1</v>
      </c>
      <c r="C2294" t="s">
        <v>31</v>
      </c>
      <c r="D2294" t="s">
        <v>32</v>
      </c>
      <c r="E2294">
        <v>7200000</v>
      </c>
      <c r="F2294">
        <v>15000000</v>
      </c>
      <c r="G2294">
        <v>10</v>
      </c>
      <c r="H2294">
        <v>677</v>
      </c>
      <c r="I2294">
        <v>10600000</v>
      </c>
      <c r="J2294">
        <v>3900000</v>
      </c>
      <c r="K2294">
        <v>24500000</v>
      </c>
      <c r="L2294">
        <v>4100000</v>
      </c>
      <c r="M2294" t="s">
        <v>34</v>
      </c>
      <c r="N2294">
        <f t="shared" si="211"/>
        <v>1</v>
      </c>
      <c r="O2294" t="str">
        <f t="shared" si="210"/>
        <v>Medium</v>
      </c>
      <c r="P2294" t="str">
        <f t="shared" si="212"/>
        <v>High</v>
      </c>
      <c r="Q2294" t="str">
        <f t="shared" si="213"/>
        <v>Low Loan</v>
      </c>
      <c r="R2294">
        <f t="shared" si="214"/>
        <v>43100000</v>
      </c>
      <c r="S2294" t="str">
        <f t="shared" si="215"/>
        <v>Strong</v>
      </c>
    </row>
    <row r="2295" spans="1:19" x14ac:dyDescent="0.25">
      <c r="A2295">
        <v>2294</v>
      </c>
      <c r="B2295">
        <v>3</v>
      </c>
      <c r="C2295" t="s">
        <v>31</v>
      </c>
      <c r="D2295" t="s">
        <v>32</v>
      </c>
      <c r="E2295">
        <v>7800000</v>
      </c>
      <c r="F2295">
        <v>17700000</v>
      </c>
      <c r="G2295">
        <v>6</v>
      </c>
      <c r="H2295">
        <v>403</v>
      </c>
      <c r="I2295">
        <v>12600000</v>
      </c>
      <c r="J2295">
        <v>3700000</v>
      </c>
      <c r="K2295">
        <v>24700000</v>
      </c>
      <c r="L2295">
        <v>10000000</v>
      </c>
      <c r="M2295" t="s">
        <v>35</v>
      </c>
      <c r="N2295">
        <f t="shared" si="211"/>
        <v>0</v>
      </c>
      <c r="O2295" t="str">
        <f t="shared" si="210"/>
        <v>Low</v>
      </c>
      <c r="P2295" t="str">
        <f t="shared" si="212"/>
        <v>High</v>
      </c>
      <c r="Q2295" t="str">
        <f t="shared" si="213"/>
        <v>Low Loan</v>
      </c>
      <c r="R2295">
        <f t="shared" si="214"/>
        <v>51000000</v>
      </c>
      <c r="S2295" t="str">
        <f t="shared" si="215"/>
        <v>Strong</v>
      </c>
    </row>
    <row r="2296" spans="1:19" x14ac:dyDescent="0.25">
      <c r="A2296">
        <v>2295</v>
      </c>
      <c r="B2296">
        <v>3</v>
      </c>
      <c r="C2296" t="s">
        <v>30</v>
      </c>
      <c r="D2296" t="s">
        <v>33</v>
      </c>
      <c r="E2296">
        <v>7500000</v>
      </c>
      <c r="F2296">
        <v>25300000</v>
      </c>
      <c r="G2296">
        <v>12</v>
      </c>
      <c r="H2296">
        <v>767</v>
      </c>
      <c r="I2296">
        <v>13200000</v>
      </c>
      <c r="J2296">
        <v>10800000</v>
      </c>
      <c r="K2296">
        <v>19400000</v>
      </c>
      <c r="L2296">
        <v>9600000</v>
      </c>
      <c r="M2296" t="s">
        <v>34</v>
      </c>
      <c r="N2296">
        <f t="shared" si="211"/>
        <v>1</v>
      </c>
      <c r="O2296" t="str">
        <f t="shared" si="210"/>
        <v>Excellent</v>
      </c>
      <c r="P2296" t="str">
        <f t="shared" si="212"/>
        <v>High</v>
      </c>
      <c r="Q2296" t="str">
        <f t="shared" si="213"/>
        <v>High Loan</v>
      </c>
      <c r="R2296">
        <f t="shared" si="214"/>
        <v>53000000</v>
      </c>
      <c r="S2296" t="str">
        <f t="shared" si="215"/>
        <v>Strong</v>
      </c>
    </row>
    <row r="2297" spans="1:19" x14ac:dyDescent="0.25">
      <c r="A2297">
        <v>2296</v>
      </c>
      <c r="B2297">
        <v>3</v>
      </c>
      <c r="C2297" t="s">
        <v>30</v>
      </c>
      <c r="D2297" t="s">
        <v>33</v>
      </c>
      <c r="E2297">
        <v>6400000</v>
      </c>
      <c r="F2297">
        <v>21000000</v>
      </c>
      <c r="G2297">
        <v>2</v>
      </c>
      <c r="H2297">
        <v>813</v>
      </c>
      <c r="I2297">
        <v>3900000</v>
      </c>
      <c r="J2297">
        <v>10900000</v>
      </c>
      <c r="K2297">
        <v>20500000</v>
      </c>
      <c r="L2297">
        <v>4400000</v>
      </c>
      <c r="M2297" t="s">
        <v>34</v>
      </c>
      <c r="N2297">
        <f t="shared" si="211"/>
        <v>1</v>
      </c>
      <c r="O2297" t="str">
        <f t="shared" si="210"/>
        <v>Excellent</v>
      </c>
      <c r="P2297" t="str">
        <f t="shared" si="212"/>
        <v>High</v>
      </c>
      <c r="Q2297" t="str">
        <f t="shared" si="213"/>
        <v>High Loan</v>
      </c>
      <c r="R2297">
        <f t="shared" si="214"/>
        <v>39700000</v>
      </c>
      <c r="S2297" t="str">
        <f t="shared" si="215"/>
        <v>Strong</v>
      </c>
    </row>
    <row r="2298" spans="1:19" x14ac:dyDescent="0.25">
      <c r="A2298">
        <v>2297</v>
      </c>
      <c r="B2298">
        <v>4</v>
      </c>
      <c r="C2298" t="s">
        <v>30</v>
      </c>
      <c r="D2298" t="s">
        <v>32</v>
      </c>
      <c r="E2298">
        <v>7000000</v>
      </c>
      <c r="F2298">
        <v>25700000</v>
      </c>
      <c r="G2298">
        <v>20</v>
      </c>
      <c r="H2298">
        <v>597</v>
      </c>
      <c r="I2298">
        <v>19900000</v>
      </c>
      <c r="J2298">
        <v>13500000</v>
      </c>
      <c r="K2298">
        <v>27500000</v>
      </c>
      <c r="L2298">
        <v>10100000</v>
      </c>
      <c r="M2298" t="s">
        <v>34</v>
      </c>
      <c r="N2298">
        <f t="shared" si="211"/>
        <v>1</v>
      </c>
      <c r="O2298" t="str">
        <f t="shared" si="210"/>
        <v>Low</v>
      </c>
      <c r="P2298" t="str">
        <f t="shared" si="212"/>
        <v>High</v>
      </c>
      <c r="Q2298" t="str">
        <f t="shared" si="213"/>
        <v>High Loan</v>
      </c>
      <c r="R2298">
        <f t="shared" si="214"/>
        <v>71000000</v>
      </c>
      <c r="S2298" t="str">
        <f t="shared" si="215"/>
        <v>Strong</v>
      </c>
    </row>
    <row r="2299" spans="1:19" x14ac:dyDescent="0.25">
      <c r="A2299">
        <v>2298</v>
      </c>
      <c r="B2299">
        <v>4</v>
      </c>
      <c r="C2299" t="s">
        <v>31</v>
      </c>
      <c r="D2299" t="s">
        <v>33</v>
      </c>
      <c r="E2299">
        <v>9000000</v>
      </c>
      <c r="F2299">
        <v>31100000</v>
      </c>
      <c r="G2299">
        <v>8</v>
      </c>
      <c r="H2299">
        <v>896</v>
      </c>
      <c r="I2299">
        <v>7100000</v>
      </c>
      <c r="J2299">
        <v>4400000</v>
      </c>
      <c r="K2299">
        <v>23400000</v>
      </c>
      <c r="L2299">
        <v>13100000</v>
      </c>
      <c r="M2299" t="s">
        <v>34</v>
      </c>
      <c r="N2299">
        <f t="shared" si="211"/>
        <v>1</v>
      </c>
      <c r="O2299" t="str">
        <f t="shared" si="210"/>
        <v>Excellent</v>
      </c>
      <c r="P2299" t="str">
        <f t="shared" si="212"/>
        <v>High</v>
      </c>
      <c r="Q2299" t="str">
        <f t="shared" si="213"/>
        <v>High Loan</v>
      </c>
      <c r="R2299">
        <f t="shared" si="214"/>
        <v>48000000</v>
      </c>
      <c r="S2299" t="str">
        <f t="shared" si="215"/>
        <v>Strong</v>
      </c>
    </row>
    <row r="2300" spans="1:19" x14ac:dyDescent="0.25">
      <c r="A2300">
        <v>2299</v>
      </c>
      <c r="B2300">
        <v>2</v>
      </c>
      <c r="C2300" t="s">
        <v>31</v>
      </c>
      <c r="D2300" t="s">
        <v>33</v>
      </c>
      <c r="E2300">
        <v>4400000</v>
      </c>
      <c r="F2300">
        <v>13900000</v>
      </c>
      <c r="G2300">
        <v>6</v>
      </c>
      <c r="H2300">
        <v>810</v>
      </c>
      <c r="I2300">
        <v>13200000</v>
      </c>
      <c r="J2300">
        <v>4200000</v>
      </c>
      <c r="K2300">
        <v>15000000</v>
      </c>
      <c r="L2300">
        <v>5200000</v>
      </c>
      <c r="M2300" t="s">
        <v>34</v>
      </c>
      <c r="N2300">
        <f t="shared" si="211"/>
        <v>1</v>
      </c>
      <c r="O2300" t="str">
        <f t="shared" si="210"/>
        <v>Excellent</v>
      </c>
      <c r="P2300" t="str">
        <f t="shared" si="212"/>
        <v>High</v>
      </c>
      <c r="Q2300" t="str">
        <f t="shared" si="213"/>
        <v>Low Loan</v>
      </c>
      <c r="R2300">
        <f t="shared" si="214"/>
        <v>37600000</v>
      </c>
      <c r="S2300" t="str">
        <f t="shared" si="215"/>
        <v>Strong</v>
      </c>
    </row>
    <row r="2301" spans="1:19" x14ac:dyDescent="0.25">
      <c r="A2301">
        <v>2300</v>
      </c>
      <c r="B2301">
        <v>2</v>
      </c>
      <c r="C2301" t="s">
        <v>31</v>
      </c>
      <c r="D2301" t="s">
        <v>32</v>
      </c>
      <c r="E2301">
        <v>900000</v>
      </c>
      <c r="F2301">
        <v>2000000</v>
      </c>
      <c r="G2301">
        <v>14</v>
      </c>
      <c r="H2301">
        <v>337</v>
      </c>
      <c r="I2301">
        <v>1700000</v>
      </c>
      <c r="J2301">
        <v>0</v>
      </c>
      <c r="K2301">
        <v>2100000</v>
      </c>
      <c r="L2301">
        <v>600000</v>
      </c>
      <c r="M2301" t="s">
        <v>35</v>
      </c>
      <c r="N2301">
        <f t="shared" si="211"/>
        <v>0</v>
      </c>
      <c r="O2301" t="str">
        <f t="shared" si="210"/>
        <v>Low</v>
      </c>
      <c r="P2301" t="str">
        <f t="shared" si="212"/>
        <v>High</v>
      </c>
      <c r="Q2301" t="str">
        <f t="shared" si="213"/>
        <v>Low Loan</v>
      </c>
      <c r="R2301">
        <f t="shared" si="214"/>
        <v>4400000</v>
      </c>
      <c r="S2301" t="str">
        <f t="shared" si="215"/>
        <v>Weak</v>
      </c>
    </row>
    <row r="2302" spans="1:19" x14ac:dyDescent="0.25">
      <c r="A2302">
        <v>2301</v>
      </c>
      <c r="B2302">
        <v>1</v>
      </c>
      <c r="C2302" t="s">
        <v>30</v>
      </c>
      <c r="D2302" t="s">
        <v>32</v>
      </c>
      <c r="E2302">
        <v>9800000</v>
      </c>
      <c r="F2302">
        <v>26900000</v>
      </c>
      <c r="G2302">
        <v>18</v>
      </c>
      <c r="H2302">
        <v>792</v>
      </c>
      <c r="I2302">
        <v>15900000</v>
      </c>
      <c r="J2302">
        <v>14100000</v>
      </c>
      <c r="K2302">
        <v>25200000</v>
      </c>
      <c r="L2302">
        <v>11900000</v>
      </c>
      <c r="M2302" t="s">
        <v>34</v>
      </c>
      <c r="N2302">
        <f t="shared" si="211"/>
        <v>1</v>
      </c>
      <c r="O2302" t="str">
        <f t="shared" si="210"/>
        <v>Excellent</v>
      </c>
      <c r="P2302" t="str">
        <f t="shared" si="212"/>
        <v>High</v>
      </c>
      <c r="Q2302" t="str">
        <f t="shared" si="213"/>
        <v>High Loan</v>
      </c>
      <c r="R2302">
        <f t="shared" si="214"/>
        <v>67100000</v>
      </c>
      <c r="S2302" t="str">
        <f t="shared" si="215"/>
        <v>Strong</v>
      </c>
    </row>
    <row r="2303" spans="1:19" x14ac:dyDescent="0.25">
      <c r="A2303">
        <v>2302</v>
      </c>
      <c r="B2303">
        <v>4</v>
      </c>
      <c r="C2303" t="s">
        <v>31</v>
      </c>
      <c r="D2303" t="s">
        <v>32</v>
      </c>
      <c r="E2303">
        <v>600000</v>
      </c>
      <c r="F2303">
        <v>1600000</v>
      </c>
      <c r="G2303">
        <v>6</v>
      </c>
      <c r="H2303">
        <v>784</v>
      </c>
      <c r="I2303">
        <v>300000</v>
      </c>
      <c r="J2303">
        <v>100000</v>
      </c>
      <c r="K2303">
        <v>1900000</v>
      </c>
      <c r="L2303">
        <v>500000</v>
      </c>
      <c r="M2303" t="s">
        <v>34</v>
      </c>
      <c r="N2303">
        <f t="shared" si="211"/>
        <v>1</v>
      </c>
      <c r="O2303" t="str">
        <f t="shared" si="210"/>
        <v>Excellent</v>
      </c>
      <c r="P2303" t="str">
        <f t="shared" si="212"/>
        <v>Middle</v>
      </c>
      <c r="Q2303" t="str">
        <f t="shared" si="213"/>
        <v>Low Loan</v>
      </c>
      <c r="R2303">
        <f t="shared" si="214"/>
        <v>2800000</v>
      </c>
      <c r="S2303" t="str">
        <f t="shared" si="215"/>
        <v>Weak</v>
      </c>
    </row>
    <row r="2304" spans="1:19" x14ac:dyDescent="0.25">
      <c r="A2304">
        <v>2303</v>
      </c>
      <c r="B2304">
        <v>5</v>
      </c>
      <c r="C2304" t="s">
        <v>30</v>
      </c>
      <c r="D2304" t="s">
        <v>33</v>
      </c>
      <c r="E2304">
        <v>9700000</v>
      </c>
      <c r="F2304">
        <v>30100000</v>
      </c>
      <c r="G2304">
        <v>12</v>
      </c>
      <c r="H2304">
        <v>434</v>
      </c>
      <c r="I2304">
        <v>19600000</v>
      </c>
      <c r="J2304">
        <v>17900000</v>
      </c>
      <c r="K2304">
        <v>21000000</v>
      </c>
      <c r="L2304">
        <v>6900000</v>
      </c>
      <c r="M2304" t="s">
        <v>35</v>
      </c>
      <c r="N2304">
        <f t="shared" si="211"/>
        <v>0</v>
      </c>
      <c r="O2304" t="str">
        <f t="shared" si="210"/>
        <v>Low</v>
      </c>
      <c r="P2304" t="str">
        <f t="shared" si="212"/>
        <v>High</v>
      </c>
      <c r="Q2304" t="str">
        <f t="shared" si="213"/>
        <v>High Loan</v>
      </c>
      <c r="R2304">
        <f t="shared" si="214"/>
        <v>65400000</v>
      </c>
      <c r="S2304" t="str">
        <f t="shared" si="215"/>
        <v>Strong</v>
      </c>
    </row>
    <row r="2305" spans="1:19" x14ac:dyDescent="0.25">
      <c r="A2305">
        <v>2304</v>
      </c>
      <c r="B2305">
        <v>2</v>
      </c>
      <c r="C2305" t="s">
        <v>30</v>
      </c>
      <c r="D2305" t="s">
        <v>33</v>
      </c>
      <c r="E2305">
        <v>8400000</v>
      </c>
      <c r="F2305">
        <v>32600000</v>
      </c>
      <c r="G2305">
        <v>10</v>
      </c>
      <c r="H2305">
        <v>384</v>
      </c>
      <c r="I2305">
        <v>13900000</v>
      </c>
      <c r="J2305">
        <v>1600000</v>
      </c>
      <c r="K2305">
        <v>21600000</v>
      </c>
      <c r="L2305">
        <v>7000000</v>
      </c>
      <c r="M2305" t="s">
        <v>35</v>
      </c>
      <c r="N2305">
        <f t="shared" si="211"/>
        <v>0</v>
      </c>
      <c r="O2305" t="str">
        <f t="shared" si="210"/>
        <v>Low</v>
      </c>
      <c r="P2305" t="str">
        <f t="shared" si="212"/>
        <v>High</v>
      </c>
      <c r="Q2305" t="str">
        <f t="shared" si="213"/>
        <v>High Loan</v>
      </c>
      <c r="R2305">
        <f t="shared" si="214"/>
        <v>44100000</v>
      </c>
      <c r="S2305" t="str">
        <f t="shared" si="215"/>
        <v>Strong</v>
      </c>
    </row>
    <row r="2306" spans="1:19" x14ac:dyDescent="0.25">
      <c r="A2306">
        <v>2305</v>
      </c>
      <c r="B2306">
        <v>1</v>
      </c>
      <c r="C2306" t="s">
        <v>30</v>
      </c>
      <c r="D2306" t="s">
        <v>32</v>
      </c>
      <c r="E2306">
        <v>8300000</v>
      </c>
      <c r="F2306">
        <v>24900000</v>
      </c>
      <c r="G2306">
        <v>10</v>
      </c>
      <c r="H2306">
        <v>642</v>
      </c>
      <c r="I2306">
        <v>11500000</v>
      </c>
      <c r="J2306">
        <v>15400000</v>
      </c>
      <c r="K2306">
        <v>21600000</v>
      </c>
      <c r="L2306">
        <v>5800000</v>
      </c>
      <c r="M2306" t="s">
        <v>34</v>
      </c>
      <c r="N2306">
        <f t="shared" si="211"/>
        <v>1</v>
      </c>
      <c r="O2306" t="str">
        <f t="shared" ref="O2306:O2369" si="216">IF(H2306&lt;650,"Low",
 IF(H2306&lt;700,"Medium",
 IF(H2306&lt;750,"Good","Excellent")))</f>
        <v>Low</v>
      </c>
      <c r="P2306" t="str">
        <f t="shared" si="212"/>
        <v>High</v>
      </c>
      <c r="Q2306" t="str">
        <f t="shared" si="213"/>
        <v>High Loan</v>
      </c>
      <c r="R2306">
        <f t="shared" si="214"/>
        <v>54300000</v>
      </c>
      <c r="S2306" t="str">
        <f t="shared" si="215"/>
        <v>Strong</v>
      </c>
    </row>
    <row r="2307" spans="1:19" x14ac:dyDescent="0.25">
      <c r="A2307">
        <v>2306</v>
      </c>
      <c r="B2307">
        <v>4</v>
      </c>
      <c r="C2307" t="s">
        <v>30</v>
      </c>
      <c r="D2307" t="s">
        <v>32</v>
      </c>
      <c r="E2307">
        <v>7900000</v>
      </c>
      <c r="F2307">
        <v>29900000</v>
      </c>
      <c r="G2307">
        <v>8</v>
      </c>
      <c r="H2307">
        <v>314</v>
      </c>
      <c r="I2307">
        <v>22000000</v>
      </c>
      <c r="J2307">
        <v>4600000</v>
      </c>
      <c r="K2307">
        <v>26000000</v>
      </c>
      <c r="L2307">
        <v>8100000</v>
      </c>
      <c r="M2307" t="s">
        <v>35</v>
      </c>
      <c r="N2307">
        <f t="shared" ref="N2307:N2370" si="217">IF(TRIM(CLEAN(M2307))="Approved",1,0)</f>
        <v>0</v>
      </c>
      <c r="O2307" t="str">
        <f t="shared" si="216"/>
        <v>Low</v>
      </c>
      <c r="P2307" t="str">
        <f t="shared" ref="P2307:P2370" si="218">IF(E2307&lt;300000,"Low",
 IF(E2307&lt;700000,"Middle","High"))</f>
        <v>High</v>
      </c>
      <c r="Q2307" t="str">
        <f t="shared" ref="Q2307:Q2370" si="219">IF(F2307&lt;20000000,"Low Loan","High Loan")</f>
        <v>High Loan</v>
      </c>
      <c r="R2307">
        <f t="shared" ref="R2307:R2370" si="220">I2307+J2307+K2307+L2307</f>
        <v>60700000</v>
      </c>
      <c r="S2307" t="str">
        <f t="shared" ref="S2307:S2370" si="221">IF(R2307&lt;5000000,"Weak",
 IF(R2307&lt;10000000,"Moderate","Strong"))</f>
        <v>Strong</v>
      </c>
    </row>
    <row r="2308" spans="1:19" x14ac:dyDescent="0.25">
      <c r="A2308">
        <v>2307</v>
      </c>
      <c r="B2308">
        <v>1</v>
      </c>
      <c r="C2308" t="s">
        <v>31</v>
      </c>
      <c r="D2308" t="s">
        <v>32</v>
      </c>
      <c r="E2308">
        <v>8600000</v>
      </c>
      <c r="F2308">
        <v>25900000</v>
      </c>
      <c r="G2308">
        <v>2</v>
      </c>
      <c r="H2308">
        <v>606</v>
      </c>
      <c r="I2308">
        <v>3700000</v>
      </c>
      <c r="J2308">
        <v>14900000</v>
      </c>
      <c r="K2308">
        <v>32700000</v>
      </c>
      <c r="L2308">
        <v>12200000</v>
      </c>
      <c r="M2308" t="s">
        <v>34</v>
      </c>
      <c r="N2308">
        <f t="shared" si="217"/>
        <v>1</v>
      </c>
      <c r="O2308" t="str">
        <f t="shared" si="216"/>
        <v>Low</v>
      </c>
      <c r="P2308" t="str">
        <f t="shared" si="218"/>
        <v>High</v>
      </c>
      <c r="Q2308" t="str">
        <f t="shared" si="219"/>
        <v>High Loan</v>
      </c>
      <c r="R2308">
        <f t="shared" si="220"/>
        <v>63500000</v>
      </c>
      <c r="S2308" t="str">
        <f t="shared" si="221"/>
        <v>Strong</v>
      </c>
    </row>
    <row r="2309" spans="1:19" x14ac:dyDescent="0.25">
      <c r="A2309">
        <v>2308</v>
      </c>
      <c r="B2309">
        <v>5</v>
      </c>
      <c r="C2309" t="s">
        <v>31</v>
      </c>
      <c r="D2309" t="s">
        <v>33</v>
      </c>
      <c r="E2309">
        <v>6700000</v>
      </c>
      <c r="F2309">
        <v>17600000</v>
      </c>
      <c r="G2309">
        <v>14</v>
      </c>
      <c r="H2309">
        <v>843</v>
      </c>
      <c r="I2309">
        <v>12700000</v>
      </c>
      <c r="J2309">
        <v>200000</v>
      </c>
      <c r="K2309">
        <v>19500000</v>
      </c>
      <c r="L2309">
        <v>5600000</v>
      </c>
      <c r="M2309" t="s">
        <v>34</v>
      </c>
      <c r="N2309">
        <f t="shared" si="217"/>
        <v>1</v>
      </c>
      <c r="O2309" t="str">
        <f t="shared" si="216"/>
        <v>Excellent</v>
      </c>
      <c r="P2309" t="str">
        <f t="shared" si="218"/>
        <v>High</v>
      </c>
      <c r="Q2309" t="str">
        <f t="shared" si="219"/>
        <v>Low Loan</v>
      </c>
      <c r="R2309">
        <f t="shared" si="220"/>
        <v>38000000</v>
      </c>
      <c r="S2309" t="str">
        <f t="shared" si="221"/>
        <v>Strong</v>
      </c>
    </row>
    <row r="2310" spans="1:19" x14ac:dyDescent="0.25">
      <c r="A2310">
        <v>2309</v>
      </c>
      <c r="B2310">
        <v>0</v>
      </c>
      <c r="C2310" t="s">
        <v>30</v>
      </c>
      <c r="D2310" t="s">
        <v>32</v>
      </c>
      <c r="E2310">
        <v>2700000</v>
      </c>
      <c r="F2310">
        <v>7400000</v>
      </c>
      <c r="G2310">
        <v>10</v>
      </c>
      <c r="H2310">
        <v>778</v>
      </c>
      <c r="I2310">
        <v>6800000</v>
      </c>
      <c r="J2310">
        <v>800000</v>
      </c>
      <c r="K2310">
        <v>5600000</v>
      </c>
      <c r="L2310">
        <v>2800000</v>
      </c>
      <c r="M2310" t="s">
        <v>34</v>
      </c>
      <c r="N2310">
        <f t="shared" si="217"/>
        <v>1</v>
      </c>
      <c r="O2310" t="str">
        <f t="shared" si="216"/>
        <v>Excellent</v>
      </c>
      <c r="P2310" t="str">
        <f t="shared" si="218"/>
        <v>High</v>
      </c>
      <c r="Q2310" t="str">
        <f t="shared" si="219"/>
        <v>Low Loan</v>
      </c>
      <c r="R2310">
        <f t="shared" si="220"/>
        <v>16000000</v>
      </c>
      <c r="S2310" t="str">
        <f t="shared" si="221"/>
        <v>Strong</v>
      </c>
    </row>
    <row r="2311" spans="1:19" x14ac:dyDescent="0.25">
      <c r="A2311">
        <v>2310</v>
      </c>
      <c r="B2311">
        <v>0</v>
      </c>
      <c r="C2311" t="s">
        <v>31</v>
      </c>
      <c r="D2311" t="s">
        <v>32</v>
      </c>
      <c r="E2311">
        <v>6600000</v>
      </c>
      <c r="F2311">
        <v>25600000</v>
      </c>
      <c r="G2311">
        <v>8</v>
      </c>
      <c r="H2311">
        <v>718</v>
      </c>
      <c r="I2311">
        <v>12600000</v>
      </c>
      <c r="J2311">
        <v>12200000</v>
      </c>
      <c r="K2311">
        <v>21700000</v>
      </c>
      <c r="L2311">
        <v>9000000</v>
      </c>
      <c r="M2311" t="s">
        <v>34</v>
      </c>
      <c r="N2311">
        <f t="shared" si="217"/>
        <v>1</v>
      </c>
      <c r="O2311" t="str">
        <f t="shared" si="216"/>
        <v>Good</v>
      </c>
      <c r="P2311" t="str">
        <f t="shared" si="218"/>
        <v>High</v>
      </c>
      <c r="Q2311" t="str">
        <f t="shared" si="219"/>
        <v>High Loan</v>
      </c>
      <c r="R2311">
        <f t="shared" si="220"/>
        <v>55500000</v>
      </c>
      <c r="S2311" t="str">
        <f t="shared" si="221"/>
        <v>Strong</v>
      </c>
    </row>
    <row r="2312" spans="1:19" x14ac:dyDescent="0.25">
      <c r="A2312">
        <v>2311</v>
      </c>
      <c r="B2312">
        <v>1</v>
      </c>
      <c r="C2312" t="s">
        <v>30</v>
      </c>
      <c r="D2312" t="s">
        <v>33</v>
      </c>
      <c r="E2312">
        <v>7100000</v>
      </c>
      <c r="F2312">
        <v>20800000</v>
      </c>
      <c r="G2312">
        <v>20</v>
      </c>
      <c r="H2312">
        <v>437</v>
      </c>
      <c r="I2312">
        <v>9600000</v>
      </c>
      <c r="J2312">
        <v>7300000</v>
      </c>
      <c r="K2312">
        <v>24700000</v>
      </c>
      <c r="L2312">
        <v>8800000</v>
      </c>
      <c r="M2312" t="s">
        <v>35</v>
      </c>
      <c r="N2312">
        <f t="shared" si="217"/>
        <v>0</v>
      </c>
      <c r="O2312" t="str">
        <f t="shared" si="216"/>
        <v>Low</v>
      </c>
      <c r="P2312" t="str">
        <f t="shared" si="218"/>
        <v>High</v>
      </c>
      <c r="Q2312" t="str">
        <f t="shared" si="219"/>
        <v>High Loan</v>
      </c>
      <c r="R2312">
        <f t="shared" si="220"/>
        <v>50400000</v>
      </c>
      <c r="S2312" t="str">
        <f t="shared" si="221"/>
        <v>Strong</v>
      </c>
    </row>
    <row r="2313" spans="1:19" x14ac:dyDescent="0.25">
      <c r="A2313">
        <v>2312</v>
      </c>
      <c r="B2313">
        <v>5</v>
      </c>
      <c r="C2313" t="s">
        <v>30</v>
      </c>
      <c r="D2313" t="s">
        <v>33</v>
      </c>
      <c r="E2313">
        <v>300000</v>
      </c>
      <c r="F2313">
        <v>700000</v>
      </c>
      <c r="G2313">
        <v>10</v>
      </c>
      <c r="H2313">
        <v>586</v>
      </c>
      <c r="I2313">
        <v>0</v>
      </c>
      <c r="J2313">
        <v>400000</v>
      </c>
      <c r="K2313">
        <v>1000000</v>
      </c>
      <c r="L2313">
        <v>100000</v>
      </c>
      <c r="M2313" t="s">
        <v>34</v>
      </c>
      <c r="N2313">
        <f t="shared" si="217"/>
        <v>1</v>
      </c>
      <c r="O2313" t="str">
        <f t="shared" si="216"/>
        <v>Low</v>
      </c>
      <c r="P2313" t="str">
        <f t="shared" si="218"/>
        <v>Middle</v>
      </c>
      <c r="Q2313" t="str">
        <f t="shared" si="219"/>
        <v>Low Loan</v>
      </c>
      <c r="R2313">
        <f t="shared" si="220"/>
        <v>1500000</v>
      </c>
      <c r="S2313" t="str">
        <f t="shared" si="221"/>
        <v>Weak</v>
      </c>
    </row>
    <row r="2314" spans="1:19" x14ac:dyDescent="0.25">
      <c r="A2314">
        <v>2313</v>
      </c>
      <c r="B2314">
        <v>2</v>
      </c>
      <c r="C2314" t="s">
        <v>30</v>
      </c>
      <c r="D2314" t="s">
        <v>32</v>
      </c>
      <c r="E2314">
        <v>2200000</v>
      </c>
      <c r="F2314">
        <v>7000000</v>
      </c>
      <c r="G2314">
        <v>6</v>
      </c>
      <c r="H2314">
        <v>777</v>
      </c>
      <c r="I2314">
        <v>6100000</v>
      </c>
      <c r="J2314">
        <v>400000</v>
      </c>
      <c r="K2314">
        <v>4400000</v>
      </c>
      <c r="L2314">
        <v>3300000</v>
      </c>
      <c r="M2314" t="s">
        <v>34</v>
      </c>
      <c r="N2314">
        <f t="shared" si="217"/>
        <v>1</v>
      </c>
      <c r="O2314" t="str">
        <f t="shared" si="216"/>
        <v>Excellent</v>
      </c>
      <c r="P2314" t="str">
        <f t="shared" si="218"/>
        <v>High</v>
      </c>
      <c r="Q2314" t="str">
        <f t="shared" si="219"/>
        <v>Low Loan</v>
      </c>
      <c r="R2314">
        <f t="shared" si="220"/>
        <v>14200000</v>
      </c>
      <c r="S2314" t="str">
        <f t="shared" si="221"/>
        <v>Strong</v>
      </c>
    </row>
    <row r="2315" spans="1:19" x14ac:dyDescent="0.25">
      <c r="A2315">
        <v>2314</v>
      </c>
      <c r="B2315">
        <v>1</v>
      </c>
      <c r="C2315" t="s">
        <v>30</v>
      </c>
      <c r="D2315" t="s">
        <v>33</v>
      </c>
      <c r="E2315">
        <v>8700000</v>
      </c>
      <c r="F2315">
        <v>31700000</v>
      </c>
      <c r="G2315">
        <v>12</v>
      </c>
      <c r="H2315">
        <v>525</v>
      </c>
      <c r="I2315">
        <v>7800000</v>
      </c>
      <c r="J2315">
        <v>10200000</v>
      </c>
      <c r="K2315">
        <v>30300000</v>
      </c>
      <c r="L2315">
        <v>6100000</v>
      </c>
      <c r="M2315" t="s">
        <v>35</v>
      </c>
      <c r="N2315">
        <f t="shared" si="217"/>
        <v>0</v>
      </c>
      <c r="O2315" t="str">
        <f t="shared" si="216"/>
        <v>Low</v>
      </c>
      <c r="P2315" t="str">
        <f t="shared" si="218"/>
        <v>High</v>
      </c>
      <c r="Q2315" t="str">
        <f t="shared" si="219"/>
        <v>High Loan</v>
      </c>
      <c r="R2315">
        <f t="shared" si="220"/>
        <v>54400000</v>
      </c>
      <c r="S2315" t="str">
        <f t="shared" si="221"/>
        <v>Strong</v>
      </c>
    </row>
    <row r="2316" spans="1:19" x14ac:dyDescent="0.25">
      <c r="A2316">
        <v>2315</v>
      </c>
      <c r="B2316">
        <v>4</v>
      </c>
      <c r="C2316" t="s">
        <v>30</v>
      </c>
      <c r="D2316" t="s">
        <v>32</v>
      </c>
      <c r="E2316">
        <v>7200000</v>
      </c>
      <c r="F2316">
        <v>23100000</v>
      </c>
      <c r="G2316">
        <v>12</v>
      </c>
      <c r="H2316">
        <v>632</v>
      </c>
      <c r="I2316">
        <v>4600000</v>
      </c>
      <c r="J2316">
        <v>8500000</v>
      </c>
      <c r="K2316">
        <v>19400000</v>
      </c>
      <c r="L2316">
        <v>4400000</v>
      </c>
      <c r="M2316" t="s">
        <v>34</v>
      </c>
      <c r="N2316">
        <f t="shared" si="217"/>
        <v>1</v>
      </c>
      <c r="O2316" t="str">
        <f t="shared" si="216"/>
        <v>Low</v>
      </c>
      <c r="P2316" t="str">
        <f t="shared" si="218"/>
        <v>High</v>
      </c>
      <c r="Q2316" t="str">
        <f t="shared" si="219"/>
        <v>High Loan</v>
      </c>
      <c r="R2316">
        <f t="shared" si="220"/>
        <v>36900000</v>
      </c>
      <c r="S2316" t="str">
        <f t="shared" si="221"/>
        <v>Strong</v>
      </c>
    </row>
    <row r="2317" spans="1:19" x14ac:dyDescent="0.25">
      <c r="A2317">
        <v>2316</v>
      </c>
      <c r="B2317">
        <v>0</v>
      </c>
      <c r="C2317" t="s">
        <v>31</v>
      </c>
      <c r="D2317" t="s">
        <v>32</v>
      </c>
      <c r="E2317">
        <v>2000000</v>
      </c>
      <c r="F2317">
        <v>4800000</v>
      </c>
      <c r="G2317">
        <v>20</v>
      </c>
      <c r="H2317">
        <v>337</v>
      </c>
      <c r="I2317">
        <v>1300000</v>
      </c>
      <c r="J2317">
        <v>2200000</v>
      </c>
      <c r="K2317">
        <v>5500000</v>
      </c>
      <c r="L2317">
        <v>1700000</v>
      </c>
      <c r="M2317" t="s">
        <v>35</v>
      </c>
      <c r="N2317">
        <f t="shared" si="217"/>
        <v>0</v>
      </c>
      <c r="O2317" t="str">
        <f t="shared" si="216"/>
        <v>Low</v>
      </c>
      <c r="P2317" t="str">
        <f t="shared" si="218"/>
        <v>High</v>
      </c>
      <c r="Q2317" t="str">
        <f t="shared" si="219"/>
        <v>Low Loan</v>
      </c>
      <c r="R2317">
        <f t="shared" si="220"/>
        <v>10700000</v>
      </c>
      <c r="S2317" t="str">
        <f t="shared" si="221"/>
        <v>Strong</v>
      </c>
    </row>
    <row r="2318" spans="1:19" x14ac:dyDescent="0.25">
      <c r="A2318">
        <v>2317</v>
      </c>
      <c r="B2318">
        <v>4</v>
      </c>
      <c r="C2318" t="s">
        <v>30</v>
      </c>
      <c r="D2318" t="s">
        <v>33</v>
      </c>
      <c r="E2318">
        <v>8600000</v>
      </c>
      <c r="F2318">
        <v>27900000</v>
      </c>
      <c r="G2318">
        <v>8</v>
      </c>
      <c r="H2318">
        <v>458</v>
      </c>
      <c r="I2318">
        <v>22400000</v>
      </c>
      <c r="J2318">
        <v>1800000</v>
      </c>
      <c r="K2318">
        <v>34000000</v>
      </c>
      <c r="L2318">
        <v>11700000</v>
      </c>
      <c r="M2318" t="s">
        <v>35</v>
      </c>
      <c r="N2318">
        <f t="shared" si="217"/>
        <v>0</v>
      </c>
      <c r="O2318" t="str">
        <f t="shared" si="216"/>
        <v>Low</v>
      </c>
      <c r="P2318" t="str">
        <f t="shared" si="218"/>
        <v>High</v>
      </c>
      <c r="Q2318" t="str">
        <f t="shared" si="219"/>
        <v>High Loan</v>
      </c>
      <c r="R2318">
        <f t="shared" si="220"/>
        <v>69900000</v>
      </c>
      <c r="S2318" t="str">
        <f t="shared" si="221"/>
        <v>Strong</v>
      </c>
    </row>
    <row r="2319" spans="1:19" x14ac:dyDescent="0.25">
      <c r="A2319">
        <v>2318</v>
      </c>
      <c r="B2319">
        <v>2</v>
      </c>
      <c r="C2319" t="s">
        <v>30</v>
      </c>
      <c r="D2319" t="s">
        <v>33</v>
      </c>
      <c r="E2319">
        <v>2300000</v>
      </c>
      <c r="F2319">
        <v>5400000</v>
      </c>
      <c r="G2319">
        <v>8</v>
      </c>
      <c r="H2319">
        <v>364</v>
      </c>
      <c r="I2319">
        <v>4500000</v>
      </c>
      <c r="J2319">
        <v>500000</v>
      </c>
      <c r="K2319">
        <v>7000000</v>
      </c>
      <c r="L2319">
        <v>2000000</v>
      </c>
      <c r="M2319" t="s">
        <v>35</v>
      </c>
      <c r="N2319">
        <f t="shared" si="217"/>
        <v>0</v>
      </c>
      <c r="O2319" t="str">
        <f t="shared" si="216"/>
        <v>Low</v>
      </c>
      <c r="P2319" t="str">
        <f t="shared" si="218"/>
        <v>High</v>
      </c>
      <c r="Q2319" t="str">
        <f t="shared" si="219"/>
        <v>Low Loan</v>
      </c>
      <c r="R2319">
        <f t="shared" si="220"/>
        <v>14000000</v>
      </c>
      <c r="S2319" t="str">
        <f t="shared" si="221"/>
        <v>Strong</v>
      </c>
    </row>
    <row r="2320" spans="1:19" x14ac:dyDescent="0.25">
      <c r="A2320">
        <v>2319</v>
      </c>
      <c r="B2320">
        <v>2</v>
      </c>
      <c r="C2320" t="s">
        <v>31</v>
      </c>
      <c r="D2320" t="s">
        <v>33</v>
      </c>
      <c r="E2320">
        <v>9600000</v>
      </c>
      <c r="F2320">
        <v>29800000</v>
      </c>
      <c r="G2320">
        <v>16</v>
      </c>
      <c r="H2320">
        <v>499</v>
      </c>
      <c r="I2320">
        <v>28500000</v>
      </c>
      <c r="J2320">
        <v>6300000</v>
      </c>
      <c r="K2320">
        <v>31800000</v>
      </c>
      <c r="L2320">
        <v>7400000</v>
      </c>
      <c r="M2320" t="s">
        <v>35</v>
      </c>
      <c r="N2320">
        <f t="shared" si="217"/>
        <v>0</v>
      </c>
      <c r="O2320" t="str">
        <f t="shared" si="216"/>
        <v>Low</v>
      </c>
      <c r="P2320" t="str">
        <f t="shared" si="218"/>
        <v>High</v>
      </c>
      <c r="Q2320" t="str">
        <f t="shared" si="219"/>
        <v>High Loan</v>
      </c>
      <c r="R2320">
        <f t="shared" si="220"/>
        <v>74000000</v>
      </c>
      <c r="S2320" t="str">
        <f t="shared" si="221"/>
        <v>Strong</v>
      </c>
    </row>
    <row r="2321" spans="1:19" x14ac:dyDescent="0.25">
      <c r="A2321">
        <v>2320</v>
      </c>
      <c r="B2321">
        <v>2</v>
      </c>
      <c r="C2321" t="s">
        <v>30</v>
      </c>
      <c r="D2321" t="s">
        <v>33</v>
      </c>
      <c r="E2321">
        <v>1900000</v>
      </c>
      <c r="F2321">
        <v>6500000</v>
      </c>
      <c r="G2321">
        <v>16</v>
      </c>
      <c r="H2321">
        <v>887</v>
      </c>
      <c r="I2321">
        <v>2000000</v>
      </c>
      <c r="J2321">
        <v>1200000</v>
      </c>
      <c r="K2321">
        <v>4500000</v>
      </c>
      <c r="L2321">
        <v>1700000</v>
      </c>
      <c r="M2321" t="s">
        <v>34</v>
      </c>
      <c r="N2321">
        <f t="shared" si="217"/>
        <v>1</v>
      </c>
      <c r="O2321" t="str">
        <f t="shared" si="216"/>
        <v>Excellent</v>
      </c>
      <c r="P2321" t="str">
        <f t="shared" si="218"/>
        <v>High</v>
      </c>
      <c r="Q2321" t="str">
        <f t="shared" si="219"/>
        <v>Low Loan</v>
      </c>
      <c r="R2321">
        <f t="shared" si="220"/>
        <v>9400000</v>
      </c>
      <c r="S2321" t="str">
        <f t="shared" si="221"/>
        <v>Moderate</v>
      </c>
    </row>
    <row r="2322" spans="1:19" x14ac:dyDescent="0.25">
      <c r="A2322">
        <v>2321</v>
      </c>
      <c r="B2322">
        <v>1</v>
      </c>
      <c r="C2322" t="s">
        <v>30</v>
      </c>
      <c r="D2322" t="s">
        <v>32</v>
      </c>
      <c r="E2322">
        <v>2100000</v>
      </c>
      <c r="F2322">
        <v>6300000</v>
      </c>
      <c r="G2322">
        <v>16</v>
      </c>
      <c r="H2322">
        <v>882</v>
      </c>
      <c r="I2322">
        <v>3900000</v>
      </c>
      <c r="J2322">
        <v>2200000</v>
      </c>
      <c r="K2322">
        <v>7700000</v>
      </c>
      <c r="L2322">
        <v>2900000</v>
      </c>
      <c r="M2322" t="s">
        <v>34</v>
      </c>
      <c r="N2322">
        <f t="shared" si="217"/>
        <v>1</v>
      </c>
      <c r="O2322" t="str">
        <f t="shared" si="216"/>
        <v>Excellent</v>
      </c>
      <c r="P2322" t="str">
        <f t="shared" si="218"/>
        <v>High</v>
      </c>
      <c r="Q2322" t="str">
        <f t="shared" si="219"/>
        <v>Low Loan</v>
      </c>
      <c r="R2322">
        <f t="shared" si="220"/>
        <v>16700000</v>
      </c>
      <c r="S2322" t="str">
        <f t="shared" si="221"/>
        <v>Strong</v>
      </c>
    </row>
    <row r="2323" spans="1:19" x14ac:dyDescent="0.25">
      <c r="A2323">
        <v>2322</v>
      </c>
      <c r="B2323">
        <v>1</v>
      </c>
      <c r="C2323" t="s">
        <v>31</v>
      </c>
      <c r="D2323" t="s">
        <v>33</v>
      </c>
      <c r="E2323">
        <v>3900000</v>
      </c>
      <c r="F2323">
        <v>8700000</v>
      </c>
      <c r="G2323">
        <v>8</v>
      </c>
      <c r="H2323">
        <v>817</v>
      </c>
      <c r="I2323">
        <v>900000</v>
      </c>
      <c r="J2323">
        <v>2500000</v>
      </c>
      <c r="K2323">
        <v>10700000</v>
      </c>
      <c r="L2323">
        <v>2100000</v>
      </c>
      <c r="M2323" t="s">
        <v>34</v>
      </c>
      <c r="N2323">
        <f t="shared" si="217"/>
        <v>1</v>
      </c>
      <c r="O2323" t="str">
        <f t="shared" si="216"/>
        <v>Excellent</v>
      </c>
      <c r="P2323" t="str">
        <f t="shared" si="218"/>
        <v>High</v>
      </c>
      <c r="Q2323" t="str">
        <f t="shared" si="219"/>
        <v>Low Loan</v>
      </c>
      <c r="R2323">
        <f t="shared" si="220"/>
        <v>16200000</v>
      </c>
      <c r="S2323" t="str">
        <f t="shared" si="221"/>
        <v>Strong</v>
      </c>
    </row>
    <row r="2324" spans="1:19" x14ac:dyDescent="0.25">
      <c r="A2324">
        <v>2323</v>
      </c>
      <c r="B2324">
        <v>5</v>
      </c>
      <c r="C2324" t="s">
        <v>31</v>
      </c>
      <c r="D2324" t="s">
        <v>33</v>
      </c>
      <c r="E2324">
        <v>200000</v>
      </c>
      <c r="F2324">
        <v>300000</v>
      </c>
      <c r="G2324">
        <v>10</v>
      </c>
      <c r="H2324">
        <v>704</v>
      </c>
      <c r="I2324">
        <v>500000</v>
      </c>
      <c r="J2324">
        <v>100000</v>
      </c>
      <c r="K2324">
        <v>800000</v>
      </c>
      <c r="L2324">
        <v>200000</v>
      </c>
      <c r="M2324" t="s">
        <v>34</v>
      </c>
      <c r="N2324">
        <f t="shared" si="217"/>
        <v>1</v>
      </c>
      <c r="O2324" t="str">
        <f t="shared" si="216"/>
        <v>Good</v>
      </c>
      <c r="P2324" t="str">
        <f t="shared" si="218"/>
        <v>Low</v>
      </c>
      <c r="Q2324" t="str">
        <f t="shared" si="219"/>
        <v>Low Loan</v>
      </c>
      <c r="R2324">
        <f t="shared" si="220"/>
        <v>1600000</v>
      </c>
      <c r="S2324" t="str">
        <f t="shared" si="221"/>
        <v>Weak</v>
      </c>
    </row>
    <row r="2325" spans="1:19" x14ac:dyDescent="0.25">
      <c r="A2325">
        <v>2324</v>
      </c>
      <c r="B2325">
        <v>1</v>
      </c>
      <c r="C2325" t="s">
        <v>31</v>
      </c>
      <c r="D2325" t="s">
        <v>33</v>
      </c>
      <c r="E2325">
        <v>1900000</v>
      </c>
      <c r="F2325">
        <v>4500000</v>
      </c>
      <c r="G2325">
        <v>12</v>
      </c>
      <c r="H2325">
        <v>742</v>
      </c>
      <c r="I2325">
        <v>1200000</v>
      </c>
      <c r="J2325">
        <v>2000000</v>
      </c>
      <c r="K2325">
        <v>4400000</v>
      </c>
      <c r="L2325">
        <v>1200000</v>
      </c>
      <c r="M2325" t="s">
        <v>34</v>
      </c>
      <c r="N2325">
        <f t="shared" si="217"/>
        <v>1</v>
      </c>
      <c r="O2325" t="str">
        <f t="shared" si="216"/>
        <v>Good</v>
      </c>
      <c r="P2325" t="str">
        <f t="shared" si="218"/>
        <v>High</v>
      </c>
      <c r="Q2325" t="str">
        <f t="shared" si="219"/>
        <v>Low Loan</v>
      </c>
      <c r="R2325">
        <f t="shared" si="220"/>
        <v>8800000</v>
      </c>
      <c r="S2325" t="str">
        <f t="shared" si="221"/>
        <v>Moderate</v>
      </c>
    </row>
    <row r="2326" spans="1:19" x14ac:dyDescent="0.25">
      <c r="A2326">
        <v>2325</v>
      </c>
      <c r="B2326">
        <v>0</v>
      </c>
      <c r="C2326" t="s">
        <v>31</v>
      </c>
      <c r="D2326" t="s">
        <v>33</v>
      </c>
      <c r="E2326">
        <v>3200000</v>
      </c>
      <c r="F2326">
        <v>11600000</v>
      </c>
      <c r="G2326">
        <v>4</v>
      </c>
      <c r="H2326">
        <v>393</v>
      </c>
      <c r="I2326">
        <v>4700000</v>
      </c>
      <c r="J2326">
        <v>300000</v>
      </c>
      <c r="K2326">
        <v>8000000</v>
      </c>
      <c r="L2326">
        <v>3100000</v>
      </c>
      <c r="M2326" t="s">
        <v>34</v>
      </c>
      <c r="N2326">
        <f t="shared" si="217"/>
        <v>1</v>
      </c>
      <c r="O2326" t="str">
        <f t="shared" si="216"/>
        <v>Low</v>
      </c>
      <c r="P2326" t="str">
        <f t="shared" si="218"/>
        <v>High</v>
      </c>
      <c r="Q2326" t="str">
        <f t="shared" si="219"/>
        <v>Low Loan</v>
      </c>
      <c r="R2326">
        <f t="shared" si="220"/>
        <v>16100000</v>
      </c>
      <c r="S2326" t="str">
        <f t="shared" si="221"/>
        <v>Strong</v>
      </c>
    </row>
    <row r="2327" spans="1:19" x14ac:dyDescent="0.25">
      <c r="A2327">
        <v>2326</v>
      </c>
      <c r="B2327">
        <v>0</v>
      </c>
      <c r="C2327" t="s">
        <v>31</v>
      </c>
      <c r="D2327" t="s">
        <v>32</v>
      </c>
      <c r="E2327">
        <v>1100000</v>
      </c>
      <c r="F2327">
        <v>4300000</v>
      </c>
      <c r="G2327">
        <v>18</v>
      </c>
      <c r="H2327">
        <v>828</v>
      </c>
      <c r="I2327">
        <v>700000</v>
      </c>
      <c r="J2327">
        <v>800000</v>
      </c>
      <c r="K2327">
        <v>2900000</v>
      </c>
      <c r="L2327">
        <v>900000</v>
      </c>
      <c r="M2327" t="s">
        <v>34</v>
      </c>
      <c r="N2327">
        <f t="shared" si="217"/>
        <v>1</v>
      </c>
      <c r="O2327" t="str">
        <f t="shared" si="216"/>
        <v>Excellent</v>
      </c>
      <c r="P2327" t="str">
        <f t="shared" si="218"/>
        <v>High</v>
      </c>
      <c r="Q2327" t="str">
        <f t="shared" si="219"/>
        <v>Low Loan</v>
      </c>
      <c r="R2327">
        <f t="shared" si="220"/>
        <v>5300000</v>
      </c>
      <c r="S2327" t="str">
        <f t="shared" si="221"/>
        <v>Moderate</v>
      </c>
    </row>
    <row r="2328" spans="1:19" x14ac:dyDescent="0.25">
      <c r="A2328">
        <v>2327</v>
      </c>
      <c r="B2328">
        <v>5</v>
      </c>
      <c r="C2328" t="s">
        <v>30</v>
      </c>
      <c r="D2328" t="s">
        <v>33</v>
      </c>
      <c r="E2328">
        <v>8000000</v>
      </c>
      <c r="F2328">
        <v>21500000</v>
      </c>
      <c r="G2328">
        <v>12</v>
      </c>
      <c r="H2328">
        <v>779</v>
      </c>
      <c r="I2328">
        <v>2600000</v>
      </c>
      <c r="J2328">
        <v>15100000</v>
      </c>
      <c r="K2328">
        <v>29800000</v>
      </c>
      <c r="L2328">
        <v>10400000</v>
      </c>
      <c r="M2328" t="s">
        <v>34</v>
      </c>
      <c r="N2328">
        <f t="shared" si="217"/>
        <v>1</v>
      </c>
      <c r="O2328" t="str">
        <f t="shared" si="216"/>
        <v>Excellent</v>
      </c>
      <c r="P2328" t="str">
        <f t="shared" si="218"/>
        <v>High</v>
      </c>
      <c r="Q2328" t="str">
        <f t="shared" si="219"/>
        <v>High Loan</v>
      </c>
      <c r="R2328">
        <f t="shared" si="220"/>
        <v>57900000</v>
      </c>
      <c r="S2328" t="str">
        <f t="shared" si="221"/>
        <v>Strong</v>
      </c>
    </row>
    <row r="2329" spans="1:19" x14ac:dyDescent="0.25">
      <c r="A2329">
        <v>2328</v>
      </c>
      <c r="B2329">
        <v>4</v>
      </c>
      <c r="C2329" t="s">
        <v>30</v>
      </c>
      <c r="D2329" t="s">
        <v>33</v>
      </c>
      <c r="E2329">
        <v>6100000</v>
      </c>
      <c r="F2329">
        <v>21700000</v>
      </c>
      <c r="G2329">
        <v>6</v>
      </c>
      <c r="H2329">
        <v>860</v>
      </c>
      <c r="I2329">
        <v>13900000</v>
      </c>
      <c r="J2329">
        <v>900000</v>
      </c>
      <c r="K2329">
        <v>14100000</v>
      </c>
      <c r="L2329">
        <v>5600000</v>
      </c>
      <c r="M2329" t="s">
        <v>34</v>
      </c>
      <c r="N2329">
        <f t="shared" si="217"/>
        <v>1</v>
      </c>
      <c r="O2329" t="str">
        <f t="shared" si="216"/>
        <v>Excellent</v>
      </c>
      <c r="P2329" t="str">
        <f t="shared" si="218"/>
        <v>High</v>
      </c>
      <c r="Q2329" t="str">
        <f t="shared" si="219"/>
        <v>High Loan</v>
      </c>
      <c r="R2329">
        <f t="shared" si="220"/>
        <v>34500000</v>
      </c>
      <c r="S2329" t="str">
        <f t="shared" si="221"/>
        <v>Strong</v>
      </c>
    </row>
    <row r="2330" spans="1:19" x14ac:dyDescent="0.25">
      <c r="A2330">
        <v>2329</v>
      </c>
      <c r="B2330">
        <v>5</v>
      </c>
      <c r="C2330" t="s">
        <v>30</v>
      </c>
      <c r="D2330" t="s">
        <v>32</v>
      </c>
      <c r="E2330">
        <v>3200000</v>
      </c>
      <c r="F2330">
        <v>10600000</v>
      </c>
      <c r="G2330">
        <v>2</v>
      </c>
      <c r="H2330">
        <v>432</v>
      </c>
      <c r="I2330">
        <v>6500000</v>
      </c>
      <c r="J2330">
        <v>3700000</v>
      </c>
      <c r="K2330">
        <v>11200000</v>
      </c>
      <c r="L2330">
        <v>3700000</v>
      </c>
      <c r="M2330" t="s">
        <v>34</v>
      </c>
      <c r="N2330">
        <f t="shared" si="217"/>
        <v>1</v>
      </c>
      <c r="O2330" t="str">
        <f t="shared" si="216"/>
        <v>Low</v>
      </c>
      <c r="P2330" t="str">
        <f t="shared" si="218"/>
        <v>High</v>
      </c>
      <c r="Q2330" t="str">
        <f t="shared" si="219"/>
        <v>Low Loan</v>
      </c>
      <c r="R2330">
        <f t="shared" si="220"/>
        <v>25100000</v>
      </c>
      <c r="S2330" t="str">
        <f t="shared" si="221"/>
        <v>Strong</v>
      </c>
    </row>
    <row r="2331" spans="1:19" x14ac:dyDescent="0.25">
      <c r="A2331">
        <v>2330</v>
      </c>
      <c r="B2331">
        <v>4</v>
      </c>
      <c r="C2331" t="s">
        <v>30</v>
      </c>
      <c r="D2331" t="s">
        <v>33</v>
      </c>
      <c r="E2331">
        <v>9000000</v>
      </c>
      <c r="F2331">
        <v>30400000</v>
      </c>
      <c r="G2331">
        <v>20</v>
      </c>
      <c r="H2331">
        <v>532</v>
      </c>
      <c r="I2331">
        <v>21000000</v>
      </c>
      <c r="J2331">
        <v>7400000</v>
      </c>
      <c r="K2331">
        <v>30500000</v>
      </c>
      <c r="L2331">
        <v>13100000</v>
      </c>
      <c r="M2331" t="s">
        <v>35</v>
      </c>
      <c r="N2331">
        <f t="shared" si="217"/>
        <v>0</v>
      </c>
      <c r="O2331" t="str">
        <f t="shared" si="216"/>
        <v>Low</v>
      </c>
      <c r="P2331" t="str">
        <f t="shared" si="218"/>
        <v>High</v>
      </c>
      <c r="Q2331" t="str">
        <f t="shared" si="219"/>
        <v>High Loan</v>
      </c>
      <c r="R2331">
        <f t="shared" si="220"/>
        <v>72000000</v>
      </c>
      <c r="S2331" t="str">
        <f t="shared" si="221"/>
        <v>Strong</v>
      </c>
    </row>
    <row r="2332" spans="1:19" x14ac:dyDescent="0.25">
      <c r="A2332">
        <v>2331</v>
      </c>
      <c r="B2332">
        <v>0</v>
      </c>
      <c r="C2332" t="s">
        <v>31</v>
      </c>
      <c r="D2332" t="s">
        <v>33</v>
      </c>
      <c r="E2332">
        <v>1200000</v>
      </c>
      <c r="F2332">
        <v>3200000</v>
      </c>
      <c r="G2332">
        <v>2</v>
      </c>
      <c r="H2332">
        <v>678</v>
      </c>
      <c r="I2332">
        <v>1500000</v>
      </c>
      <c r="J2332">
        <v>1000000</v>
      </c>
      <c r="K2332">
        <v>3400000</v>
      </c>
      <c r="L2332">
        <v>900000</v>
      </c>
      <c r="M2332" t="s">
        <v>34</v>
      </c>
      <c r="N2332">
        <f t="shared" si="217"/>
        <v>1</v>
      </c>
      <c r="O2332" t="str">
        <f t="shared" si="216"/>
        <v>Medium</v>
      </c>
      <c r="P2332" t="str">
        <f t="shared" si="218"/>
        <v>High</v>
      </c>
      <c r="Q2332" t="str">
        <f t="shared" si="219"/>
        <v>Low Loan</v>
      </c>
      <c r="R2332">
        <f t="shared" si="220"/>
        <v>6800000</v>
      </c>
      <c r="S2332" t="str">
        <f t="shared" si="221"/>
        <v>Moderate</v>
      </c>
    </row>
    <row r="2333" spans="1:19" x14ac:dyDescent="0.25">
      <c r="A2333">
        <v>2332</v>
      </c>
      <c r="B2333">
        <v>3</v>
      </c>
      <c r="C2333" t="s">
        <v>30</v>
      </c>
      <c r="D2333" t="s">
        <v>32</v>
      </c>
      <c r="E2333">
        <v>7900000</v>
      </c>
      <c r="F2333">
        <v>27000000</v>
      </c>
      <c r="G2333">
        <v>6</v>
      </c>
      <c r="H2333">
        <v>601</v>
      </c>
      <c r="I2333">
        <v>17700000</v>
      </c>
      <c r="J2333">
        <v>7800000</v>
      </c>
      <c r="K2333">
        <v>27600000</v>
      </c>
      <c r="L2333">
        <v>11500000</v>
      </c>
      <c r="M2333" t="s">
        <v>34</v>
      </c>
      <c r="N2333">
        <f t="shared" si="217"/>
        <v>1</v>
      </c>
      <c r="O2333" t="str">
        <f t="shared" si="216"/>
        <v>Low</v>
      </c>
      <c r="P2333" t="str">
        <f t="shared" si="218"/>
        <v>High</v>
      </c>
      <c r="Q2333" t="str">
        <f t="shared" si="219"/>
        <v>High Loan</v>
      </c>
      <c r="R2333">
        <f t="shared" si="220"/>
        <v>64600000</v>
      </c>
      <c r="S2333" t="str">
        <f t="shared" si="221"/>
        <v>Strong</v>
      </c>
    </row>
    <row r="2334" spans="1:19" x14ac:dyDescent="0.25">
      <c r="A2334">
        <v>2333</v>
      </c>
      <c r="B2334">
        <v>3</v>
      </c>
      <c r="C2334" t="s">
        <v>30</v>
      </c>
      <c r="D2334" t="s">
        <v>33</v>
      </c>
      <c r="E2334">
        <v>7700000</v>
      </c>
      <c r="F2334">
        <v>23100000</v>
      </c>
      <c r="G2334">
        <v>8</v>
      </c>
      <c r="H2334">
        <v>807</v>
      </c>
      <c r="I2334">
        <v>2900000</v>
      </c>
      <c r="J2334">
        <v>9800000</v>
      </c>
      <c r="K2334">
        <v>20400000</v>
      </c>
      <c r="L2334">
        <v>7000000</v>
      </c>
      <c r="M2334" t="s">
        <v>34</v>
      </c>
      <c r="N2334">
        <f t="shared" si="217"/>
        <v>1</v>
      </c>
      <c r="O2334" t="str">
        <f t="shared" si="216"/>
        <v>Excellent</v>
      </c>
      <c r="P2334" t="str">
        <f t="shared" si="218"/>
        <v>High</v>
      </c>
      <c r="Q2334" t="str">
        <f t="shared" si="219"/>
        <v>High Loan</v>
      </c>
      <c r="R2334">
        <f t="shared" si="220"/>
        <v>40100000</v>
      </c>
      <c r="S2334" t="str">
        <f t="shared" si="221"/>
        <v>Strong</v>
      </c>
    </row>
    <row r="2335" spans="1:19" x14ac:dyDescent="0.25">
      <c r="A2335">
        <v>2334</v>
      </c>
      <c r="B2335">
        <v>2</v>
      </c>
      <c r="C2335" t="s">
        <v>31</v>
      </c>
      <c r="D2335" t="s">
        <v>32</v>
      </c>
      <c r="E2335">
        <v>4400000</v>
      </c>
      <c r="F2335">
        <v>16500000</v>
      </c>
      <c r="G2335">
        <v>16</v>
      </c>
      <c r="H2335">
        <v>879</v>
      </c>
      <c r="I2335">
        <v>7800000</v>
      </c>
      <c r="J2335">
        <v>7500000</v>
      </c>
      <c r="K2335">
        <v>10300000</v>
      </c>
      <c r="L2335">
        <v>5400000</v>
      </c>
      <c r="M2335" t="s">
        <v>34</v>
      </c>
      <c r="N2335">
        <f t="shared" si="217"/>
        <v>1</v>
      </c>
      <c r="O2335" t="str">
        <f t="shared" si="216"/>
        <v>Excellent</v>
      </c>
      <c r="P2335" t="str">
        <f t="shared" si="218"/>
        <v>High</v>
      </c>
      <c r="Q2335" t="str">
        <f t="shared" si="219"/>
        <v>Low Loan</v>
      </c>
      <c r="R2335">
        <f t="shared" si="220"/>
        <v>31000000</v>
      </c>
      <c r="S2335" t="str">
        <f t="shared" si="221"/>
        <v>Strong</v>
      </c>
    </row>
    <row r="2336" spans="1:19" x14ac:dyDescent="0.25">
      <c r="A2336">
        <v>2335</v>
      </c>
      <c r="B2336">
        <v>1</v>
      </c>
      <c r="C2336" t="s">
        <v>31</v>
      </c>
      <c r="D2336" t="s">
        <v>32</v>
      </c>
      <c r="E2336">
        <v>3100000</v>
      </c>
      <c r="F2336">
        <v>11200000</v>
      </c>
      <c r="G2336">
        <v>18</v>
      </c>
      <c r="H2336">
        <v>665</v>
      </c>
      <c r="I2336">
        <v>2000000</v>
      </c>
      <c r="J2336">
        <v>5400000</v>
      </c>
      <c r="K2336">
        <v>12000000</v>
      </c>
      <c r="L2336">
        <v>2500000</v>
      </c>
      <c r="M2336" t="s">
        <v>34</v>
      </c>
      <c r="N2336">
        <f t="shared" si="217"/>
        <v>1</v>
      </c>
      <c r="O2336" t="str">
        <f t="shared" si="216"/>
        <v>Medium</v>
      </c>
      <c r="P2336" t="str">
        <f t="shared" si="218"/>
        <v>High</v>
      </c>
      <c r="Q2336" t="str">
        <f t="shared" si="219"/>
        <v>Low Loan</v>
      </c>
      <c r="R2336">
        <f t="shared" si="220"/>
        <v>21900000</v>
      </c>
      <c r="S2336" t="str">
        <f t="shared" si="221"/>
        <v>Strong</v>
      </c>
    </row>
    <row r="2337" spans="1:19" x14ac:dyDescent="0.25">
      <c r="A2337">
        <v>2336</v>
      </c>
      <c r="B2337">
        <v>5</v>
      </c>
      <c r="C2337" t="s">
        <v>31</v>
      </c>
      <c r="D2337" t="s">
        <v>33</v>
      </c>
      <c r="E2337">
        <v>2600000</v>
      </c>
      <c r="F2337">
        <v>9300000</v>
      </c>
      <c r="G2337">
        <v>16</v>
      </c>
      <c r="H2337">
        <v>697</v>
      </c>
      <c r="I2337">
        <v>5100000</v>
      </c>
      <c r="J2337">
        <v>1200000</v>
      </c>
      <c r="K2337">
        <v>7700000</v>
      </c>
      <c r="L2337">
        <v>3700000</v>
      </c>
      <c r="M2337" t="s">
        <v>34</v>
      </c>
      <c r="N2337">
        <f t="shared" si="217"/>
        <v>1</v>
      </c>
      <c r="O2337" t="str">
        <f t="shared" si="216"/>
        <v>Medium</v>
      </c>
      <c r="P2337" t="str">
        <f t="shared" si="218"/>
        <v>High</v>
      </c>
      <c r="Q2337" t="str">
        <f t="shared" si="219"/>
        <v>Low Loan</v>
      </c>
      <c r="R2337">
        <f t="shared" si="220"/>
        <v>17700000</v>
      </c>
      <c r="S2337" t="str">
        <f t="shared" si="221"/>
        <v>Strong</v>
      </c>
    </row>
    <row r="2338" spans="1:19" x14ac:dyDescent="0.25">
      <c r="A2338">
        <v>2337</v>
      </c>
      <c r="B2338">
        <v>4</v>
      </c>
      <c r="C2338" t="s">
        <v>30</v>
      </c>
      <c r="D2338" t="s">
        <v>32</v>
      </c>
      <c r="E2338">
        <v>5500000</v>
      </c>
      <c r="F2338">
        <v>21700000</v>
      </c>
      <c r="G2338">
        <v>14</v>
      </c>
      <c r="H2338">
        <v>867</v>
      </c>
      <c r="I2338">
        <v>5000000</v>
      </c>
      <c r="J2338">
        <v>8700000</v>
      </c>
      <c r="K2338">
        <v>15200000</v>
      </c>
      <c r="L2338">
        <v>3100000</v>
      </c>
      <c r="M2338" t="s">
        <v>34</v>
      </c>
      <c r="N2338">
        <f t="shared" si="217"/>
        <v>1</v>
      </c>
      <c r="O2338" t="str">
        <f t="shared" si="216"/>
        <v>Excellent</v>
      </c>
      <c r="P2338" t="str">
        <f t="shared" si="218"/>
        <v>High</v>
      </c>
      <c r="Q2338" t="str">
        <f t="shared" si="219"/>
        <v>High Loan</v>
      </c>
      <c r="R2338">
        <f t="shared" si="220"/>
        <v>32000000</v>
      </c>
      <c r="S2338" t="str">
        <f t="shared" si="221"/>
        <v>Strong</v>
      </c>
    </row>
    <row r="2339" spans="1:19" x14ac:dyDescent="0.25">
      <c r="A2339">
        <v>2338</v>
      </c>
      <c r="B2339">
        <v>1</v>
      </c>
      <c r="C2339" t="s">
        <v>30</v>
      </c>
      <c r="D2339" t="s">
        <v>32</v>
      </c>
      <c r="E2339">
        <v>5700000</v>
      </c>
      <c r="F2339">
        <v>15500000</v>
      </c>
      <c r="G2339">
        <v>8</v>
      </c>
      <c r="H2339">
        <v>544</v>
      </c>
      <c r="I2339">
        <v>10500000</v>
      </c>
      <c r="J2339">
        <v>8700000</v>
      </c>
      <c r="K2339">
        <v>20900000</v>
      </c>
      <c r="L2339">
        <v>7000000</v>
      </c>
      <c r="M2339" t="s">
        <v>35</v>
      </c>
      <c r="N2339">
        <f t="shared" si="217"/>
        <v>0</v>
      </c>
      <c r="O2339" t="str">
        <f t="shared" si="216"/>
        <v>Low</v>
      </c>
      <c r="P2339" t="str">
        <f t="shared" si="218"/>
        <v>High</v>
      </c>
      <c r="Q2339" t="str">
        <f t="shared" si="219"/>
        <v>Low Loan</v>
      </c>
      <c r="R2339">
        <f t="shared" si="220"/>
        <v>47100000</v>
      </c>
      <c r="S2339" t="str">
        <f t="shared" si="221"/>
        <v>Strong</v>
      </c>
    </row>
    <row r="2340" spans="1:19" x14ac:dyDescent="0.25">
      <c r="A2340">
        <v>2339</v>
      </c>
      <c r="B2340">
        <v>5</v>
      </c>
      <c r="C2340" t="s">
        <v>30</v>
      </c>
      <c r="D2340" t="s">
        <v>32</v>
      </c>
      <c r="E2340">
        <v>6100000</v>
      </c>
      <c r="F2340">
        <v>20700000</v>
      </c>
      <c r="G2340">
        <v>20</v>
      </c>
      <c r="H2340">
        <v>482</v>
      </c>
      <c r="I2340">
        <v>9400000</v>
      </c>
      <c r="J2340">
        <v>2000000</v>
      </c>
      <c r="K2340">
        <v>16900000</v>
      </c>
      <c r="L2340">
        <v>5900000</v>
      </c>
      <c r="M2340" t="s">
        <v>35</v>
      </c>
      <c r="N2340">
        <f t="shared" si="217"/>
        <v>0</v>
      </c>
      <c r="O2340" t="str">
        <f t="shared" si="216"/>
        <v>Low</v>
      </c>
      <c r="P2340" t="str">
        <f t="shared" si="218"/>
        <v>High</v>
      </c>
      <c r="Q2340" t="str">
        <f t="shared" si="219"/>
        <v>High Loan</v>
      </c>
      <c r="R2340">
        <f t="shared" si="220"/>
        <v>34200000</v>
      </c>
      <c r="S2340" t="str">
        <f t="shared" si="221"/>
        <v>Strong</v>
      </c>
    </row>
    <row r="2341" spans="1:19" x14ac:dyDescent="0.25">
      <c r="A2341">
        <v>2340</v>
      </c>
      <c r="B2341">
        <v>2</v>
      </c>
      <c r="C2341" t="s">
        <v>30</v>
      </c>
      <c r="D2341" t="s">
        <v>32</v>
      </c>
      <c r="E2341">
        <v>8200000</v>
      </c>
      <c r="F2341">
        <v>22500000</v>
      </c>
      <c r="G2341">
        <v>18</v>
      </c>
      <c r="H2341">
        <v>857</v>
      </c>
      <c r="I2341">
        <v>13400000</v>
      </c>
      <c r="J2341">
        <v>14300000</v>
      </c>
      <c r="K2341">
        <v>28400000</v>
      </c>
      <c r="L2341">
        <v>8400000</v>
      </c>
      <c r="M2341" t="s">
        <v>34</v>
      </c>
      <c r="N2341">
        <f t="shared" si="217"/>
        <v>1</v>
      </c>
      <c r="O2341" t="str">
        <f t="shared" si="216"/>
        <v>Excellent</v>
      </c>
      <c r="P2341" t="str">
        <f t="shared" si="218"/>
        <v>High</v>
      </c>
      <c r="Q2341" t="str">
        <f t="shared" si="219"/>
        <v>High Loan</v>
      </c>
      <c r="R2341">
        <f t="shared" si="220"/>
        <v>64500000</v>
      </c>
      <c r="S2341" t="str">
        <f t="shared" si="221"/>
        <v>Strong</v>
      </c>
    </row>
    <row r="2342" spans="1:19" x14ac:dyDescent="0.25">
      <c r="A2342">
        <v>2341</v>
      </c>
      <c r="B2342">
        <v>1</v>
      </c>
      <c r="C2342" t="s">
        <v>30</v>
      </c>
      <c r="D2342" t="s">
        <v>32</v>
      </c>
      <c r="E2342">
        <v>6000000</v>
      </c>
      <c r="F2342">
        <v>21200000</v>
      </c>
      <c r="G2342">
        <v>12</v>
      </c>
      <c r="H2342">
        <v>549</v>
      </c>
      <c r="I2342">
        <v>17900000</v>
      </c>
      <c r="J2342">
        <v>8200000</v>
      </c>
      <c r="K2342">
        <v>16900000</v>
      </c>
      <c r="L2342">
        <v>6200000</v>
      </c>
      <c r="M2342" t="s">
        <v>35</v>
      </c>
      <c r="N2342">
        <f t="shared" si="217"/>
        <v>0</v>
      </c>
      <c r="O2342" t="str">
        <f t="shared" si="216"/>
        <v>Low</v>
      </c>
      <c r="P2342" t="str">
        <f t="shared" si="218"/>
        <v>High</v>
      </c>
      <c r="Q2342" t="str">
        <f t="shared" si="219"/>
        <v>High Loan</v>
      </c>
      <c r="R2342">
        <f t="shared" si="220"/>
        <v>49200000</v>
      </c>
      <c r="S2342" t="str">
        <f t="shared" si="221"/>
        <v>Strong</v>
      </c>
    </row>
    <row r="2343" spans="1:19" x14ac:dyDescent="0.25">
      <c r="A2343">
        <v>2342</v>
      </c>
      <c r="B2343">
        <v>1</v>
      </c>
      <c r="C2343" t="s">
        <v>30</v>
      </c>
      <c r="D2343" t="s">
        <v>33</v>
      </c>
      <c r="E2343">
        <v>8000000</v>
      </c>
      <c r="F2343">
        <v>30600000</v>
      </c>
      <c r="G2343">
        <v>10</v>
      </c>
      <c r="H2343">
        <v>720</v>
      </c>
      <c r="I2343">
        <v>23700000</v>
      </c>
      <c r="J2343">
        <v>8500000</v>
      </c>
      <c r="K2343">
        <v>24900000</v>
      </c>
      <c r="L2343">
        <v>9700000</v>
      </c>
      <c r="M2343" t="s">
        <v>34</v>
      </c>
      <c r="N2343">
        <f t="shared" si="217"/>
        <v>1</v>
      </c>
      <c r="O2343" t="str">
        <f t="shared" si="216"/>
        <v>Good</v>
      </c>
      <c r="P2343" t="str">
        <f t="shared" si="218"/>
        <v>High</v>
      </c>
      <c r="Q2343" t="str">
        <f t="shared" si="219"/>
        <v>High Loan</v>
      </c>
      <c r="R2343">
        <f t="shared" si="220"/>
        <v>66800000</v>
      </c>
      <c r="S2343" t="str">
        <f t="shared" si="221"/>
        <v>Strong</v>
      </c>
    </row>
    <row r="2344" spans="1:19" x14ac:dyDescent="0.25">
      <c r="A2344">
        <v>2343</v>
      </c>
      <c r="B2344">
        <v>4</v>
      </c>
      <c r="C2344" t="s">
        <v>31</v>
      </c>
      <c r="D2344" t="s">
        <v>32</v>
      </c>
      <c r="E2344">
        <v>2000000</v>
      </c>
      <c r="F2344">
        <v>4800000</v>
      </c>
      <c r="G2344">
        <v>8</v>
      </c>
      <c r="H2344">
        <v>302</v>
      </c>
      <c r="I2344">
        <v>1500000</v>
      </c>
      <c r="J2344">
        <v>800000</v>
      </c>
      <c r="K2344">
        <v>4000000</v>
      </c>
      <c r="L2344">
        <v>2600000</v>
      </c>
      <c r="M2344" t="s">
        <v>35</v>
      </c>
      <c r="N2344">
        <f t="shared" si="217"/>
        <v>0</v>
      </c>
      <c r="O2344" t="str">
        <f t="shared" si="216"/>
        <v>Low</v>
      </c>
      <c r="P2344" t="str">
        <f t="shared" si="218"/>
        <v>High</v>
      </c>
      <c r="Q2344" t="str">
        <f t="shared" si="219"/>
        <v>Low Loan</v>
      </c>
      <c r="R2344">
        <f t="shared" si="220"/>
        <v>8900000</v>
      </c>
      <c r="S2344" t="str">
        <f t="shared" si="221"/>
        <v>Moderate</v>
      </c>
    </row>
    <row r="2345" spans="1:19" x14ac:dyDescent="0.25">
      <c r="A2345">
        <v>2344</v>
      </c>
      <c r="B2345">
        <v>5</v>
      </c>
      <c r="C2345" t="s">
        <v>30</v>
      </c>
      <c r="D2345" t="s">
        <v>33</v>
      </c>
      <c r="E2345">
        <v>1300000</v>
      </c>
      <c r="F2345">
        <v>2900000</v>
      </c>
      <c r="G2345">
        <v>12</v>
      </c>
      <c r="H2345">
        <v>669</v>
      </c>
      <c r="I2345">
        <v>400000</v>
      </c>
      <c r="J2345">
        <v>1700000</v>
      </c>
      <c r="K2345">
        <v>3900000</v>
      </c>
      <c r="L2345">
        <v>1800000</v>
      </c>
      <c r="M2345" t="s">
        <v>34</v>
      </c>
      <c r="N2345">
        <f t="shared" si="217"/>
        <v>1</v>
      </c>
      <c r="O2345" t="str">
        <f t="shared" si="216"/>
        <v>Medium</v>
      </c>
      <c r="P2345" t="str">
        <f t="shared" si="218"/>
        <v>High</v>
      </c>
      <c r="Q2345" t="str">
        <f t="shared" si="219"/>
        <v>Low Loan</v>
      </c>
      <c r="R2345">
        <f t="shared" si="220"/>
        <v>7800000</v>
      </c>
      <c r="S2345" t="str">
        <f t="shared" si="221"/>
        <v>Moderate</v>
      </c>
    </row>
    <row r="2346" spans="1:19" x14ac:dyDescent="0.25">
      <c r="A2346">
        <v>2345</v>
      </c>
      <c r="B2346">
        <v>1</v>
      </c>
      <c r="C2346" t="s">
        <v>30</v>
      </c>
      <c r="D2346" t="s">
        <v>32</v>
      </c>
      <c r="E2346">
        <v>7000000</v>
      </c>
      <c r="F2346">
        <v>27100000</v>
      </c>
      <c r="G2346">
        <v>6</v>
      </c>
      <c r="H2346">
        <v>591</v>
      </c>
      <c r="I2346">
        <v>6700000</v>
      </c>
      <c r="J2346">
        <v>12200000</v>
      </c>
      <c r="K2346">
        <v>21500000</v>
      </c>
      <c r="L2346">
        <v>4900000</v>
      </c>
      <c r="M2346" t="s">
        <v>34</v>
      </c>
      <c r="N2346">
        <f t="shared" si="217"/>
        <v>1</v>
      </c>
      <c r="O2346" t="str">
        <f t="shared" si="216"/>
        <v>Low</v>
      </c>
      <c r="P2346" t="str">
        <f t="shared" si="218"/>
        <v>High</v>
      </c>
      <c r="Q2346" t="str">
        <f t="shared" si="219"/>
        <v>High Loan</v>
      </c>
      <c r="R2346">
        <f t="shared" si="220"/>
        <v>45300000</v>
      </c>
      <c r="S2346" t="str">
        <f t="shared" si="221"/>
        <v>Strong</v>
      </c>
    </row>
    <row r="2347" spans="1:19" x14ac:dyDescent="0.25">
      <c r="A2347">
        <v>2346</v>
      </c>
      <c r="B2347">
        <v>3</v>
      </c>
      <c r="C2347" t="s">
        <v>30</v>
      </c>
      <c r="D2347" t="s">
        <v>32</v>
      </c>
      <c r="E2347">
        <v>4100000</v>
      </c>
      <c r="F2347">
        <v>15300000</v>
      </c>
      <c r="G2347">
        <v>6</v>
      </c>
      <c r="H2347">
        <v>440</v>
      </c>
      <c r="I2347">
        <v>7500000</v>
      </c>
      <c r="J2347">
        <v>5100000</v>
      </c>
      <c r="K2347">
        <v>8200000</v>
      </c>
      <c r="L2347">
        <v>2000000</v>
      </c>
      <c r="M2347" t="s">
        <v>35</v>
      </c>
      <c r="N2347">
        <f t="shared" si="217"/>
        <v>0</v>
      </c>
      <c r="O2347" t="str">
        <f t="shared" si="216"/>
        <v>Low</v>
      </c>
      <c r="P2347" t="str">
        <f t="shared" si="218"/>
        <v>High</v>
      </c>
      <c r="Q2347" t="str">
        <f t="shared" si="219"/>
        <v>Low Loan</v>
      </c>
      <c r="R2347">
        <f t="shared" si="220"/>
        <v>22800000</v>
      </c>
      <c r="S2347" t="str">
        <f t="shared" si="221"/>
        <v>Strong</v>
      </c>
    </row>
    <row r="2348" spans="1:19" x14ac:dyDescent="0.25">
      <c r="A2348">
        <v>2347</v>
      </c>
      <c r="B2348">
        <v>3</v>
      </c>
      <c r="C2348" t="s">
        <v>30</v>
      </c>
      <c r="D2348" t="s">
        <v>32</v>
      </c>
      <c r="E2348">
        <v>8000000</v>
      </c>
      <c r="F2348">
        <v>26200000</v>
      </c>
      <c r="G2348">
        <v>16</v>
      </c>
      <c r="H2348">
        <v>890</v>
      </c>
      <c r="I2348">
        <v>15800000</v>
      </c>
      <c r="J2348">
        <v>4300000</v>
      </c>
      <c r="K2348">
        <v>25000000</v>
      </c>
      <c r="L2348">
        <v>4000000</v>
      </c>
      <c r="M2348" t="s">
        <v>34</v>
      </c>
      <c r="N2348">
        <f t="shared" si="217"/>
        <v>1</v>
      </c>
      <c r="O2348" t="str">
        <f t="shared" si="216"/>
        <v>Excellent</v>
      </c>
      <c r="P2348" t="str">
        <f t="shared" si="218"/>
        <v>High</v>
      </c>
      <c r="Q2348" t="str">
        <f t="shared" si="219"/>
        <v>High Loan</v>
      </c>
      <c r="R2348">
        <f t="shared" si="220"/>
        <v>49100000</v>
      </c>
      <c r="S2348" t="str">
        <f t="shared" si="221"/>
        <v>Strong</v>
      </c>
    </row>
    <row r="2349" spans="1:19" x14ac:dyDescent="0.25">
      <c r="A2349">
        <v>2348</v>
      </c>
      <c r="B2349">
        <v>4</v>
      </c>
      <c r="C2349" t="s">
        <v>31</v>
      </c>
      <c r="D2349" t="s">
        <v>32</v>
      </c>
      <c r="E2349">
        <v>8100000</v>
      </c>
      <c r="F2349">
        <v>28000000</v>
      </c>
      <c r="G2349">
        <v>8</v>
      </c>
      <c r="H2349">
        <v>663</v>
      </c>
      <c r="I2349">
        <v>8800000</v>
      </c>
      <c r="J2349">
        <v>11300000</v>
      </c>
      <c r="K2349">
        <v>26000000</v>
      </c>
      <c r="L2349">
        <v>5500000</v>
      </c>
      <c r="M2349" t="s">
        <v>34</v>
      </c>
      <c r="N2349">
        <f t="shared" si="217"/>
        <v>1</v>
      </c>
      <c r="O2349" t="str">
        <f t="shared" si="216"/>
        <v>Medium</v>
      </c>
      <c r="P2349" t="str">
        <f t="shared" si="218"/>
        <v>High</v>
      </c>
      <c r="Q2349" t="str">
        <f t="shared" si="219"/>
        <v>High Loan</v>
      </c>
      <c r="R2349">
        <f t="shared" si="220"/>
        <v>51600000</v>
      </c>
      <c r="S2349" t="str">
        <f t="shared" si="221"/>
        <v>Strong</v>
      </c>
    </row>
    <row r="2350" spans="1:19" x14ac:dyDescent="0.25">
      <c r="A2350">
        <v>2349</v>
      </c>
      <c r="B2350">
        <v>4</v>
      </c>
      <c r="C2350" t="s">
        <v>30</v>
      </c>
      <c r="D2350" t="s">
        <v>33</v>
      </c>
      <c r="E2350">
        <v>9500000</v>
      </c>
      <c r="F2350">
        <v>22600000</v>
      </c>
      <c r="G2350">
        <v>14</v>
      </c>
      <c r="H2350">
        <v>433</v>
      </c>
      <c r="I2350">
        <v>10000000</v>
      </c>
      <c r="J2350">
        <v>900000</v>
      </c>
      <c r="K2350">
        <v>23100000</v>
      </c>
      <c r="L2350">
        <v>13400000</v>
      </c>
      <c r="M2350" t="s">
        <v>35</v>
      </c>
      <c r="N2350">
        <f t="shared" si="217"/>
        <v>0</v>
      </c>
      <c r="O2350" t="str">
        <f t="shared" si="216"/>
        <v>Low</v>
      </c>
      <c r="P2350" t="str">
        <f t="shared" si="218"/>
        <v>High</v>
      </c>
      <c r="Q2350" t="str">
        <f t="shared" si="219"/>
        <v>High Loan</v>
      </c>
      <c r="R2350">
        <f t="shared" si="220"/>
        <v>47400000</v>
      </c>
      <c r="S2350" t="str">
        <f t="shared" si="221"/>
        <v>Strong</v>
      </c>
    </row>
    <row r="2351" spans="1:19" x14ac:dyDescent="0.25">
      <c r="A2351">
        <v>2350</v>
      </c>
      <c r="B2351">
        <v>0</v>
      </c>
      <c r="C2351" t="s">
        <v>30</v>
      </c>
      <c r="D2351" t="s">
        <v>32</v>
      </c>
      <c r="E2351">
        <v>9200000</v>
      </c>
      <c r="F2351">
        <v>22500000</v>
      </c>
      <c r="G2351">
        <v>10</v>
      </c>
      <c r="H2351">
        <v>317</v>
      </c>
      <c r="I2351">
        <v>14200000</v>
      </c>
      <c r="J2351">
        <v>17400000</v>
      </c>
      <c r="K2351">
        <v>28500000</v>
      </c>
      <c r="L2351">
        <v>10700000</v>
      </c>
      <c r="M2351" t="s">
        <v>35</v>
      </c>
      <c r="N2351">
        <f t="shared" si="217"/>
        <v>0</v>
      </c>
      <c r="O2351" t="str">
        <f t="shared" si="216"/>
        <v>Low</v>
      </c>
      <c r="P2351" t="str">
        <f t="shared" si="218"/>
        <v>High</v>
      </c>
      <c r="Q2351" t="str">
        <f t="shared" si="219"/>
        <v>High Loan</v>
      </c>
      <c r="R2351">
        <f t="shared" si="220"/>
        <v>70800000</v>
      </c>
      <c r="S2351" t="str">
        <f t="shared" si="221"/>
        <v>Strong</v>
      </c>
    </row>
    <row r="2352" spans="1:19" x14ac:dyDescent="0.25">
      <c r="A2352">
        <v>2351</v>
      </c>
      <c r="B2352">
        <v>2</v>
      </c>
      <c r="C2352" t="s">
        <v>30</v>
      </c>
      <c r="D2352" t="s">
        <v>32</v>
      </c>
      <c r="E2352">
        <v>3900000</v>
      </c>
      <c r="F2352">
        <v>14700000</v>
      </c>
      <c r="G2352">
        <v>16</v>
      </c>
      <c r="H2352">
        <v>360</v>
      </c>
      <c r="I2352">
        <v>2600000</v>
      </c>
      <c r="J2352">
        <v>200000</v>
      </c>
      <c r="K2352">
        <v>8300000</v>
      </c>
      <c r="L2352">
        <v>2900000</v>
      </c>
      <c r="M2352" t="s">
        <v>35</v>
      </c>
      <c r="N2352">
        <f t="shared" si="217"/>
        <v>0</v>
      </c>
      <c r="O2352" t="str">
        <f t="shared" si="216"/>
        <v>Low</v>
      </c>
      <c r="P2352" t="str">
        <f t="shared" si="218"/>
        <v>High</v>
      </c>
      <c r="Q2352" t="str">
        <f t="shared" si="219"/>
        <v>Low Loan</v>
      </c>
      <c r="R2352">
        <f t="shared" si="220"/>
        <v>14000000</v>
      </c>
      <c r="S2352" t="str">
        <f t="shared" si="221"/>
        <v>Strong</v>
      </c>
    </row>
    <row r="2353" spans="1:19" x14ac:dyDescent="0.25">
      <c r="A2353">
        <v>2352</v>
      </c>
      <c r="B2353">
        <v>1</v>
      </c>
      <c r="C2353" t="s">
        <v>30</v>
      </c>
      <c r="D2353" t="s">
        <v>32</v>
      </c>
      <c r="E2353">
        <v>9100000</v>
      </c>
      <c r="F2353">
        <v>26200000</v>
      </c>
      <c r="G2353">
        <v>8</v>
      </c>
      <c r="H2353">
        <v>727</v>
      </c>
      <c r="I2353">
        <v>20800000</v>
      </c>
      <c r="J2353">
        <v>7100000</v>
      </c>
      <c r="K2353">
        <v>27800000</v>
      </c>
      <c r="L2353">
        <v>8900000</v>
      </c>
      <c r="M2353" t="s">
        <v>34</v>
      </c>
      <c r="N2353">
        <f t="shared" si="217"/>
        <v>1</v>
      </c>
      <c r="O2353" t="str">
        <f t="shared" si="216"/>
        <v>Good</v>
      </c>
      <c r="P2353" t="str">
        <f t="shared" si="218"/>
        <v>High</v>
      </c>
      <c r="Q2353" t="str">
        <f t="shared" si="219"/>
        <v>High Loan</v>
      </c>
      <c r="R2353">
        <f t="shared" si="220"/>
        <v>64600000</v>
      </c>
      <c r="S2353" t="str">
        <f t="shared" si="221"/>
        <v>Strong</v>
      </c>
    </row>
    <row r="2354" spans="1:19" x14ac:dyDescent="0.25">
      <c r="A2354">
        <v>2353</v>
      </c>
      <c r="B2354">
        <v>3</v>
      </c>
      <c r="C2354" t="s">
        <v>30</v>
      </c>
      <c r="D2354" t="s">
        <v>33</v>
      </c>
      <c r="E2354">
        <v>3000000</v>
      </c>
      <c r="F2354">
        <v>8300000</v>
      </c>
      <c r="G2354">
        <v>4</v>
      </c>
      <c r="H2354">
        <v>685</v>
      </c>
      <c r="I2354">
        <v>2900000</v>
      </c>
      <c r="J2354">
        <v>5400000</v>
      </c>
      <c r="K2354">
        <v>11300000</v>
      </c>
      <c r="L2354">
        <v>3800000</v>
      </c>
      <c r="M2354" t="s">
        <v>34</v>
      </c>
      <c r="N2354">
        <f t="shared" si="217"/>
        <v>1</v>
      </c>
      <c r="O2354" t="str">
        <f t="shared" si="216"/>
        <v>Medium</v>
      </c>
      <c r="P2354" t="str">
        <f t="shared" si="218"/>
        <v>High</v>
      </c>
      <c r="Q2354" t="str">
        <f t="shared" si="219"/>
        <v>Low Loan</v>
      </c>
      <c r="R2354">
        <f t="shared" si="220"/>
        <v>23400000</v>
      </c>
      <c r="S2354" t="str">
        <f t="shared" si="221"/>
        <v>Strong</v>
      </c>
    </row>
    <row r="2355" spans="1:19" x14ac:dyDescent="0.25">
      <c r="A2355">
        <v>2354</v>
      </c>
      <c r="B2355">
        <v>4</v>
      </c>
      <c r="C2355" t="s">
        <v>30</v>
      </c>
      <c r="D2355" t="s">
        <v>32</v>
      </c>
      <c r="E2355">
        <v>2000000</v>
      </c>
      <c r="F2355">
        <v>4300000</v>
      </c>
      <c r="G2355">
        <v>8</v>
      </c>
      <c r="H2355">
        <v>373</v>
      </c>
      <c r="I2355">
        <v>2000000</v>
      </c>
      <c r="J2355">
        <v>2700000</v>
      </c>
      <c r="K2355">
        <v>7700000</v>
      </c>
      <c r="L2355">
        <v>2200000</v>
      </c>
      <c r="M2355" t="s">
        <v>35</v>
      </c>
      <c r="N2355">
        <f t="shared" si="217"/>
        <v>0</v>
      </c>
      <c r="O2355" t="str">
        <f t="shared" si="216"/>
        <v>Low</v>
      </c>
      <c r="P2355" t="str">
        <f t="shared" si="218"/>
        <v>High</v>
      </c>
      <c r="Q2355" t="str">
        <f t="shared" si="219"/>
        <v>Low Loan</v>
      </c>
      <c r="R2355">
        <f t="shared" si="220"/>
        <v>14600000</v>
      </c>
      <c r="S2355" t="str">
        <f t="shared" si="221"/>
        <v>Strong</v>
      </c>
    </row>
    <row r="2356" spans="1:19" x14ac:dyDescent="0.25">
      <c r="A2356">
        <v>2355</v>
      </c>
      <c r="B2356">
        <v>5</v>
      </c>
      <c r="C2356" t="s">
        <v>30</v>
      </c>
      <c r="D2356" t="s">
        <v>32</v>
      </c>
      <c r="E2356">
        <v>6300000</v>
      </c>
      <c r="F2356">
        <v>14600000</v>
      </c>
      <c r="G2356">
        <v>8</v>
      </c>
      <c r="H2356">
        <v>469</v>
      </c>
      <c r="I2356">
        <v>13300000</v>
      </c>
      <c r="J2356">
        <v>10100000</v>
      </c>
      <c r="K2356">
        <v>24500000</v>
      </c>
      <c r="L2356">
        <v>3800000</v>
      </c>
      <c r="M2356" t="s">
        <v>35</v>
      </c>
      <c r="N2356">
        <f t="shared" si="217"/>
        <v>0</v>
      </c>
      <c r="O2356" t="str">
        <f t="shared" si="216"/>
        <v>Low</v>
      </c>
      <c r="P2356" t="str">
        <f t="shared" si="218"/>
        <v>High</v>
      </c>
      <c r="Q2356" t="str">
        <f t="shared" si="219"/>
        <v>Low Loan</v>
      </c>
      <c r="R2356">
        <f t="shared" si="220"/>
        <v>51700000</v>
      </c>
      <c r="S2356" t="str">
        <f t="shared" si="221"/>
        <v>Strong</v>
      </c>
    </row>
    <row r="2357" spans="1:19" x14ac:dyDescent="0.25">
      <c r="A2357">
        <v>2356</v>
      </c>
      <c r="B2357">
        <v>3</v>
      </c>
      <c r="C2357" t="s">
        <v>31</v>
      </c>
      <c r="D2357" t="s">
        <v>33</v>
      </c>
      <c r="E2357">
        <v>4100000</v>
      </c>
      <c r="F2357">
        <v>10900000</v>
      </c>
      <c r="G2357">
        <v>8</v>
      </c>
      <c r="H2357">
        <v>548</v>
      </c>
      <c r="I2357">
        <v>8800000</v>
      </c>
      <c r="J2357">
        <v>5200000</v>
      </c>
      <c r="K2357">
        <v>13200000</v>
      </c>
      <c r="L2357">
        <v>4300000</v>
      </c>
      <c r="M2357" t="s">
        <v>35</v>
      </c>
      <c r="N2357">
        <f t="shared" si="217"/>
        <v>0</v>
      </c>
      <c r="O2357" t="str">
        <f t="shared" si="216"/>
        <v>Low</v>
      </c>
      <c r="P2357" t="str">
        <f t="shared" si="218"/>
        <v>High</v>
      </c>
      <c r="Q2357" t="str">
        <f t="shared" si="219"/>
        <v>Low Loan</v>
      </c>
      <c r="R2357">
        <f t="shared" si="220"/>
        <v>31500000</v>
      </c>
      <c r="S2357" t="str">
        <f t="shared" si="221"/>
        <v>Strong</v>
      </c>
    </row>
    <row r="2358" spans="1:19" x14ac:dyDescent="0.25">
      <c r="A2358">
        <v>2357</v>
      </c>
      <c r="B2358">
        <v>0</v>
      </c>
      <c r="C2358" t="s">
        <v>31</v>
      </c>
      <c r="D2358" t="s">
        <v>32</v>
      </c>
      <c r="E2358">
        <v>9800000</v>
      </c>
      <c r="F2358">
        <v>29400000</v>
      </c>
      <c r="G2358">
        <v>20</v>
      </c>
      <c r="H2358">
        <v>618</v>
      </c>
      <c r="I2358">
        <v>1200000</v>
      </c>
      <c r="J2358">
        <v>14600000</v>
      </c>
      <c r="K2358">
        <v>33800000</v>
      </c>
      <c r="L2358">
        <v>8300000</v>
      </c>
      <c r="M2358" t="s">
        <v>34</v>
      </c>
      <c r="N2358">
        <f t="shared" si="217"/>
        <v>1</v>
      </c>
      <c r="O2358" t="str">
        <f t="shared" si="216"/>
        <v>Low</v>
      </c>
      <c r="P2358" t="str">
        <f t="shared" si="218"/>
        <v>High</v>
      </c>
      <c r="Q2358" t="str">
        <f t="shared" si="219"/>
        <v>High Loan</v>
      </c>
      <c r="R2358">
        <f t="shared" si="220"/>
        <v>57900000</v>
      </c>
      <c r="S2358" t="str">
        <f t="shared" si="221"/>
        <v>Strong</v>
      </c>
    </row>
    <row r="2359" spans="1:19" x14ac:dyDescent="0.25">
      <c r="A2359">
        <v>2358</v>
      </c>
      <c r="B2359">
        <v>2</v>
      </c>
      <c r="C2359" t="s">
        <v>30</v>
      </c>
      <c r="D2359" t="s">
        <v>32</v>
      </c>
      <c r="E2359">
        <v>5200000</v>
      </c>
      <c r="F2359">
        <v>15400000</v>
      </c>
      <c r="G2359">
        <v>8</v>
      </c>
      <c r="H2359">
        <v>658</v>
      </c>
      <c r="I2359">
        <v>1200000</v>
      </c>
      <c r="J2359">
        <v>7500000</v>
      </c>
      <c r="K2359">
        <v>12800000</v>
      </c>
      <c r="L2359">
        <v>3200000</v>
      </c>
      <c r="M2359" t="s">
        <v>34</v>
      </c>
      <c r="N2359">
        <f t="shared" si="217"/>
        <v>1</v>
      </c>
      <c r="O2359" t="str">
        <f t="shared" si="216"/>
        <v>Medium</v>
      </c>
      <c r="P2359" t="str">
        <f t="shared" si="218"/>
        <v>High</v>
      </c>
      <c r="Q2359" t="str">
        <f t="shared" si="219"/>
        <v>Low Loan</v>
      </c>
      <c r="R2359">
        <f t="shared" si="220"/>
        <v>24700000</v>
      </c>
      <c r="S2359" t="str">
        <f t="shared" si="221"/>
        <v>Strong</v>
      </c>
    </row>
    <row r="2360" spans="1:19" x14ac:dyDescent="0.25">
      <c r="A2360">
        <v>2359</v>
      </c>
      <c r="B2360">
        <v>3</v>
      </c>
      <c r="C2360" t="s">
        <v>30</v>
      </c>
      <c r="D2360" t="s">
        <v>32</v>
      </c>
      <c r="E2360">
        <v>7600000</v>
      </c>
      <c r="F2360">
        <v>28700000</v>
      </c>
      <c r="G2360">
        <v>18</v>
      </c>
      <c r="H2360">
        <v>781</v>
      </c>
      <c r="I2360">
        <v>21300000</v>
      </c>
      <c r="J2360">
        <v>12400000</v>
      </c>
      <c r="K2360">
        <v>29600000</v>
      </c>
      <c r="L2360">
        <v>8000000</v>
      </c>
      <c r="M2360" t="s">
        <v>34</v>
      </c>
      <c r="N2360">
        <f t="shared" si="217"/>
        <v>1</v>
      </c>
      <c r="O2360" t="str">
        <f t="shared" si="216"/>
        <v>Excellent</v>
      </c>
      <c r="P2360" t="str">
        <f t="shared" si="218"/>
        <v>High</v>
      </c>
      <c r="Q2360" t="str">
        <f t="shared" si="219"/>
        <v>High Loan</v>
      </c>
      <c r="R2360">
        <f t="shared" si="220"/>
        <v>71300000</v>
      </c>
      <c r="S2360" t="str">
        <f t="shared" si="221"/>
        <v>Strong</v>
      </c>
    </row>
    <row r="2361" spans="1:19" x14ac:dyDescent="0.25">
      <c r="A2361">
        <v>2360</v>
      </c>
      <c r="B2361">
        <v>3</v>
      </c>
      <c r="C2361" t="s">
        <v>31</v>
      </c>
      <c r="D2361" t="s">
        <v>32</v>
      </c>
      <c r="E2361">
        <v>9200000</v>
      </c>
      <c r="F2361">
        <v>35500000</v>
      </c>
      <c r="G2361">
        <v>2</v>
      </c>
      <c r="H2361">
        <v>715</v>
      </c>
      <c r="I2361">
        <v>11100000</v>
      </c>
      <c r="J2361">
        <v>11800000</v>
      </c>
      <c r="K2361">
        <v>19800000</v>
      </c>
      <c r="L2361">
        <v>11700000</v>
      </c>
      <c r="M2361" t="s">
        <v>34</v>
      </c>
      <c r="N2361">
        <f t="shared" si="217"/>
        <v>1</v>
      </c>
      <c r="O2361" t="str">
        <f t="shared" si="216"/>
        <v>Good</v>
      </c>
      <c r="P2361" t="str">
        <f t="shared" si="218"/>
        <v>High</v>
      </c>
      <c r="Q2361" t="str">
        <f t="shared" si="219"/>
        <v>High Loan</v>
      </c>
      <c r="R2361">
        <f t="shared" si="220"/>
        <v>54400000</v>
      </c>
      <c r="S2361" t="str">
        <f t="shared" si="221"/>
        <v>Strong</v>
      </c>
    </row>
    <row r="2362" spans="1:19" x14ac:dyDescent="0.25">
      <c r="A2362">
        <v>2361</v>
      </c>
      <c r="B2362">
        <v>5</v>
      </c>
      <c r="C2362" t="s">
        <v>31</v>
      </c>
      <c r="D2362" t="s">
        <v>32</v>
      </c>
      <c r="E2362">
        <v>2200000</v>
      </c>
      <c r="F2362">
        <v>8100000</v>
      </c>
      <c r="G2362">
        <v>4</v>
      </c>
      <c r="H2362">
        <v>409</v>
      </c>
      <c r="I2362">
        <v>300000</v>
      </c>
      <c r="J2362">
        <v>0</v>
      </c>
      <c r="K2362">
        <v>4900000</v>
      </c>
      <c r="L2362">
        <v>2400000</v>
      </c>
      <c r="M2362" t="s">
        <v>35</v>
      </c>
      <c r="N2362">
        <f t="shared" si="217"/>
        <v>0</v>
      </c>
      <c r="O2362" t="str">
        <f t="shared" si="216"/>
        <v>Low</v>
      </c>
      <c r="P2362" t="str">
        <f t="shared" si="218"/>
        <v>High</v>
      </c>
      <c r="Q2362" t="str">
        <f t="shared" si="219"/>
        <v>Low Loan</v>
      </c>
      <c r="R2362">
        <f t="shared" si="220"/>
        <v>7600000</v>
      </c>
      <c r="S2362" t="str">
        <f t="shared" si="221"/>
        <v>Moderate</v>
      </c>
    </row>
    <row r="2363" spans="1:19" x14ac:dyDescent="0.25">
      <c r="A2363">
        <v>2362</v>
      </c>
      <c r="B2363">
        <v>2</v>
      </c>
      <c r="C2363" t="s">
        <v>31</v>
      </c>
      <c r="D2363" t="s">
        <v>33</v>
      </c>
      <c r="E2363">
        <v>8300000</v>
      </c>
      <c r="F2363">
        <v>20600000</v>
      </c>
      <c r="G2363">
        <v>10</v>
      </c>
      <c r="H2363">
        <v>504</v>
      </c>
      <c r="I2363">
        <v>100000</v>
      </c>
      <c r="J2363">
        <v>900000</v>
      </c>
      <c r="K2363">
        <v>33200000</v>
      </c>
      <c r="L2363">
        <v>6700000</v>
      </c>
      <c r="M2363" t="s">
        <v>35</v>
      </c>
      <c r="N2363">
        <f t="shared" si="217"/>
        <v>0</v>
      </c>
      <c r="O2363" t="str">
        <f t="shared" si="216"/>
        <v>Low</v>
      </c>
      <c r="P2363" t="str">
        <f t="shared" si="218"/>
        <v>High</v>
      </c>
      <c r="Q2363" t="str">
        <f t="shared" si="219"/>
        <v>High Loan</v>
      </c>
      <c r="R2363">
        <f t="shared" si="220"/>
        <v>40900000</v>
      </c>
      <c r="S2363" t="str">
        <f t="shared" si="221"/>
        <v>Strong</v>
      </c>
    </row>
    <row r="2364" spans="1:19" x14ac:dyDescent="0.25">
      <c r="A2364">
        <v>2363</v>
      </c>
      <c r="B2364">
        <v>3</v>
      </c>
      <c r="C2364" t="s">
        <v>30</v>
      </c>
      <c r="D2364" t="s">
        <v>33</v>
      </c>
      <c r="E2364">
        <v>6100000</v>
      </c>
      <c r="F2364">
        <v>21600000</v>
      </c>
      <c r="G2364">
        <v>16</v>
      </c>
      <c r="H2364">
        <v>428</v>
      </c>
      <c r="I2364">
        <v>2900000</v>
      </c>
      <c r="J2364">
        <v>6100000</v>
      </c>
      <c r="K2364">
        <v>15100000</v>
      </c>
      <c r="L2364">
        <v>7200000</v>
      </c>
      <c r="M2364" t="s">
        <v>35</v>
      </c>
      <c r="N2364">
        <f t="shared" si="217"/>
        <v>0</v>
      </c>
      <c r="O2364" t="str">
        <f t="shared" si="216"/>
        <v>Low</v>
      </c>
      <c r="P2364" t="str">
        <f t="shared" si="218"/>
        <v>High</v>
      </c>
      <c r="Q2364" t="str">
        <f t="shared" si="219"/>
        <v>High Loan</v>
      </c>
      <c r="R2364">
        <f t="shared" si="220"/>
        <v>31300000</v>
      </c>
      <c r="S2364" t="str">
        <f t="shared" si="221"/>
        <v>Strong</v>
      </c>
    </row>
    <row r="2365" spans="1:19" x14ac:dyDescent="0.25">
      <c r="A2365">
        <v>2364</v>
      </c>
      <c r="B2365">
        <v>2</v>
      </c>
      <c r="C2365" t="s">
        <v>30</v>
      </c>
      <c r="D2365" t="s">
        <v>32</v>
      </c>
      <c r="E2365">
        <v>4500000</v>
      </c>
      <c r="F2365">
        <v>16600000</v>
      </c>
      <c r="G2365">
        <v>20</v>
      </c>
      <c r="H2365">
        <v>704</v>
      </c>
      <c r="I2365">
        <v>6400000</v>
      </c>
      <c r="J2365">
        <v>4200000</v>
      </c>
      <c r="K2365">
        <v>16900000</v>
      </c>
      <c r="L2365">
        <v>2400000</v>
      </c>
      <c r="M2365" t="s">
        <v>34</v>
      </c>
      <c r="N2365">
        <f t="shared" si="217"/>
        <v>1</v>
      </c>
      <c r="O2365" t="str">
        <f t="shared" si="216"/>
        <v>Good</v>
      </c>
      <c r="P2365" t="str">
        <f t="shared" si="218"/>
        <v>High</v>
      </c>
      <c r="Q2365" t="str">
        <f t="shared" si="219"/>
        <v>Low Loan</v>
      </c>
      <c r="R2365">
        <f t="shared" si="220"/>
        <v>29900000</v>
      </c>
      <c r="S2365" t="str">
        <f t="shared" si="221"/>
        <v>Strong</v>
      </c>
    </row>
    <row r="2366" spans="1:19" x14ac:dyDescent="0.25">
      <c r="A2366">
        <v>2365</v>
      </c>
      <c r="B2366">
        <v>3</v>
      </c>
      <c r="C2366" t="s">
        <v>31</v>
      </c>
      <c r="D2366" t="s">
        <v>32</v>
      </c>
      <c r="E2366">
        <v>6600000</v>
      </c>
      <c r="F2366">
        <v>18800000</v>
      </c>
      <c r="G2366">
        <v>12</v>
      </c>
      <c r="H2366">
        <v>834</v>
      </c>
      <c r="I2366">
        <v>18800000</v>
      </c>
      <c r="J2366">
        <v>9300000</v>
      </c>
      <c r="K2366">
        <v>13700000</v>
      </c>
      <c r="L2366">
        <v>4800000</v>
      </c>
      <c r="M2366" t="s">
        <v>34</v>
      </c>
      <c r="N2366">
        <f t="shared" si="217"/>
        <v>1</v>
      </c>
      <c r="O2366" t="str">
        <f t="shared" si="216"/>
        <v>Excellent</v>
      </c>
      <c r="P2366" t="str">
        <f t="shared" si="218"/>
        <v>High</v>
      </c>
      <c r="Q2366" t="str">
        <f t="shared" si="219"/>
        <v>Low Loan</v>
      </c>
      <c r="R2366">
        <f t="shared" si="220"/>
        <v>46600000</v>
      </c>
      <c r="S2366" t="str">
        <f t="shared" si="221"/>
        <v>Strong</v>
      </c>
    </row>
    <row r="2367" spans="1:19" x14ac:dyDescent="0.25">
      <c r="A2367">
        <v>2366</v>
      </c>
      <c r="B2367">
        <v>4</v>
      </c>
      <c r="C2367" t="s">
        <v>31</v>
      </c>
      <c r="D2367" t="s">
        <v>32</v>
      </c>
      <c r="E2367">
        <v>8900000</v>
      </c>
      <c r="F2367">
        <v>34900000</v>
      </c>
      <c r="G2367">
        <v>14</v>
      </c>
      <c r="H2367">
        <v>694</v>
      </c>
      <c r="I2367">
        <v>15400000</v>
      </c>
      <c r="J2367">
        <v>2800000</v>
      </c>
      <c r="K2367">
        <v>20600000</v>
      </c>
      <c r="L2367">
        <v>9100000</v>
      </c>
      <c r="M2367" t="s">
        <v>34</v>
      </c>
      <c r="N2367">
        <f t="shared" si="217"/>
        <v>1</v>
      </c>
      <c r="O2367" t="str">
        <f t="shared" si="216"/>
        <v>Medium</v>
      </c>
      <c r="P2367" t="str">
        <f t="shared" si="218"/>
        <v>High</v>
      </c>
      <c r="Q2367" t="str">
        <f t="shared" si="219"/>
        <v>High Loan</v>
      </c>
      <c r="R2367">
        <f t="shared" si="220"/>
        <v>47900000</v>
      </c>
      <c r="S2367" t="str">
        <f t="shared" si="221"/>
        <v>Strong</v>
      </c>
    </row>
    <row r="2368" spans="1:19" x14ac:dyDescent="0.25">
      <c r="A2368">
        <v>2367</v>
      </c>
      <c r="B2368">
        <v>4</v>
      </c>
      <c r="C2368" t="s">
        <v>30</v>
      </c>
      <c r="D2368" t="s">
        <v>33</v>
      </c>
      <c r="E2368">
        <v>3900000</v>
      </c>
      <c r="F2368">
        <v>13300000</v>
      </c>
      <c r="G2368">
        <v>20</v>
      </c>
      <c r="H2368">
        <v>453</v>
      </c>
      <c r="I2368">
        <v>9800000</v>
      </c>
      <c r="J2368">
        <v>500000</v>
      </c>
      <c r="K2368">
        <v>12300000</v>
      </c>
      <c r="L2368">
        <v>4700000</v>
      </c>
      <c r="M2368" t="s">
        <v>35</v>
      </c>
      <c r="N2368">
        <f t="shared" si="217"/>
        <v>0</v>
      </c>
      <c r="O2368" t="str">
        <f t="shared" si="216"/>
        <v>Low</v>
      </c>
      <c r="P2368" t="str">
        <f t="shared" si="218"/>
        <v>High</v>
      </c>
      <c r="Q2368" t="str">
        <f t="shared" si="219"/>
        <v>Low Loan</v>
      </c>
      <c r="R2368">
        <f t="shared" si="220"/>
        <v>27300000</v>
      </c>
      <c r="S2368" t="str">
        <f t="shared" si="221"/>
        <v>Strong</v>
      </c>
    </row>
    <row r="2369" spans="1:19" x14ac:dyDescent="0.25">
      <c r="A2369">
        <v>2368</v>
      </c>
      <c r="B2369">
        <v>3</v>
      </c>
      <c r="C2369" t="s">
        <v>30</v>
      </c>
      <c r="D2369" t="s">
        <v>33</v>
      </c>
      <c r="E2369">
        <v>8900000</v>
      </c>
      <c r="F2369">
        <v>35400000</v>
      </c>
      <c r="G2369">
        <v>14</v>
      </c>
      <c r="H2369">
        <v>404</v>
      </c>
      <c r="I2369">
        <v>22300000</v>
      </c>
      <c r="J2369">
        <v>7700000</v>
      </c>
      <c r="K2369">
        <v>26400000</v>
      </c>
      <c r="L2369">
        <v>5900000</v>
      </c>
      <c r="M2369" t="s">
        <v>35</v>
      </c>
      <c r="N2369">
        <f t="shared" si="217"/>
        <v>0</v>
      </c>
      <c r="O2369" t="str">
        <f t="shared" si="216"/>
        <v>Low</v>
      </c>
      <c r="P2369" t="str">
        <f t="shared" si="218"/>
        <v>High</v>
      </c>
      <c r="Q2369" t="str">
        <f t="shared" si="219"/>
        <v>High Loan</v>
      </c>
      <c r="R2369">
        <f t="shared" si="220"/>
        <v>62300000</v>
      </c>
      <c r="S2369" t="str">
        <f t="shared" si="221"/>
        <v>Strong</v>
      </c>
    </row>
    <row r="2370" spans="1:19" x14ac:dyDescent="0.25">
      <c r="A2370">
        <v>2369</v>
      </c>
      <c r="B2370">
        <v>5</v>
      </c>
      <c r="C2370" t="s">
        <v>31</v>
      </c>
      <c r="D2370" t="s">
        <v>32</v>
      </c>
      <c r="E2370">
        <v>6400000</v>
      </c>
      <c r="F2370">
        <v>22300000</v>
      </c>
      <c r="G2370">
        <v>12</v>
      </c>
      <c r="H2370">
        <v>776</v>
      </c>
      <c r="I2370">
        <v>500000</v>
      </c>
      <c r="J2370">
        <v>9100000</v>
      </c>
      <c r="K2370">
        <v>24100000</v>
      </c>
      <c r="L2370">
        <v>5800000</v>
      </c>
      <c r="M2370" t="s">
        <v>34</v>
      </c>
      <c r="N2370">
        <f t="shared" si="217"/>
        <v>1</v>
      </c>
      <c r="O2370" t="str">
        <f t="shared" ref="O2370:O2433" si="222">IF(H2370&lt;650,"Low",
 IF(H2370&lt;700,"Medium",
 IF(H2370&lt;750,"Good","Excellent")))</f>
        <v>Excellent</v>
      </c>
      <c r="P2370" t="str">
        <f t="shared" si="218"/>
        <v>High</v>
      </c>
      <c r="Q2370" t="str">
        <f t="shared" si="219"/>
        <v>High Loan</v>
      </c>
      <c r="R2370">
        <f t="shared" si="220"/>
        <v>39500000</v>
      </c>
      <c r="S2370" t="str">
        <f t="shared" si="221"/>
        <v>Strong</v>
      </c>
    </row>
    <row r="2371" spans="1:19" x14ac:dyDescent="0.25">
      <c r="A2371">
        <v>2370</v>
      </c>
      <c r="B2371">
        <v>1</v>
      </c>
      <c r="C2371" t="s">
        <v>31</v>
      </c>
      <c r="D2371" t="s">
        <v>33</v>
      </c>
      <c r="E2371">
        <v>9500000</v>
      </c>
      <c r="F2371">
        <v>28700000</v>
      </c>
      <c r="G2371">
        <v>16</v>
      </c>
      <c r="H2371">
        <v>526</v>
      </c>
      <c r="I2371">
        <v>24600000</v>
      </c>
      <c r="J2371">
        <v>4900000</v>
      </c>
      <c r="K2371">
        <v>31800000</v>
      </c>
      <c r="L2371">
        <v>6600000</v>
      </c>
      <c r="M2371" t="s">
        <v>35</v>
      </c>
      <c r="N2371">
        <f t="shared" ref="N2371:N2434" si="223">IF(TRIM(CLEAN(M2371))="Approved",1,0)</f>
        <v>0</v>
      </c>
      <c r="O2371" t="str">
        <f t="shared" si="222"/>
        <v>Low</v>
      </c>
      <c r="P2371" t="str">
        <f t="shared" ref="P2371:P2434" si="224">IF(E2371&lt;300000,"Low",
 IF(E2371&lt;700000,"Middle","High"))</f>
        <v>High</v>
      </c>
      <c r="Q2371" t="str">
        <f t="shared" ref="Q2371:Q2434" si="225">IF(F2371&lt;20000000,"Low Loan","High Loan")</f>
        <v>High Loan</v>
      </c>
      <c r="R2371">
        <f t="shared" ref="R2371:R2434" si="226">I2371+J2371+K2371+L2371</f>
        <v>67900000</v>
      </c>
      <c r="S2371" t="str">
        <f t="shared" ref="S2371:S2434" si="227">IF(R2371&lt;5000000,"Weak",
 IF(R2371&lt;10000000,"Moderate","Strong"))</f>
        <v>Strong</v>
      </c>
    </row>
    <row r="2372" spans="1:19" x14ac:dyDescent="0.25">
      <c r="A2372">
        <v>2371</v>
      </c>
      <c r="B2372">
        <v>3</v>
      </c>
      <c r="C2372" t="s">
        <v>30</v>
      </c>
      <c r="D2372" t="s">
        <v>33</v>
      </c>
      <c r="E2372">
        <v>300000</v>
      </c>
      <c r="F2372">
        <v>1000000</v>
      </c>
      <c r="G2372">
        <v>8</v>
      </c>
      <c r="H2372">
        <v>641</v>
      </c>
      <c r="I2372">
        <v>700000</v>
      </c>
      <c r="J2372">
        <v>200000</v>
      </c>
      <c r="K2372">
        <v>1100000</v>
      </c>
      <c r="L2372">
        <v>200000</v>
      </c>
      <c r="M2372" t="s">
        <v>34</v>
      </c>
      <c r="N2372">
        <f t="shared" si="223"/>
        <v>1</v>
      </c>
      <c r="O2372" t="str">
        <f t="shared" si="222"/>
        <v>Low</v>
      </c>
      <c r="P2372" t="str">
        <f t="shared" si="224"/>
        <v>Middle</v>
      </c>
      <c r="Q2372" t="str">
        <f t="shared" si="225"/>
        <v>Low Loan</v>
      </c>
      <c r="R2372">
        <f t="shared" si="226"/>
        <v>2200000</v>
      </c>
      <c r="S2372" t="str">
        <f t="shared" si="227"/>
        <v>Weak</v>
      </c>
    </row>
    <row r="2373" spans="1:19" x14ac:dyDescent="0.25">
      <c r="A2373">
        <v>2372</v>
      </c>
      <c r="B2373">
        <v>5</v>
      </c>
      <c r="C2373" t="s">
        <v>31</v>
      </c>
      <c r="D2373" t="s">
        <v>32</v>
      </c>
      <c r="E2373">
        <v>4100000</v>
      </c>
      <c r="F2373">
        <v>12300000</v>
      </c>
      <c r="G2373">
        <v>6</v>
      </c>
      <c r="H2373">
        <v>582</v>
      </c>
      <c r="I2373">
        <v>10900000</v>
      </c>
      <c r="J2373">
        <v>6100000</v>
      </c>
      <c r="K2373">
        <v>14100000</v>
      </c>
      <c r="L2373">
        <v>3500000</v>
      </c>
      <c r="M2373" t="s">
        <v>34</v>
      </c>
      <c r="N2373">
        <f t="shared" si="223"/>
        <v>1</v>
      </c>
      <c r="O2373" t="str">
        <f t="shared" si="222"/>
        <v>Low</v>
      </c>
      <c r="P2373" t="str">
        <f t="shared" si="224"/>
        <v>High</v>
      </c>
      <c r="Q2373" t="str">
        <f t="shared" si="225"/>
        <v>Low Loan</v>
      </c>
      <c r="R2373">
        <f t="shared" si="226"/>
        <v>34600000</v>
      </c>
      <c r="S2373" t="str">
        <f t="shared" si="227"/>
        <v>Strong</v>
      </c>
    </row>
    <row r="2374" spans="1:19" x14ac:dyDescent="0.25">
      <c r="A2374">
        <v>2373</v>
      </c>
      <c r="B2374">
        <v>2</v>
      </c>
      <c r="C2374" t="s">
        <v>30</v>
      </c>
      <c r="D2374" t="s">
        <v>32</v>
      </c>
      <c r="E2374">
        <v>8100000</v>
      </c>
      <c r="F2374">
        <v>20800000</v>
      </c>
      <c r="G2374">
        <v>18</v>
      </c>
      <c r="H2374">
        <v>778</v>
      </c>
      <c r="I2374">
        <v>4100000</v>
      </c>
      <c r="J2374">
        <v>15500000</v>
      </c>
      <c r="K2374">
        <v>16700000</v>
      </c>
      <c r="L2374">
        <v>10600000</v>
      </c>
      <c r="M2374" t="s">
        <v>34</v>
      </c>
      <c r="N2374">
        <f t="shared" si="223"/>
        <v>1</v>
      </c>
      <c r="O2374" t="str">
        <f t="shared" si="222"/>
        <v>Excellent</v>
      </c>
      <c r="P2374" t="str">
        <f t="shared" si="224"/>
        <v>High</v>
      </c>
      <c r="Q2374" t="str">
        <f t="shared" si="225"/>
        <v>High Loan</v>
      </c>
      <c r="R2374">
        <f t="shared" si="226"/>
        <v>46900000</v>
      </c>
      <c r="S2374" t="str">
        <f t="shared" si="227"/>
        <v>Strong</v>
      </c>
    </row>
    <row r="2375" spans="1:19" x14ac:dyDescent="0.25">
      <c r="A2375">
        <v>2374</v>
      </c>
      <c r="B2375">
        <v>4</v>
      </c>
      <c r="C2375" t="s">
        <v>30</v>
      </c>
      <c r="D2375" t="s">
        <v>32</v>
      </c>
      <c r="E2375">
        <v>9900000</v>
      </c>
      <c r="F2375">
        <v>28400000</v>
      </c>
      <c r="G2375">
        <v>10</v>
      </c>
      <c r="H2375">
        <v>763</v>
      </c>
      <c r="I2375">
        <v>23700000</v>
      </c>
      <c r="J2375">
        <v>12700000</v>
      </c>
      <c r="K2375">
        <v>35800000</v>
      </c>
      <c r="L2375">
        <v>5800000</v>
      </c>
      <c r="M2375" t="s">
        <v>34</v>
      </c>
      <c r="N2375">
        <f t="shared" si="223"/>
        <v>1</v>
      </c>
      <c r="O2375" t="str">
        <f t="shared" si="222"/>
        <v>Excellent</v>
      </c>
      <c r="P2375" t="str">
        <f t="shared" si="224"/>
        <v>High</v>
      </c>
      <c r="Q2375" t="str">
        <f t="shared" si="225"/>
        <v>High Loan</v>
      </c>
      <c r="R2375">
        <f t="shared" si="226"/>
        <v>78000000</v>
      </c>
      <c r="S2375" t="str">
        <f t="shared" si="227"/>
        <v>Strong</v>
      </c>
    </row>
    <row r="2376" spans="1:19" x14ac:dyDescent="0.25">
      <c r="A2376">
        <v>2375</v>
      </c>
      <c r="B2376">
        <v>0</v>
      </c>
      <c r="C2376" t="s">
        <v>31</v>
      </c>
      <c r="D2376" t="s">
        <v>32</v>
      </c>
      <c r="E2376">
        <v>4800000</v>
      </c>
      <c r="F2376">
        <v>19000000</v>
      </c>
      <c r="G2376">
        <v>12</v>
      </c>
      <c r="H2376">
        <v>650</v>
      </c>
      <c r="I2376">
        <v>7000000</v>
      </c>
      <c r="J2376">
        <v>1000000</v>
      </c>
      <c r="K2376">
        <v>15600000</v>
      </c>
      <c r="L2376">
        <v>4800000</v>
      </c>
      <c r="M2376" t="s">
        <v>34</v>
      </c>
      <c r="N2376">
        <f t="shared" si="223"/>
        <v>1</v>
      </c>
      <c r="O2376" t="str">
        <f t="shared" si="222"/>
        <v>Medium</v>
      </c>
      <c r="P2376" t="str">
        <f t="shared" si="224"/>
        <v>High</v>
      </c>
      <c r="Q2376" t="str">
        <f t="shared" si="225"/>
        <v>Low Loan</v>
      </c>
      <c r="R2376">
        <f t="shared" si="226"/>
        <v>28400000</v>
      </c>
      <c r="S2376" t="str">
        <f t="shared" si="227"/>
        <v>Strong</v>
      </c>
    </row>
    <row r="2377" spans="1:19" x14ac:dyDescent="0.25">
      <c r="A2377">
        <v>2376</v>
      </c>
      <c r="B2377">
        <v>0</v>
      </c>
      <c r="C2377" t="s">
        <v>30</v>
      </c>
      <c r="D2377" t="s">
        <v>33</v>
      </c>
      <c r="E2377">
        <v>2900000</v>
      </c>
      <c r="F2377">
        <v>9700000</v>
      </c>
      <c r="G2377">
        <v>2</v>
      </c>
      <c r="H2377">
        <v>820</v>
      </c>
      <c r="I2377">
        <v>6700000</v>
      </c>
      <c r="J2377">
        <v>1600000</v>
      </c>
      <c r="K2377">
        <v>9100000</v>
      </c>
      <c r="L2377">
        <v>3900000</v>
      </c>
      <c r="M2377" t="s">
        <v>34</v>
      </c>
      <c r="N2377">
        <f t="shared" si="223"/>
        <v>1</v>
      </c>
      <c r="O2377" t="str">
        <f t="shared" si="222"/>
        <v>Excellent</v>
      </c>
      <c r="P2377" t="str">
        <f t="shared" si="224"/>
        <v>High</v>
      </c>
      <c r="Q2377" t="str">
        <f t="shared" si="225"/>
        <v>Low Loan</v>
      </c>
      <c r="R2377">
        <f t="shared" si="226"/>
        <v>21300000</v>
      </c>
      <c r="S2377" t="str">
        <f t="shared" si="227"/>
        <v>Strong</v>
      </c>
    </row>
    <row r="2378" spans="1:19" x14ac:dyDescent="0.25">
      <c r="A2378">
        <v>2377</v>
      </c>
      <c r="B2378">
        <v>1</v>
      </c>
      <c r="C2378" t="s">
        <v>31</v>
      </c>
      <c r="D2378" t="s">
        <v>33</v>
      </c>
      <c r="E2378">
        <v>3500000</v>
      </c>
      <c r="F2378">
        <v>13500000</v>
      </c>
      <c r="G2378">
        <v>12</v>
      </c>
      <c r="H2378">
        <v>824</v>
      </c>
      <c r="I2378">
        <v>8400000</v>
      </c>
      <c r="J2378">
        <v>3900000</v>
      </c>
      <c r="K2378">
        <v>11600000</v>
      </c>
      <c r="L2378">
        <v>4100000</v>
      </c>
      <c r="M2378" t="s">
        <v>34</v>
      </c>
      <c r="N2378">
        <f t="shared" si="223"/>
        <v>1</v>
      </c>
      <c r="O2378" t="str">
        <f t="shared" si="222"/>
        <v>Excellent</v>
      </c>
      <c r="P2378" t="str">
        <f t="shared" si="224"/>
        <v>High</v>
      </c>
      <c r="Q2378" t="str">
        <f t="shared" si="225"/>
        <v>Low Loan</v>
      </c>
      <c r="R2378">
        <f t="shared" si="226"/>
        <v>28000000</v>
      </c>
      <c r="S2378" t="str">
        <f t="shared" si="227"/>
        <v>Strong</v>
      </c>
    </row>
    <row r="2379" spans="1:19" x14ac:dyDescent="0.25">
      <c r="A2379">
        <v>2378</v>
      </c>
      <c r="B2379">
        <v>1</v>
      </c>
      <c r="C2379" t="s">
        <v>31</v>
      </c>
      <c r="D2379" t="s">
        <v>33</v>
      </c>
      <c r="E2379">
        <v>4900000</v>
      </c>
      <c r="F2379">
        <v>12600000</v>
      </c>
      <c r="G2379">
        <v>4</v>
      </c>
      <c r="H2379">
        <v>718</v>
      </c>
      <c r="I2379">
        <v>11800000</v>
      </c>
      <c r="J2379">
        <v>7300000</v>
      </c>
      <c r="K2379">
        <v>11800000</v>
      </c>
      <c r="L2379">
        <v>3800000</v>
      </c>
      <c r="M2379" t="s">
        <v>34</v>
      </c>
      <c r="N2379">
        <f t="shared" si="223"/>
        <v>1</v>
      </c>
      <c r="O2379" t="str">
        <f t="shared" si="222"/>
        <v>Good</v>
      </c>
      <c r="P2379" t="str">
        <f t="shared" si="224"/>
        <v>High</v>
      </c>
      <c r="Q2379" t="str">
        <f t="shared" si="225"/>
        <v>Low Loan</v>
      </c>
      <c r="R2379">
        <f t="shared" si="226"/>
        <v>34700000</v>
      </c>
      <c r="S2379" t="str">
        <f t="shared" si="227"/>
        <v>Strong</v>
      </c>
    </row>
    <row r="2380" spans="1:19" x14ac:dyDescent="0.25">
      <c r="A2380">
        <v>2379</v>
      </c>
      <c r="B2380">
        <v>2</v>
      </c>
      <c r="C2380" t="s">
        <v>31</v>
      </c>
      <c r="D2380" t="s">
        <v>33</v>
      </c>
      <c r="E2380">
        <v>5100000</v>
      </c>
      <c r="F2380">
        <v>13300000</v>
      </c>
      <c r="G2380">
        <v>14</v>
      </c>
      <c r="H2380">
        <v>313</v>
      </c>
      <c r="I2380">
        <v>5900000</v>
      </c>
      <c r="J2380">
        <v>7900000</v>
      </c>
      <c r="K2380">
        <v>18000000</v>
      </c>
      <c r="L2380">
        <v>3900000</v>
      </c>
      <c r="M2380" t="s">
        <v>35</v>
      </c>
      <c r="N2380">
        <f t="shared" si="223"/>
        <v>0</v>
      </c>
      <c r="O2380" t="str">
        <f t="shared" si="222"/>
        <v>Low</v>
      </c>
      <c r="P2380" t="str">
        <f t="shared" si="224"/>
        <v>High</v>
      </c>
      <c r="Q2380" t="str">
        <f t="shared" si="225"/>
        <v>Low Loan</v>
      </c>
      <c r="R2380">
        <f t="shared" si="226"/>
        <v>35700000</v>
      </c>
      <c r="S2380" t="str">
        <f t="shared" si="227"/>
        <v>Strong</v>
      </c>
    </row>
    <row r="2381" spans="1:19" x14ac:dyDescent="0.25">
      <c r="A2381">
        <v>2380</v>
      </c>
      <c r="B2381">
        <v>5</v>
      </c>
      <c r="C2381" t="s">
        <v>30</v>
      </c>
      <c r="D2381" t="s">
        <v>32</v>
      </c>
      <c r="E2381">
        <v>7300000</v>
      </c>
      <c r="F2381">
        <v>26200000</v>
      </c>
      <c r="G2381">
        <v>10</v>
      </c>
      <c r="H2381">
        <v>751</v>
      </c>
      <c r="I2381">
        <v>1400000</v>
      </c>
      <c r="J2381">
        <v>12200000</v>
      </c>
      <c r="K2381">
        <v>26700000</v>
      </c>
      <c r="L2381">
        <v>10400000</v>
      </c>
      <c r="M2381" t="s">
        <v>34</v>
      </c>
      <c r="N2381">
        <f t="shared" si="223"/>
        <v>1</v>
      </c>
      <c r="O2381" t="str">
        <f t="shared" si="222"/>
        <v>Excellent</v>
      </c>
      <c r="P2381" t="str">
        <f t="shared" si="224"/>
        <v>High</v>
      </c>
      <c r="Q2381" t="str">
        <f t="shared" si="225"/>
        <v>High Loan</v>
      </c>
      <c r="R2381">
        <f t="shared" si="226"/>
        <v>50700000</v>
      </c>
      <c r="S2381" t="str">
        <f t="shared" si="227"/>
        <v>Strong</v>
      </c>
    </row>
    <row r="2382" spans="1:19" x14ac:dyDescent="0.25">
      <c r="A2382">
        <v>2381</v>
      </c>
      <c r="B2382">
        <v>0</v>
      </c>
      <c r="C2382" t="s">
        <v>30</v>
      </c>
      <c r="D2382" t="s">
        <v>33</v>
      </c>
      <c r="E2382">
        <v>200000</v>
      </c>
      <c r="F2382">
        <v>300000</v>
      </c>
      <c r="G2382">
        <v>18</v>
      </c>
      <c r="H2382">
        <v>520</v>
      </c>
      <c r="I2382">
        <v>100000</v>
      </c>
      <c r="J2382">
        <v>300000</v>
      </c>
      <c r="K2382">
        <v>600000</v>
      </c>
      <c r="L2382">
        <v>100000</v>
      </c>
      <c r="M2382" t="s">
        <v>35</v>
      </c>
      <c r="N2382">
        <f t="shared" si="223"/>
        <v>0</v>
      </c>
      <c r="O2382" t="str">
        <f t="shared" si="222"/>
        <v>Low</v>
      </c>
      <c r="P2382" t="str">
        <f t="shared" si="224"/>
        <v>Low</v>
      </c>
      <c r="Q2382" t="str">
        <f t="shared" si="225"/>
        <v>Low Loan</v>
      </c>
      <c r="R2382">
        <f t="shared" si="226"/>
        <v>1100000</v>
      </c>
      <c r="S2382" t="str">
        <f t="shared" si="227"/>
        <v>Weak</v>
      </c>
    </row>
    <row r="2383" spans="1:19" x14ac:dyDescent="0.25">
      <c r="A2383">
        <v>2382</v>
      </c>
      <c r="B2383">
        <v>2</v>
      </c>
      <c r="C2383" t="s">
        <v>30</v>
      </c>
      <c r="D2383" t="s">
        <v>32</v>
      </c>
      <c r="E2383">
        <v>1400000</v>
      </c>
      <c r="F2383">
        <v>4700000</v>
      </c>
      <c r="G2383">
        <v>4</v>
      </c>
      <c r="H2383">
        <v>355</v>
      </c>
      <c r="I2383">
        <v>2100000</v>
      </c>
      <c r="J2383">
        <v>600000</v>
      </c>
      <c r="K2383">
        <v>4400000</v>
      </c>
      <c r="L2383">
        <v>1400000</v>
      </c>
      <c r="M2383" t="s">
        <v>34</v>
      </c>
      <c r="N2383">
        <f t="shared" si="223"/>
        <v>1</v>
      </c>
      <c r="O2383" t="str">
        <f t="shared" si="222"/>
        <v>Low</v>
      </c>
      <c r="P2383" t="str">
        <f t="shared" si="224"/>
        <v>High</v>
      </c>
      <c r="Q2383" t="str">
        <f t="shared" si="225"/>
        <v>Low Loan</v>
      </c>
      <c r="R2383">
        <f t="shared" si="226"/>
        <v>8500000</v>
      </c>
      <c r="S2383" t="str">
        <f t="shared" si="227"/>
        <v>Moderate</v>
      </c>
    </row>
    <row r="2384" spans="1:19" x14ac:dyDescent="0.25">
      <c r="A2384">
        <v>2383</v>
      </c>
      <c r="B2384">
        <v>3</v>
      </c>
      <c r="C2384" t="s">
        <v>30</v>
      </c>
      <c r="D2384" t="s">
        <v>33</v>
      </c>
      <c r="E2384">
        <v>8700000</v>
      </c>
      <c r="F2384">
        <v>33600000</v>
      </c>
      <c r="G2384">
        <v>14</v>
      </c>
      <c r="H2384">
        <v>314</v>
      </c>
      <c r="I2384">
        <v>7700000</v>
      </c>
      <c r="J2384">
        <v>10000000</v>
      </c>
      <c r="K2384">
        <v>21700000</v>
      </c>
      <c r="L2384">
        <v>6200000</v>
      </c>
      <c r="M2384" t="s">
        <v>35</v>
      </c>
      <c r="N2384">
        <f t="shared" si="223"/>
        <v>0</v>
      </c>
      <c r="O2384" t="str">
        <f t="shared" si="222"/>
        <v>Low</v>
      </c>
      <c r="P2384" t="str">
        <f t="shared" si="224"/>
        <v>High</v>
      </c>
      <c r="Q2384" t="str">
        <f t="shared" si="225"/>
        <v>High Loan</v>
      </c>
      <c r="R2384">
        <f t="shared" si="226"/>
        <v>45600000</v>
      </c>
      <c r="S2384" t="str">
        <f t="shared" si="227"/>
        <v>Strong</v>
      </c>
    </row>
    <row r="2385" spans="1:19" x14ac:dyDescent="0.25">
      <c r="A2385">
        <v>2384</v>
      </c>
      <c r="B2385">
        <v>1</v>
      </c>
      <c r="C2385" t="s">
        <v>31</v>
      </c>
      <c r="D2385" t="s">
        <v>33</v>
      </c>
      <c r="E2385">
        <v>2800000</v>
      </c>
      <c r="F2385">
        <v>5900000</v>
      </c>
      <c r="G2385">
        <v>20</v>
      </c>
      <c r="H2385">
        <v>728</v>
      </c>
      <c r="I2385">
        <v>1000000</v>
      </c>
      <c r="J2385">
        <v>3200000</v>
      </c>
      <c r="K2385">
        <v>10300000</v>
      </c>
      <c r="L2385">
        <v>1400000</v>
      </c>
      <c r="M2385" t="s">
        <v>34</v>
      </c>
      <c r="N2385">
        <f t="shared" si="223"/>
        <v>1</v>
      </c>
      <c r="O2385" t="str">
        <f t="shared" si="222"/>
        <v>Good</v>
      </c>
      <c r="P2385" t="str">
        <f t="shared" si="224"/>
        <v>High</v>
      </c>
      <c r="Q2385" t="str">
        <f t="shared" si="225"/>
        <v>Low Loan</v>
      </c>
      <c r="R2385">
        <f t="shared" si="226"/>
        <v>15900000</v>
      </c>
      <c r="S2385" t="str">
        <f t="shared" si="227"/>
        <v>Strong</v>
      </c>
    </row>
    <row r="2386" spans="1:19" x14ac:dyDescent="0.25">
      <c r="A2386">
        <v>2385</v>
      </c>
      <c r="B2386">
        <v>3</v>
      </c>
      <c r="C2386" t="s">
        <v>30</v>
      </c>
      <c r="D2386" t="s">
        <v>33</v>
      </c>
      <c r="E2386">
        <v>9100000</v>
      </c>
      <c r="F2386">
        <v>30100000</v>
      </c>
      <c r="G2386">
        <v>14</v>
      </c>
      <c r="H2386">
        <v>564</v>
      </c>
      <c r="I2386">
        <v>26600000</v>
      </c>
      <c r="J2386">
        <v>7300000</v>
      </c>
      <c r="K2386">
        <v>22700000</v>
      </c>
      <c r="L2386">
        <v>8200000</v>
      </c>
      <c r="M2386" t="s">
        <v>34</v>
      </c>
      <c r="N2386">
        <f t="shared" si="223"/>
        <v>1</v>
      </c>
      <c r="O2386" t="str">
        <f t="shared" si="222"/>
        <v>Low</v>
      </c>
      <c r="P2386" t="str">
        <f t="shared" si="224"/>
        <v>High</v>
      </c>
      <c r="Q2386" t="str">
        <f t="shared" si="225"/>
        <v>High Loan</v>
      </c>
      <c r="R2386">
        <f t="shared" si="226"/>
        <v>64800000</v>
      </c>
      <c r="S2386" t="str">
        <f t="shared" si="227"/>
        <v>Strong</v>
      </c>
    </row>
    <row r="2387" spans="1:19" x14ac:dyDescent="0.25">
      <c r="A2387">
        <v>2386</v>
      </c>
      <c r="B2387">
        <v>0</v>
      </c>
      <c r="C2387" t="s">
        <v>31</v>
      </c>
      <c r="D2387" t="s">
        <v>33</v>
      </c>
      <c r="E2387">
        <v>6800000</v>
      </c>
      <c r="F2387">
        <v>15300000</v>
      </c>
      <c r="G2387">
        <v>14</v>
      </c>
      <c r="H2387">
        <v>699</v>
      </c>
      <c r="I2387">
        <v>19900000</v>
      </c>
      <c r="J2387">
        <v>2600000</v>
      </c>
      <c r="K2387">
        <v>13900000</v>
      </c>
      <c r="L2387">
        <v>8300000</v>
      </c>
      <c r="M2387" t="s">
        <v>34</v>
      </c>
      <c r="N2387">
        <f t="shared" si="223"/>
        <v>1</v>
      </c>
      <c r="O2387" t="str">
        <f t="shared" si="222"/>
        <v>Medium</v>
      </c>
      <c r="P2387" t="str">
        <f t="shared" si="224"/>
        <v>High</v>
      </c>
      <c r="Q2387" t="str">
        <f t="shared" si="225"/>
        <v>Low Loan</v>
      </c>
      <c r="R2387">
        <f t="shared" si="226"/>
        <v>44700000</v>
      </c>
      <c r="S2387" t="str">
        <f t="shared" si="227"/>
        <v>Strong</v>
      </c>
    </row>
    <row r="2388" spans="1:19" x14ac:dyDescent="0.25">
      <c r="A2388">
        <v>2387</v>
      </c>
      <c r="B2388">
        <v>0</v>
      </c>
      <c r="C2388" t="s">
        <v>31</v>
      </c>
      <c r="D2388" t="s">
        <v>33</v>
      </c>
      <c r="E2388">
        <v>5000000</v>
      </c>
      <c r="F2388">
        <v>17000000</v>
      </c>
      <c r="G2388">
        <v>6</v>
      </c>
      <c r="H2388">
        <v>624</v>
      </c>
      <c r="I2388">
        <v>6700000</v>
      </c>
      <c r="J2388">
        <v>6200000</v>
      </c>
      <c r="K2388">
        <v>15400000</v>
      </c>
      <c r="L2388">
        <v>5900000</v>
      </c>
      <c r="M2388" t="s">
        <v>34</v>
      </c>
      <c r="N2388">
        <f t="shared" si="223"/>
        <v>1</v>
      </c>
      <c r="O2388" t="str">
        <f t="shared" si="222"/>
        <v>Low</v>
      </c>
      <c r="P2388" t="str">
        <f t="shared" si="224"/>
        <v>High</v>
      </c>
      <c r="Q2388" t="str">
        <f t="shared" si="225"/>
        <v>Low Loan</v>
      </c>
      <c r="R2388">
        <f t="shared" si="226"/>
        <v>34200000</v>
      </c>
      <c r="S2388" t="str">
        <f t="shared" si="227"/>
        <v>Strong</v>
      </c>
    </row>
    <row r="2389" spans="1:19" x14ac:dyDescent="0.25">
      <c r="A2389">
        <v>2388</v>
      </c>
      <c r="B2389">
        <v>0</v>
      </c>
      <c r="C2389" t="s">
        <v>30</v>
      </c>
      <c r="D2389" t="s">
        <v>33</v>
      </c>
      <c r="E2389">
        <v>4400000</v>
      </c>
      <c r="F2389">
        <v>16800000</v>
      </c>
      <c r="G2389">
        <v>14</v>
      </c>
      <c r="H2389">
        <v>795</v>
      </c>
      <c r="I2389">
        <v>8700000</v>
      </c>
      <c r="J2389">
        <v>8700000</v>
      </c>
      <c r="K2389">
        <v>12600000</v>
      </c>
      <c r="L2389">
        <v>3400000</v>
      </c>
      <c r="M2389" t="s">
        <v>34</v>
      </c>
      <c r="N2389">
        <f t="shared" si="223"/>
        <v>1</v>
      </c>
      <c r="O2389" t="str">
        <f t="shared" si="222"/>
        <v>Excellent</v>
      </c>
      <c r="P2389" t="str">
        <f t="shared" si="224"/>
        <v>High</v>
      </c>
      <c r="Q2389" t="str">
        <f t="shared" si="225"/>
        <v>Low Loan</v>
      </c>
      <c r="R2389">
        <f t="shared" si="226"/>
        <v>33400000</v>
      </c>
      <c r="S2389" t="str">
        <f t="shared" si="227"/>
        <v>Strong</v>
      </c>
    </row>
    <row r="2390" spans="1:19" x14ac:dyDescent="0.25">
      <c r="A2390">
        <v>2389</v>
      </c>
      <c r="B2390">
        <v>5</v>
      </c>
      <c r="C2390" t="s">
        <v>31</v>
      </c>
      <c r="D2390" t="s">
        <v>33</v>
      </c>
      <c r="E2390">
        <v>8400000</v>
      </c>
      <c r="F2390">
        <v>18600000</v>
      </c>
      <c r="G2390">
        <v>20</v>
      </c>
      <c r="H2390">
        <v>703</v>
      </c>
      <c r="I2390">
        <v>2500000</v>
      </c>
      <c r="J2390">
        <v>7100000</v>
      </c>
      <c r="K2390">
        <v>28800000</v>
      </c>
      <c r="L2390">
        <v>9500000</v>
      </c>
      <c r="M2390" t="s">
        <v>34</v>
      </c>
      <c r="N2390">
        <f t="shared" si="223"/>
        <v>1</v>
      </c>
      <c r="O2390" t="str">
        <f t="shared" si="222"/>
        <v>Good</v>
      </c>
      <c r="P2390" t="str">
        <f t="shared" si="224"/>
        <v>High</v>
      </c>
      <c r="Q2390" t="str">
        <f t="shared" si="225"/>
        <v>Low Loan</v>
      </c>
      <c r="R2390">
        <f t="shared" si="226"/>
        <v>47900000</v>
      </c>
      <c r="S2390" t="str">
        <f t="shared" si="227"/>
        <v>Strong</v>
      </c>
    </row>
    <row r="2391" spans="1:19" x14ac:dyDescent="0.25">
      <c r="A2391">
        <v>2390</v>
      </c>
      <c r="B2391">
        <v>4</v>
      </c>
      <c r="C2391" t="s">
        <v>30</v>
      </c>
      <c r="D2391" t="s">
        <v>32</v>
      </c>
      <c r="E2391">
        <v>7800000</v>
      </c>
      <c r="F2391">
        <v>17300000</v>
      </c>
      <c r="G2391">
        <v>4</v>
      </c>
      <c r="H2391">
        <v>394</v>
      </c>
      <c r="I2391">
        <v>3600000</v>
      </c>
      <c r="J2391">
        <v>13100000</v>
      </c>
      <c r="K2391">
        <v>24300000</v>
      </c>
      <c r="L2391">
        <v>7200000</v>
      </c>
      <c r="M2391" t="s">
        <v>35</v>
      </c>
      <c r="N2391">
        <f t="shared" si="223"/>
        <v>0</v>
      </c>
      <c r="O2391" t="str">
        <f t="shared" si="222"/>
        <v>Low</v>
      </c>
      <c r="P2391" t="str">
        <f t="shared" si="224"/>
        <v>High</v>
      </c>
      <c r="Q2391" t="str">
        <f t="shared" si="225"/>
        <v>Low Loan</v>
      </c>
      <c r="R2391">
        <f t="shared" si="226"/>
        <v>48200000</v>
      </c>
      <c r="S2391" t="str">
        <f t="shared" si="227"/>
        <v>Strong</v>
      </c>
    </row>
    <row r="2392" spans="1:19" x14ac:dyDescent="0.25">
      <c r="A2392">
        <v>2391</v>
      </c>
      <c r="B2392">
        <v>4</v>
      </c>
      <c r="C2392" t="s">
        <v>30</v>
      </c>
      <c r="D2392" t="s">
        <v>33</v>
      </c>
      <c r="E2392">
        <v>4800000</v>
      </c>
      <c r="F2392">
        <v>9900000</v>
      </c>
      <c r="G2392">
        <v>14</v>
      </c>
      <c r="H2392">
        <v>779</v>
      </c>
      <c r="I2392">
        <v>5200000</v>
      </c>
      <c r="J2392">
        <v>9300000</v>
      </c>
      <c r="K2392">
        <v>18600000</v>
      </c>
      <c r="L2392">
        <v>2900000</v>
      </c>
      <c r="M2392" t="s">
        <v>34</v>
      </c>
      <c r="N2392">
        <f t="shared" si="223"/>
        <v>1</v>
      </c>
      <c r="O2392" t="str">
        <f t="shared" si="222"/>
        <v>Excellent</v>
      </c>
      <c r="P2392" t="str">
        <f t="shared" si="224"/>
        <v>High</v>
      </c>
      <c r="Q2392" t="str">
        <f t="shared" si="225"/>
        <v>Low Loan</v>
      </c>
      <c r="R2392">
        <f t="shared" si="226"/>
        <v>36000000</v>
      </c>
      <c r="S2392" t="str">
        <f t="shared" si="227"/>
        <v>Strong</v>
      </c>
    </row>
    <row r="2393" spans="1:19" x14ac:dyDescent="0.25">
      <c r="A2393">
        <v>2392</v>
      </c>
      <c r="B2393">
        <v>1</v>
      </c>
      <c r="C2393" t="s">
        <v>30</v>
      </c>
      <c r="D2393" t="s">
        <v>32</v>
      </c>
      <c r="E2393">
        <v>3200000</v>
      </c>
      <c r="F2393">
        <v>8800000</v>
      </c>
      <c r="G2393">
        <v>4</v>
      </c>
      <c r="H2393">
        <v>405</v>
      </c>
      <c r="I2393">
        <v>1000000</v>
      </c>
      <c r="J2393">
        <v>2600000</v>
      </c>
      <c r="K2393">
        <v>10700000</v>
      </c>
      <c r="L2393">
        <v>3400000</v>
      </c>
      <c r="M2393" t="s">
        <v>35</v>
      </c>
      <c r="N2393">
        <f t="shared" si="223"/>
        <v>0</v>
      </c>
      <c r="O2393" t="str">
        <f t="shared" si="222"/>
        <v>Low</v>
      </c>
      <c r="P2393" t="str">
        <f t="shared" si="224"/>
        <v>High</v>
      </c>
      <c r="Q2393" t="str">
        <f t="shared" si="225"/>
        <v>Low Loan</v>
      </c>
      <c r="R2393">
        <f t="shared" si="226"/>
        <v>17700000</v>
      </c>
      <c r="S2393" t="str">
        <f t="shared" si="227"/>
        <v>Strong</v>
      </c>
    </row>
    <row r="2394" spans="1:19" x14ac:dyDescent="0.25">
      <c r="A2394">
        <v>2393</v>
      </c>
      <c r="B2394">
        <v>5</v>
      </c>
      <c r="C2394" t="s">
        <v>30</v>
      </c>
      <c r="D2394" t="s">
        <v>33</v>
      </c>
      <c r="E2394">
        <v>2300000</v>
      </c>
      <c r="F2394">
        <v>6700000</v>
      </c>
      <c r="G2394">
        <v>16</v>
      </c>
      <c r="H2394">
        <v>612</v>
      </c>
      <c r="I2394">
        <v>6700000</v>
      </c>
      <c r="J2394">
        <v>3300000</v>
      </c>
      <c r="K2394">
        <v>8800000</v>
      </c>
      <c r="L2394">
        <v>2000000</v>
      </c>
      <c r="M2394" t="s">
        <v>34</v>
      </c>
      <c r="N2394">
        <f t="shared" si="223"/>
        <v>1</v>
      </c>
      <c r="O2394" t="str">
        <f t="shared" si="222"/>
        <v>Low</v>
      </c>
      <c r="P2394" t="str">
        <f t="shared" si="224"/>
        <v>High</v>
      </c>
      <c r="Q2394" t="str">
        <f t="shared" si="225"/>
        <v>Low Loan</v>
      </c>
      <c r="R2394">
        <f t="shared" si="226"/>
        <v>20800000</v>
      </c>
      <c r="S2394" t="str">
        <f t="shared" si="227"/>
        <v>Strong</v>
      </c>
    </row>
    <row r="2395" spans="1:19" x14ac:dyDescent="0.25">
      <c r="A2395">
        <v>2394</v>
      </c>
      <c r="B2395">
        <v>5</v>
      </c>
      <c r="C2395" t="s">
        <v>31</v>
      </c>
      <c r="D2395" t="s">
        <v>33</v>
      </c>
      <c r="E2395">
        <v>9200000</v>
      </c>
      <c r="F2395">
        <v>28100000</v>
      </c>
      <c r="G2395">
        <v>10</v>
      </c>
      <c r="H2395">
        <v>448</v>
      </c>
      <c r="I2395">
        <v>22300000</v>
      </c>
      <c r="J2395">
        <v>3300000</v>
      </c>
      <c r="K2395">
        <v>33200000</v>
      </c>
      <c r="L2395">
        <v>10700000</v>
      </c>
      <c r="M2395" t="s">
        <v>35</v>
      </c>
      <c r="N2395">
        <f t="shared" si="223"/>
        <v>0</v>
      </c>
      <c r="O2395" t="str">
        <f t="shared" si="222"/>
        <v>Low</v>
      </c>
      <c r="P2395" t="str">
        <f t="shared" si="224"/>
        <v>High</v>
      </c>
      <c r="Q2395" t="str">
        <f t="shared" si="225"/>
        <v>High Loan</v>
      </c>
      <c r="R2395">
        <f t="shared" si="226"/>
        <v>69500000</v>
      </c>
      <c r="S2395" t="str">
        <f t="shared" si="227"/>
        <v>Strong</v>
      </c>
    </row>
    <row r="2396" spans="1:19" x14ac:dyDescent="0.25">
      <c r="A2396">
        <v>2395</v>
      </c>
      <c r="B2396">
        <v>2</v>
      </c>
      <c r="C2396" t="s">
        <v>31</v>
      </c>
      <c r="D2396" t="s">
        <v>33</v>
      </c>
      <c r="E2396">
        <v>4700000</v>
      </c>
      <c r="F2396">
        <v>13700000</v>
      </c>
      <c r="G2396">
        <v>6</v>
      </c>
      <c r="H2396">
        <v>506</v>
      </c>
      <c r="I2396">
        <v>1300000</v>
      </c>
      <c r="J2396">
        <v>7900000</v>
      </c>
      <c r="K2396">
        <v>16700000</v>
      </c>
      <c r="L2396">
        <v>3500000</v>
      </c>
      <c r="M2396" t="s">
        <v>35</v>
      </c>
      <c r="N2396">
        <f t="shared" si="223"/>
        <v>0</v>
      </c>
      <c r="O2396" t="str">
        <f t="shared" si="222"/>
        <v>Low</v>
      </c>
      <c r="P2396" t="str">
        <f t="shared" si="224"/>
        <v>High</v>
      </c>
      <c r="Q2396" t="str">
        <f t="shared" si="225"/>
        <v>Low Loan</v>
      </c>
      <c r="R2396">
        <f t="shared" si="226"/>
        <v>29400000</v>
      </c>
      <c r="S2396" t="str">
        <f t="shared" si="227"/>
        <v>Strong</v>
      </c>
    </row>
    <row r="2397" spans="1:19" x14ac:dyDescent="0.25">
      <c r="A2397">
        <v>2396</v>
      </c>
      <c r="B2397">
        <v>0</v>
      </c>
      <c r="C2397" t="s">
        <v>31</v>
      </c>
      <c r="D2397" t="s">
        <v>33</v>
      </c>
      <c r="E2397">
        <v>8000000</v>
      </c>
      <c r="F2397">
        <v>30400000</v>
      </c>
      <c r="G2397">
        <v>2</v>
      </c>
      <c r="H2397">
        <v>776</v>
      </c>
      <c r="I2397">
        <v>16600000</v>
      </c>
      <c r="J2397">
        <v>1400000</v>
      </c>
      <c r="K2397">
        <v>29100000</v>
      </c>
      <c r="L2397">
        <v>7800000</v>
      </c>
      <c r="M2397" t="s">
        <v>34</v>
      </c>
      <c r="N2397">
        <f t="shared" si="223"/>
        <v>1</v>
      </c>
      <c r="O2397" t="str">
        <f t="shared" si="222"/>
        <v>Excellent</v>
      </c>
      <c r="P2397" t="str">
        <f t="shared" si="224"/>
        <v>High</v>
      </c>
      <c r="Q2397" t="str">
        <f t="shared" si="225"/>
        <v>High Loan</v>
      </c>
      <c r="R2397">
        <f t="shared" si="226"/>
        <v>54900000</v>
      </c>
      <c r="S2397" t="str">
        <f t="shared" si="227"/>
        <v>Strong</v>
      </c>
    </row>
    <row r="2398" spans="1:19" x14ac:dyDescent="0.25">
      <c r="A2398">
        <v>2397</v>
      </c>
      <c r="B2398">
        <v>1</v>
      </c>
      <c r="C2398" t="s">
        <v>30</v>
      </c>
      <c r="D2398" t="s">
        <v>33</v>
      </c>
      <c r="E2398">
        <v>2600000</v>
      </c>
      <c r="F2398">
        <v>8600000</v>
      </c>
      <c r="G2398">
        <v>6</v>
      </c>
      <c r="H2398">
        <v>730</v>
      </c>
      <c r="I2398">
        <v>800000</v>
      </c>
      <c r="J2398">
        <v>2900000</v>
      </c>
      <c r="K2398">
        <v>6000000</v>
      </c>
      <c r="L2398">
        <v>3100000</v>
      </c>
      <c r="M2398" t="s">
        <v>34</v>
      </c>
      <c r="N2398">
        <f t="shared" si="223"/>
        <v>1</v>
      </c>
      <c r="O2398" t="str">
        <f t="shared" si="222"/>
        <v>Good</v>
      </c>
      <c r="P2398" t="str">
        <f t="shared" si="224"/>
        <v>High</v>
      </c>
      <c r="Q2398" t="str">
        <f t="shared" si="225"/>
        <v>Low Loan</v>
      </c>
      <c r="R2398">
        <f t="shared" si="226"/>
        <v>12800000</v>
      </c>
      <c r="S2398" t="str">
        <f t="shared" si="227"/>
        <v>Strong</v>
      </c>
    </row>
    <row r="2399" spans="1:19" x14ac:dyDescent="0.25">
      <c r="A2399">
        <v>2398</v>
      </c>
      <c r="B2399">
        <v>3</v>
      </c>
      <c r="C2399" t="s">
        <v>31</v>
      </c>
      <c r="D2399" t="s">
        <v>32</v>
      </c>
      <c r="E2399">
        <v>200000</v>
      </c>
      <c r="F2399">
        <v>800000</v>
      </c>
      <c r="G2399">
        <v>20</v>
      </c>
      <c r="H2399">
        <v>730</v>
      </c>
      <c r="I2399">
        <v>0</v>
      </c>
      <c r="J2399">
        <v>300000</v>
      </c>
      <c r="K2399">
        <v>400000</v>
      </c>
      <c r="L2399">
        <v>300000</v>
      </c>
      <c r="M2399" t="s">
        <v>34</v>
      </c>
      <c r="N2399">
        <f t="shared" si="223"/>
        <v>1</v>
      </c>
      <c r="O2399" t="str">
        <f t="shared" si="222"/>
        <v>Good</v>
      </c>
      <c r="P2399" t="str">
        <f t="shared" si="224"/>
        <v>Low</v>
      </c>
      <c r="Q2399" t="str">
        <f t="shared" si="225"/>
        <v>Low Loan</v>
      </c>
      <c r="R2399">
        <f t="shared" si="226"/>
        <v>1000000</v>
      </c>
      <c r="S2399" t="str">
        <f t="shared" si="227"/>
        <v>Weak</v>
      </c>
    </row>
    <row r="2400" spans="1:19" x14ac:dyDescent="0.25">
      <c r="A2400">
        <v>2399</v>
      </c>
      <c r="B2400">
        <v>5</v>
      </c>
      <c r="C2400" t="s">
        <v>30</v>
      </c>
      <c r="D2400" t="s">
        <v>32</v>
      </c>
      <c r="E2400">
        <v>7300000</v>
      </c>
      <c r="F2400">
        <v>17200000</v>
      </c>
      <c r="G2400">
        <v>2</v>
      </c>
      <c r="H2400">
        <v>345</v>
      </c>
      <c r="I2400">
        <v>6100000</v>
      </c>
      <c r="J2400">
        <v>8400000</v>
      </c>
      <c r="K2400">
        <v>23200000</v>
      </c>
      <c r="L2400">
        <v>4900000</v>
      </c>
      <c r="M2400" t="s">
        <v>35</v>
      </c>
      <c r="N2400">
        <f t="shared" si="223"/>
        <v>0</v>
      </c>
      <c r="O2400" t="str">
        <f t="shared" si="222"/>
        <v>Low</v>
      </c>
      <c r="P2400" t="str">
        <f t="shared" si="224"/>
        <v>High</v>
      </c>
      <c r="Q2400" t="str">
        <f t="shared" si="225"/>
        <v>Low Loan</v>
      </c>
      <c r="R2400">
        <f t="shared" si="226"/>
        <v>42600000</v>
      </c>
      <c r="S2400" t="str">
        <f t="shared" si="227"/>
        <v>Strong</v>
      </c>
    </row>
    <row r="2401" spans="1:19" x14ac:dyDescent="0.25">
      <c r="A2401">
        <v>2400</v>
      </c>
      <c r="B2401">
        <v>4</v>
      </c>
      <c r="C2401" t="s">
        <v>31</v>
      </c>
      <c r="D2401" t="s">
        <v>32</v>
      </c>
      <c r="E2401">
        <v>3300000</v>
      </c>
      <c r="F2401">
        <v>11800000</v>
      </c>
      <c r="G2401">
        <v>2</v>
      </c>
      <c r="H2401">
        <v>847</v>
      </c>
      <c r="I2401">
        <v>7800000</v>
      </c>
      <c r="J2401">
        <v>2400000</v>
      </c>
      <c r="K2401">
        <v>12100000</v>
      </c>
      <c r="L2401">
        <v>3000000</v>
      </c>
      <c r="M2401" t="s">
        <v>34</v>
      </c>
      <c r="N2401">
        <f t="shared" si="223"/>
        <v>1</v>
      </c>
      <c r="O2401" t="str">
        <f t="shared" si="222"/>
        <v>Excellent</v>
      </c>
      <c r="P2401" t="str">
        <f t="shared" si="224"/>
        <v>High</v>
      </c>
      <c r="Q2401" t="str">
        <f t="shared" si="225"/>
        <v>Low Loan</v>
      </c>
      <c r="R2401">
        <f t="shared" si="226"/>
        <v>25300000</v>
      </c>
      <c r="S2401" t="str">
        <f t="shared" si="227"/>
        <v>Strong</v>
      </c>
    </row>
    <row r="2402" spans="1:19" x14ac:dyDescent="0.25">
      <c r="A2402">
        <v>2401</v>
      </c>
      <c r="B2402">
        <v>4</v>
      </c>
      <c r="C2402" t="s">
        <v>31</v>
      </c>
      <c r="D2402" t="s">
        <v>32</v>
      </c>
      <c r="E2402">
        <v>8300000</v>
      </c>
      <c r="F2402">
        <v>23300000</v>
      </c>
      <c r="G2402">
        <v>20</v>
      </c>
      <c r="H2402">
        <v>398</v>
      </c>
      <c r="I2402">
        <v>18500000</v>
      </c>
      <c r="J2402">
        <v>11500000</v>
      </c>
      <c r="K2402">
        <v>17100000</v>
      </c>
      <c r="L2402">
        <v>9900000</v>
      </c>
      <c r="M2402" t="s">
        <v>35</v>
      </c>
      <c r="N2402">
        <f t="shared" si="223"/>
        <v>0</v>
      </c>
      <c r="O2402" t="str">
        <f t="shared" si="222"/>
        <v>Low</v>
      </c>
      <c r="P2402" t="str">
        <f t="shared" si="224"/>
        <v>High</v>
      </c>
      <c r="Q2402" t="str">
        <f t="shared" si="225"/>
        <v>High Loan</v>
      </c>
      <c r="R2402">
        <f t="shared" si="226"/>
        <v>57000000</v>
      </c>
      <c r="S2402" t="str">
        <f t="shared" si="227"/>
        <v>Strong</v>
      </c>
    </row>
    <row r="2403" spans="1:19" x14ac:dyDescent="0.25">
      <c r="A2403">
        <v>2402</v>
      </c>
      <c r="B2403">
        <v>5</v>
      </c>
      <c r="C2403" t="s">
        <v>31</v>
      </c>
      <c r="D2403" t="s">
        <v>33</v>
      </c>
      <c r="E2403">
        <v>4100000</v>
      </c>
      <c r="F2403">
        <v>9600000</v>
      </c>
      <c r="G2403">
        <v>2</v>
      </c>
      <c r="H2403">
        <v>307</v>
      </c>
      <c r="I2403">
        <v>8800000</v>
      </c>
      <c r="J2403">
        <v>7800000</v>
      </c>
      <c r="K2403">
        <v>8500000</v>
      </c>
      <c r="L2403">
        <v>3100000</v>
      </c>
      <c r="M2403" t="s">
        <v>35</v>
      </c>
      <c r="N2403">
        <f t="shared" si="223"/>
        <v>0</v>
      </c>
      <c r="O2403" t="str">
        <f t="shared" si="222"/>
        <v>Low</v>
      </c>
      <c r="P2403" t="str">
        <f t="shared" si="224"/>
        <v>High</v>
      </c>
      <c r="Q2403" t="str">
        <f t="shared" si="225"/>
        <v>Low Loan</v>
      </c>
      <c r="R2403">
        <f t="shared" si="226"/>
        <v>28200000</v>
      </c>
      <c r="S2403" t="str">
        <f t="shared" si="227"/>
        <v>Strong</v>
      </c>
    </row>
    <row r="2404" spans="1:19" x14ac:dyDescent="0.25">
      <c r="A2404">
        <v>2403</v>
      </c>
      <c r="B2404">
        <v>1</v>
      </c>
      <c r="C2404" t="s">
        <v>31</v>
      </c>
      <c r="D2404" t="s">
        <v>32</v>
      </c>
      <c r="E2404">
        <v>7300000</v>
      </c>
      <c r="F2404">
        <v>23700000</v>
      </c>
      <c r="G2404">
        <v>16</v>
      </c>
      <c r="H2404">
        <v>852</v>
      </c>
      <c r="I2404">
        <v>9400000</v>
      </c>
      <c r="J2404">
        <v>6800000</v>
      </c>
      <c r="K2404">
        <v>22600000</v>
      </c>
      <c r="L2404">
        <v>8500000</v>
      </c>
      <c r="M2404" t="s">
        <v>34</v>
      </c>
      <c r="N2404">
        <f t="shared" si="223"/>
        <v>1</v>
      </c>
      <c r="O2404" t="str">
        <f t="shared" si="222"/>
        <v>Excellent</v>
      </c>
      <c r="P2404" t="str">
        <f t="shared" si="224"/>
        <v>High</v>
      </c>
      <c r="Q2404" t="str">
        <f t="shared" si="225"/>
        <v>High Loan</v>
      </c>
      <c r="R2404">
        <f t="shared" si="226"/>
        <v>47300000</v>
      </c>
      <c r="S2404" t="str">
        <f t="shared" si="227"/>
        <v>Strong</v>
      </c>
    </row>
    <row r="2405" spans="1:19" x14ac:dyDescent="0.25">
      <c r="A2405">
        <v>2404</v>
      </c>
      <c r="B2405">
        <v>1</v>
      </c>
      <c r="C2405" t="s">
        <v>31</v>
      </c>
      <c r="D2405" t="s">
        <v>32</v>
      </c>
      <c r="E2405">
        <v>9300000</v>
      </c>
      <c r="F2405">
        <v>27500000</v>
      </c>
      <c r="G2405">
        <v>6</v>
      </c>
      <c r="H2405">
        <v>364</v>
      </c>
      <c r="I2405">
        <v>12200000</v>
      </c>
      <c r="J2405">
        <v>13800000</v>
      </c>
      <c r="K2405">
        <v>25300000</v>
      </c>
      <c r="L2405">
        <v>10800000</v>
      </c>
      <c r="M2405" t="s">
        <v>35</v>
      </c>
      <c r="N2405">
        <f t="shared" si="223"/>
        <v>0</v>
      </c>
      <c r="O2405" t="str">
        <f t="shared" si="222"/>
        <v>Low</v>
      </c>
      <c r="P2405" t="str">
        <f t="shared" si="224"/>
        <v>High</v>
      </c>
      <c r="Q2405" t="str">
        <f t="shared" si="225"/>
        <v>High Loan</v>
      </c>
      <c r="R2405">
        <f t="shared" si="226"/>
        <v>62100000</v>
      </c>
      <c r="S2405" t="str">
        <f t="shared" si="227"/>
        <v>Strong</v>
      </c>
    </row>
    <row r="2406" spans="1:19" x14ac:dyDescent="0.25">
      <c r="A2406">
        <v>2405</v>
      </c>
      <c r="B2406">
        <v>2</v>
      </c>
      <c r="C2406" t="s">
        <v>30</v>
      </c>
      <c r="D2406" t="s">
        <v>33</v>
      </c>
      <c r="E2406">
        <v>4300000</v>
      </c>
      <c r="F2406">
        <v>15200000</v>
      </c>
      <c r="G2406">
        <v>12</v>
      </c>
      <c r="H2406">
        <v>552</v>
      </c>
      <c r="I2406">
        <v>3400000</v>
      </c>
      <c r="J2406">
        <v>2100000</v>
      </c>
      <c r="K2406">
        <v>12700000</v>
      </c>
      <c r="L2406">
        <v>4800000</v>
      </c>
      <c r="M2406" t="s">
        <v>34</v>
      </c>
      <c r="N2406">
        <f t="shared" si="223"/>
        <v>1</v>
      </c>
      <c r="O2406" t="str">
        <f t="shared" si="222"/>
        <v>Low</v>
      </c>
      <c r="P2406" t="str">
        <f t="shared" si="224"/>
        <v>High</v>
      </c>
      <c r="Q2406" t="str">
        <f t="shared" si="225"/>
        <v>Low Loan</v>
      </c>
      <c r="R2406">
        <f t="shared" si="226"/>
        <v>23000000</v>
      </c>
      <c r="S2406" t="str">
        <f t="shared" si="227"/>
        <v>Strong</v>
      </c>
    </row>
    <row r="2407" spans="1:19" x14ac:dyDescent="0.25">
      <c r="A2407">
        <v>2406</v>
      </c>
      <c r="B2407">
        <v>3</v>
      </c>
      <c r="C2407" t="s">
        <v>31</v>
      </c>
      <c r="D2407" t="s">
        <v>32</v>
      </c>
      <c r="E2407">
        <v>2600000</v>
      </c>
      <c r="F2407">
        <v>8100000</v>
      </c>
      <c r="G2407">
        <v>2</v>
      </c>
      <c r="H2407">
        <v>421</v>
      </c>
      <c r="I2407">
        <v>4200000</v>
      </c>
      <c r="J2407">
        <v>3100000</v>
      </c>
      <c r="K2407">
        <v>6200000</v>
      </c>
      <c r="L2407">
        <v>2500000</v>
      </c>
      <c r="M2407" t="s">
        <v>34</v>
      </c>
      <c r="N2407">
        <f t="shared" si="223"/>
        <v>1</v>
      </c>
      <c r="O2407" t="str">
        <f t="shared" si="222"/>
        <v>Low</v>
      </c>
      <c r="P2407" t="str">
        <f t="shared" si="224"/>
        <v>High</v>
      </c>
      <c r="Q2407" t="str">
        <f t="shared" si="225"/>
        <v>Low Loan</v>
      </c>
      <c r="R2407">
        <f t="shared" si="226"/>
        <v>16000000</v>
      </c>
      <c r="S2407" t="str">
        <f t="shared" si="227"/>
        <v>Strong</v>
      </c>
    </row>
    <row r="2408" spans="1:19" x14ac:dyDescent="0.25">
      <c r="A2408">
        <v>2407</v>
      </c>
      <c r="B2408">
        <v>5</v>
      </c>
      <c r="C2408" t="s">
        <v>30</v>
      </c>
      <c r="D2408" t="s">
        <v>32</v>
      </c>
      <c r="E2408">
        <v>2900000</v>
      </c>
      <c r="F2408">
        <v>9800000</v>
      </c>
      <c r="G2408">
        <v>12</v>
      </c>
      <c r="H2408">
        <v>588</v>
      </c>
      <c r="I2408">
        <v>5900000</v>
      </c>
      <c r="J2408">
        <v>2300000</v>
      </c>
      <c r="K2408">
        <v>6800000</v>
      </c>
      <c r="L2408">
        <v>2900000</v>
      </c>
      <c r="M2408" t="s">
        <v>34</v>
      </c>
      <c r="N2408">
        <f t="shared" si="223"/>
        <v>1</v>
      </c>
      <c r="O2408" t="str">
        <f t="shared" si="222"/>
        <v>Low</v>
      </c>
      <c r="P2408" t="str">
        <f t="shared" si="224"/>
        <v>High</v>
      </c>
      <c r="Q2408" t="str">
        <f t="shared" si="225"/>
        <v>Low Loan</v>
      </c>
      <c r="R2408">
        <f t="shared" si="226"/>
        <v>17900000</v>
      </c>
      <c r="S2408" t="str">
        <f t="shared" si="227"/>
        <v>Strong</v>
      </c>
    </row>
    <row r="2409" spans="1:19" x14ac:dyDescent="0.25">
      <c r="A2409">
        <v>2408</v>
      </c>
      <c r="B2409">
        <v>2</v>
      </c>
      <c r="C2409" t="s">
        <v>30</v>
      </c>
      <c r="D2409" t="s">
        <v>33</v>
      </c>
      <c r="E2409">
        <v>900000</v>
      </c>
      <c r="F2409">
        <v>3500000</v>
      </c>
      <c r="G2409">
        <v>6</v>
      </c>
      <c r="H2409">
        <v>763</v>
      </c>
      <c r="I2409">
        <v>2300000</v>
      </c>
      <c r="J2409">
        <v>300000</v>
      </c>
      <c r="K2409">
        <v>2000000</v>
      </c>
      <c r="L2409">
        <v>600000</v>
      </c>
      <c r="M2409" t="s">
        <v>34</v>
      </c>
      <c r="N2409">
        <f t="shared" si="223"/>
        <v>1</v>
      </c>
      <c r="O2409" t="str">
        <f t="shared" si="222"/>
        <v>Excellent</v>
      </c>
      <c r="P2409" t="str">
        <f t="shared" si="224"/>
        <v>High</v>
      </c>
      <c r="Q2409" t="str">
        <f t="shared" si="225"/>
        <v>Low Loan</v>
      </c>
      <c r="R2409">
        <f t="shared" si="226"/>
        <v>5200000</v>
      </c>
      <c r="S2409" t="str">
        <f t="shared" si="227"/>
        <v>Moderate</v>
      </c>
    </row>
    <row r="2410" spans="1:19" x14ac:dyDescent="0.25">
      <c r="A2410">
        <v>2409</v>
      </c>
      <c r="B2410">
        <v>3</v>
      </c>
      <c r="C2410" t="s">
        <v>31</v>
      </c>
      <c r="D2410" t="s">
        <v>33</v>
      </c>
      <c r="E2410">
        <v>4900000</v>
      </c>
      <c r="F2410">
        <v>17500000</v>
      </c>
      <c r="G2410">
        <v>20</v>
      </c>
      <c r="H2410">
        <v>823</v>
      </c>
      <c r="I2410">
        <v>12600000</v>
      </c>
      <c r="J2410">
        <v>8700000</v>
      </c>
      <c r="K2410">
        <v>14300000</v>
      </c>
      <c r="L2410">
        <v>4800000</v>
      </c>
      <c r="M2410" t="s">
        <v>34</v>
      </c>
      <c r="N2410">
        <f t="shared" si="223"/>
        <v>1</v>
      </c>
      <c r="O2410" t="str">
        <f t="shared" si="222"/>
        <v>Excellent</v>
      </c>
      <c r="P2410" t="str">
        <f t="shared" si="224"/>
        <v>High</v>
      </c>
      <c r="Q2410" t="str">
        <f t="shared" si="225"/>
        <v>Low Loan</v>
      </c>
      <c r="R2410">
        <f t="shared" si="226"/>
        <v>40400000</v>
      </c>
      <c r="S2410" t="str">
        <f t="shared" si="227"/>
        <v>Strong</v>
      </c>
    </row>
    <row r="2411" spans="1:19" x14ac:dyDescent="0.25">
      <c r="A2411">
        <v>2410</v>
      </c>
      <c r="B2411">
        <v>0</v>
      </c>
      <c r="C2411" t="s">
        <v>30</v>
      </c>
      <c r="D2411" t="s">
        <v>32</v>
      </c>
      <c r="E2411">
        <v>7700000</v>
      </c>
      <c r="F2411">
        <v>24800000</v>
      </c>
      <c r="G2411">
        <v>10</v>
      </c>
      <c r="H2411">
        <v>642</v>
      </c>
      <c r="I2411">
        <v>16800000</v>
      </c>
      <c r="J2411">
        <v>10700000</v>
      </c>
      <c r="K2411">
        <v>27400000</v>
      </c>
      <c r="L2411">
        <v>4500000</v>
      </c>
      <c r="M2411" t="s">
        <v>34</v>
      </c>
      <c r="N2411">
        <f t="shared" si="223"/>
        <v>1</v>
      </c>
      <c r="O2411" t="str">
        <f t="shared" si="222"/>
        <v>Low</v>
      </c>
      <c r="P2411" t="str">
        <f t="shared" si="224"/>
        <v>High</v>
      </c>
      <c r="Q2411" t="str">
        <f t="shared" si="225"/>
        <v>High Loan</v>
      </c>
      <c r="R2411">
        <f t="shared" si="226"/>
        <v>59400000</v>
      </c>
      <c r="S2411" t="str">
        <f t="shared" si="227"/>
        <v>Strong</v>
      </c>
    </row>
    <row r="2412" spans="1:19" x14ac:dyDescent="0.25">
      <c r="A2412">
        <v>2411</v>
      </c>
      <c r="B2412">
        <v>1</v>
      </c>
      <c r="C2412" t="s">
        <v>30</v>
      </c>
      <c r="D2412" t="s">
        <v>32</v>
      </c>
      <c r="E2412">
        <v>4700000</v>
      </c>
      <c r="F2412">
        <v>16800000</v>
      </c>
      <c r="G2412">
        <v>12</v>
      </c>
      <c r="H2412">
        <v>647</v>
      </c>
      <c r="I2412">
        <v>10400000</v>
      </c>
      <c r="J2412">
        <v>8300000</v>
      </c>
      <c r="K2412">
        <v>10600000</v>
      </c>
      <c r="L2412">
        <v>3400000</v>
      </c>
      <c r="M2412" t="s">
        <v>34</v>
      </c>
      <c r="N2412">
        <f t="shared" si="223"/>
        <v>1</v>
      </c>
      <c r="O2412" t="str">
        <f t="shared" si="222"/>
        <v>Low</v>
      </c>
      <c r="P2412" t="str">
        <f t="shared" si="224"/>
        <v>High</v>
      </c>
      <c r="Q2412" t="str">
        <f t="shared" si="225"/>
        <v>Low Loan</v>
      </c>
      <c r="R2412">
        <f t="shared" si="226"/>
        <v>32700000</v>
      </c>
      <c r="S2412" t="str">
        <f t="shared" si="227"/>
        <v>Strong</v>
      </c>
    </row>
    <row r="2413" spans="1:19" x14ac:dyDescent="0.25">
      <c r="A2413">
        <v>2412</v>
      </c>
      <c r="B2413">
        <v>5</v>
      </c>
      <c r="C2413" t="s">
        <v>31</v>
      </c>
      <c r="D2413" t="s">
        <v>32</v>
      </c>
      <c r="E2413">
        <v>3000000</v>
      </c>
      <c r="F2413">
        <v>8900000</v>
      </c>
      <c r="G2413">
        <v>20</v>
      </c>
      <c r="H2413">
        <v>886</v>
      </c>
      <c r="I2413">
        <v>2600000</v>
      </c>
      <c r="J2413">
        <v>1000000</v>
      </c>
      <c r="K2413">
        <v>10600000</v>
      </c>
      <c r="L2413">
        <v>2800000</v>
      </c>
      <c r="M2413" t="s">
        <v>34</v>
      </c>
      <c r="N2413">
        <f t="shared" si="223"/>
        <v>1</v>
      </c>
      <c r="O2413" t="str">
        <f t="shared" si="222"/>
        <v>Excellent</v>
      </c>
      <c r="P2413" t="str">
        <f t="shared" si="224"/>
        <v>High</v>
      </c>
      <c r="Q2413" t="str">
        <f t="shared" si="225"/>
        <v>Low Loan</v>
      </c>
      <c r="R2413">
        <f t="shared" si="226"/>
        <v>17000000</v>
      </c>
      <c r="S2413" t="str">
        <f t="shared" si="227"/>
        <v>Strong</v>
      </c>
    </row>
    <row r="2414" spans="1:19" x14ac:dyDescent="0.25">
      <c r="A2414">
        <v>2413</v>
      </c>
      <c r="B2414">
        <v>4</v>
      </c>
      <c r="C2414" t="s">
        <v>31</v>
      </c>
      <c r="D2414" t="s">
        <v>32</v>
      </c>
      <c r="E2414">
        <v>9700000</v>
      </c>
      <c r="F2414">
        <v>26200000</v>
      </c>
      <c r="G2414">
        <v>4</v>
      </c>
      <c r="H2414">
        <v>518</v>
      </c>
      <c r="I2414">
        <v>26200000</v>
      </c>
      <c r="J2414">
        <v>0</v>
      </c>
      <c r="K2414">
        <v>22500000</v>
      </c>
      <c r="L2414">
        <v>14000000</v>
      </c>
      <c r="M2414" t="s">
        <v>35</v>
      </c>
      <c r="N2414">
        <f t="shared" si="223"/>
        <v>0</v>
      </c>
      <c r="O2414" t="str">
        <f t="shared" si="222"/>
        <v>Low</v>
      </c>
      <c r="P2414" t="str">
        <f t="shared" si="224"/>
        <v>High</v>
      </c>
      <c r="Q2414" t="str">
        <f t="shared" si="225"/>
        <v>High Loan</v>
      </c>
      <c r="R2414">
        <f t="shared" si="226"/>
        <v>62700000</v>
      </c>
      <c r="S2414" t="str">
        <f t="shared" si="227"/>
        <v>Strong</v>
      </c>
    </row>
    <row r="2415" spans="1:19" x14ac:dyDescent="0.25">
      <c r="A2415">
        <v>2414</v>
      </c>
      <c r="B2415">
        <v>0</v>
      </c>
      <c r="C2415" t="s">
        <v>30</v>
      </c>
      <c r="D2415" t="s">
        <v>33</v>
      </c>
      <c r="E2415">
        <v>6900000</v>
      </c>
      <c r="F2415">
        <v>26800000</v>
      </c>
      <c r="G2415">
        <v>20</v>
      </c>
      <c r="H2415">
        <v>515</v>
      </c>
      <c r="I2415">
        <v>10800000</v>
      </c>
      <c r="J2415">
        <v>2500000</v>
      </c>
      <c r="K2415">
        <v>16700000</v>
      </c>
      <c r="L2415">
        <v>8300000</v>
      </c>
      <c r="M2415" t="s">
        <v>35</v>
      </c>
      <c r="N2415">
        <f t="shared" si="223"/>
        <v>0</v>
      </c>
      <c r="O2415" t="str">
        <f t="shared" si="222"/>
        <v>Low</v>
      </c>
      <c r="P2415" t="str">
        <f t="shared" si="224"/>
        <v>High</v>
      </c>
      <c r="Q2415" t="str">
        <f t="shared" si="225"/>
        <v>High Loan</v>
      </c>
      <c r="R2415">
        <f t="shared" si="226"/>
        <v>38300000</v>
      </c>
      <c r="S2415" t="str">
        <f t="shared" si="227"/>
        <v>Strong</v>
      </c>
    </row>
    <row r="2416" spans="1:19" x14ac:dyDescent="0.25">
      <c r="A2416">
        <v>2415</v>
      </c>
      <c r="B2416">
        <v>2</v>
      </c>
      <c r="C2416" t="s">
        <v>31</v>
      </c>
      <c r="D2416" t="s">
        <v>33</v>
      </c>
      <c r="E2416">
        <v>3800000</v>
      </c>
      <c r="F2416">
        <v>12400000</v>
      </c>
      <c r="G2416">
        <v>8</v>
      </c>
      <c r="H2416">
        <v>340</v>
      </c>
      <c r="I2416">
        <v>1800000</v>
      </c>
      <c r="J2416">
        <v>2600000</v>
      </c>
      <c r="K2416">
        <v>9700000</v>
      </c>
      <c r="L2416">
        <v>2600000</v>
      </c>
      <c r="M2416" t="s">
        <v>35</v>
      </c>
      <c r="N2416">
        <f t="shared" si="223"/>
        <v>0</v>
      </c>
      <c r="O2416" t="str">
        <f t="shared" si="222"/>
        <v>Low</v>
      </c>
      <c r="P2416" t="str">
        <f t="shared" si="224"/>
        <v>High</v>
      </c>
      <c r="Q2416" t="str">
        <f t="shared" si="225"/>
        <v>Low Loan</v>
      </c>
      <c r="R2416">
        <f t="shared" si="226"/>
        <v>16700000</v>
      </c>
      <c r="S2416" t="str">
        <f t="shared" si="227"/>
        <v>Strong</v>
      </c>
    </row>
    <row r="2417" spans="1:19" x14ac:dyDescent="0.25">
      <c r="A2417">
        <v>2416</v>
      </c>
      <c r="B2417">
        <v>3</v>
      </c>
      <c r="C2417" t="s">
        <v>31</v>
      </c>
      <c r="D2417" t="s">
        <v>33</v>
      </c>
      <c r="E2417">
        <v>600000</v>
      </c>
      <c r="F2417">
        <v>1700000</v>
      </c>
      <c r="G2417">
        <v>14</v>
      </c>
      <c r="H2417">
        <v>521</v>
      </c>
      <c r="I2417">
        <v>0</v>
      </c>
      <c r="J2417">
        <v>1000000</v>
      </c>
      <c r="K2417">
        <v>1700000</v>
      </c>
      <c r="L2417">
        <v>600000</v>
      </c>
      <c r="M2417" t="s">
        <v>35</v>
      </c>
      <c r="N2417">
        <f t="shared" si="223"/>
        <v>0</v>
      </c>
      <c r="O2417" t="str">
        <f t="shared" si="222"/>
        <v>Low</v>
      </c>
      <c r="P2417" t="str">
        <f t="shared" si="224"/>
        <v>Middle</v>
      </c>
      <c r="Q2417" t="str">
        <f t="shared" si="225"/>
        <v>Low Loan</v>
      </c>
      <c r="R2417">
        <f t="shared" si="226"/>
        <v>3300000</v>
      </c>
      <c r="S2417" t="str">
        <f t="shared" si="227"/>
        <v>Weak</v>
      </c>
    </row>
    <row r="2418" spans="1:19" x14ac:dyDescent="0.25">
      <c r="A2418">
        <v>2417</v>
      </c>
      <c r="B2418">
        <v>2</v>
      </c>
      <c r="C2418" t="s">
        <v>31</v>
      </c>
      <c r="D2418" t="s">
        <v>33</v>
      </c>
      <c r="E2418">
        <v>1200000</v>
      </c>
      <c r="F2418">
        <v>2900000</v>
      </c>
      <c r="G2418">
        <v>12</v>
      </c>
      <c r="H2418">
        <v>330</v>
      </c>
      <c r="I2418">
        <v>400000</v>
      </c>
      <c r="J2418">
        <v>1600000</v>
      </c>
      <c r="K2418">
        <v>3800000</v>
      </c>
      <c r="L2418">
        <v>600000</v>
      </c>
      <c r="M2418" t="s">
        <v>35</v>
      </c>
      <c r="N2418">
        <f t="shared" si="223"/>
        <v>0</v>
      </c>
      <c r="O2418" t="str">
        <f t="shared" si="222"/>
        <v>Low</v>
      </c>
      <c r="P2418" t="str">
        <f t="shared" si="224"/>
        <v>High</v>
      </c>
      <c r="Q2418" t="str">
        <f t="shared" si="225"/>
        <v>Low Loan</v>
      </c>
      <c r="R2418">
        <f t="shared" si="226"/>
        <v>6400000</v>
      </c>
      <c r="S2418" t="str">
        <f t="shared" si="227"/>
        <v>Moderate</v>
      </c>
    </row>
    <row r="2419" spans="1:19" x14ac:dyDescent="0.25">
      <c r="A2419">
        <v>2418</v>
      </c>
      <c r="B2419">
        <v>4</v>
      </c>
      <c r="C2419" t="s">
        <v>31</v>
      </c>
      <c r="D2419" t="s">
        <v>33</v>
      </c>
      <c r="E2419">
        <v>7800000</v>
      </c>
      <c r="F2419">
        <v>26800000</v>
      </c>
      <c r="G2419">
        <v>2</v>
      </c>
      <c r="H2419">
        <v>474</v>
      </c>
      <c r="I2419">
        <v>8900000</v>
      </c>
      <c r="J2419">
        <v>11200000</v>
      </c>
      <c r="K2419">
        <v>18400000</v>
      </c>
      <c r="L2419">
        <v>5600000</v>
      </c>
      <c r="M2419" t="s">
        <v>34</v>
      </c>
      <c r="N2419">
        <f t="shared" si="223"/>
        <v>1</v>
      </c>
      <c r="O2419" t="str">
        <f t="shared" si="222"/>
        <v>Low</v>
      </c>
      <c r="P2419" t="str">
        <f t="shared" si="224"/>
        <v>High</v>
      </c>
      <c r="Q2419" t="str">
        <f t="shared" si="225"/>
        <v>High Loan</v>
      </c>
      <c r="R2419">
        <f t="shared" si="226"/>
        <v>44100000</v>
      </c>
      <c r="S2419" t="str">
        <f t="shared" si="227"/>
        <v>Strong</v>
      </c>
    </row>
    <row r="2420" spans="1:19" x14ac:dyDescent="0.25">
      <c r="A2420">
        <v>2419</v>
      </c>
      <c r="B2420">
        <v>0</v>
      </c>
      <c r="C2420" t="s">
        <v>31</v>
      </c>
      <c r="D2420" t="s">
        <v>32</v>
      </c>
      <c r="E2420">
        <v>9000000</v>
      </c>
      <c r="F2420">
        <v>35100000</v>
      </c>
      <c r="G2420">
        <v>6</v>
      </c>
      <c r="H2420">
        <v>898</v>
      </c>
      <c r="I2420">
        <v>500000</v>
      </c>
      <c r="J2420">
        <v>16200000</v>
      </c>
      <c r="K2420">
        <v>20700000</v>
      </c>
      <c r="L2420">
        <v>9100000</v>
      </c>
      <c r="M2420" t="s">
        <v>34</v>
      </c>
      <c r="N2420">
        <f t="shared" si="223"/>
        <v>1</v>
      </c>
      <c r="O2420" t="str">
        <f t="shared" si="222"/>
        <v>Excellent</v>
      </c>
      <c r="P2420" t="str">
        <f t="shared" si="224"/>
        <v>High</v>
      </c>
      <c r="Q2420" t="str">
        <f t="shared" si="225"/>
        <v>High Loan</v>
      </c>
      <c r="R2420">
        <f t="shared" si="226"/>
        <v>46500000</v>
      </c>
      <c r="S2420" t="str">
        <f t="shared" si="227"/>
        <v>Strong</v>
      </c>
    </row>
    <row r="2421" spans="1:19" x14ac:dyDescent="0.25">
      <c r="A2421">
        <v>2420</v>
      </c>
      <c r="B2421">
        <v>1</v>
      </c>
      <c r="C2421" t="s">
        <v>31</v>
      </c>
      <c r="D2421" t="s">
        <v>32</v>
      </c>
      <c r="E2421">
        <v>2800000</v>
      </c>
      <c r="F2421">
        <v>9100000</v>
      </c>
      <c r="G2421">
        <v>12</v>
      </c>
      <c r="H2421">
        <v>436</v>
      </c>
      <c r="I2421">
        <v>3600000</v>
      </c>
      <c r="J2421">
        <v>500000</v>
      </c>
      <c r="K2421">
        <v>7800000</v>
      </c>
      <c r="L2421">
        <v>3600000</v>
      </c>
      <c r="M2421" t="s">
        <v>35</v>
      </c>
      <c r="N2421">
        <f t="shared" si="223"/>
        <v>0</v>
      </c>
      <c r="O2421" t="str">
        <f t="shared" si="222"/>
        <v>Low</v>
      </c>
      <c r="P2421" t="str">
        <f t="shared" si="224"/>
        <v>High</v>
      </c>
      <c r="Q2421" t="str">
        <f t="shared" si="225"/>
        <v>Low Loan</v>
      </c>
      <c r="R2421">
        <f t="shared" si="226"/>
        <v>15500000</v>
      </c>
      <c r="S2421" t="str">
        <f t="shared" si="227"/>
        <v>Strong</v>
      </c>
    </row>
    <row r="2422" spans="1:19" x14ac:dyDescent="0.25">
      <c r="A2422">
        <v>2421</v>
      </c>
      <c r="B2422">
        <v>1</v>
      </c>
      <c r="C2422" t="s">
        <v>31</v>
      </c>
      <c r="D2422" t="s">
        <v>32</v>
      </c>
      <c r="E2422">
        <v>7800000</v>
      </c>
      <c r="F2422">
        <v>21300000</v>
      </c>
      <c r="G2422">
        <v>10</v>
      </c>
      <c r="H2422">
        <v>326</v>
      </c>
      <c r="I2422">
        <v>22800000</v>
      </c>
      <c r="J2422">
        <v>10700000</v>
      </c>
      <c r="K2422">
        <v>18500000</v>
      </c>
      <c r="L2422">
        <v>4500000</v>
      </c>
      <c r="M2422" t="s">
        <v>35</v>
      </c>
      <c r="N2422">
        <f t="shared" si="223"/>
        <v>0</v>
      </c>
      <c r="O2422" t="str">
        <f t="shared" si="222"/>
        <v>Low</v>
      </c>
      <c r="P2422" t="str">
        <f t="shared" si="224"/>
        <v>High</v>
      </c>
      <c r="Q2422" t="str">
        <f t="shared" si="225"/>
        <v>High Loan</v>
      </c>
      <c r="R2422">
        <f t="shared" si="226"/>
        <v>56500000</v>
      </c>
      <c r="S2422" t="str">
        <f t="shared" si="227"/>
        <v>Strong</v>
      </c>
    </row>
    <row r="2423" spans="1:19" x14ac:dyDescent="0.25">
      <c r="A2423">
        <v>2422</v>
      </c>
      <c r="B2423">
        <v>4</v>
      </c>
      <c r="C2423" t="s">
        <v>30</v>
      </c>
      <c r="D2423" t="s">
        <v>33</v>
      </c>
      <c r="E2423">
        <v>4700000</v>
      </c>
      <c r="F2423">
        <v>9500000</v>
      </c>
      <c r="G2423">
        <v>18</v>
      </c>
      <c r="H2423">
        <v>876</v>
      </c>
      <c r="I2423">
        <v>11800000</v>
      </c>
      <c r="J2423">
        <v>6600000</v>
      </c>
      <c r="K2423">
        <v>18000000</v>
      </c>
      <c r="L2423">
        <v>4100000</v>
      </c>
      <c r="M2423" t="s">
        <v>34</v>
      </c>
      <c r="N2423">
        <f t="shared" si="223"/>
        <v>1</v>
      </c>
      <c r="O2423" t="str">
        <f t="shared" si="222"/>
        <v>Excellent</v>
      </c>
      <c r="P2423" t="str">
        <f t="shared" si="224"/>
        <v>High</v>
      </c>
      <c r="Q2423" t="str">
        <f t="shared" si="225"/>
        <v>Low Loan</v>
      </c>
      <c r="R2423">
        <f t="shared" si="226"/>
        <v>40500000</v>
      </c>
      <c r="S2423" t="str">
        <f t="shared" si="227"/>
        <v>Strong</v>
      </c>
    </row>
    <row r="2424" spans="1:19" x14ac:dyDescent="0.25">
      <c r="A2424">
        <v>2423</v>
      </c>
      <c r="B2424">
        <v>2</v>
      </c>
      <c r="C2424" t="s">
        <v>30</v>
      </c>
      <c r="D2424" t="s">
        <v>32</v>
      </c>
      <c r="E2424">
        <v>4600000</v>
      </c>
      <c r="F2424">
        <v>17500000</v>
      </c>
      <c r="G2424">
        <v>20</v>
      </c>
      <c r="H2424">
        <v>597</v>
      </c>
      <c r="I2424">
        <v>11400000</v>
      </c>
      <c r="J2424">
        <v>6100000</v>
      </c>
      <c r="K2424">
        <v>14100000</v>
      </c>
      <c r="L2424">
        <v>4100000</v>
      </c>
      <c r="M2424" t="s">
        <v>34</v>
      </c>
      <c r="N2424">
        <f t="shared" si="223"/>
        <v>1</v>
      </c>
      <c r="O2424" t="str">
        <f t="shared" si="222"/>
        <v>Low</v>
      </c>
      <c r="P2424" t="str">
        <f t="shared" si="224"/>
        <v>High</v>
      </c>
      <c r="Q2424" t="str">
        <f t="shared" si="225"/>
        <v>Low Loan</v>
      </c>
      <c r="R2424">
        <f t="shared" si="226"/>
        <v>35700000</v>
      </c>
      <c r="S2424" t="str">
        <f t="shared" si="227"/>
        <v>Strong</v>
      </c>
    </row>
    <row r="2425" spans="1:19" x14ac:dyDescent="0.25">
      <c r="A2425">
        <v>2424</v>
      </c>
      <c r="B2425">
        <v>4</v>
      </c>
      <c r="C2425" t="s">
        <v>30</v>
      </c>
      <c r="D2425" t="s">
        <v>32</v>
      </c>
      <c r="E2425">
        <v>5100000</v>
      </c>
      <c r="F2425">
        <v>16100000</v>
      </c>
      <c r="G2425">
        <v>14</v>
      </c>
      <c r="H2425">
        <v>436</v>
      </c>
      <c r="I2425">
        <v>11400000</v>
      </c>
      <c r="J2425">
        <v>2700000</v>
      </c>
      <c r="K2425">
        <v>13100000</v>
      </c>
      <c r="L2425">
        <v>6700000</v>
      </c>
      <c r="M2425" t="s">
        <v>35</v>
      </c>
      <c r="N2425">
        <f t="shared" si="223"/>
        <v>0</v>
      </c>
      <c r="O2425" t="str">
        <f t="shared" si="222"/>
        <v>Low</v>
      </c>
      <c r="P2425" t="str">
        <f t="shared" si="224"/>
        <v>High</v>
      </c>
      <c r="Q2425" t="str">
        <f t="shared" si="225"/>
        <v>Low Loan</v>
      </c>
      <c r="R2425">
        <f t="shared" si="226"/>
        <v>33900000</v>
      </c>
      <c r="S2425" t="str">
        <f t="shared" si="227"/>
        <v>Strong</v>
      </c>
    </row>
    <row r="2426" spans="1:19" x14ac:dyDescent="0.25">
      <c r="A2426">
        <v>2425</v>
      </c>
      <c r="B2426">
        <v>3</v>
      </c>
      <c r="C2426" t="s">
        <v>31</v>
      </c>
      <c r="D2426" t="s">
        <v>33</v>
      </c>
      <c r="E2426">
        <v>6100000</v>
      </c>
      <c r="F2426">
        <v>22800000</v>
      </c>
      <c r="G2426">
        <v>18</v>
      </c>
      <c r="H2426">
        <v>640</v>
      </c>
      <c r="I2426">
        <v>16800000</v>
      </c>
      <c r="J2426">
        <v>7300000</v>
      </c>
      <c r="K2426">
        <v>19600000</v>
      </c>
      <c r="L2426">
        <v>6000000</v>
      </c>
      <c r="M2426" t="s">
        <v>34</v>
      </c>
      <c r="N2426">
        <f t="shared" si="223"/>
        <v>1</v>
      </c>
      <c r="O2426" t="str">
        <f t="shared" si="222"/>
        <v>Low</v>
      </c>
      <c r="P2426" t="str">
        <f t="shared" si="224"/>
        <v>High</v>
      </c>
      <c r="Q2426" t="str">
        <f t="shared" si="225"/>
        <v>High Loan</v>
      </c>
      <c r="R2426">
        <f t="shared" si="226"/>
        <v>49700000</v>
      </c>
      <c r="S2426" t="str">
        <f t="shared" si="227"/>
        <v>Strong</v>
      </c>
    </row>
    <row r="2427" spans="1:19" x14ac:dyDescent="0.25">
      <c r="A2427">
        <v>2426</v>
      </c>
      <c r="B2427">
        <v>0</v>
      </c>
      <c r="C2427" t="s">
        <v>31</v>
      </c>
      <c r="D2427" t="s">
        <v>32</v>
      </c>
      <c r="E2427">
        <v>6000000</v>
      </c>
      <c r="F2427">
        <v>22900000</v>
      </c>
      <c r="G2427">
        <v>16</v>
      </c>
      <c r="H2427">
        <v>302</v>
      </c>
      <c r="I2427">
        <v>12200000</v>
      </c>
      <c r="J2427">
        <v>6500000</v>
      </c>
      <c r="K2427">
        <v>17700000</v>
      </c>
      <c r="L2427">
        <v>7100000</v>
      </c>
      <c r="M2427" t="s">
        <v>35</v>
      </c>
      <c r="N2427">
        <f t="shared" si="223"/>
        <v>0</v>
      </c>
      <c r="O2427" t="str">
        <f t="shared" si="222"/>
        <v>Low</v>
      </c>
      <c r="P2427" t="str">
        <f t="shared" si="224"/>
        <v>High</v>
      </c>
      <c r="Q2427" t="str">
        <f t="shared" si="225"/>
        <v>High Loan</v>
      </c>
      <c r="R2427">
        <f t="shared" si="226"/>
        <v>43500000</v>
      </c>
      <c r="S2427" t="str">
        <f t="shared" si="227"/>
        <v>Strong</v>
      </c>
    </row>
    <row r="2428" spans="1:19" x14ac:dyDescent="0.25">
      <c r="A2428">
        <v>2427</v>
      </c>
      <c r="B2428">
        <v>2</v>
      </c>
      <c r="C2428" t="s">
        <v>31</v>
      </c>
      <c r="D2428" t="s">
        <v>32</v>
      </c>
      <c r="E2428">
        <v>8400000</v>
      </c>
      <c r="F2428">
        <v>23200000</v>
      </c>
      <c r="G2428">
        <v>16</v>
      </c>
      <c r="H2428">
        <v>476</v>
      </c>
      <c r="I2428">
        <v>15200000</v>
      </c>
      <c r="J2428">
        <v>5400000</v>
      </c>
      <c r="K2428">
        <v>18700000</v>
      </c>
      <c r="L2428">
        <v>8600000</v>
      </c>
      <c r="M2428" t="s">
        <v>35</v>
      </c>
      <c r="N2428">
        <f t="shared" si="223"/>
        <v>0</v>
      </c>
      <c r="O2428" t="str">
        <f t="shared" si="222"/>
        <v>Low</v>
      </c>
      <c r="P2428" t="str">
        <f t="shared" si="224"/>
        <v>High</v>
      </c>
      <c r="Q2428" t="str">
        <f t="shared" si="225"/>
        <v>High Loan</v>
      </c>
      <c r="R2428">
        <f t="shared" si="226"/>
        <v>47900000</v>
      </c>
      <c r="S2428" t="str">
        <f t="shared" si="227"/>
        <v>Strong</v>
      </c>
    </row>
    <row r="2429" spans="1:19" x14ac:dyDescent="0.25">
      <c r="A2429">
        <v>2428</v>
      </c>
      <c r="B2429">
        <v>2</v>
      </c>
      <c r="C2429" t="s">
        <v>30</v>
      </c>
      <c r="D2429" t="s">
        <v>32</v>
      </c>
      <c r="E2429">
        <v>9300000</v>
      </c>
      <c r="F2429">
        <v>22000000</v>
      </c>
      <c r="G2429">
        <v>14</v>
      </c>
      <c r="H2429">
        <v>393</v>
      </c>
      <c r="I2429">
        <v>4300000</v>
      </c>
      <c r="J2429">
        <v>3800000</v>
      </c>
      <c r="K2429">
        <v>28400000</v>
      </c>
      <c r="L2429">
        <v>13900000</v>
      </c>
      <c r="M2429" t="s">
        <v>35</v>
      </c>
      <c r="N2429">
        <f t="shared" si="223"/>
        <v>0</v>
      </c>
      <c r="O2429" t="str">
        <f t="shared" si="222"/>
        <v>Low</v>
      </c>
      <c r="P2429" t="str">
        <f t="shared" si="224"/>
        <v>High</v>
      </c>
      <c r="Q2429" t="str">
        <f t="shared" si="225"/>
        <v>High Loan</v>
      </c>
      <c r="R2429">
        <f t="shared" si="226"/>
        <v>50400000</v>
      </c>
      <c r="S2429" t="str">
        <f t="shared" si="227"/>
        <v>Strong</v>
      </c>
    </row>
    <row r="2430" spans="1:19" x14ac:dyDescent="0.25">
      <c r="A2430">
        <v>2429</v>
      </c>
      <c r="B2430">
        <v>0</v>
      </c>
      <c r="C2430" t="s">
        <v>30</v>
      </c>
      <c r="D2430" t="s">
        <v>32</v>
      </c>
      <c r="E2430">
        <v>4200000</v>
      </c>
      <c r="F2430">
        <v>10300000</v>
      </c>
      <c r="G2430">
        <v>10</v>
      </c>
      <c r="H2430">
        <v>506</v>
      </c>
      <c r="I2430">
        <v>9300000</v>
      </c>
      <c r="J2430">
        <v>4500000</v>
      </c>
      <c r="K2430">
        <v>12400000</v>
      </c>
      <c r="L2430">
        <v>6000000</v>
      </c>
      <c r="M2430" t="s">
        <v>35</v>
      </c>
      <c r="N2430">
        <f t="shared" si="223"/>
        <v>0</v>
      </c>
      <c r="O2430" t="str">
        <f t="shared" si="222"/>
        <v>Low</v>
      </c>
      <c r="P2430" t="str">
        <f t="shared" si="224"/>
        <v>High</v>
      </c>
      <c r="Q2430" t="str">
        <f t="shared" si="225"/>
        <v>Low Loan</v>
      </c>
      <c r="R2430">
        <f t="shared" si="226"/>
        <v>32200000</v>
      </c>
      <c r="S2430" t="str">
        <f t="shared" si="227"/>
        <v>Strong</v>
      </c>
    </row>
    <row r="2431" spans="1:19" x14ac:dyDescent="0.25">
      <c r="A2431">
        <v>2430</v>
      </c>
      <c r="B2431">
        <v>3</v>
      </c>
      <c r="C2431" t="s">
        <v>30</v>
      </c>
      <c r="D2431" t="s">
        <v>32</v>
      </c>
      <c r="E2431">
        <v>9600000</v>
      </c>
      <c r="F2431">
        <v>37800000</v>
      </c>
      <c r="G2431">
        <v>10</v>
      </c>
      <c r="H2431">
        <v>418</v>
      </c>
      <c r="I2431">
        <v>6700000</v>
      </c>
      <c r="J2431">
        <v>5500000</v>
      </c>
      <c r="K2431">
        <v>34900000</v>
      </c>
      <c r="L2431">
        <v>11300000</v>
      </c>
      <c r="M2431" t="s">
        <v>35</v>
      </c>
      <c r="N2431">
        <f t="shared" si="223"/>
        <v>0</v>
      </c>
      <c r="O2431" t="str">
        <f t="shared" si="222"/>
        <v>Low</v>
      </c>
      <c r="P2431" t="str">
        <f t="shared" si="224"/>
        <v>High</v>
      </c>
      <c r="Q2431" t="str">
        <f t="shared" si="225"/>
        <v>High Loan</v>
      </c>
      <c r="R2431">
        <f t="shared" si="226"/>
        <v>58400000</v>
      </c>
      <c r="S2431" t="str">
        <f t="shared" si="227"/>
        <v>Strong</v>
      </c>
    </row>
    <row r="2432" spans="1:19" x14ac:dyDescent="0.25">
      <c r="A2432">
        <v>2431</v>
      </c>
      <c r="B2432">
        <v>3</v>
      </c>
      <c r="C2432" t="s">
        <v>30</v>
      </c>
      <c r="D2432" t="s">
        <v>32</v>
      </c>
      <c r="E2432">
        <v>5600000</v>
      </c>
      <c r="F2432">
        <v>13400000</v>
      </c>
      <c r="G2432">
        <v>6</v>
      </c>
      <c r="H2432">
        <v>865</v>
      </c>
      <c r="I2432">
        <v>14900000</v>
      </c>
      <c r="J2432">
        <v>9700000</v>
      </c>
      <c r="K2432">
        <v>12300000</v>
      </c>
      <c r="L2432">
        <v>6000000</v>
      </c>
      <c r="M2432" t="s">
        <v>34</v>
      </c>
      <c r="N2432">
        <f t="shared" si="223"/>
        <v>1</v>
      </c>
      <c r="O2432" t="str">
        <f t="shared" si="222"/>
        <v>Excellent</v>
      </c>
      <c r="P2432" t="str">
        <f t="shared" si="224"/>
        <v>High</v>
      </c>
      <c r="Q2432" t="str">
        <f t="shared" si="225"/>
        <v>Low Loan</v>
      </c>
      <c r="R2432">
        <f t="shared" si="226"/>
        <v>42900000</v>
      </c>
      <c r="S2432" t="str">
        <f t="shared" si="227"/>
        <v>Strong</v>
      </c>
    </row>
    <row r="2433" spans="1:19" x14ac:dyDescent="0.25">
      <c r="A2433">
        <v>2432</v>
      </c>
      <c r="B2433">
        <v>4</v>
      </c>
      <c r="C2433" t="s">
        <v>30</v>
      </c>
      <c r="D2433" t="s">
        <v>32</v>
      </c>
      <c r="E2433">
        <v>7800000</v>
      </c>
      <c r="F2433">
        <v>28600000</v>
      </c>
      <c r="G2433">
        <v>2</v>
      </c>
      <c r="H2433">
        <v>703</v>
      </c>
      <c r="I2433">
        <v>500000</v>
      </c>
      <c r="J2433">
        <v>12400000</v>
      </c>
      <c r="K2433">
        <v>29500000</v>
      </c>
      <c r="L2433">
        <v>10500000</v>
      </c>
      <c r="M2433" t="s">
        <v>34</v>
      </c>
      <c r="N2433">
        <f t="shared" si="223"/>
        <v>1</v>
      </c>
      <c r="O2433" t="str">
        <f t="shared" si="222"/>
        <v>Good</v>
      </c>
      <c r="P2433" t="str">
        <f t="shared" si="224"/>
        <v>High</v>
      </c>
      <c r="Q2433" t="str">
        <f t="shared" si="225"/>
        <v>High Loan</v>
      </c>
      <c r="R2433">
        <f t="shared" si="226"/>
        <v>52900000</v>
      </c>
      <c r="S2433" t="str">
        <f t="shared" si="227"/>
        <v>Strong</v>
      </c>
    </row>
    <row r="2434" spans="1:19" x14ac:dyDescent="0.25">
      <c r="A2434">
        <v>2433</v>
      </c>
      <c r="B2434">
        <v>2</v>
      </c>
      <c r="C2434" t="s">
        <v>30</v>
      </c>
      <c r="D2434" t="s">
        <v>33</v>
      </c>
      <c r="E2434">
        <v>4500000</v>
      </c>
      <c r="F2434">
        <v>12600000</v>
      </c>
      <c r="G2434">
        <v>2</v>
      </c>
      <c r="H2434">
        <v>568</v>
      </c>
      <c r="I2434">
        <v>6900000</v>
      </c>
      <c r="J2434">
        <v>3900000</v>
      </c>
      <c r="K2434">
        <v>17800000</v>
      </c>
      <c r="L2434">
        <v>2900000</v>
      </c>
      <c r="M2434" t="s">
        <v>34</v>
      </c>
      <c r="N2434">
        <f t="shared" si="223"/>
        <v>1</v>
      </c>
      <c r="O2434" t="str">
        <f t="shared" ref="O2434:O2497" si="228">IF(H2434&lt;650,"Low",
 IF(H2434&lt;700,"Medium",
 IF(H2434&lt;750,"Good","Excellent")))</f>
        <v>Low</v>
      </c>
      <c r="P2434" t="str">
        <f t="shared" si="224"/>
        <v>High</v>
      </c>
      <c r="Q2434" t="str">
        <f t="shared" si="225"/>
        <v>Low Loan</v>
      </c>
      <c r="R2434">
        <f t="shared" si="226"/>
        <v>31500000</v>
      </c>
      <c r="S2434" t="str">
        <f t="shared" si="227"/>
        <v>Strong</v>
      </c>
    </row>
    <row r="2435" spans="1:19" x14ac:dyDescent="0.25">
      <c r="A2435">
        <v>2434</v>
      </c>
      <c r="B2435">
        <v>3</v>
      </c>
      <c r="C2435" t="s">
        <v>30</v>
      </c>
      <c r="D2435" t="s">
        <v>32</v>
      </c>
      <c r="E2435">
        <v>2400000</v>
      </c>
      <c r="F2435">
        <v>5900000</v>
      </c>
      <c r="G2435">
        <v>2</v>
      </c>
      <c r="H2435">
        <v>425</v>
      </c>
      <c r="I2435">
        <v>1100000</v>
      </c>
      <c r="J2435">
        <v>500000</v>
      </c>
      <c r="K2435">
        <v>7400000</v>
      </c>
      <c r="L2435">
        <v>2500000</v>
      </c>
      <c r="M2435" t="s">
        <v>35</v>
      </c>
      <c r="N2435">
        <f t="shared" ref="N2435:N2498" si="229">IF(TRIM(CLEAN(M2435))="Approved",1,0)</f>
        <v>0</v>
      </c>
      <c r="O2435" t="str">
        <f t="shared" si="228"/>
        <v>Low</v>
      </c>
      <c r="P2435" t="str">
        <f t="shared" ref="P2435:P2498" si="230">IF(E2435&lt;300000,"Low",
 IF(E2435&lt;700000,"Middle","High"))</f>
        <v>High</v>
      </c>
      <c r="Q2435" t="str">
        <f t="shared" ref="Q2435:Q2498" si="231">IF(F2435&lt;20000000,"Low Loan","High Loan")</f>
        <v>Low Loan</v>
      </c>
      <c r="R2435">
        <f t="shared" ref="R2435:R2498" si="232">I2435+J2435+K2435+L2435</f>
        <v>11500000</v>
      </c>
      <c r="S2435" t="str">
        <f t="shared" ref="S2435:S2498" si="233">IF(R2435&lt;5000000,"Weak",
 IF(R2435&lt;10000000,"Moderate","Strong"))</f>
        <v>Strong</v>
      </c>
    </row>
    <row r="2436" spans="1:19" x14ac:dyDescent="0.25">
      <c r="A2436">
        <v>2435</v>
      </c>
      <c r="B2436">
        <v>0</v>
      </c>
      <c r="C2436" t="s">
        <v>31</v>
      </c>
      <c r="D2436" t="s">
        <v>32</v>
      </c>
      <c r="E2436">
        <v>3900000</v>
      </c>
      <c r="F2436">
        <v>11300000</v>
      </c>
      <c r="G2436">
        <v>12</v>
      </c>
      <c r="H2436">
        <v>305</v>
      </c>
      <c r="I2436">
        <v>5000000</v>
      </c>
      <c r="J2436">
        <v>5900000</v>
      </c>
      <c r="K2436">
        <v>8800000</v>
      </c>
      <c r="L2436">
        <v>2100000</v>
      </c>
      <c r="M2436" t="s">
        <v>35</v>
      </c>
      <c r="N2436">
        <f t="shared" si="229"/>
        <v>0</v>
      </c>
      <c r="O2436" t="str">
        <f t="shared" si="228"/>
        <v>Low</v>
      </c>
      <c r="P2436" t="str">
        <f t="shared" si="230"/>
        <v>High</v>
      </c>
      <c r="Q2436" t="str">
        <f t="shared" si="231"/>
        <v>Low Loan</v>
      </c>
      <c r="R2436">
        <f t="shared" si="232"/>
        <v>21800000</v>
      </c>
      <c r="S2436" t="str">
        <f t="shared" si="233"/>
        <v>Strong</v>
      </c>
    </row>
    <row r="2437" spans="1:19" x14ac:dyDescent="0.25">
      <c r="A2437">
        <v>2436</v>
      </c>
      <c r="B2437">
        <v>5</v>
      </c>
      <c r="C2437" t="s">
        <v>30</v>
      </c>
      <c r="D2437" t="s">
        <v>33</v>
      </c>
      <c r="E2437">
        <v>9600000</v>
      </c>
      <c r="F2437">
        <v>20600000</v>
      </c>
      <c r="G2437">
        <v>6</v>
      </c>
      <c r="H2437">
        <v>456</v>
      </c>
      <c r="I2437">
        <v>17300000</v>
      </c>
      <c r="J2437">
        <v>11000000</v>
      </c>
      <c r="K2437">
        <v>21700000</v>
      </c>
      <c r="L2437">
        <v>11600000</v>
      </c>
      <c r="M2437" t="s">
        <v>35</v>
      </c>
      <c r="N2437">
        <f t="shared" si="229"/>
        <v>0</v>
      </c>
      <c r="O2437" t="str">
        <f t="shared" si="228"/>
        <v>Low</v>
      </c>
      <c r="P2437" t="str">
        <f t="shared" si="230"/>
        <v>High</v>
      </c>
      <c r="Q2437" t="str">
        <f t="shared" si="231"/>
        <v>High Loan</v>
      </c>
      <c r="R2437">
        <f t="shared" si="232"/>
        <v>61600000</v>
      </c>
      <c r="S2437" t="str">
        <f t="shared" si="233"/>
        <v>Strong</v>
      </c>
    </row>
    <row r="2438" spans="1:19" x14ac:dyDescent="0.25">
      <c r="A2438">
        <v>2437</v>
      </c>
      <c r="B2438">
        <v>4</v>
      </c>
      <c r="C2438" t="s">
        <v>31</v>
      </c>
      <c r="D2438" t="s">
        <v>32</v>
      </c>
      <c r="E2438">
        <v>900000</v>
      </c>
      <c r="F2438">
        <v>2600000</v>
      </c>
      <c r="G2438">
        <v>2</v>
      </c>
      <c r="H2438">
        <v>602</v>
      </c>
      <c r="I2438">
        <v>600000</v>
      </c>
      <c r="J2438">
        <v>800000</v>
      </c>
      <c r="K2438">
        <v>3200000</v>
      </c>
      <c r="L2438">
        <v>1000000</v>
      </c>
      <c r="M2438" t="s">
        <v>34</v>
      </c>
      <c r="N2438">
        <f t="shared" si="229"/>
        <v>1</v>
      </c>
      <c r="O2438" t="str">
        <f t="shared" si="228"/>
        <v>Low</v>
      </c>
      <c r="P2438" t="str">
        <f t="shared" si="230"/>
        <v>High</v>
      </c>
      <c r="Q2438" t="str">
        <f t="shared" si="231"/>
        <v>Low Loan</v>
      </c>
      <c r="R2438">
        <f t="shared" si="232"/>
        <v>5600000</v>
      </c>
      <c r="S2438" t="str">
        <f t="shared" si="233"/>
        <v>Moderate</v>
      </c>
    </row>
    <row r="2439" spans="1:19" x14ac:dyDescent="0.25">
      <c r="A2439">
        <v>2438</v>
      </c>
      <c r="B2439">
        <v>3</v>
      </c>
      <c r="C2439" t="s">
        <v>30</v>
      </c>
      <c r="D2439" t="s">
        <v>33</v>
      </c>
      <c r="E2439">
        <v>1100000</v>
      </c>
      <c r="F2439">
        <v>3800000</v>
      </c>
      <c r="G2439">
        <v>20</v>
      </c>
      <c r="H2439">
        <v>814</v>
      </c>
      <c r="I2439">
        <v>1400000</v>
      </c>
      <c r="J2439">
        <v>1500000</v>
      </c>
      <c r="K2439">
        <v>3200000</v>
      </c>
      <c r="L2439">
        <v>1100000</v>
      </c>
      <c r="M2439" t="s">
        <v>34</v>
      </c>
      <c r="N2439">
        <f t="shared" si="229"/>
        <v>1</v>
      </c>
      <c r="O2439" t="str">
        <f t="shared" si="228"/>
        <v>Excellent</v>
      </c>
      <c r="P2439" t="str">
        <f t="shared" si="230"/>
        <v>High</v>
      </c>
      <c r="Q2439" t="str">
        <f t="shared" si="231"/>
        <v>Low Loan</v>
      </c>
      <c r="R2439">
        <f t="shared" si="232"/>
        <v>7200000</v>
      </c>
      <c r="S2439" t="str">
        <f t="shared" si="233"/>
        <v>Moderate</v>
      </c>
    </row>
    <row r="2440" spans="1:19" x14ac:dyDescent="0.25">
      <c r="A2440">
        <v>2439</v>
      </c>
      <c r="B2440">
        <v>4</v>
      </c>
      <c r="C2440" t="s">
        <v>31</v>
      </c>
      <c r="D2440" t="s">
        <v>32</v>
      </c>
      <c r="E2440">
        <v>6400000</v>
      </c>
      <c r="F2440">
        <v>24900000</v>
      </c>
      <c r="G2440">
        <v>2</v>
      </c>
      <c r="H2440">
        <v>640</v>
      </c>
      <c r="I2440">
        <v>10000000</v>
      </c>
      <c r="J2440">
        <v>5700000</v>
      </c>
      <c r="K2440">
        <v>18700000</v>
      </c>
      <c r="L2440">
        <v>6300000</v>
      </c>
      <c r="M2440" t="s">
        <v>34</v>
      </c>
      <c r="N2440">
        <f t="shared" si="229"/>
        <v>1</v>
      </c>
      <c r="O2440" t="str">
        <f t="shared" si="228"/>
        <v>Low</v>
      </c>
      <c r="P2440" t="str">
        <f t="shared" si="230"/>
        <v>High</v>
      </c>
      <c r="Q2440" t="str">
        <f t="shared" si="231"/>
        <v>High Loan</v>
      </c>
      <c r="R2440">
        <f t="shared" si="232"/>
        <v>40700000</v>
      </c>
      <c r="S2440" t="str">
        <f t="shared" si="233"/>
        <v>Strong</v>
      </c>
    </row>
    <row r="2441" spans="1:19" x14ac:dyDescent="0.25">
      <c r="A2441">
        <v>2440</v>
      </c>
      <c r="B2441">
        <v>2</v>
      </c>
      <c r="C2441" t="s">
        <v>30</v>
      </c>
      <c r="D2441" t="s">
        <v>32</v>
      </c>
      <c r="E2441">
        <v>4600000</v>
      </c>
      <c r="F2441">
        <v>15000000</v>
      </c>
      <c r="G2441">
        <v>4</v>
      </c>
      <c r="H2441">
        <v>817</v>
      </c>
      <c r="I2441">
        <v>7200000</v>
      </c>
      <c r="J2441">
        <v>2400000</v>
      </c>
      <c r="K2441">
        <v>13000000</v>
      </c>
      <c r="L2441">
        <v>6600000</v>
      </c>
      <c r="M2441" t="s">
        <v>34</v>
      </c>
      <c r="N2441">
        <f t="shared" si="229"/>
        <v>1</v>
      </c>
      <c r="O2441" t="str">
        <f t="shared" si="228"/>
        <v>Excellent</v>
      </c>
      <c r="P2441" t="str">
        <f t="shared" si="230"/>
        <v>High</v>
      </c>
      <c r="Q2441" t="str">
        <f t="shared" si="231"/>
        <v>Low Loan</v>
      </c>
      <c r="R2441">
        <f t="shared" si="232"/>
        <v>29200000</v>
      </c>
      <c r="S2441" t="str">
        <f t="shared" si="233"/>
        <v>Strong</v>
      </c>
    </row>
    <row r="2442" spans="1:19" x14ac:dyDescent="0.25">
      <c r="A2442">
        <v>2441</v>
      </c>
      <c r="B2442">
        <v>4</v>
      </c>
      <c r="C2442" t="s">
        <v>30</v>
      </c>
      <c r="D2442" t="s">
        <v>32</v>
      </c>
      <c r="E2442">
        <v>7600000</v>
      </c>
      <c r="F2442">
        <v>29800000</v>
      </c>
      <c r="G2442">
        <v>20</v>
      </c>
      <c r="H2442">
        <v>361</v>
      </c>
      <c r="I2442">
        <v>13800000</v>
      </c>
      <c r="J2442">
        <v>5800000</v>
      </c>
      <c r="K2442">
        <v>15300000</v>
      </c>
      <c r="L2442">
        <v>5900000</v>
      </c>
      <c r="M2442" t="s">
        <v>35</v>
      </c>
      <c r="N2442">
        <f t="shared" si="229"/>
        <v>0</v>
      </c>
      <c r="O2442" t="str">
        <f t="shared" si="228"/>
        <v>Low</v>
      </c>
      <c r="P2442" t="str">
        <f t="shared" si="230"/>
        <v>High</v>
      </c>
      <c r="Q2442" t="str">
        <f t="shared" si="231"/>
        <v>High Loan</v>
      </c>
      <c r="R2442">
        <f t="shared" si="232"/>
        <v>40800000</v>
      </c>
      <c r="S2442" t="str">
        <f t="shared" si="233"/>
        <v>Strong</v>
      </c>
    </row>
    <row r="2443" spans="1:19" x14ac:dyDescent="0.25">
      <c r="A2443">
        <v>2442</v>
      </c>
      <c r="B2443">
        <v>5</v>
      </c>
      <c r="C2443" t="s">
        <v>31</v>
      </c>
      <c r="D2443" t="s">
        <v>32</v>
      </c>
      <c r="E2443">
        <v>6800000</v>
      </c>
      <c r="F2443">
        <v>20100000</v>
      </c>
      <c r="G2443">
        <v>14</v>
      </c>
      <c r="H2443">
        <v>839</v>
      </c>
      <c r="I2443">
        <v>1900000</v>
      </c>
      <c r="J2443">
        <v>600000</v>
      </c>
      <c r="K2443">
        <v>15600000</v>
      </c>
      <c r="L2443">
        <v>7500000</v>
      </c>
      <c r="M2443" t="s">
        <v>34</v>
      </c>
      <c r="N2443">
        <f t="shared" si="229"/>
        <v>1</v>
      </c>
      <c r="O2443" t="str">
        <f t="shared" si="228"/>
        <v>Excellent</v>
      </c>
      <c r="P2443" t="str">
        <f t="shared" si="230"/>
        <v>High</v>
      </c>
      <c r="Q2443" t="str">
        <f t="shared" si="231"/>
        <v>High Loan</v>
      </c>
      <c r="R2443">
        <f t="shared" si="232"/>
        <v>25600000</v>
      </c>
      <c r="S2443" t="str">
        <f t="shared" si="233"/>
        <v>Strong</v>
      </c>
    </row>
    <row r="2444" spans="1:19" x14ac:dyDescent="0.25">
      <c r="A2444">
        <v>2443</v>
      </c>
      <c r="B2444">
        <v>5</v>
      </c>
      <c r="C2444" t="s">
        <v>30</v>
      </c>
      <c r="D2444" t="s">
        <v>32</v>
      </c>
      <c r="E2444">
        <v>7100000</v>
      </c>
      <c r="F2444">
        <v>27000000</v>
      </c>
      <c r="G2444">
        <v>20</v>
      </c>
      <c r="H2444">
        <v>592</v>
      </c>
      <c r="I2444">
        <v>5100000</v>
      </c>
      <c r="J2444">
        <v>9600000</v>
      </c>
      <c r="K2444">
        <v>20200000</v>
      </c>
      <c r="L2444">
        <v>7600000</v>
      </c>
      <c r="M2444" t="s">
        <v>34</v>
      </c>
      <c r="N2444">
        <f t="shared" si="229"/>
        <v>1</v>
      </c>
      <c r="O2444" t="str">
        <f t="shared" si="228"/>
        <v>Low</v>
      </c>
      <c r="P2444" t="str">
        <f t="shared" si="230"/>
        <v>High</v>
      </c>
      <c r="Q2444" t="str">
        <f t="shared" si="231"/>
        <v>High Loan</v>
      </c>
      <c r="R2444">
        <f t="shared" si="232"/>
        <v>42500000</v>
      </c>
      <c r="S2444" t="str">
        <f t="shared" si="233"/>
        <v>Strong</v>
      </c>
    </row>
    <row r="2445" spans="1:19" x14ac:dyDescent="0.25">
      <c r="A2445">
        <v>2444</v>
      </c>
      <c r="B2445">
        <v>4</v>
      </c>
      <c r="C2445" t="s">
        <v>31</v>
      </c>
      <c r="D2445" t="s">
        <v>33</v>
      </c>
      <c r="E2445">
        <v>6700000</v>
      </c>
      <c r="F2445">
        <v>24700000</v>
      </c>
      <c r="G2445">
        <v>6</v>
      </c>
      <c r="H2445">
        <v>498</v>
      </c>
      <c r="I2445">
        <v>12900000</v>
      </c>
      <c r="J2445">
        <v>700000</v>
      </c>
      <c r="K2445">
        <v>18800000</v>
      </c>
      <c r="L2445">
        <v>8400000</v>
      </c>
      <c r="M2445" t="s">
        <v>35</v>
      </c>
      <c r="N2445">
        <f t="shared" si="229"/>
        <v>0</v>
      </c>
      <c r="O2445" t="str">
        <f t="shared" si="228"/>
        <v>Low</v>
      </c>
      <c r="P2445" t="str">
        <f t="shared" si="230"/>
        <v>High</v>
      </c>
      <c r="Q2445" t="str">
        <f t="shared" si="231"/>
        <v>High Loan</v>
      </c>
      <c r="R2445">
        <f t="shared" si="232"/>
        <v>40800000</v>
      </c>
      <c r="S2445" t="str">
        <f t="shared" si="233"/>
        <v>Strong</v>
      </c>
    </row>
    <row r="2446" spans="1:19" x14ac:dyDescent="0.25">
      <c r="A2446">
        <v>2445</v>
      </c>
      <c r="B2446">
        <v>5</v>
      </c>
      <c r="C2446" t="s">
        <v>31</v>
      </c>
      <c r="D2446" t="s">
        <v>33</v>
      </c>
      <c r="E2446">
        <v>5800000</v>
      </c>
      <c r="F2446">
        <v>12400000</v>
      </c>
      <c r="G2446">
        <v>6</v>
      </c>
      <c r="H2446">
        <v>847</v>
      </c>
      <c r="I2446">
        <v>5100000</v>
      </c>
      <c r="J2446">
        <v>9000000</v>
      </c>
      <c r="K2446">
        <v>14100000</v>
      </c>
      <c r="L2446">
        <v>7600000</v>
      </c>
      <c r="M2446" t="s">
        <v>34</v>
      </c>
      <c r="N2446">
        <f t="shared" si="229"/>
        <v>1</v>
      </c>
      <c r="O2446" t="str">
        <f t="shared" si="228"/>
        <v>Excellent</v>
      </c>
      <c r="P2446" t="str">
        <f t="shared" si="230"/>
        <v>High</v>
      </c>
      <c r="Q2446" t="str">
        <f t="shared" si="231"/>
        <v>Low Loan</v>
      </c>
      <c r="R2446">
        <f t="shared" si="232"/>
        <v>35800000</v>
      </c>
      <c r="S2446" t="str">
        <f t="shared" si="233"/>
        <v>Strong</v>
      </c>
    </row>
    <row r="2447" spans="1:19" x14ac:dyDescent="0.25">
      <c r="A2447">
        <v>2446</v>
      </c>
      <c r="B2447">
        <v>0</v>
      </c>
      <c r="C2447" t="s">
        <v>30</v>
      </c>
      <c r="D2447" t="s">
        <v>33</v>
      </c>
      <c r="E2447">
        <v>8600000</v>
      </c>
      <c r="F2447">
        <v>29400000</v>
      </c>
      <c r="G2447">
        <v>16</v>
      </c>
      <c r="H2447">
        <v>643</v>
      </c>
      <c r="I2447">
        <v>1000000</v>
      </c>
      <c r="J2447">
        <v>14100000</v>
      </c>
      <c r="K2447">
        <v>33000000</v>
      </c>
      <c r="L2447">
        <v>12300000</v>
      </c>
      <c r="M2447" t="s">
        <v>34</v>
      </c>
      <c r="N2447">
        <f t="shared" si="229"/>
        <v>1</v>
      </c>
      <c r="O2447" t="str">
        <f t="shared" si="228"/>
        <v>Low</v>
      </c>
      <c r="P2447" t="str">
        <f t="shared" si="230"/>
        <v>High</v>
      </c>
      <c r="Q2447" t="str">
        <f t="shared" si="231"/>
        <v>High Loan</v>
      </c>
      <c r="R2447">
        <f t="shared" si="232"/>
        <v>60400000</v>
      </c>
      <c r="S2447" t="str">
        <f t="shared" si="233"/>
        <v>Strong</v>
      </c>
    </row>
    <row r="2448" spans="1:19" x14ac:dyDescent="0.25">
      <c r="A2448">
        <v>2447</v>
      </c>
      <c r="B2448">
        <v>0</v>
      </c>
      <c r="C2448" t="s">
        <v>30</v>
      </c>
      <c r="D2448" t="s">
        <v>33</v>
      </c>
      <c r="E2448">
        <v>3500000</v>
      </c>
      <c r="F2448">
        <v>10600000</v>
      </c>
      <c r="G2448">
        <v>4</v>
      </c>
      <c r="H2448">
        <v>389</v>
      </c>
      <c r="I2448">
        <v>8300000</v>
      </c>
      <c r="J2448">
        <v>4800000</v>
      </c>
      <c r="K2448">
        <v>9100000</v>
      </c>
      <c r="L2448">
        <v>2500000</v>
      </c>
      <c r="M2448" t="s">
        <v>34</v>
      </c>
      <c r="N2448">
        <f t="shared" si="229"/>
        <v>1</v>
      </c>
      <c r="O2448" t="str">
        <f t="shared" si="228"/>
        <v>Low</v>
      </c>
      <c r="P2448" t="str">
        <f t="shared" si="230"/>
        <v>High</v>
      </c>
      <c r="Q2448" t="str">
        <f t="shared" si="231"/>
        <v>Low Loan</v>
      </c>
      <c r="R2448">
        <f t="shared" si="232"/>
        <v>24700000</v>
      </c>
      <c r="S2448" t="str">
        <f t="shared" si="233"/>
        <v>Strong</v>
      </c>
    </row>
    <row r="2449" spans="1:19" x14ac:dyDescent="0.25">
      <c r="A2449">
        <v>2448</v>
      </c>
      <c r="B2449">
        <v>2</v>
      </c>
      <c r="C2449" t="s">
        <v>30</v>
      </c>
      <c r="D2449" t="s">
        <v>33</v>
      </c>
      <c r="E2449">
        <v>4800000</v>
      </c>
      <c r="F2449">
        <v>17500000</v>
      </c>
      <c r="G2449">
        <v>20</v>
      </c>
      <c r="H2449">
        <v>381</v>
      </c>
      <c r="I2449">
        <v>400000</v>
      </c>
      <c r="J2449">
        <v>6900000</v>
      </c>
      <c r="K2449">
        <v>13400000</v>
      </c>
      <c r="L2449">
        <v>7000000</v>
      </c>
      <c r="M2449" t="s">
        <v>35</v>
      </c>
      <c r="N2449">
        <f t="shared" si="229"/>
        <v>0</v>
      </c>
      <c r="O2449" t="str">
        <f t="shared" si="228"/>
        <v>Low</v>
      </c>
      <c r="P2449" t="str">
        <f t="shared" si="230"/>
        <v>High</v>
      </c>
      <c r="Q2449" t="str">
        <f t="shared" si="231"/>
        <v>Low Loan</v>
      </c>
      <c r="R2449">
        <f t="shared" si="232"/>
        <v>27700000</v>
      </c>
      <c r="S2449" t="str">
        <f t="shared" si="233"/>
        <v>Strong</v>
      </c>
    </row>
    <row r="2450" spans="1:19" x14ac:dyDescent="0.25">
      <c r="A2450">
        <v>2449</v>
      </c>
      <c r="B2450">
        <v>5</v>
      </c>
      <c r="C2450" t="s">
        <v>30</v>
      </c>
      <c r="D2450" t="s">
        <v>33</v>
      </c>
      <c r="E2450">
        <v>6100000</v>
      </c>
      <c r="F2450">
        <v>14400000</v>
      </c>
      <c r="G2450">
        <v>16</v>
      </c>
      <c r="H2450">
        <v>400</v>
      </c>
      <c r="I2450">
        <v>9200000</v>
      </c>
      <c r="J2450">
        <v>2800000</v>
      </c>
      <c r="K2450">
        <v>23800000</v>
      </c>
      <c r="L2450">
        <v>5600000</v>
      </c>
      <c r="M2450" t="s">
        <v>35</v>
      </c>
      <c r="N2450">
        <f t="shared" si="229"/>
        <v>0</v>
      </c>
      <c r="O2450" t="str">
        <f t="shared" si="228"/>
        <v>Low</v>
      </c>
      <c r="P2450" t="str">
        <f t="shared" si="230"/>
        <v>High</v>
      </c>
      <c r="Q2450" t="str">
        <f t="shared" si="231"/>
        <v>Low Loan</v>
      </c>
      <c r="R2450">
        <f t="shared" si="232"/>
        <v>41400000</v>
      </c>
      <c r="S2450" t="str">
        <f t="shared" si="233"/>
        <v>Strong</v>
      </c>
    </row>
    <row r="2451" spans="1:19" x14ac:dyDescent="0.25">
      <c r="A2451">
        <v>2450</v>
      </c>
      <c r="B2451">
        <v>5</v>
      </c>
      <c r="C2451" t="s">
        <v>30</v>
      </c>
      <c r="D2451" t="s">
        <v>33</v>
      </c>
      <c r="E2451">
        <v>5200000</v>
      </c>
      <c r="F2451">
        <v>12700000</v>
      </c>
      <c r="G2451">
        <v>16</v>
      </c>
      <c r="H2451">
        <v>718</v>
      </c>
      <c r="I2451">
        <v>11700000</v>
      </c>
      <c r="J2451">
        <v>100000</v>
      </c>
      <c r="K2451">
        <v>18100000</v>
      </c>
      <c r="L2451">
        <v>7200000</v>
      </c>
      <c r="M2451" t="s">
        <v>34</v>
      </c>
      <c r="N2451">
        <f t="shared" si="229"/>
        <v>1</v>
      </c>
      <c r="O2451" t="str">
        <f t="shared" si="228"/>
        <v>Good</v>
      </c>
      <c r="P2451" t="str">
        <f t="shared" si="230"/>
        <v>High</v>
      </c>
      <c r="Q2451" t="str">
        <f t="shared" si="231"/>
        <v>Low Loan</v>
      </c>
      <c r="R2451">
        <f t="shared" si="232"/>
        <v>37100000</v>
      </c>
      <c r="S2451" t="str">
        <f t="shared" si="233"/>
        <v>Strong</v>
      </c>
    </row>
    <row r="2452" spans="1:19" x14ac:dyDescent="0.25">
      <c r="A2452">
        <v>2451</v>
      </c>
      <c r="B2452">
        <v>5</v>
      </c>
      <c r="C2452" t="s">
        <v>31</v>
      </c>
      <c r="D2452" t="s">
        <v>33</v>
      </c>
      <c r="E2452">
        <v>4100000</v>
      </c>
      <c r="F2452">
        <v>12400000</v>
      </c>
      <c r="G2452">
        <v>8</v>
      </c>
      <c r="H2452">
        <v>309</v>
      </c>
      <c r="I2452">
        <v>8200000</v>
      </c>
      <c r="J2452">
        <v>1000000</v>
      </c>
      <c r="K2452">
        <v>13000000</v>
      </c>
      <c r="L2452">
        <v>3300000</v>
      </c>
      <c r="M2452" t="s">
        <v>35</v>
      </c>
      <c r="N2452">
        <f t="shared" si="229"/>
        <v>0</v>
      </c>
      <c r="O2452" t="str">
        <f t="shared" si="228"/>
        <v>Low</v>
      </c>
      <c r="P2452" t="str">
        <f t="shared" si="230"/>
        <v>High</v>
      </c>
      <c r="Q2452" t="str">
        <f t="shared" si="231"/>
        <v>Low Loan</v>
      </c>
      <c r="R2452">
        <f t="shared" si="232"/>
        <v>25500000</v>
      </c>
      <c r="S2452" t="str">
        <f t="shared" si="233"/>
        <v>Strong</v>
      </c>
    </row>
    <row r="2453" spans="1:19" x14ac:dyDescent="0.25">
      <c r="A2453">
        <v>2452</v>
      </c>
      <c r="B2453">
        <v>5</v>
      </c>
      <c r="C2453" t="s">
        <v>31</v>
      </c>
      <c r="D2453" t="s">
        <v>32</v>
      </c>
      <c r="E2453">
        <v>3200000</v>
      </c>
      <c r="F2453">
        <v>7400000</v>
      </c>
      <c r="G2453">
        <v>2</v>
      </c>
      <c r="H2453">
        <v>838</v>
      </c>
      <c r="I2453">
        <v>2200000</v>
      </c>
      <c r="J2453">
        <v>2900000</v>
      </c>
      <c r="K2453">
        <v>10200000</v>
      </c>
      <c r="L2453">
        <v>3600000</v>
      </c>
      <c r="M2453" t="s">
        <v>34</v>
      </c>
      <c r="N2453">
        <f t="shared" si="229"/>
        <v>1</v>
      </c>
      <c r="O2453" t="str">
        <f t="shared" si="228"/>
        <v>Excellent</v>
      </c>
      <c r="P2453" t="str">
        <f t="shared" si="230"/>
        <v>High</v>
      </c>
      <c r="Q2453" t="str">
        <f t="shared" si="231"/>
        <v>Low Loan</v>
      </c>
      <c r="R2453">
        <f t="shared" si="232"/>
        <v>18900000</v>
      </c>
      <c r="S2453" t="str">
        <f t="shared" si="233"/>
        <v>Strong</v>
      </c>
    </row>
    <row r="2454" spans="1:19" x14ac:dyDescent="0.25">
      <c r="A2454">
        <v>2453</v>
      </c>
      <c r="B2454">
        <v>3</v>
      </c>
      <c r="C2454" t="s">
        <v>31</v>
      </c>
      <c r="D2454" t="s">
        <v>33</v>
      </c>
      <c r="E2454">
        <v>7500000</v>
      </c>
      <c r="F2454">
        <v>21600000</v>
      </c>
      <c r="G2454">
        <v>14</v>
      </c>
      <c r="H2454">
        <v>678</v>
      </c>
      <c r="I2454">
        <v>8800000</v>
      </c>
      <c r="J2454">
        <v>12100000</v>
      </c>
      <c r="K2454">
        <v>20100000</v>
      </c>
      <c r="L2454">
        <v>11200000</v>
      </c>
      <c r="M2454" t="s">
        <v>34</v>
      </c>
      <c r="N2454">
        <f t="shared" si="229"/>
        <v>1</v>
      </c>
      <c r="O2454" t="str">
        <f t="shared" si="228"/>
        <v>Medium</v>
      </c>
      <c r="P2454" t="str">
        <f t="shared" si="230"/>
        <v>High</v>
      </c>
      <c r="Q2454" t="str">
        <f t="shared" si="231"/>
        <v>High Loan</v>
      </c>
      <c r="R2454">
        <f t="shared" si="232"/>
        <v>52200000</v>
      </c>
      <c r="S2454" t="str">
        <f t="shared" si="233"/>
        <v>Strong</v>
      </c>
    </row>
    <row r="2455" spans="1:19" x14ac:dyDescent="0.25">
      <c r="A2455">
        <v>2454</v>
      </c>
      <c r="B2455">
        <v>2</v>
      </c>
      <c r="C2455" t="s">
        <v>31</v>
      </c>
      <c r="D2455" t="s">
        <v>33</v>
      </c>
      <c r="E2455">
        <v>1500000</v>
      </c>
      <c r="F2455">
        <v>4500000</v>
      </c>
      <c r="G2455">
        <v>14</v>
      </c>
      <c r="H2455">
        <v>826</v>
      </c>
      <c r="I2455">
        <v>3200000</v>
      </c>
      <c r="J2455">
        <v>1700000</v>
      </c>
      <c r="K2455">
        <v>4600000</v>
      </c>
      <c r="L2455">
        <v>1600000</v>
      </c>
      <c r="M2455" t="s">
        <v>34</v>
      </c>
      <c r="N2455">
        <f t="shared" si="229"/>
        <v>1</v>
      </c>
      <c r="O2455" t="str">
        <f t="shared" si="228"/>
        <v>Excellent</v>
      </c>
      <c r="P2455" t="str">
        <f t="shared" si="230"/>
        <v>High</v>
      </c>
      <c r="Q2455" t="str">
        <f t="shared" si="231"/>
        <v>Low Loan</v>
      </c>
      <c r="R2455">
        <f t="shared" si="232"/>
        <v>11100000</v>
      </c>
      <c r="S2455" t="str">
        <f t="shared" si="233"/>
        <v>Strong</v>
      </c>
    </row>
    <row r="2456" spans="1:19" x14ac:dyDescent="0.25">
      <c r="A2456">
        <v>2455</v>
      </c>
      <c r="B2456">
        <v>4</v>
      </c>
      <c r="C2456" t="s">
        <v>30</v>
      </c>
      <c r="D2456" t="s">
        <v>33</v>
      </c>
      <c r="E2456">
        <v>1200000</v>
      </c>
      <c r="F2456">
        <v>3100000</v>
      </c>
      <c r="G2456">
        <v>16</v>
      </c>
      <c r="H2456">
        <v>348</v>
      </c>
      <c r="I2456">
        <v>1200000</v>
      </c>
      <c r="J2456">
        <v>2200000</v>
      </c>
      <c r="K2456">
        <v>3500000</v>
      </c>
      <c r="L2456">
        <v>1700000</v>
      </c>
      <c r="M2456" t="s">
        <v>35</v>
      </c>
      <c r="N2456">
        <f t="shared" si="229"/>
        <v>0</v>
      </c>
      <c r="O2456" t="str">
        <f t="shared" si="228"/>
        <v>Low</v>
      </c>
      <c r="P2456" t="str">
        <f t="shared" si="230"/>
        <v>High</v>
      </c>
      <c r="Q2456" t="str">
        <f t="shared" si="231"/>
        <v>Low Loan</v>
      </c>
      <c r="R2456">
        <f t="shared" si="232"/>
        <v>8600000</v>
      </c>
      <c r="S2456" t="str">
        <f t="shared" si="233"/>
        <v>Moderate</v>
      </c>
    </row>
    <row r="2457" spans="1:19" x14ac:dyDescent="0.25">
      <c r="A2457">
        <v>2456</v>
      </c>
      <c r="B2457">
        <v>1</v>
      </c>
      <c r="C2457" t="s">
        <v>30</v>
      </c>
      <c r="D2457" t="s">
        <v>33</v>
      </c>
      <c r="E2457">
        <v>8400000</v>
      </c>
      <c r="F2457">
        <v>19700000</v>
      </c>
      <c r="G2457">
        <v>6</v>
      </c>
      <c r="H2457">
        <v>476</v>
      </c>
      <c r="I2457">
        <v>24700000</v>
      </c>
      <c r="J2457">
        <v>16500000</v>
      </c>
      <c r="K2457">
        <v>31800000</v>
      </c>
      <c r="L2457">
        <v>12100000</v>
      </c>
      <c r="M2457" t="s">
        <v>35</v>
      </c>
      <c r="N2457">
        <f t="shared" si="229"/>
        <v>0</v>
      </c>
      <c r="O2457" t="str">
        <f t="shared" si="228"/>
        <v>Low</v>
      </c>
      <c r="P2457" t="str">
        <f t="shared" si="230"/>
        <v>High</v>
      </c>
      <c r="Q2457" t="str">
        <f t="shared" si="231"/>
        <v>Low Loan</v>
      </c>
      <c r="R2457">
        <f t="shared" si="232"/>
        <v>85100000</v>
      </c>
      <c r="S2457" t="str">
        <f t="shared" si="233"/>
        <v>Strong</v>
      </c>
    </row>
    <row r="2458" spans="1:19" x14ac:dyDescent="0.25">
      <c r="A2458">
        <v>2457</v>
      </c>
      <c r="B2458">
        <v>0</v>
      </c>
      <c r="C2458" t="s">
        <v>31</v>
      </c>
      <c r="D2458" t="s">
        <v>33</v>
      </c>
      <c r="E2458">
        <v>7900000</v>
      </c>
      <c r="F2458">
        <v>26300000</v>
      </c>
      <c r="G2458">
        <v>8</v>
      </c>
      <c r="H2458">
        <v>666</v>
      </c>
      <c r="I2458">
        <v>4600000</v>
      </c>
      <c r="J2458">
        <v>9200000</v>
      </c>
      <c r="K2458">
        <v>18400000</v>
      </c>
      <c r="L2458">
        <v>11800000</v>
      </c>
      <c r="M2458" t="s">
        <v>34</v>
      </c>
      <c r="N2458">
        <f t="shared" si="229"/>
        <v>1</v>
      </c>
      <c r="O2458" t="str">
        <f t="shared" si="228"/>
        <v>Medium</v>
      </c>
      <c r="P2458" t="str">
        <f t="shared" si="230"/>
        <v>High</v>
      </c>
      <c r="Q2458" t="str">
        <f t="shared" si="231"/>
        <v>High Loan</v>
      </c>
      <c r="R2458">
        <f t="shared" si="232"/>
        <v>44000000</v>
      </c>
      <c r="S2458" t="str">
        <f t="shared" si="233"/>
        <v>Strong</v>
      </c>
    </row>
    <row r="2459" spans="1:19" x14ac:dyDescent="0.25">
      <c r="A2459">
        <v>2458</v>
      </c>
      <c r="B2459">
        <v>1</v>
      </c>
      <c r="C2459" t="s">
        <v>30</v>
      </c>
      <c r="D2459" t="s">
        <v>33</v>
      </c>
      <c r="E2459">
        <v>2100000</v>
      </c>
      <c r="F2459">
        <v>4300000</v>
      </c>
      <c r="G2459">
        <v>20</v>
      </c>
      <c r="H2459">
        <v>896</v>
      </c>
      <c r="I2459">
        <v>100000</v>
      </c>
      <c r="J2459">
        <v>2300000</v>
      </c>
      <c r="K2459">
        <v>7500000</v>
      </c>
      <c r="L2459">
        <v>2300000</v>
      </c>
      <c r="M2459" t="s">
        <v>34</v>
      </c>
      <c r="N2459">
        <f t="shared" si="229"/>
        <v>1</v>
      </c>
      <c r="O2459" t="str">
        <f t="shared" si="228"/>
        <v>Excellent</v>
      </c>
      <c r="P2459" t="str">
        <f t="shared" si="230"/>
        <v>High</v>
      </c>
      <c r="Q2459" t="str">
        <f t="shared" si="231"/>
        <v>Low Loan</v>
      </c>
      <c r="R2459">
        <f t="shared" si="232"/>
        <v>12200000</v>
      </c>
      <c r="S2459" t="str">
        <f t="shared" si="233"/>
        <v>Strong</v>
      </c>
    </row>
    <row r="2460" spans="1:19" x14ac:dyDescent="0.25">
      <c r="A2460">
        <v>2459</v>
      </c>
      <c r="B2460">
        <v>2</v>
      </c>
      <c r="C2460" t="s">
        <v>30</v>
      </c>
      <c r="D2460" t="s">
        <v>32</v>
      </c>
      <c r="E2460">
        <v>2500000</v>
      </c>
      <c r="F2460">
        <v>7000000</v>
      </c>
      <c r="G2460">
        <v>20</v>
      </c>
      <c r="H2460">
        <v>547</v>
      </c>
      <c r="I2460">
        <v>800000</v>
      </c>
      <c r="J2460">
        <v>1200000</v>
      </c>
      <c r="K2460">
        <v>5200000</v>
      </c>
      <c r="L2460">
        <v>2300000</v>
      </c>
      <c r="M2460" t="s">
        <v>35</v>
      </c>
      <c r="N2460">
        <f t="shared" si="229"/>
        <v>0</v>
      </c>
      <c r="O2460" t="str">
        <f t="shared" si="228"/>
        <v>Low</v>
      </c>
      <c r="P2460" t="str">
        <f t="shared" si="230"/>
        <v>High</v>
      </c>
      <c r="Q2460" t="str">
        <f t="shared" si="231"/>
        <v>Low Loan</v>
      </c>
      <c r="R2460">
        <f t="shared" si="232"/>
        <v>9500000</v>
      </c>
      <c r="S2460" t="str">
        <f t="shared" si="233"/>
        <v>Moderate</v>
      </c>
    </row>
    <row r="2461" spans="1:19" x14ac:dyDescent="0.25">
      <c r="A2461">
        <v>2460</v>
      </c>
      <c r="B2461">
        <v>2</v>
      </c>
      <c r="C2461" t="s">
        <v>31</v>
      </c>
      <c r="D2461" t="s">
        <v>33</v>
      </c>
      <c r="E2461">
        <v>3700000</v>
      </c>
      <c r="F2461">
        <v>13900000</v>
      </c>
      <c r="G2461">
        <v>2</v>
      </c>
      <c r="H2461">
        <v>405</v>
      </c>
      <c r="I2461">
        <v>5900000</v>
      </c>
      <c r="J2461">
        <v>3200000</v>
      </c>
      <c r="K2461">
        <v>9100000</v>
      </c>
      <c r="L2461">
        <v>5500000</v>
      </c>
      <c r="M2461" t="s">
        <v>34</v>
      </c>
      <c r="N2461">
        <f t="shared" si="229"/>
        <v>1</v>
      </c>
      <c r="O2461" t="str">
        <f t="shared" si="228"/>
        <v>Low</v>
      </c>
      <c r="P2461" t="str">
        <f t="shared" si="230"/>
        <v>High</v>
      </c>
      <c r="Q2461" t="str">
        <f t="shared" si="231"/>
        <v>Low Loan</v>
      </c>
      <c r="R2461">
        <f t="shared" si="232"/>
        <v>23700000</v>
      </c>
      <c r="S2461" t="str">
        <f t="shared" si="233"/>
        <v>Strong</v>
      </c>
    </row>
    <row r="2462" spans="1:19" x14ac:dyDescent="0.25">
      <c r="A2462">
        <v>2461</v>
      </c>
      <c r="B2462">
        <v>5</v>
      </c>
      <c r="C2462" t="s">
        <v>30</v>
      </c>
      <c r="D2462" t="s">
        <v>32</v>
      </c>
      <c r="E2462">
        <v>1100000</v>
      </c>
      <c r="F2462">
        <v>4000000</v>
      </c>
      <c r="G2462">
        <v>16</v>
      </c>
      <c r="H2462">
        <v>498</v>
      </c>
      <c r="I2462">
        <v>400000</v>
      </c>
      <c r="J2462">
        <v>100000</v>
      </c>
      <c r="K2462">
        <v>2300000</v>
      </c>
      <c r="L2462">
        <v>700000</v>
      </c>
      <c r="M2462" t="s">
        <v>35</v>
      </c>
      <c r="N2462">
        <f t="shared" si="229"/>
        <v>0</v>
      </c>
      <c r="O2462" t="str">
        <f t="shared" si="228"/>
        <v>Low</v>
      </c>
      <c r="P2462" t="str">
        <f t="shared" si="230"/>
        <v>High</v>
      </c>
      <c r="Q2462" t="str">
        <f t="shared" si="231"/>
        <v>Low Loan</v>
      </c>
      <c r="R2462">
        <f t="shared" si="232"/>
        <v>3500000</v>
      </c>
      <c r="S2462" t="str">
        <f t="shared" si="233"/>
        <v>Weak</v>
      </c>
    </row>
    <row r="2463" spans="1:19" x14ac:dyDescent="0.25">
      <c r="A2463">
        <v>2462</v>
      </c>
      <c r="B2463">
        <v>5</v>
      </c>
      <c r="C2463" t="s">
        <v>30</v>
      </c>
      <c r="D2463" t="s">
        <v>32</v>
      </c>
      <c r="E2463">
        <v>6500000</v>
      </c>
      <c r="F2463">
        <v>24800000</v>
      </c>
      <c r="G2463">
        <v>8</v>
      </c>
      <c r="H2463">
        <v>779</v>
      </c>
      <c r="I2463">
        <v>7000000</v>
      </c>
      <c r="J2463">
        <v>9600000</v>
      </c>
      <c r="K2463">
        <v>15700000</v>
      </c>
      <c r="L2463">
        <v>8800000</v>
      </c>
      <c r="M2463" t="s">
        <v>34</v>
      </c>
      <c r="N2463">
        <f t="shared" si="229"/>
        <v>1</v>
      </c>
      <c r="O2463" t="str">
        <f t="shared" si="228"/>
        <v>Excellent</v>
      </c>
      <c r="P2463" t="str">
        <f t="shared" si="230"/>
        <v>High</v>
      </c>
      <c r="Q2463" t="str">
        <f t="shared" si="231"/>
        <v>High Loan</v>
      </c>
      <c r="R2463">
        <f t="shared" si="232"/>
        <v>41100000</v>
      </c>
      <c r="S2463" t="str">
        <f t="shared" si="233"/>
        <v>Strong</v>
      </c>
    </row>
    <row r="2464" spans="1:19" x14ac:dyDescent="0.25">
      <c r="A2464">
        <v>2463</v>
      </c>
      <c r="B2464">
        <v>0</v>
      </c>
      <c r="C2464" t="s">
        <v>31</v>
      </c>
      <c r="D2464" t="s">
        <v>33</v>
      </c>
      <c r="E2464">
        <v>8200000</v>
      </c>
      <c r="F2464">
        <v>31500000</v>
      </c>
      <c r="G2464">
        <v>8</v>
      </c>
      <c r="H2464">
        <v>403</v>
      </c>
      <c r="I2464">
        <v>11500000</v>
      </c>
      <c r="J2464">
        <v>8800000</v>
      </c>
      <c r="K2464">
        <v>19000000</v>
      </c>
      <c r="L2464">
        <v>6100000</v>
      </c>
      <c r="M2464" t="s">
        <v>35</v>
      </c>
      <c r="N2464">
        <f t="shared" si="229"/>
        <v>0</v>
      </c>
      <c r="O2464" t="str">
        <f t="shared" si="228"/>
        <v>Low</v>
      </c>
      <c r="P2464" t="str">
        <f t="shared" si="230"/>
        <v>High</v>
      </c>
      <c r="Q2464" t="str">
        <f t="shared" si="231"/>
        <v>High Loan</v>
      </c>
      <c r="R2464">
        <f t="shared" si="232"/>
        <v>45400000</v>
      </c>
      <c r="S2464" t="str">
        <f t="shared" si="233"/>
        <v>Strong</v>
      </c>
    </row>
    <row r="2465" spans="1:19" x14ac:dyDescent="0.25">
      <c r="A2465">
        <v>2464</v>
      </c>
      <c r="B2465">
        <v>2</v>
      </c>
      <c r="C2465" t="s">
        <v>31</v>
      </c>
      <c r="D2465" t="s">
        <v>32</v>
      </c>
      <c r="E2465">
        <v>5000000</v>
      </c>
      <c r="F2465">
        <v>12400000</v>
      </c>
      <c r="G2465">
        <v>8</v>
      </c>
      <c r="H2465">
        <v>709</v>
      </c>
      <c r="I2465">
        <v>11300000</v>
      </c>
      <c r="J2465">
        <v>6800000</v>
      </c>
      <c r="K2465">
        <v>13300000</v>
      </c>
      <c r="L2465">
        <v>4200000</v>
      </c>
      <c r="M2465" t="s">
        <v>34</v>
      </c>
      <c r="N2465">
        <f t="shared" si="229"/>
        <v>1</v>
      </c>
      <c r="O2465" t="str">
        <f t="shared" si="228"/>
        <v>Good</v>
      </c>
      <c r="P2465" t="str">
        <f t="shared" si="230"/>
        <v>High</v>
      </c>
      <c r="Q2465" t="str">
        <f t="shared" si="231"/>
        <v>Low Loan</v>
      </c>
      <c r="R2465">
        <f t="shared" si="232"/>
        <v>35600000</v>
      </c>
      <c r="S2465" t="str">
        <f t="shared" si="233"/>
        <v>Strong</v>
      </c>
    </row>
    <row r="2466" spans="1:19" x14ac:dyDescent="0.25">
      <c r="A2466">
        <v>2465</v>
      </c>
      <c r="B2466">
        <v>1</v>
      </c>
      <c r="C2466" t="s">
        <v>31</v>
      </c>
      <c r="D2466" t="s">
        <v>32</v>
      </c>
      <c r="E2466">
        <v>1500000</v>
      </c>
      <c r="F2466">
        <v>6000000</v>
      </c>
      <c r="G2466">
        <v>6</v>
      </c>
      <c r="H2466">
        <v>507</v>
      </c>
      <c r="I2466">
        <v>2600000</v>
      </c>
      <c r="J2466">
        <v>2700000</v>
      </c>
      <c r="K2466">
        <v>4800000</v>
      </c>
      <c r="L2466">
        <v>1900000</v>
      </c>
      <c r="M2466" t="s">
        <v>35</v>
      </c>
      <c r="N2466">
        <f t="shared" si="229"/>
        <v>0</v>
      </c>
      <c r="O2466" t="str">
        <f t="shared" si="228"/>
        <v>Low</v>
      </c>
      <c r="P2466" t="str">
        <f t="shared" si="230"/>
        <v>High</v>
      </c>
      <c r="Q2466" t="str">
        <f t="shared" si="231"/>
        <v>Low Loan</v>
      </c>
      <c r="R2466">
        <f t="shared" si="232"/>
        <v>12000000</v>
      </c>
      <c r="S2466" t="str">
        <f t="shared" si="233"/>
        <v>Strong</v>
      </c>
    </row>
    <row r="2467" spans="1:19" x14ac:dyDescent="0.25">
      <c r="A2467">
        <v>2466</v>
      </c>
      <c r="B2467">
        <v>5</v>
      </c>
      <c r="C2467" t="s">
        <v>31</v>
      </c>
      <c r="D2467" t="s">
        <v>32</v>
      </c>
      <c r="E2467">
        <v>3700000</v>
      </c>
      <c r="F2467">
        <v>9100000</v>
      </c>
      <c r="G2467">
        <v>18</v>
      </c>
      <c r="H2467">
        <v>368</v>
      </c>
      <c r="I2467">
        <v>3400000</v>
      </c>
      <c r="J2467">
        <v>2400000</v>
      </c>
      <c r="K2467">
        <v>8400000</v>
      </c>
      <c r="L2467">
        <v>3300000</v>
      </c>
      <c r="M2467" t="s">
        <v>35</v>
      </c>
      <c r="N2467">
        <f t="shared" si="229"/>
        <v>0</v>
      </c>
      <c r="O2467" t="str">
        <f t="shared" si="228"/>
        <v>Low</v>
      </c>
      <c r="P2467" t="str">
        <f t="shared" si="230"/>
        <v>High</v>
      </c>
      <c r="Q2467" t="str">
        <f t="shared" si="231"/>
        <v>Low Loan</v>
      </c>
      <c r="R2467">
        <f t="shared" si="232"/>
        <v>17500000</v>
      </c>
      <c r="S2467" t="str">
        <f t="shared" si="233"/>
        <v>Strong</v>
      </c>
    </row>
    <row r="2468" spans="1:19" x14ac:dyDescent="0.25">
      <c r="A2468">
        <v>2467</v>
      </c>
      <c r="B2468">
        <v>3</v>
      </c>
      <c r="C2468" t="s">
        <v>30</v>
      </c>
      <c r="D2468" t="s">
        <v>33</v>
      </c>
      <c r="E2468">
        <v>4100000</v>
      </c>
      <c r="F2468">
        <v>14600000</v>
      </c>
      <c r="G2468">
        <v>16</v>
      </c>
      <c r="H2468">
        <v>760</v>
      </c>
      <c r="I2468">
        <v>4700000</v>
      </c>
      <c r="J2468">
        <v>6600000</v>
      </c>
      <c r="K2468">
        <v>14900000</v>
      </c>
      <c r="L2468">
        <v>3000000</v>
      </c>
      <c r="M2468" t="s">
        <v>34</v>
      </c>
      <c r="N2468">
        <f t="shared" si="229"/>
        <v>1</v>
      </c>
      <c r="O2468" t="str">
        <f t="shared" si="228"/>
        <v>Excellent</v>
      </c>
      <c r="P2468" t="str">
        <f t="shared" si="230"/>
        <v>High</v>
      </c>
      <c r="Q2468" t="str">
        <f t="shared" si="231"/>
        <v>Low Loan</v>
      </c>
      <c r="R2468">
        <f t="shared" si="232"/>
        <v>29200000</v>
      </c>
      <c r="S2468" t="str">
        <f t="shared" si="233"/>
        <v>Strong</v>
      </c>
    </row>
    <row r="2469" spans="1:19" x14ac:dyDescent="0.25">
      <c r="A2469">
        <v>2468</v>
      </c>
      <c r="B2469">
        <v>2</v>
      </c>
      <c r="C2469" t="s">
        <v>31</v>
      </c>
      <c r="D2469" t="s">
        <v>32</v>
      </c>
      <c r="E2469">
        <v>7200000</v>
      </c>
      <c r="F2469">
        <v>16800000</v>
      </c>
      <c r="G2469">
        <v>6</v>
      </c>
      <c r="H2469">
        <v>796</v>
      </c>
      <c r="I2469">
        <v>6600000</v>
      </c>
      <c r="J2469">
        <v>6100000</v>
      </c>
      <c r="K2469">
        <v>14400000</v>
      </c>
      <c r="L2469">
        <v>9800000</v>
      </c>
      <c r="M2469" t="s">
        <v>34</v>
      </c>
      <c r="N2469">
        <f t="shared" si="229"/>
        <v>1</v>
      </c>
      <c r="O2469" t="str">
        <f t="shared" si="228"/>
        <v>Excellent</v>
      </c>
      <c r="P2469" t="str">
        <f t="shared" si="230"/>
        <v>High</v>
      </c>
      <c r="Q2469" t="str">
        <f t="shared" si="231"/>
        <v>Low Loan</v>
      </c>
      <c r="R2469">
        <f t="shared" si="232"/>
        <v>36900000</v>
      </c>
      <c r="S2469" t="str">
        <f t="shared" si="233"/>
        <v>Strong</v>
      </c>
    </row>
    <row r="2470" spans="1:19" x14ac:dyDescent="0.25">
      <c r="A2470">
        <v>2469</v>
      </c>
      <c r="B2470">
        <v>1</v>
      </c>
      <c r="C2470" t="s">
        <v>30</v>
      </c>
      <c r="D2470" t="s">
        <v>32</v>
      </c>
      <c r="E2470">
        <v>2000000</v>
      </c>
      <c r="F2470">
        <v>5000000</v>
      </c>
      <c r="G2470">
        <v>6</v>
      </c>
      <c r="H2470">
        <v>876</v>
      </c>
      <c r="I2470">
        <v>500000</v>
      </c>
      <c r="J2470">
        <v>2900000</v>
      </c>
      <c r="K2470">
        <v>5800000</v>
      </c>
      <c r="L2470">
        <v>1500000</v>
      </c>
      <c r="M2470" t="s">
        <v>34</v>
      </c>
      <c r="N2470">
        <f t="shared" si="229"/>
        <v>1</v>
      </c>
      <c r="O2470" t="str">
        <f t="shared" si="228"/>
        <v>Excellent</v>
      </c>
      <c r="P2470" t="str">
        <f t="shared" si="230"/>
        <v>High</v>
      </c>
      <c r="Q2470" t="str">
        <f t="shared" si="231"/>
        <v>Low Loan</v>
      </c>
      <c r="R2470">
        <f t="shared" si="232"/>
        <v>10700000</v>
      </c>
      <c r="S2470" t="str">
        <f t="shared" si="233"/>
        <v>Strong</v>
      </c>
    </row>
    <row r="2471" spans="1:19" x14ac:dyDescent="0.25">
      <c r="A2471">
        <v>2470</v>
      </c>
      <c r="B2471">
        <v>3</v>
      </c>
      <c r="C2471" t="s">
        <v>31</v>
      </c>
      <c r="D2471" t="s">
        <v>32</v>
      </c>
      <c r="E2471">
        <v>2000000</v>
      </c>
      <c r="F2471">
        <v>4700000</v>
      </c>
      <c r="G2471">
        <v>14</v>
      </c>
      <c r="H2471">
        <v>673</v>
      </c>
      <c r="I2471">
        <v>800000</v>
      </c>
      <c r="J2471">
        <v>3400000</v>
      </c>
      <c r="K2471">
        <v>5900000</v>
      </c>
      <c r="L2471">
        <v>1500000</v>
      </c>
      <c r="M2471" t="s">
        <v>34</v>
      </c>
      <c r="N2471">
        <f t="shared" si="229"/>
        <v>1</v>
      </c>
      <c r="O2471" t="str">
        <f t="shared" si="228"/>
        <v>Medium</v>
      </c>
      <c r="P2471" t="str">
        <f t="shared" si="230"/>
        <v>High</v>
      </c>
      <c r="Q2471" t="str">
        <f t="shared" si="231"/>
        <v>Low Loan</v>
      </c>
      <c r="R2471">
        <f t="shared" si="232"/>
        <v>11600000</v>
      </c>
      <c r="S2471" t="str">
        <f t="shared" si="233"/>
        <v>Strong</v>
      </c>
    </row>
    <row r="2472" spans="1:19" x14ac:dyDescent="0.25">
      <c r="A2472">
        <v>2471</v>
      </c>
      <c r="B2472">
        <v>1</v>
      </c>
      <c r="C2472" t="s">
        <v>30</v>
      </c>
      <c r="D2472" t="s">
        <v>33</v>
      </c>
      <c r="E2472">
        <v>5100000</v>
      </c>
      <c r="F2472">
        <v>11500000</v>
      </c>
      <c r="G2472">
        <v>4</v>
      </c>
      <c r="H2472">
        <v>747</v>
      </c>
      <c r="I2472">
        <v>5000000</v>
      </c>
      <c r="J2472">
        <v>8900000</v>
      </c>
      <c r="K2472">
        <v>14100000</v>
      </c>
      <c r="L2472">
        <v>7000000</v>
      </c>
      <c r="M2472" t="s">
        <v>34</v>
      </c>
      <c r="N2472">
        <f t="shared" si="229"/>
        <v>1</v>
      </c>
      <c r="O2472" t="str">
        <f t="shared" si="228"/>
        <v>Good</v>
      </c>
      <c r="P2472" t="str">
        <f t="shared" si="230"/>
        <v>High</v>
      </c>
      <c r="Q2472" t="str">
        <f t="shared" si="231"/>
        <v>Low Loan</v>
      </c>
      <c r="R2472">
        <f t="shared" si="232"/>
        <v>35000000</v>
      </c>
      <c r="S2472" t="str">
        <f t="shared" si="233"/>
        <v>Strong</v>
      </c>
    </row>
    <row r="2473" spans="1:19" x14ac:dyDescent="0.25">
      <c r="A2473">
        <v>2472</v>
      </c>
      <c r="B2473">
        <v>1</v>
      </c>
      <c r="C2473" t="s">
        <v>31</v>
      </c>
      <c r="D2473" t="s">
        <v>32</v>
      </c>
      <c r="E2473">
        <v>6000000</v>
      </c>
      <c r="F2473">
        <v>13600000</v>
      </c>
      <c r="G2473">
        <v>12</v>
      </c>
      <c r="H2473">
        <v>589</v>
      </c>
      <c r="I2473">
        <v>9000000</v>
      </c>
      <c r="J2473">
        <v>300000</v>
      </c>
      <c r="K2473">
        <v>12600000</v>
      </c>
      <c r="L2473">
        <v>7100000</v>
      </c>
      <c r="M2473" t="s">
        <v>34</v>
      </c>
      <c r="N2473">
        <f t="shared" si="229"/>
        <v>1</v>
      </c>
      <c r="O2473" t="str">
        <f t="shared" si="228"/>
        <v>Low</v>
      </c>
      <c r="P2473" t="str">
        <f t="shared" si="230"/>
        <v>High</v>
      </c>
      <c r="Q2473" t="str">
        <f t="shared" si="231"/>
        <v>Low Loan</v>
      </c>
      <c r="R2473">
        <f t="shared" si="232"/>
        <v>29000000</v>
      </c>
      <c r="S2473" t="str">
        <f t="shared" si="233"/>
        <v>Strong</v>
      </c>
    </row>
    <row r="2474" spans="1:19" x14ac:dyDescent="0.25">
      <c r="A2474">
        <v>2473</v>
      </c>
      <c r="B2474">
        <v>1</v>
      </c>
      <c r="C2474" t="s">
        <v>30</v>
      </c>
      <c r="D2474" t="s">
        <v>32</v>
      </c>
      <c r="E2474">
        <v>4900000</v>
      </c>
      <c r="F2474">
        <v>18100000</v>
      </c>
      <c r="G2474">
        <v>8</v>
      </c>
      <c r="H2474">
        <v>382</v>
      </c>
      <c r="I2474">
        <v>13600000</v>
      </c>
      <c r="J2474">
        <v>400000</v>
      </c>
      <c r="K2474">
        <v>15500000</v>
      </c>
      <c r="L2474">
        <v>2400000</v>
      </c>
      <c r="M2474" t="s">
        <v>35</v>
      </c>
      <c r="N2474">
        <f t="shared" si="229"/>
        <v>0</v>
      </c>
      <c r="O2474" t="str">
        <f t="shared" si="228"/>
        <v>Low</v>
      </c>
      <c r="P2474" t="str">
        <f t="shared" si="230"/>
        <v>High</v>
      </c>
      <c r="Q2474" t="str">
        <f t="shared" si="231"/>
        <v>Low Loan</v>
      </c>
      <c r="R2474">
        <f t="shared" si="232"/>
        <v>31900000</v>
      </c>
      <c r="S2474" t="str">
        <f t="shared" si="233"/>
        <v>Strong</v>
      </c>
    </row>
    <row r="2475" spans="1:19" x14ac:dyDescent="0.25">
      <c r="A2475">
        <v>2474</v>
      </c>
      <c r="B2475">
        <v>3</v>
      </c>
      <c r="C2475" t="s">
        <v>31</v>
      </c>
      <c r="D2475" t="s">
        <v>33</v>
      </c>
      <c r="E2475">
        <v>900000</v>
      </c>
      <c r="F2475">
        <v>2300000</v>
      </c>
      <c r="G2475">
        <v>12</v>
      </c>
      <c r="H2475">
        <v>900</v>
      </c>
      <c r="I2475">
        <v>1300000</v>
      </c>
      <c r="J2475">
        <v>0</v>
      </c>
      <c r="K2475">
        <v>3300000</v>
      </c>
      <c r="L2475">
        <v>1100000</v>
      </c>
      <c r="M2475" t="s">
        <v>34</v>
      </c>
      <c r="N2475">
        <f t="shared" si="229"/>
        <v>1</v>
      </c>
      <c r="O2475" t="str">
        <f t="shared" si="228"/>
        <v>Excellent</v>
      </c>
      <c r="P2475" t="str">
        <f t="shared" si="230"/>
        <v>High</v>
      </c>
      <c r="Q2475" t="str">
        <f t="shared" si="231"/>
        <v>Low Loan</v>
      </c>
      <c r="R2475">
        <f t="shared" si="232"/>
        <v>5700000</v>
      </c>
      <c r="S2475" t="str">
        <f t="shared" si="233"/>
        <v>Moderate</v>
      </c>
    </row>
    <row r="2476" spans="1:19" x14ac:dyDescent="0.25">
      <c r="A2476">
        <v>2475</v>
      </c>
      <c r="B2476">
        <v>1</v>
      </c>
      <c r="C2476" t="s">
        <v>30</v>
      </c>
      <c r="D2476" t="s">
        <v>33</v>
      </c>
      <c r="E2476">
        <v>7500000</v>
      </c>
      <c r="F2476">
        <v>25000000</v>
      </c>
      <c r="G2476">
        <v>18</v>
      </c>
      <c r="H2476">
        <v>628</v>
      </c>
      <c r="I2476">
        <v>3500000</v>
      </c>
      <c r="J2476">
        <v>2200000</v>
      </c>
      <c r="K2476">
        <v>21700000</v>
      </c>
      <c r="L2476">
        <v>4700000</v>
      </c>
      <c r="M2476" t="s">
        <v>34</v>
      </c>
      <c r="N2476">
        <f t="shared" si="229"/>
        <v>1</v>
      </c>
      <c r="O2476" t="str">
        <f t="shared" si="228"/>
        <v>Low</v>
      </c>
      <c r="P2476" t="str">
        <f t="shared" si="230"/>
        <v>High</v>
      </c>
      <c r="Q2476" t="str">
        <f t="shared" si="231"/>
        <v>High Loan</v>
      </c>
      <c r="R2476">
        <f t="shared" si="232"/>
        <v>32100000</v>
      </c>
      <c r="S2476" t="str">
        <f t="shared" si="233"/>
        <v>Strong</v>
      </c>
    </row>
    <row r="2477" spans="1:19" x14ac:dyDescent="0.25">
      <c r="A2477">
        <v>2476</v>
      </c>
      <c r="B2477">
        <v>2</v>
      </c>
      <c r="C2477" t="s">
        <v>30</v>
      </c>
      <c r="D2477" t="s">
        <v>32</v>
      </c>
      <c r="E2477">
        <v>6400000</v>
      </c>
      <c r="F2477">
        <v>25000000</v>
      </c>
      <c r="G2477">
        <v>12</v>
      </c>
      <c r="H2477">
        <v>667</v>
      </c>
      <c r="I2477">
        <v>13500000</v>
      </c>
      <c r="J2477">
        <v>5500000</v>
      </c>
      <c r="K2477">
        <v>25500000</v>
      </c>
      <c r="L2477">
        <v>5400000</v>
      </c>
      <c r="M2477" t="s">
        <v>34</v>
      </c>
      <c r="N2477">
        <f t="shared" si="229"/>
        <v>1</v>
      </c>
      <c r="O2477" t="str">
        <f t="shared" si="228"/>
        <v>Medium</v>
      </c>
      <c r="P2477" t="str">
        <f t="shared" si="230"/>
        <v>High</v>
      </c>
      <c r="Q2477" t="str">
        <f t="shared" si="231"/>
        <v>High Loan</v>
      </c>
      <c r="R2477">
        <f t="shared" si="232"/>
        <v>49900000</v>
      </c>
      <c r="S2477" t="str">
        <f t="shared" si="233"/>
        <v>Strong</v>
      </c>
    </row>
    <row r="2478" spans="1:19" x14ac:dyDescent="0.25">
      <c r="A2478">
        <v>2477</v>
      </c>
      <c r="B2478">
        <v>2</v>
      </c>
      <c r="C2478" t="s">
        <v>30</v>
      </c>
      <c r="D2478" t="s">
        <v>33</v>
      </c>
      <c r="E2478">
        <v>8700000</v>
      </c>
      <c r="F2478">
        <v>26400000</v>
      </c>
      <c r="G2478">
        <v>2</v>
      </c>
      <c r="H2478">
        <v>778</v>
      </c>
      <c r="I2478">
        <v>8500000</v>
      </c>
      <c r="J2478">
        <v>2400000</v>
      </c>
      <c r="K2478">
        <v>28800000</v>
      </c>
      <c r="L2478">
        <v>10300000</v>
      </c>
      <c r="M2478" t="s">
        <v>34</v>
      </c>
      <c r="N2478">
        <f t="shared" si="229"/>
        <v>1</v>
      </c>
      <c r="O2478" t="str">
        <f t="shared" si="228"/>
        <v>Excellent</v>
      </c>
      <c r="P2478" t="str">
        <f t="shared" si="230"/>
        <v>High</v>
      </c>
      <c r="Q2478" t="str">
        <f t="shared" si="231"/>
        <v>High Loan</v>
      </c>
      <c r="R2478">
        <f t="shared" si="232"/>
        <v>50000000</v>
      </c>
      <c r="S2478" t="str">
        <f t="shared" si="233"/>
        <v>Strong</v>
      </c>
    </row>
    <row r="2479" spans="1:19" x14ac:dyDescent="0.25">
      <c r="A2479">
        <v>2478</v>
      </c>
      <c r="B2479">
        <v>4</v>
      </c>
      <c r="C2479" t="s">
        <v>30</v>
      </c>
      <c r="D2479" t="s">
        <v>33</v>
      </c>
      <c r="E2479">
        <v>7300000</v>
      </c>
      <c r="F2479">
        <v>17200000</v>
      </c>
      <c r="G2479">
        <v>18</v>
      </c>
      <c r="H2479">
        <v>831</v>
      </c>
      <c r="I2479">
        <v>18500000</v>
      </c>
      <c r="J2479">
        <v>4300000</v>
      </c>
      <c r="K2479">
        <v>23000000</v>
      </c>
      <c r="L2479">
        <v>5200000</v>
      </c>
      <c r="M2479" t="s">
        <v>34</v>
      </c>
      <c r="N2479">
        <f t="shared" si="229"/>
        <v>1</v>
      </c>
      <c r="O2479" t="str">
        <f t="shared" si="228"/>
        <v>Excellent</v>
      </c>
      <c r="P2479" t="str">
        <f t="shared" si="230"/>
        <v>High</v>
      </c>
      <c r="Q2479" t="str">
        <f t="shared" si="231"/>
        <v>Low Loan</v>
      </c>
      <c r="R2479">
        <f t="shared" si="232"/>
        <v>51000000</v>
      </c>
      <c r="S2479" t="str">
        <f t="shared" si="233"/>
        <v>Strong</v>
      </c>
    </row>
    <row r="2480" spans="1:19" x14ac:dyDescent="0.25">
      <c r="A2480">
        <v>2479</v>
      </c>
      <c r="B2480">
        <v>5</v>
      </c>
      <c r="C2480" t="s">
        <v>30</v>
      </c>
      <c r="D2480" t="s">
        <v>32</v>
      </c>
      <c r="E2480">
        <v>7400000</v>
      </c>
      <c r="F2480">
        <v>27100000</v>
      </c>
      <c r="G2480">
        <v>4</v>
      </c>
      <c r="H2480">
        <v>320</v>
      </c>
      <c r="I2480">
        <v>19800000</v>
      </c>
      <c r="J2480">
        <v>14600000</v>
      </c>
      <c r="K2480">
        <v>25200000</v>
      </c>
      <c r="L2480">
        <v>9400000</v>
      </c>
      <c r="M2480" t="s">
        <v>34</v>
      </c>
      <c r="N2480">
        <f t="shared" si="229"/>
        <v>1</v>
      </c>
      <c r="O2480" t="str">
        <f t="shared" si="228"/>
        <v>Low</v>
      </c>
      <c r="P2480" t="str">
        <f t="shared" si="230"/>
        <v>High</v>
      </c>
      <c r="Q2480" t="str">
        <f t="shared" si="231"/>
        <v>High Loan</v>
      </c>
      <c r="R2480">
        <f t="shared" si="232"/>
        <v>69000000</v>
      </c>
      <c r="S2480" t="str">
        <f t="shared" si="233"/>
        <v>Strong</v>
      </c>
    </row>
    <row r="2481" spans="1:19" x14ac:dyDescent="0.25">
      <c r="A2481">
        <v>2480</v>
      </c>
      <c r="B2481">
        <v>2</v>
      </c>
      <c r="C2481" t="s">
        <v>30</v>
      </c>
      <c r="D2481" t="s">
        <v>32</v>
      </c>
      <c r="E2481">
        <v>2700000</v>
      </c>
      <c r="F2481">
        <v>9300000</v>
      </c>
      <c r="G2481">
        <v>16</v>
      </c>
      <c r="H2481">
        <v>656</v>
      </c>
      <c r="I2481">
        <v>7700000</v>
      </c>
      <c r="J2481">
        <v>2500000</v>
      </c>
      <c r="K2481">
        <v>6400000</v>
      </c>
      <c r="L2481">
        <v>3600000</v>
      </c>
      <c r="M2481" t="s">
        <v>34</v>
      </c>
      <c r="N2481">
        <f t="shared" si="229"/>
        <v>1</v>
      </c>
      <c r="O2481" t="str">
        <f t="shared" si="228"/>
        <v>Medium</v>
      </c>
      <c r="P2481" t="str">
        <f t="shared" si="230"/>
        <v>High</v>
      </c>
      <c r="Q2481" t="str">
        <f t="shared" si="231"/>
        <v>Low Loan</v>
      </c>
      <c r="R2481">
        <f t="shared" si="232"/>
        <v>20200000</v>
      </c>
      <c r="S2481" t="str">
        <f t="shared" si="233"/>
        <v>Strong</v>
      </c>
    </row>
    <row r="2482" spans="1:19" x14ac:dyDescent="0.25">
      <c r="A2482">
        <v>2481</v>
      </c>
      <c r="B2482">
        <v>3</v>
      </c>
      <c r="C2482" t="s">
        <v>30</v>
      </c>
      <c r="D2482" t="s">
        <v>32</v>
      </c>
      <c r="E2482">
        <v>3400000</v>
      </c>
      <c r="F2482">
        <v>8900000</v>
      </c>
      <c r="G2482">
        <v>6</v>
      </c>
      <c r="H2482">
        <v>896</v>
      </c>
      <c r="I2482">
        <v>4200000</v>
      </c>
      <c r="J2482">
        <v>4800000</v>
      </c>
      <c r="K2482">
        <v>10200000</v>
      </c>
      <c r="L2482">
        <v>4200000</v>
      </c>
      <c r="M2482" t="s">
        <v>34</v>
      </c>
      <c r="N2482">
        <f t="shared" si="229"/>
        <v>1</v>
      </c>
      <c r="O2482" t="str">
        <f t="shared" si="228"/>
        <v>Excellent</v>
      </c>
      <c r="P2482" t="str">
        <f t="shared" si="230"/>
        <v>High</v>
      </c>
      <c r="Q2482" t="str">
        <f t="shared" si="231"/>
        <v>Low Loan</v>
      </c>
      <c r="R2482">
        <f t="shared" si="232"/>
        <v>23400000</v>
      </c>
      <c r="S2482" t="str">
        <f t="shared" si="233"/>
        <v>Strong</v>
      </c>
    </row>
    <row r="2483" spans="1:19" x14ac:dyDescent="0.25">
      <c r="A2483">
        <v>2482</v>
      </c>
      <c r="B2483">
        <v>3</v>
      </c>
      <c r="C2483" t="s">
        <v>31</v>
      </c>
      <c r="D2483" t="s">
        <v>33</v>
      </c>
      <c r="E2483">
        <v>2100000</v>
      </c>
      <c r="F2483">
        <v>7400000</v>
      </c>
      <c r="G2483">
        <v>4</v>
      </c>
      <c r="H2483">
        <v>320</v>
      </c>
      <c r="I2483">
        <v>3300000</v>
      </c>
      <c r="J2483">
        <v>2700000</v>
      </c>
      <c r="K2483">
        <v>6300000</v>
      </c>
      <c r="L2483">
        <v>2200000</v>
      </c>
      <c r="M2483" t="s">
        <v>34</v>
      </c>
      <c r="N2483">
        <f t="shared" si="229"/>
        <v>1</v>
      </c>
      <c r="O2483" t="str">
        <f t="shared" si="228"/>
        <v>Low</v>
      </c>
      <c r="P2483" t="str">
        <f t="shared" si="230"/>
        <v>High</v>
      </c>
      <c r="Q2483" t="str">
        <f t="shared" si="231"/>
        <v>Low Loan</v>
      </c>
      <c r="R2483">
        <f t="shared" si="232"/>
        <v>14500000</v>
      </c>
      <c r="S2483" t="str">
        <f t="shared" si="233"/>
        <v>Strong</v>
      </c>
    </row>
    <row r="2484" spans="1:19" x14ac:dyDescent="0.25">
      <c r="A2484">
        <v>2483</v>
      </c>
      <c r="B2484">
        <v>2</v>
      </c>
      <c r="C2484" t="s">
        <v>31</v>
      </c>
      <c r="D2484" t="s">
        <v>32</v>
      </c>
      <c r="E2484">
        <v>3100000</v>
      </c>
      <c r="F2484">
        <v>10500000</v>
      </c>
      <c r="G2484">
        <v>10</v>
      </c>
      <c r="H2484">
        <v>751</v>
      </c>
      <c r="I2484">
        <v>5500000</v>
      </c>
      <c r="J2484">
        <v>5900000</v>
      </c>
      <c r="K2484">
        <v>9000000</v>
      </c>
      <c r="L2484">
        <v>1600000</v>
      </c>
      <c r="M2484" t="s">
        <v>34</v>
      </c>
      <c r="N2484">
        <f t="shared" si="229"/>
        <v>1</v>
      </c>
      <c r="O2484" t="str">
        <f t="shared" si="228"/>
        <v>Excellent</v>
      </c>
      <c r="P2484" t="str">
        <f t="shared" si="230"/>
        <v>High</v>
      </c>
      <c r="Q2484" t="str">
        <f t="shared" si="231"/>
        <v>Low Loan</v>
      </c>
      <c r="R2484">
        <f t="shared" si="232"/>
        <v>22000000</v>
      </c>
      <c r="S2484" t="str">
        <f t="shared" si="233"/>
        <v>Strong</v>
      </c>
    </row>
    <row r="2485" spans="1:19" x14ac:dyDescent="0.25">
      <c r="A2485">
        <v>2484</v>
      </c>
      <c r="B2485">
        <v>5</v>
      </c>
      <c r="C2485" t="s">
        <v>31</v>
      </c>
      <c r="D2485" t="s">
        <v>32</v>
      </c>
      <c r="E2485">
        <v>4700000</v>
      </c>
      <c r="F2485">
        <v>17400000</v>
      </c>
      <c r="G2485">
        <v>2</v>
      </c>
      <c r="H2485">
        <v>523</v>
      </c>
      <c r="I2485">
        <v>10600000</v>
      </c>
      <c r="J2485">
        <v>7000000</v>
      </c>
      <c r="K2485">
        <v>10900000</v>
      </c>
      <c r="L2485">
        <v>5200000</v>
      </c>
      <c r="M2485" t="s">
        <v>34</v>
      </c>
      <c r="N2485">
        <f t="shared" si="229"/>
        <v>1</v>
      </c>
      <c r="O2485" t="str">
        <f t="shared" si="228"/>
        <v>Low</v>
      </c>
      <c r="P2485" t="str">
        <f t="shared" si="230"/>
        <v>High</v>
      </c>
      <c r="Q2485" t="str">
        <f t="shared" si="231"/>
        <v>Low Loan</v>
      </c>
      <c r="R2485">
        <f t="shared" si="232"/>
        <v>33700000</v>
      </c>
      <c r="S2485" t="str">
        <f t="shared" si="233"/>
        <v>Strong</v>
      </c>
    </row>
    <row r="2486" spans="1:19" x14ac:dyDescent="0.25">
      <c r="A2486">
        <v>2485</v>
      </c>
      <c r="B2486">
        <v>5</v>
      </c>
      <c r="C2486" t="s">
        <v>30</v>
      </c>
      <c r="D2486" t="s">
        <v>32</v>
      </c>
      <c r="E2486">
        <v>3100000</v>
      </c>
      <c r="F2486">
        <v>10500000</v>
      </c>
      <c r="G2486">
        <v>6</v>
      </c>
      <c r="H2486">
        <v>584</v>
      </c>
      <c r="I2486">
        <v>7700000</v>
      </c>
      <c r="J2486">
        <v>2100000</v>
      </c>
      <c r="K2486">
        <v>10900000</v>
      </c>
      <c r="L2486">
        <v>2900000</v>
      </c>
      <c r="M2486" t="s">
        <v>34</v>
      </c>
      <c r="N2486">
        <f t="shared" si="229"/>
        <v>1</v>
      </c>
      <c r="O2486" t="str">
        <f t="shared" si="228"/>
        <v>Low</v>
      </c>
      <c r="P2486" t="str">
        <f t="shared" si="230"/>
        <v>High</v>
      </c>
      <c r="Q2486" t="str">
        <f t="shared" si="231"/>
        <v>Low Loan</v>
      </c>
      <c r="R2486">
        <f t="shared" si="232"/>
        <v>23600000</v>
      </c>
      <c r="S2486" t="str">
        <f t="shared" si="233"/>
        <v>Strong</v>
      </c>
    </row>
    <row r="2487" spans="1:19" x14ac:dyDescent="0.25">
      <c r="A2487">
        <v>2486</v>
      </c>
      <c r="B2487">
        <v>2</v>
      </c>
      <c r="C2487" t="s">
        <v>31</v>
      </c>
      <c r="D2487" t="s">
        <v>32</v>
      </c>
      <c r="E2487">
        <v>5700000</v>
      </c>
      <c r="F2487">
        <v>20400000</v>
      </c>
      <c r="G2487">
        <v>2</v>
      </c>
      <c r="H2487">
        <v>630</v>
      </c>
      <c r="I2487">
        <v>3000000</v>
      </c>
      <c r="J2487">
        <v>3100000</v>
      </c>
      <c r="K2487">
        <v>22600000</v>
      </c>
      <c r="L2487">
        <v>2900000</v>
      </c>
      <c r="M2487" t="s">
        <v>34</v>
      </c>
      <c r="N2487">
        <f t="shared" si="229"/>
        <v>1</v>
      </c>
      <c r="O2487" t="str">
        <f t="shared" si="228"/>
        <v>Low</v>
      </c>
      <c r="P2487" t="str">
        <f t="shared" si="230"/>
        <v>High</v>
      </c>
      <c r="Q2487" t="str">
        <f t="shared" si="231"/>
        <v>High Loan</v>
      </c>
      <c r="R2487">
        <f t="shared" si="232"/>
        <v>31600000</v>
      </c>
      <c r="S2487" t="str">
        <f t="shared" si="233"/>
        <v>Strong</v>
      </c>
    </row>
    <row r="2488" spans="1:19" x14ac:dyDescent="0.25">
      <c r="A2488">
        <v>2487</v>
      </c>
      <c r="B2488">
        <v>3</v>
      </c>
      <c r="C2488" t="s">
        <v>30</v>
      </c>
      <c r="D2488" t="s">
        <v>33</v>
      </c>
      <c r="E2488">
        <v>2300000</v>
      </c>
      <c r="F2488">
        <v>8000000</v>
      </c>
      <c r="G2488">
        <v>14</v>
      </c>
      <c r="H2488">
        <v>472</v>
      </c>
      <c r="I2488">
        <v>4400000</v>
      </c>
      <c r="J2488">
        <v>3300000</v>
      </c>
      <c r="K2488">
        <v>7700000</v>
      </c>
      <c r="L2488">
        <v>1800000</v>
      </c>
      <c r="M2488" t="s">
        <v>35</v>
      </c>
      <c r="N2488">
        <f t="shared" si="229"/>
        <v>0</v>
      </c>
      <c r="O2488" t="str">
        <f t="shared" si="228"/>
        <v>Low</v>
      </c>
      <c r="P2488" t="str">
        <f t="shared" si="230"/>
        <v>High</v>
      </c>
      <c r="Q2488" t="str">
        <f t="shared" si="231"/>
        <v>Low Loan</v>
      </c>
      <c r="R2488">
        <f t="shared" si="232"/>
        <v>17200000</v>
      </c>
      <c r="S2488" t="str">
        <f t="shared" si="233"/>
        <v>Strong</v>
      </c>
    </row>
    <row r="2489" spans="1:19" x14ac:dyDescent="0.25">
      <c r="A2489">
        <v>2488</v>
      </c>
      <c r="B2489">
        <v>0</v>
      </c>
      <c r="C2489" t="s">
        <v>31</v>
      </c>
      <c r="D2489" t="s">
        <v>33</v>
      </c>
      <c r="E2489">
        <v>6600000</v>
      </c>
      <c r="F2489">
        <v>18500000</v>
      </c>
      <c r="G2489">
        <v>16</v>
      </c>
      <c r="H2489">
        <v>802</v>
      </c>
      <c r="I2489">
        <v>14600000</v>
      </c>
      <c r="J2489">
        <v>1100000</v>
      </c>
      <c r="K2489">
        <v>21800000</v>
      </c>
      <c r="L2489">
        <v>9700000</v>
      </c>
      <c r="M2489" t="s">
        <v>34</v>
      </c>
      <c r="N2489">
        <f t="shared" si="229"/>
        <v>1</v>
      </c>
      <c r="O2489" t="str">
        <f t="shared" si="228"/>
        <v>Excellent</v>
      </c>
      <c r="P2489" t="str">
        <f t="shared" si="230"/>
        <v>High</v>
      </c>
      <c r="Q2489" t="str">
        <f t="shared" si="231"/>
        <v>Low Loan</v>
      </c>
      <c r="R2489">
        <f t="shared" si="232"/>
        <v>47200000</v>
      </c>
      <c r="S2489" t="str">
        <f t="shared" si="233"/>
        <v>Strong</v>
      </c>
    </row>
    <row r="2490" spans="1:19" x14ac:dyDescent="0.25">
      <c r="A2490">
        <v>2489</v>
      </c>
      <c r="B2490">
        <v>2</v>
      </c>
      <c r="C2490" t="s">
        <v>30</v>
      </c>
      <c r="D2490" t="s">
        <v>33</v>
      </c>
      <c r="E2490">
        <v>2700000</v>
      </c>
      <c r="F2490">
        <v>6400000</v>
      </c>
      <c r="G2490">
        <v>18</v>
      </c>
      <c r="H2490">
        <v>547</v>
      </c>
      <c r="I2490">
        <v>5000000</v>
      </c>
      <c r="J2490">
        <v>1700000</v>
      </c>
      <c r="K2490">
        <v>9200000</v>
      </c>
      <c r="L2490">
        <v>1700000</v>
      </c>
      <c r="M2490" t="s">
        <v>35</v>
      </c>
      <c r="N2490">
        <f t="shared" si="229"/>
        <v>0</v>
      </c>
      <c r="O2490" t="str">
        <f t="shared" si="228"/>
        <v>Low</v>
      </c>
      <c r="P2490" t="str">
        <f t="shared" si="230"/>
        <v>High</v>
      </c>
      <c r="Q2490" t="str">
        <f t="shared" si="231"/>
        <v>Low Loan</v>
      </c>
      <c r="R2490">
        <f t="shared" si="232"/>
        <v>17600000</v>
      </c>
      <c r="S2490" t="str">
        <f t="shared" si="233"/>
        <v>Strong</v>
      </c>
    </row>
    <row r="2491" spans="1:19" x14ac:dyDescent="0.25">
      <c r="A2491">
        <v>2490</v>
      </c>
      <c r="B2491">
        <v>1</v>
      </c>
      <c r="C2491" t="s">
        <v>31</v>
      </c>
      <c r="D2491" t="s">
        <v>33</v>
      </c>
      <c r="E2491">
        <v>800000</v>
      </c>
      <c r="F2491">
        <v>2800000</v>
      </c>
      <c r="G2491">
        <v>16</v>
      </c>
      <c r="H2491">
        <v>726</v>
      </c>
      <c r="I2491">
        <v>2000000</v>
      </c>
      <c r="J2491">
        <v>1300000</v>
      </c>
      <c r="K2491">
        <v>3100000</v>
      </c>
      <c r="L2491">
        <v>1200000</v>
      </c>
      <c r="M2491" t="s">
        <v>34</v>
      </c>
      <c r="N2491">
        <f t="shared" si="229"/>
        <v>1</v>
      </c>
      <c r="O2491" t="str">
        <f t="shared" si="228"/>
        <v>Good</v>
      </c>
      <c r="P2491" t="str">
        <f t="shared" si="230"/>
        <v>High</v>
      </c>
      <c r="Q2491" t="str">
        <f t="shared" si="231"/>
        <v>Low Loan</v>
      </c>
      <c r="R2491">
        <f t="shared" si="232"/>
        <v>7600000</v>
      </c>
      <c r="S2491" t="str">
        <f t="shared" si="233"/>
        <v>Moderate</v>
      </c>
    </row>
    <row r="2492" spans="1:19" x14ac:dyDescent="0.25">
      <c r="A2492">
        <v>2491</v>
      </c>
      <c r="B2492">
        <v>1</v>
      </c>
      <c r="C2492" t="s">
        <v>30</v>
      </c>
      <c r="D2492" t="s">
        <v>32</v>
      </c>
      <c r="E2492">
        <v>6600000</v>
      </c>
      <c r="F2492">
        <v>18500000</v>
      </c>
      <c r="G2492">
        <v>8</v>
      </c>
      <c r="H2492">
        <v>712</v>
      </c>
      <c r="I2492">
        <v>2300000</v>
      </c>
      <c r="J2492">
        <v>3200000</v>
      </c>
      <c r="K2492">
        <v>24400000</v>
      </c>
      <c r="L2492">
        <v>7600000</v>
      </c>
      <c r="M2492" t="s">
        <v>34</v>
      </c>
      <c r="N2492">
        <f t="shared" si="229"/>
        <v>1</v>
      </c>
      <c r="O2492" t="str">
        <f t="shared" si="228"/>
        <v>Good</v>
      </c>
      <c r="P2492" t="str">
        <f t="shared" si="230"/>
        <v>High</v>
      </c>
      <c r="Q2492" t="str">
        <f t="shared" si="231"/>
        <v>Low Loan</v>
      </c>
      <c r="R2492">
        <f t="shared" si="232"/>
        <v>37500000</v>
      </c>
      <c r="S2492" t="str">
        <f t="shared" si="233"/>
        <v>Strong</v>
      </c>
    </row>
    <row r="2493" spans="1:19" x14ac:dyDescent="0.25">
      <c r="A2493">
        <v>2492</v>
      </c>
      <c r="B2493">
        <v>3</v>
      </c>
      <c r="C2493" t="s">
        <v>30</v>
      </c>
      <c r="D2493" t="s">
        <v>32</v>
      </c>
      <c r="E2493">
        <v>3900000</v>
      </c>
      <c r="F2493">
        <v>10700000</v>
      </c>
      <c r="G2493">
        <v>6</v>
      </c>
      <c r="H2493">
        <v>790</v>
      </c>
      <c r="I2493">
        <v>10600000</v>
      </c>
      <c r="J2493">
        <v>1900000</v>
      </c>
      <c r="K2493">
        <v>12500000</v>
      </c>
      <c r="L2493">
        <v>2700000</v>
      </c>
      <c r="M2493" t="s">
        <v>34</v>
      </c>
      <c r="N2493">
        <f t="shared" si="229"/>
        <v>1</v>
      </c>
      <c r="O2493" t="str">
        <f t="shared" si="228"/>
        <v>Excellent</v>
      </c>
      <c r="P2493" t="str">
        <f t="shared" si="230"/>
        <v>High</v>
      </c>
      <c r="Q2493" t="str">
        <f t="shared" si="231"/>
        <v>Low Loan</v>
      </c>
      <c r="R2493">
        <f t="shared" si="232"/>
        <v>27700000</v>
      </c>
      <c r="S2493" t="str">
        <f t="shared" si="233"/>
        <v>Strong</v>
      </c>
    </row>
    <row r="2494" spans="1:19" x14ac:dyDescent="0.25">
      <c r="A2494">
        <v>2493</v>
      </c>
      <c r="B2494">
        <v>5</v>
      </c>
      <c r="C2494" t="s">
        <v>31</v>
      </c>
      <c r="D2494" t="s">
        <v>32</v>
      </c>
      <c r="E2494">
        <v>200000</v>
      </c>
      <c r="F2494">
        <v>600000</v>
      </c>
      <c r="G2494">
        <v>16</v>
      </c>
      <c r="H2494">
        <v>396</v>
      </c>
      <c r="I2494">
        <v>0</v>
      </c>
      <c r="J2494">
        <v>0</v>
      </c>
      <c r="K2494">
        <v>500000</v>
      </c>
      <c r="L2494">
        <v>200000</v>
      </c>
      <c r="M2494" t="s">
        <v>35</v>
      </c>
      <c r="N2494">
        <f t="shared" si="229"/>
        <v>0</v>
      </c>
      <c r="O2494" t="str">
        <f t="shared" si="228"/>
        <v>Low</v>
      </c>
      <c r="P2494" t="str">
        <f t="shared" si="230"/>
        <v>Low</v>
      </c>
      <c r="Q2494" t="str">
        <f t="shared" si="231"/>
        <v>Low Loan</v>
      </c>
      <c r="R2494">
        <f t="shared" si="232"/>
        <v>700000</v>
      </c>
      <c r="S2494" t="str">
        <f t="shared" si="233"/>
        <v>Weak</v>
      </c>
    </row>
    <row r="2495" spans="1:19" x14ac:dyDescent="0.25">
      <c r="A2495">
        <v>2494</v>
      </c>
      <c r="B2495">
        <v>3</v>
      </c>
      <c r="C2495" t="s">
        <v>30</v>
      </c>
      <c r="D2495" t="s">
        <v>32</v>
      </c>
      <c r="E2495">
        <v>2000000</v>
      </c>
      <c r="F2495">
        <v>4200000</v>
      </c>
      <c r="G2495">
        <v>6</v>
      </c>
      <c r="H2495">
        <v>831</v>
      </c>
      <c r="I2495">
        <v>1300000</v>
      </c>
      <c r="J2495">
        <v>1700000</v>
      </c>
      <c r="K2495">
        <v>6900000</v>
      </c>
      <c r="L2495">
        <v>1200000</v>
      </c>
      <c r="M2495" t="s">
        <v>34</v>
      </c>
      <c r="N2495">
        <f t="shared" si="229"/>
        <v>1</v>
      </c>
      <c r="O2495" t="str">
        <f t="shared" si="228"/>
        <v>Excellent</v>
      </c>
      <c r="P2495" t="str">
        <f t="shared" si="230"/>
        <v>High</v>
      </c>
      <c r="Q2495" t="str">
        <f t="shared" si="231"/>
        <v>Low Loan</v>
      </c>
      <c r="R2495">
        <f t="shared" si="232"/>
        <v>11100000</v>
      </c>
      <c r="S2495" t="str">
        <f t="shared" si="233"/>
        <v>Strong</v>
      </c>
    </row>
    <row r="2496" spans="1:19" x14ac:dyDescent="0.25">
      <c r="A2496">
        <v>2495</v>
      </c>
      <c r="B2496">
        <v>2</v>
      </c>
      <c r="C2496" t="s">
        <v>30</v>
      </c>
      <c r="D2496" t="s">
        <v>33</v>
      </c>
      <c r="E2496">
        <v>9100000</v>
      </c>
      <c r="F2496">
        <v>20900000</v>
      </c>
      <c r="G2496">
        <v>20</v>
      </c>
      <c r="H2496">
        <v>632</v>
      </c>
      <c r="I2496">
        <v>4200000</v>
      </c>
      <c r="J2496">
        <v>400000</v>
      </c>
      <c r="K2496">
        <v>30000000</v>
      </c>
      <c r="L2496">
        <v>13200000</v>
      </c>
      <c r="M2496" t="s">
        <v>34</v>
      </c>
      <c r="N2496">
        <f t="shared" si="229"/>
        <v>1</v>
      </c>
      <c r="O2496" t="str">
        <f t="shared" si="228"/>
        <v>Low</v>
      </c>
      <c r="P2496" t="str">
        <f t="shared" si="230"/>
        <v>High</v>
      </c>
      <c r="Q2496" t="str">
        <f t="shared" si="231"/>
        <v>High Loan</v>
      </c>
      <c r="R2496">
        <f t="shared" si="232"/>
        <v>47800000</v>
      </c>
      <c r="S2496" t="str">
        <f t="shared" si="233"/>
        <v>Strong</v>
      </c>
    </row>
    <row r="2497" spans="1:19" x14ac:dyDescent="0.25">
      <c r="A2497">
        <v>2496</v>
      </c>
      <c r="B2497">
        <v>3</v>
      </c>
      <c r="C2497" t="s">
        <v>30</v>
      </c>
      <c r="D2497" t="s">
        <v>32</v>
      </c>
      <c r="E2497">
        <v>4700000</v>
      </c>
      <c r="F2497">
        <v>10800000</v>
      </c>
      <c r="G2497">
        <v>8</v>
      </c>
      <c r="H2497">
        <v>527</v>
      </c>
      <c r="I2497">
        <v>13300000</v>
      </c>
      <c r="J2497">
        <v>3100000</v>
      </c>
      <c r="K2497">
        <v>13600000</v>
      </c>
      <c r="L2497">
        <v>4800000</v>
      </c>
      <c r="M2497" t="s">
        <v>35</v>
      </c>
      <c r="N2497">
        <f t="shared" si="229"/>
        <v>0</v>
      </c>
      <c r="O2497" t="str">
        <f t="shared" si="228"/>
        <v>Low</v>
      </c>
      <c r="P2497" t="str">
        <f t="shared" si="230"/>
        <v>High</v>
      </c>
      <c r="Q2497" t="str">
        <f t="shared" si="231"/>
        <v>Low Loan</v>
      </c>
      <c r="R2497">
        <f t="shared" si="232"/>
        <v>34800000</v>
      </c>
      <c r="S2497" t="str">
        <f t="shared" si="233"/>
        <v>Strong</v>
      </c>
    </row>
    <row r="2498" spans="1:19" x14ac:dyDescent="0.25">
      <c r="A2498">
        <v>2497</v>
      </c>
      <c r="B2498">
        <v>3</v>
      </c>
      <c r="C2498" t="s">
        <v>31</v>
      </c>
      <c r="D2498" t="s">
        <v>33</v>
      </c>
      <c r="E2498">
        <v>3200000</v>
      </c>
      <c r="F2498">
        <v>11100000</v>
      </c>
      <c r="G2498">
        <v>6</v>
      </c>
      <c r="H2498">
        <v>708</v>
      </c>
      <c r="I2498">
        <v>8900000</v>
      </c>
      <c r="J2498">
        <v>5700000</v>
      </c>
      <c r="K2498">
        <v>8100000</v>
      </c>
      <c r="L2498">
        <v>1500000</v>
      </c>
      <c r="M2498" t="s">
        <v>34</v>
      </c>
      <c r="N2498">
        <f t="shared" si="229"/>
        <v>1</v>
      </c>
      <c r="O2498" t="str">
        <f t="shared" ref="O2498:O2561" si="234">IF(H2498&lt;650,"Low",
 IF(H2498&lt;700,"Medium",
 IF(H2498&lt;750,"Good","Excellent")))</f>
        <v>Good</v>
      </c>
      <c r="P2498" t="str">
        <f t="shared" si="230"/>
        <v>High</v>
      </c>
      <c r="Q2498" t="str">
        <f t="shared" si="231"/>
        <v>Low Loan</v>
      </c>
      <c r="R2498">
        <f t="shared" si="232"/>
        <v>24200000</v>
      </c>
      <c r="S2498" t="str">
        <f t="shared" si="233"/>
        <v>Strong</v>
      </c>
    </row>
    <row r="2499" spans="1:19" x14ac:dyDescent="0.25">
      <c r="A2499">
        <v>2498</v>
      </c>
      <c r="B2499">
        <v>2</v>
      </c>
      <c r="C2499" t="s">
        <v>31</v>
      </c>
      <c r="D2499" t="s">
        <v>32</v>
      </c>
      <c r="E2499">
        <v>1700000</v>
      </c>
      <c r="F2499">
        <v>4200000</v>
      </c>
      <c r="G2499">
        <v>14</v>
      </c>
      <c r="H2499">
        <v>829</v>
      </c>
      <c r="I2499">
        <v>200000</v>
      </c>
      <c r="J2499">
        <v>1600000</v>
      </c>
      <c r="K2499">
        <v>4600000</v>
      </c>
      <c r="L2499">
        <v>1600000</v>
      </c>
      <c r="M2499" t="s">
        <v>34</v>
      </c>
      <c r="N2499">
        <f t="shared" ref="N2499:N2562" si="235">IF(TRIM(CLEAN(M2499))="Approved",1,0)</f>
        <v>1</v>
      </c>
      <c r="O2499" t="str">
        <f t="shared" si="234"/>
        <v>Excellent</v>
      </c>
      <c r="P2499" t="str">
        <f t="shared" ref="P2499:P2562" si="236">IF(E2499&lt;300000,"Low",
 IF(E2499&lt;700000,"Middle","High"))</f>
        <v>High</v>
      </c>
      <c r="Q2499" t="str">
        <f t="shared" ref="Q2499:Q2562" si="237">IF(F2499&lt;20000000,"Low Loan","High Loan")</f>
        <v>Low Loan</v>
      </c>
      <c r="R2499">
        <f t="shared" ref="R2499:R2562" si="238">I2499+J2499+K2499+L2499</f>
        <v>8000000</v>
      </c>
      <c r="S2499" t="str">
        <f t="shared" ref="S2499:S2562" si="239">IF(R2499&lt;5000000,"Weak",
 IF(R2499&lt;10000000,"Moderate","Strong"))</f>
        <v>Moderate</v>
      </c>
    </row>
    <row r="2500" spans="1:19" x14ac:dyDescent="0.25">
      <c r="A2500">
        <v>2499</v>
      </c>
      <c r="B2500">
        <v>1</v>
      </c>
      <c r="C2500" t="s">
        <v>31</v>
      </c>
      <c r="D2500" t="s">
        <v>32</v>
      </c>
      <c r="E2500">
        <v>2600000</v>
      </c>
      <c r="F2500">
        <v>8100000</v>
      </c>
      <c r="G2500">
        <v>12</v>
      </c>
      <c r="H2500">
        <v>854</v>
      </c>
      <c r="I2500">
        <v>4500000</v>
      </c>
      <c r="J2500">
        <v>5100000</v>
      </c>
      <c r="K2500">
        <v>6300000</v>
      </c>
      <c r="L2500">
        <v>2500000</v>
      </c>
      <c r="M2500" t="s">
        <v>34</v>
      </c>
      <c r="N2500">
        <f t="shared" si="235"/>
        <v>1</v>
      </c>
      <c r="O2500" t="str">
        <f t="shared" si="234"/>
        <v>Excellent</v>
      </c>
      <c r="P2500" t="str">
        <f t="shared" si="236"/>
        <v>High</v>
      </c>
      <c r="Q2500" t="str">
        <f t="shared" si="237"/>
        <v>Low Loan</v>
      </c>
      <c r="R2500">
        <f t="shared" si="238"/>
        <v>18400000</v>
      </c>
      <c r="S2500" t="str">
        <f t="shared" si="239"/>
        <v>Strong</v>
      </c>
    </row>
    <row r="2501" spans="1:19" x14ac:dyDescent="0.25">
      <c r="A2501">
        <v>2500</v>
      </c>
      <c r="B2501">
        <v>3</v>
      </c>
      <c r="C2501" t="s">
        <v>31</v>
      </c>
      <c r="D2501" t="s">
        <v>33</v>
      </c>
      <c r="E2501">
        <v>2700000</v>
      </c>
      <c r="F2501">
        <v>6700000</v>
      </c>
      <c r="G2501">
        <v>14</v>
      </c>
      <c r="H2501">
        <v>899</v>
      </c>
      <c r="I2501">
        <v>2400000</v>
      </c>
      <c r="J2501">
        <v>4200000</v>
      </c>
      <c r="K2501">
        <v>6000000</v>
      </c>
      <c r="L2501">
        <v>2000000</v>
      </c>
      <c r="M2501" t="s">
        <v>34</v>
      </c>
      <c r="N2501">
        <f t="shared" si="235"/>
        <v>1</v>
      </c>
      <c r="O2501" t="str">
        <f t="shared" si="234"/>
        <v>Excellent</v>
      </c>
      <c r="P2501" t="str">
        <f t="shared" si="236"/>
        <v>High</v>
      </c>
      <c r="Q2501" t="str">
        <f t="shared" si="237"/>
        <v>Low Loan</v>
      </c>
      <c r="R2501">
        <f t="shared" si="238"/>
        <v>14600000</v>
      </c>
      <c r="S2501" t="str">
        <f t="shared" si="239"/>
        <v>Strong</v>
      </c>
    </row>
    <row r="2502" spans="1:19" x14ac:dyDescent="0.25">
      <c r="A2502">
        <v>2501</v>
      </c>
      <c r="B2502">
        <v>0</v>
      </c>
      <c r="C2502" t="s">
        <v>31</v>
      </c>
      <c r="D2502" t="s">
        <v>33</v>
      </c>
      <c r="E2502">
        <v>3600000</v>
      </c>
      <c r="F2502">
        <v>13400000</v>
      </c>
      <c r="G2502">
        <v>6</v>
      </c>
      <c r="H2502">
        <v>589</v>
      </c>
      <c r="I2502">
        <v>3600000</v>
      </c>
      <c r="J2502">
        <v>0</v>
      </c>
      <c r="K2502">
        <v>11200000</v>
      </c>
      <c r="L2502">
        <v>4000000</v>
      </c>
      <c r="M2502" t="s">
        <v>34</v>
      </c>
      <c r="N2502">
        <f t="shared" si="235"/>
        <v>1</v>
      </c>
      <c r="O2502" t="str">
        <f t="shared" si="234"/>
        <v>Low</v>
      </c>
      <c r="P2502" t="str">
        <f t="shared" si="236"/>
        <v>High</v>
      </c>
      <c r="Q2502" t="str">
        <f t="shared" si="237"/>
        <v>Low Loan</v>
      </c>
      <c r="R2502">
        <f t="shared" si="238"/>
        <v>18800000</v>
      </c>
      <c r="S2502" t="str">
        <f t="shared" si="239"/>
        <v>Strong</v>
      </c>
    </row>
    <row r="2503" spans="1:19" x14ac:dyDescent="0.25">
      <c r="A2503">
        <v>2502</v>
      </c>
      <c r="B2503">
        <v>4</v>
      </c>
      <c r="C2503" t="s">
        <v>30</v>
      </c>
      <c r="D2503" t="s">
        <v>33</v>
      </c>
      <c r="E2503">
        <v>7200000</v>
      </c>
      <c r="F2503">
        <v>26000000</v>
      </c>
      <c r="G2503">
        <v>6</v>
      </c>
      <c r="H2503">
        <v>571</v>
      </c>
      <c r="I2503">
        <v>4700000</v>
      </c>
      <c r="J2503">
        <v>0</v>
      </c>
      <c r="K2503">
        <v>22600000</v>
      </c>
      <c r="L2503">
        <v>4200000</v>
      </c>
      <c r="M2503" t="s">
        <v>34</v>
      </c>
      <c r="N2503">
        <f t="shared" si="235"/>
        <v>1</v>
      </c>
      <c r="O2503" t="str">
        <f t="shared" si="234"/>
        <v>Low</v>
      </c>
      <c r="P2503" t="str">
        <f t="shared" si="236"/>
        <v>High</v>
      </c>
      <c r="Q2503" t="str">
        <f t="shared" si="237"/>
        <v>High Loan</v>
      </c>
      <c r="R2503">
        <f t="shared" si="238"/>
        <v>31500000</v>
      </c>
      <c r="S2503" t="str">
        <f t="shared" si="239"/>
        <v>Strong</v>
      </c>
    </row>
    <row r="2504" spans="1:19" x14ac:dyDescent="0.25">
      <c r="A2504">
        <v>2503</v>
      </c>
      <c r="B2504">
        <v>2</v>
      </c>
      <c r="C2504" t="s">
        <v>31</v>
      </c>
      <c r="D2504" t="s">
        <v>33</v>
      </c>
      <c r="E2504">
        <v>2500000</v>
      </c>
      <c r="F2504">
        <v>6400000</v>
      </c>
      <c r="G2504">
        <v>6</v>
      </c>
      <c r="H2504">
        <v>708</v>
      </c>
      <c r="I2504">
        <v>6900000</v>
      </c>
      <c r="J2504">
        <v>200000</v>
      </c>
      <c r="K2504">
        <v>9900000</v>
      </c>
      <c r="L2504">
        <v>3500000</v>
      </c>
      <c r="M2504" t="s">
        <v>34</v>
      </c>
      <c r="N2504">
        <f t="shared" si="235"/>
        <v>1</v>
      </c>
      <c r="O2504" t="str">
        <f t="shared" si="234"/>
        <v>Good</v>
      </c>
      <c r="P2504" t="str">
        <f t="shared" si="236"/>
        <v>High</v>
      </c>
      <c r="Q2504" t="str">
        <f t="shared" si="237"/>
        <v>Low Loan</v>
      </c>
      <c r="R2504">
        <f t="shared" si="238"/>
        <v>20500000</v>
      </c>
      <c r="S2504" t="str">
        <f t="shared" si="239"/>
        <v>Strong</v>
      </c>
    </row>
    <row r="2505" spans="1:19" x14ac:dyDescent="0.25">
      <c r="A2505">
        <v>2504</v>
      </c>
      <c r="B2505">
        <v>2</v>
      </c>
      <c r="C2505" t="s">
        <v>31</v>
      </c>
      <c r="D2505" t="s">
        <v>32</v>
      </c>
      <c r="E2505">
        <v>5500000</v>
      </c>
      <c r="F2505">
        <v>19600000</v>
      </c>
      <c r="G2505">
        <v>16</v>
      </c>
      <c r="H2505">
        <v>328</v>
      </c>
      <c r="I2505">
        <v>2400000</v>
      </c>
      <c r="J2505">
        <v>4800000</v>
      </c>
      <c r="K2505">
        <v>10900000</v>
      </c>
      <c r="L2505">
        <v>3700000</v>
      </c>
      <c r="M2505" t="s">
        <v>35</v>
      </c>
      <c r="N2505">
        <f t="shared" si="235"/>
        <v>0</v>
      </c>
      <c r="O2505" t="str">
        <f t="shared" si="234"/>
        <v>Low</v>
      </c>
      <c r="P2505" t="str">
        <f t="shared" si="236"/>
        <v>High</v>
      </c>
      <c r="Q2505" t="str">
        <f t="shared" si="237"/>
        <v>Low Loan</v>
      </c>
      <c r="R2505">
        <f t="shared" si="238"/>
        <v>21800000</v>
      </c>
      <c r="S2505" t="str">
        <f t="shared" si="239"/>
        <v>Strong</v>
      </c>
    </row>
    <row r="2506" spans="1:19" x14ac:dyDescent="0.25">
      <c r="A2506">
        <v>2505</v>
      </c>
      <c r="B2506">
        <v>3</v>
      </c>
      <c r="C2506" t="s">
        <v>30</v>
      </c>
      <c r="D2506" t="s">
        <v>33</v>
      </c>
      <c r="E2506">
        <v>9200000</v>
      </c>
      <c r="F2506">
        <v>33500000</v>
      </c>
      <c r="G2506">
        <v>8</v>
      </c>
      <c r="H2506">
        <v>564</v>
      </c>
      <c r="I2506">
        <v>20800000</v>
      </c>
      <c r="J2506">
        <v>15200000</v>
      </c>
      <c r="K2506">
        <v>29800000</v>
      </c>
      <c r="L2506">
        <v>11400000</v>
      </c>
      <c r="M2506" t="s">
        <v>34</v>
      </c>
      <c r="N2506">
        <f t="shared" si="235"/>
        <v>1</v>
      </c>
      <c r="O2506" t="str">
        <f t="shared" si="234"/>
        <v>Low</v>
      </c>
      <c r="P2506" t="str">
        <f t="shared" si="236"/>
        <v>High</v>
      </c>
      <c r="Q2506" t="str">
        <f t="shared" si="237"/>
        <v>High Loan</v>
      </c>
      <c r="R2506">
        <f t="shared" si="238"/>
        <v>77200000</v>
      </c>
      <c r="S2506" t="str">
        <f t="shared" si="239"/>
        <v>Strong</v>
      </c>
    </row>
    <row r="2507" spans="1:19" x14ac:dyDescent="0.25">
      <c r="A2507">
        <v>2506</v>
      </c>
      <c r="B2507">
        <v>3</v>
      </c>
      <c r="C2507" t="s">
        <v>31</v>
      </c>
      <c r="D2507" t="s">
        <v>32</v>
      </c>
      <c r="E2507">
        <v>9000000</v>
      </c>
      <c r="F2507">
        <v>19000000</v>
      </c>
      <c r="G2507">
        <v>8</v>
      </c>
      <c r="H2507">
        <v>693</v>
      </c>
      <c r="I2507">
        <v>18300000</v>
      </c>
      <c r="J2507">
        <v>4500000</v>
      </c>
      <c r="K2507">
        <v>29600000</v>
      </c>
      <c r="L2507">
        <v>7200000</v>
      </c>
      <c r="M2507" t="s">
        <v>34</v>
      </c>
      <c r="N2507">
        <f t="shared" si="235"/>
        <v>1</v>
      </c>
      <c r="O2507" t="str">
        <f t="shared" si="234"/>
        <v>Medium</v>
      </c>
      <c r="P2507" t="str">
        <f t="shared" si="236"/>
        <v>High</v>
      </c>
      <c r="Q2507" t="str">
        <f t="shared" si="237"/>
        <v>Low Loan</v>
      </c>
      <c r="R2507">
        <f t="shared" si="238"/>
        <v>59600000</v>
      </c>
      <c r="S2507" t="str">
        <f t="shared" si="239"/>
        <v>Strong</v>
      </c>
    </row>
    <row r="2508" spans="1:19" x14ac:dyDescent="0.25">
      <c r="A2508">
        <v>2507</v>
      </c>
      <c r="B2508">
        <v>4</v>
      </c>
      <c r="C2508" t="s">
        <v>31</v>
      </c>
      <c r="D2508" t="s">
        <v>33</v>
      </c>
      <c r="E2508">
        <v>5900000</v>
      </c>
      <c r="F2508">
        <v>15000000</v>
      </c>
      <c r="G2508">
        <v>14</v>
      </c>
      <c r="H2508">
        <v>626</v>
      </c>
      <c r="I2508">
        <v>16400000</v>
      </c>
      <c r="J2508">
        <v>4600000</v>
      </c>
      <c r="K2508">
        <v>17600000</v>
      </c>
      <c r="L2508">
        <v>8200000</v>
      </c>
      <c r="M2508" t="s">
        <v>34</v>
      </c>
      <c r="N2508">
        <f t="shared" si="235"/>
        <v>1</v>
      </c>
      <c r="O2508" t="str">
        <f t="shared" si="234"/>
        <v>Low</v>
      </c>
      <c r="P2508" t="str">
        <f t="shared" si="236"/>
        <v>High</v>
      </c>
      <c r="Q2508" t="str">
        <f t="shared" si="237"/>
        <v>Low Loan</v>
      </c>
      <c r="R2508">
        <f t="shared" si="238"/>
        <v>46800000</v>
      </c>
      <c r="S2508" t="str">
        <f t="shared" si="239"/>
        <v>Strong</v>
      </c>
    </row>
    <row r="2509" spans="1:19" x14ac:dyDescent="0.25">
      <c r="A2509">
        <v>2508</v>
      </c>
      <c r="B2509">
        <v>4</v>
      </c>
      <c r="C2509" t="s">
        <v>30</v>
      </c>
      <c r="D2509" t="s">
        <v>32</v>
      </c>
      <c r="E2509">
        <v>5600000</v>
      </c>
      <c r="F2509">
        <v>15600000</v>
      </c>
      <c r="G2509">
        <v>12</v>
      </c>
      <c r="H2509">
        <v>470</v>
      </c>
      <c r="I2509">
        <v>9900000</v>
      </c>
      <c r="J2509">
        <v>10700000</v>
      </c>
      <c r="K2509">
        <v>14600000</v>
      </c>
      <c r="L2509">
        <v>7000000</v>
      </c>
      <c r="M2509" t="s">
        <v>35</v>
      </c>
      <c r="N2509">
        <f t="shared" si="235"/>
        <v>0</v>
      </c>
      <c r="O2509" t="str">
        <f t="shared" si="234"/>
        <v>Low</v>
      </c>
      <c r="P2509" t="str">
        <f t="shared" si="236"/>
        <v>High</v>
      </c>
      <c r="Q2509" t="str">
        <f t="shared" si="237"/>
        <v>Low Loan</v>
      </c>
      <c r="R2509">
        <f t="shared" si="238"/>
        <v>42200000</v>
      </c>
      <c r="S2509" t="str">
        <f t="shared" si="239"/>
        <v>Strong</v>
      </c>
    </row>
    <row r="2510" spans="1:19" x14ac:dyDescent="0.25">
      <c r="A2510">
        <v>2509</v>
      </c>
      <c r="B2510">
        <v>2</v>
      </c>
      <c r="C2510" t="s">
        <v>31</v>
      </c>
      <c r="D2510" t="s">
        <v>33</v>
      </c>
      <c r="E2510">
        <v>3200000</v>
      </c>
      <c r="F2510">
        <v>12500000</v>
      </c>
      <c r="G2510">
        <v>8</v>
      </c>
      <c r="H2510">
        <v>849</v>
      </c>
      <c r="I2510">
        <v>400000</v>
      </c>
      <c r="J2510">
        <v>5300000</v>
      </c>
      <c r="K2510">
        <v>10400000</v>
      </c>
      <c r="L2510">
        <v>4400000</v>
      </c>
      <c r="M2510" t="s">
        <v>34</v>
      </c>
      <c r="N2510">
        <f t="shared" si="235"/>
        <v>1</v>
      </c>
      <c r="O2510" t="str">
        <f t="shared" si="234"/>
        <v>Excellent</v>
      </c>
      <c r="P2510" t="str">
        <f t="shared" si="236"/>
        <v>High</v>
      </c>
      <c r="Q2510" t="str">
        <f t="shared" si="237"/>
        <v>Low Loan</v>
      </c>
      <c r="R2510">
        <f t="shared" si="238"/>
        <v>20500000</v>
      </c>
      <c r="S2510" t="str">
        <f t="shared" si="239"/>
        <v>Strong</v>
      </c>
    </row>
    <row r="2511" spans="1:19" x14ac:dyDescent="0.25">
      <c r="A2511">
        <v>2510</v>
      </c>
      <c r="B2511">
        <v>5</v>
      </c>
      <c r="C2511" t="s">
        <v>31</v>
      </c>
      <c r="D2511" t="s">
        <v>32</v>
      </c>
      <c r="E2511">
        <v>9100000</v>
      </c>
      <c r="F2511">
        <v>27800000</v>
      </c>
      <c r="G2511">
        <v>16</v>
      </c>
      <c r="H2511">
        <v>547</v>
      </c>
      <c r="I2511">
        <v>21900000</v>
      </c>
      <c r="J2511">
        <v>7000000</v>
      </c>
      <c r="K2511">
        <v>31900000</v>
      </c>
      <c r="L2511">
        <v>9400000</v>
      </c>
      <c r="M2511" t="s">
        <v>35</v>
      </c>
      <c r="N2511">
        <f t="shared" si="235"/>
        <v>0</v>
      </c>
      <c r="O2511" t="str">
        <f t="shared" si="234"/>
        <v>Low</v>
      </c>
      <c r="P2511" t="str">
        <f t="shared" si="236"/>
        <v>High</v>
      </c>
      <c r="Q2511" t="str">
        <f t="shared" si="237"/>
        <v>High Loan</v>
      </c>
      <c r="R2511">
        <f t="shared" si="238"/>
        <v>70200000</v>
      </c>
      <c r="S2511" t="str">
        <f t="shared" si="239"/>
        <v>Strong</v>
      </c>
    </row>
    <row r="2512" spans="1:19" x14ac:dyDescent="0.25">
      <c r="A2512">
        <v>2511</v>
      </c>
      <c r="B2512">
        <v>0</v>
      </c>
      <c r="C2512" t="s">
        <v>31</v>
      </c>
      <c r="D2512" t="s">
        <v>33</v>
      </c>
      <c r="E2512">
        <v>4600000</v>
      </c>
      <c r="F2512">
        <v>15100000</v>
      </c>
      <c r="G2512">
        <v>2</v>
      </c>
      <c r="H2512">
        <v>417</v>
      </c>
      <c r="I2512">
        <v>5600000</v>
      </c>
      <c r="J2512">
        <v>3900000</v>
      </c>
      <c r="K2512">
        <v>11800000</v>
      </c>
      <c r="L2512">
        <v>6600000</v>
      </c>
      <c r="M2512" t="s">
        <v>34</v>
      </c>
      <c r="N2512">
        <f t="shared" si="235"/>
        <v>1</v>
      </c>
      <c r="O2512" t="str">
        <f t="shared" si="234"/>
        <v>Low</v>
      </c>
      <c r="P2512" t="str">
        <f t="shared" si="236"/>
        <v>High</v>
      </c>
      <c r="Q2512" t="str">
        <f t="shared" si="237"/>
        <v>Low Loan</v>
      </c>
      <c r="R2512">
        <f t="shared" si="238"/>
        <v>27900000</v>
      </c>
      <c r="S2512" t="str">
        <f t="shared" si="239"/>
        <v>Strong</v>
      </c>
    </row>
    <row r="2513" spans="1:19" x14ac:dyDescent="0.25">
      <c r="A2513">
        <v>2512</v>
      </c>
      <c r="B2513">
        <v>4</v>
      </c>
      <c r="C2513" t="s">
        <v>30</v>
      </c>
      <c r="D2513" t="s">
        <v>32</v>
      </c>
      <c r="E2513">
        <v>7300000</v>
      </c>
      <c r="F2513">
        <v>14900000</v>
      </c>
      <c r="G2513">
        <v>2</v>
      </c>
      <c r="H2513">
        <v>358</v>
      </c>
      <c r="I2513">
        <v>13600000</v>
      </c>
      <c r="J2513">
        <v>12300000</v>
      </c>
      <c r="K2513">
        <v>20400000</v>
      </c>
      <c r="L2513">
        <v>7300000</v>
      </c>
      <c r="M2513" t="s">
        <v>35</v>
      </c>
      <c r="N2513">
        <f t="shared" si="235"/>
        <v>0</v>
      </c>
      <c r="O2513" t="str">
        <f t="shared" si="234"/>
        <v>Low</v>
      </c>
      <c r="P2513" t="str">
        <f t="shared" si="236"/>
        <v>High</v>
      </c>
      <c r="Q2513" t="str">
        <f t="shared" si="237"/>
        <v>Low Loan</v>
      </c>
      <c r="R2513">
        <f t="shared" si="238"/>
        <v>53600000</v>
      </c>
      <c r="S2513" t="str">
        <f t="shared" si="239"/>
        <v>Strong</v>
      </c>
    </row>
    <row r="2514" spans="1:19" x14ac:dyDescent="0.25">
      <c r="A2514">
        <v>2513</v>
      </c>
      <c r="B2514">
        <v>5</v>
      </c>
      <c r="C2514" t="s">
        <v>31</v>
      </c>
      <c r="D2514" t="s">
        <v>33</v>
      </c>
      <c r="E2514">
        <v>1300000</v>
      </c>
      <c r="F2514">
        <v>3100000</v>
      </c>
      <c r="G2514">
        <v>16</v>
      </c>
      <c r="H2514">
        <v>826</v>
      </c>
      <c r="I2514">
        <v>200000</v>
      </c>
      <c r="J2514">
        <v>1700000</v>
      </c>
      <c r="K2514">
        <v>5100000</v>
      </c>
      <c r="L2514">
        <v>1400000</v>
      </c>
      <c r="M2514" t="s">
        <v>34</v>
      </c>
      <c r="N2514">
        <f t="shared" si="235"/>
        <v>1</v>
      </c>
      <c r="O2514" t="str">
        <f t="shared" si="234"/>
        <v>Excellent</v>
      </c>
      <c r="P2514" t="str">
        <f t="shared" si="236"/>
        <v>High</v>
      </c>
      <c r="Q2514" t="str">
        <f t="shared" si="237"/>
        <v>Low Loan</v>
      </c>
      <c r="R2514">
        <f t="shared" si="238"/>
        <v>8400000</v>
      </c>
      <c r="S2514" t="str">
        <f t="shared" si="239"/>
        <v>Moderate</v>
      </c>
    </row>
    <row r="2515" spans="1:19" x14ac:dyDescent="0.25">
      <c r="A2515">
        <v>2514</v>
      </c>
      <c r="B2515">
        <v>0</v>
      </c>
      <c r="C2515" t="s">
        <v>31</v>
      </c>
      <c r="D2515" t="s">
        <v>32</v>
      </c>
      <c r="E2515">
        <v>1800000</v>
      </c>
      <c r="F2515">
        <v>4200000</v>
      </c>
      <c r="G2515">
        <v>6</v>
      </c>
      <c r="H2515">
        <v>836</v>
      </c>
      <c r="I2515">
        <v>1300000</v>
      </c>
      <c r="J2515">
        <v>1900000</v>
      </c>
      <c r="K2515">
        <v>6800000</v>
      </c>
      <c r="L2515">
        <v>2000000</v>
      </c>
      <c r="M2515" t="s">
        <v>34</v>
      </c>
      <c r="N2515">
        <f t="shared" si="235"/>
        <v>1</v>
      </c>
      <c r="O2515" t="str">
        <f t="shared" si="234"/>
        <v>Excellent</v>
      </c>
      <c r="P2515" t="str">
        <f t="shared" si="236"/>
        <v>High</v>
      </c>
      <c r="Q2515" t="str">
        <f t="shared" si="237"/>
        <v>Low Loan</v>
      </c>
      <c r="R2515">
        <f t="shared" si="238"/>
        <v>12000000</v>
      </c>
      <c r="S2515" t="str">
        <f t="shared" si="239"/>
        <v>Strong</v>
      </c>
    </row>
    <row r="2516" spans="1:19" x14ac:dyDescent="0.25">
      <c r="A2516">
        <v>2515</v>
      </c>
      <c r="B2516">
        <v>3</v>
      </c>
      <c r="C2516" t="s">
        <v>30</v>
      </c>
      <c r="D2516" t="s">
        <v>32</v>
      </c>
      <c r="E2516">
        <v>500000</v>
      </c>
      <c r="F2516">
        <v>1700000</v>
      </c>
      <c r="G2516">
        <v>10</v>
      </c>
      <c r="H2516">
        <v>509</v>
      </c>
      <c r="I2516">
        <v>400000</v>
      </c>
      <c r="J2516">
        <v>300000</v>
      </c>
      <c r="K2516">
        <v>1400000</v>
      </c>
      <c r="L2516">
        <v>300000</v>
      </c>
      <c r="M2516" t="s">
        <v>35</v>
      </c>
      <c r="N2516">
        <f t="shared" si="235"/>
        <v>0</v>
      </c>
      <c r="O2516" t="str">
        <f t="shared" si="234"/>
        <v>Low</v>
      </c>
      <c r="P2516" t="str">
        <f t="shared" si="236"/>
        <v>Middle</v>
      </c>
      <c r="Q2516" t="str">
        <f t="shared" si="237"/>
        <v>Low Loan</v>
      </c>
      <c r="R2516">
        <f t="shared" si="238"/>
        <v>2400000</v>
      </c>
      <c r="S2516" t="str">
        <f t="shared" si="239"/>
        <v>Weak</v>
      </c>
    </row>
    <row r="2517" spans="1:19" x14ac:dyDescent="0.25">
      <c r="A2517">
        <v>2516</v>
      </c>
      <c r="B2517">
        <v>2</v>
      </c>
      <c r="C2517" t="s">
        <v>31</v>
      </c>
      <c r="D2517" t="s">
        <v>33</v>
      </c>
      <c r="E2517">
        <v>5700000</v>
      </c>
      <c r="F2517">
        <v>20500000</v>
      </c>
      <c r="G2517">
        <v>20</v>
      </c>
      <c r="H2517">
        <v>581</v>
      </c>
      <c r="I2517">
        <v>15200000</v>
      </c>
      <c r="J2517">
        <v>7800000</v>
      </c>
      <c r="K2517">
        <v>11400000</v>
      </c>
      <c r="L2517">
        <v>8500000</v>
      </c>
      <c r="M2517" t="s">
        <v>34</v>
      </c>
      <c r="N2517">
        <f t="shared" si="235"/>
        <v>1</v>
      </c>
      <c r="O2517" t="str">
        <f t="shared" si="234"/>
        <v>Low</v>
      </c>
      <c r="P2517" t="str">
        <f t="shared" si="236"/>
        <v>High</v>
      </c>
      <c r="Q2517" t="str">
        <f t="shared" si="237"/>
        <v>High Loan</v>
      </c>
      <c r="R2517">
        <f t="shared" si="238"/>
        <v>42900000</v>
      </c>
      <c r="S2517" t="str">
        <f t="shared" si="239"/>
        <v>Strong</v>
      </c>
    </row>
    <row r="2518" spans="1:19" x14ac:dyDescent="0.25">
      <c r="A2518">
        <v>2517</v>
      </c>
      <c r="B2518">
        <v>4</v>
      </c>
      <c r="C2518" t="s">
        <v>30</v>
      </c>
      <c r="D2518" t="s">
        <v>32</v>
      </c>
      <c r="E2518">
        <v>300000</v>
      </c>
      <c r="F2518">
        <v>1100000</v>
      </c>
      <c r="G2518">
        <v>4</v>
      </c>
      <c r="H2518">
        <v>359</v>
      </c>
      <c r="I2518">
        <v>100000</v>
      </c>
      <c r="J2518">
        <v>0</v>
      </c>
      <c r="K2518">
        <v>1000000</v>
      </c>
      <c r="L2518">
        <v>200000</v>
      </c>
      <c r="M2518" t="s">
        <v>34</v>
      </c>
      <c r="N2518">
        <f t="shared" si="235"/>
        <v>1</v>
      </c>
      <c r="O2518" t="str">
        <f t="shared" si="234"/>
        <v>Low</v>
      </c>
      <c r="P2518" t="str">
        <f t="shared" si="236"/>
        <v>Middle</v>
      </c>
      <c r="Q2518" t="str">
        <f t="shared" si="237"/>
        <v>Low Loan</v>
      </c>
      <c r="R2518">
        <f t="shared" si="238"/>
        <v>1300000</v>
      </c>
      <c r="S2518" t="str">
        <f t="shared" si="239"/>
        <v>Weak</v>
      </c>
    </row>
    <row r="2519" spans="1:19" x14ac:dyDescent="0.25">
      <c r="A2519">
        <v>2518</v>
      </c>
      <c r="B2519">
        <v>5</v>
      </c>
      <c r="C2519" t="s">
        <v>30</v>
      </c>
      <c r="D2519" t="s">
        <v>33</v>
      </c>
      <c r="E2519">
        <v>2100000</v>
      </c>
      <c r="F2519">
        <v>7100000</v>
      </c>
      <c r="G2519">
        <v>10</v>
      </c>
      <c r="H2519">
        <v>517</v>
      </c>
      <c r="I2519">
        <v>1200000</v>
      </c>
      <c r="J2519">
        <v>2900000</v>
      </c>
      <c r="K2519">
        <v>5400000</v>
      </c>
      <c r="L2519">
        <v>1400000</v>
      </c>
      <c r="M2519" t="s">
        <v>35</v>
      </c>
      <c r="N2519">
        <f t="shared" si="235"/>
        <v>0</v>
      </c>
      <c r="O2519" t="str">
        <f t="shared" si="234"/>
        <v>Low</v>
      </c>
      <c r="P2519" t="str">
        <f t="shared" si="236"/>
        <v>High</v>
      </c>
      <c r="Q2519" t="str">
        <f t="shared" si="237"/>
        <v>Low Loan</v>
      </c>
      <c r="R2519">
        <f t="shared" si="238"/>
        <v>10900000</v>
      </c>
      <c r="S2519" t="str">
        <f t="shared" si="239"/>
        <v>Strong</v>
      </c>
    </row>
    <row r="2520" spans="1:19" x14ac:dyDescent="0.25">
      <c r="A2520">
        <v>2519</v>
      </c>
      <c r="B2520">
        <v>1</v>
      </c>
      <c r="C2520" t="s">
        <v>31</v>
      </c>
      <c r="D2520" t="s">
        <v>33</v>
      </c>
      <c r="E2520">
        <v>5700000</v>
      </c>
      <c r="F2520">
        <v>20100000</v>
      </c>
      <c r="G2520">
        <v>14</v>
      </c>
      <c r="H2520">
        <v>442</v>
      </c>
      <c r="I2520">
        <v>11700000</v>
      </c>
      <c r="J2520">
        <v>7300000</v>
      </c>
      <c r="K2520">
        <v>17900000</v>
      </c>
      <c r="L2520">
        <v>6500000</v>
      </c>
      <c r="M2520" t="s">
        <v>35</v>
      </c>
      <c r="N2520">
        <f t="shared" si="235"/>
        <v>0</v>
      </c>
      <c r="O2520" t="str">
        <f t="shared" si="234"/>
        <v>Low</v>
      </c>
      <c r="P2520" t="str">
        <f t="shared" si="236"/>
        <v>High</v>
      </c>
      <c r="Q2520" t="str">
        <f t="shared" si="237"/>
        <v>High Loan</v>
      </c>
      <c r="R2520">
        <f t="shared" si="238"/>
        <v>43400000</v>
      </c>
      <c r="S2520" t="str">
        <f t="shared" si="239"/>
        <v>Strong</v>
      </c>
    </row>
    <row r="2521" spans="1:19" x14ac:dyDescent="0.25">
      <c r="A2521">
        <v>2520</v>
      </c>
      <c r="B2521">
        <v>1</v>
      </c>
      <c r="C2521" t="s">
        <v>31</v>
      </c>
      <c r="D2521" t="s">
        <v>33</v>
      </c>
      <c r="E2521">
        <v>1100000</v>
      </c>
      <c r="F2521">
        <v>2700000</v>
      </c>
      <c r="G2521">
        <v>16</v>
      </c>
      <c r="H2521">
        <v>346</v>
      </c>
      <c r="I2521">
        <v>1900000</v>
      </c>
      <c r="J2521">
        <v>300000</v>
      </c>
      <c r="K2521">
        <v>2200000</v>
      </c>
      <c r="L2521">
        <v>800000</v>
      </c>
      <c r="M2521" t="s">
        <v>35</v>
      </c>
      <c r="N2521">
        <f t="shared" si="235"/>
        <v>0</v>
      </c>
      <c r="O2521" t="str">
        <f t="shared" si="234"/>
        <v>Low</v>
      </c>
      <c r="P2521" t="str">
        <f t="shared" si="236"/>
        <v>High</v>
      </c>
      <c r="Q2521" t="str">
        <f t="shared" si="237"/>
        <v>Low Loan</v>
      </c>
      <c r="R2521">
        <f t="shared" si="238"/>
        <v>5200000</v>
      </c>
      <c r="S2521" t="str">
        <f t="shared" si="239"/>
        <v>Moderate</v>
      </c>
    </row>
    <row r="2522" spans="1:19" x14ac:dyDescent="0.25">
      <c r="A2522">
        <v>2521</v>
      </c>
      <c r="B2522">
        <v>5</v>
      </c>
      <c r="C2522" t="s">
        <v>30</v>
      </c>
      <c r="D2522" t="s">
        <v>32</v>
      </c>
      <c r="E2522">
        <v>9300000</v>
      </c>
      <c r="F2522">
        <v>34000000</v>
      </c>
      <c r="G2522">
        <v>6</v>
      </c>
      <c r="H2522">
        <v>742</v>
      </c>
      <c r="I2522">
        <v>4200000</v>
      </c>
      <c r="J2522">
        <v>600000</v>
      </c>
      <c r="K2522">
        <v>32800000</v>
      </c>
      <c r="L2522">
        <v>8200000</v>
      </c>
      <c r="M2522" t="s">
        <v>34</v>
      </c>
      <c r="N2522">
        <f t="shared" si="235"/>
        <v>1</v>
      </c>
      <c r="O2522" t="str">
        <f t="shared" si="234"/>
        <v>Good</v>
      </c>
      <c r="P2522" t="str">
        <f t="shared" si="236"/>
        <v>High</v>
      </c>
      <c r="Q2522" t="str">
        <f t="shared" si="237"/>
        <v>High Loan</v>
      </c>
      <c r="R2522">
        <f t="shared" si="238"/>
        <v>45800000</v>
      </c>
      <c r="S2522" t="str">
        <f t="shared" si="239"/>
        <v>Strong</v>
      </c>
    </row>
    <row r="2523" spans="1:19" x14ac:dyDescent="0.25">
      <c r="A2523">
        <v>2522</v>
      </c>
      <c r="B2523">
        <v>1</v>
      </c>
      <c r="C2523" t="s">
        <v>30</v>
      </c>
      <c r="D2523" t="s">
        <v>33</v>
      </c>
      <c r="E2523">
        <v>3500000</v>
      </c>
      <c r="F2523">
        <v>8100000</v>
      </c>
      <c r="G2523">
        <v>10</v>
      </c>
      <c r="H2523">
        <v>626</v>
      </c>
      <c r="I2523">
        <v>7100000</v>
      </c>
      <c r="J2523">
        <v>5500000</v>
      </c>
      <c r="K2523">
        <v>7200000</v>
      </c>
      <c r="L2523">
        <v>2900000</v>
      </c>
      <c r="M2523" t="s">
        <v>34</v>
      </c>
      <c r="N2523">
        <f t="shared" si="235"/>
        <v>1</v>
      </c>
      <c r="O2523" t="str">
        <f t="shared" si="234"/>
        <v>Low</v>
      </c>
      <c r="P2523" t="str">
        <f t="shared" si="236"/>
        <v>High</v>
      </c>
      <c r="Q2523" t="str">
        <f t="shared" si="237"/>
        <v>Low Loan</v>
      </c>
      <c r="R2523">
        <f t="shared" si="238"/>
        <v>22700000</v>
      </c>
      <c r="S2523" t="str">
        <f t="shared" si="239"/>
        <v>Strong</v>
      </c>
    </row>
    <row r="2524" spans="1:19" x14ac:dyDescent="0.25">
      <c r="A2524">
        <v>2523</v>
      </c>
      <c r="B2524">
        <v>0</v>
      </c>
      <c r="C2524" t="s">
        <v>31</v>
      </c>
      <c r="D2524" t="s">
        <v>33</v>
      </c>
      <c r="E2524">
        <v>8200000</v>
      </c>
      <c r="F2524">
        <v>28800000</v>
      </c>
      <c r="G2524">
        <v>4</v>
      </c>
      <c r="H2524">
        <v>619</v>
      </c>
      <c r="I2524">
        <v>9000000</v>
      </c>
      <c r="J2524">
        <v>1100000</v>
      </c>
      <c r="K2524">
        <v>23000000</v>
      </c>
      <c r="L2524">
        <v>6300000</v>
      </c>
      <c r="M2524" t="s">
        <v>34</v>
      </c>
      <c r="N2524">
        <f t="shared" si="235"/>
        <v>1</v>
      </c>
      <c r="O2524" t="str">
        <f t="shared" si="234"/>
        <v>Low</v>
      </c>
      <c r="P2524" t="str">
        <f t="shared" si="236"/>
        <v>High</v>
      </c>
      <c r="Q2524" t="str">
        <f t="shared" si="237"/>
        <v>High Loan</v>
      </c>
      <c r="R2524">
        <f t="shared" si="238"/>
        <v>39400000</v>
      </c>
      <c r="S2524" t="str">
        <f t="shared" si="239"/>
        <v>Strong</v>
      </c>
    </row>
    <row r="2525" spans="1:19" x14ac:dyDescent="0.25">
      <c r="A2525">
        <v>2524</v>
      </c>
      <c r="B2525">
        <v>2</v>
      </c>
      <c r="C2525" t="s">
        <v>31</v>
      </c>
      <c r="D2525" t="s">
        <v>33</v>
      </c>
      <c r="E2525">
        <v>7500000</v>
      </c>
      <c r="F2525">
        <v>17900000</v>
      </c>
      <c r="G2525">
        <v>20</v>
      </c>
      <c r="H2525">
        <v>734</v>
      </c>
      <c r="I2525">
        <v>9100000</v>
      </c>
      <c r="J2525">
        <v>5500000</v>
      </c>
      <c r="K2525">
        <v>23000000</v>
      </c>
      <c r="L2525">
        <v>4900000</v>
      </c>
      <c r="M2525" t="s">
        <v>34</v>
      </c>
      <c r="N2525">
        <f t="shared" si="235"/>
        <v>1</v>
      </c>
      <c r="O2525" t="str">
        <f t="shared" si="234"/>
        <v>Good</v>
      </c>
      <c r="P2525" t="str">
        <f t="shared" si="236"/>
        <v>High</v>
      </c>
      <c r="Q2525" t="str">
        <f t="shared" si="237"/>
        <v>Low Loan</v>
      </c>
      <c r="R2525">
        <f t="shared" si="238"/>
        <v>42500000</v>
      </c>
      <c r="S2525" t="str">
        <f t="shared" si="239"/>
        <v>Strong</v>
      </c>
    </row>
    <row r="2526" spans="1:19" x14ac:dyDescent="0.25">
      <c r="A2526">
        <v>2525</v>
      </c>
      <c r="B2526">
        <v>1</v>
      </c>
      <c r="C2526" t="s">
        <v>30</v>
      </c>
      <c r="D2526" t="s">
        <v>33</v>
      </c>
      <c r="E2526">
        <v>7000000</v>
      </c>
      <c r="F2526">
        <v>25600000</v>
      </c>
      <c r="G2526">
        <v>6</v>
      </c>
      <c r="H2526">
        <v>420</v>
      </c>
      <c r="I2526">
        <v>15100000</v>
      </c>
      <c r="J2526">
        <v>11500000</v>
      </c>
      <c r="K2526">
        <v>15300000</v>
      </c>
      <c r="L2526">
        <v>8700000</v>
      </c>
      <c r="M2526" t="s">
        <v>35</v>
      </c>
      <c r="N2526">
        <f t="shared" si="235"/>
        <v>0</v>
      </c>
      <c r="O2526" t="str">
        <f t="shared" si="234"/>
        <v>Low</v>
      </c>
      <c r="P2526" t="str">
        <f t="shared" si="236"/>
        <v>High</v>
      </c>
      <c r="Q2526" t="str">
        <f t="shared" si="237"/>
        <v>High Loan</v>
      </c>
      <c r="R2526">
        <f t="shared" si="238"/>
        <v>50600000</v>
      </c>
      <c r="S2526" t="str">
        <f t="shared" si="239"/>
        <v>Strong</v>
      </c>
    </row>
    <row r="2527" spans="1:19" x14ac:dyDescent="0.25">
      <c r="A2527">
        <v>2526</v>
      </c>
      <c r="B2527">
        <v>5</v>
      </c>
      <c r="C2527" t="s">
        <v>31</v>
      </c>
      <c r="D2527" t="s">
        <v>33</v>
      </c>
      <c r="E2527">
        <v>3900000</v>
      </c>
      <c r="F2527">
        <v>8300000</v>
      </c>
      <c r="G2527">
        <v>18</v>
      </c>
      <c r="H2527">
        <v>600</v>
      </c>
      <c r="I2527">
        <v>3900000</v>
      </c>
      <c r="J2527">
        <v>600000</v>
      </c>
      <c r="K2527">
        <v>10400000</v>
      </c>
      <c r="L2527">
        <v>5600000</v>
      </c>
      <c r="M2527" t="s">
        <v>34</v>
      </c>
      <c r="N2527">
        <f t="shared" si="235"/>
        <v>1</v>
      </c>
      <c r="O2527" t="str">
        <f t="shared" si="234"/>
        <v>Low</v>
      </c>
      <c r="P2527" t="str">
        <f t="shared" si="236"/>
        <v>High</v>
      </c>
      <c r="Q2527" t="str">
        <f t="shared" si="237"/>
        <v>Low Loan</v>
      </c>
      <c r="R2527">
        <f t="shared" si="238"/>
        <v>20500000</v>
      </c>
      <c r="S2527" t="str">
        <f t="shared" si="239"/>
        <v>Strong</v>
      </c>
    </row>
    <row r="2528" spans="1:19" x14ac:dyDescent="0.25">
      <c r="A2528">
        <v>2527</v>
      </c>
      <c r="B2528">
        <v>3</v>
      </c>
      <c r="C2528" t="s">
        <v>30</v>
      </c>
      <c r="D2528" t="s">
        <v>33</v>
      </c>
      <c r="E2528">
        <v>4700000</v>
      </c>
      <c r="F2528">
        <v>13200000</v>
      </c>
      <c r="G2528">
        <v>12</v>
      </c>
      <c r="H2528">
        <v>440</v>
      </c>
      <c r="I2528">
        <v>4000000</v>
      </c>
      <c r="J2528">
        <v>3300000</v>
      </c>
      <c r="K2528">
        <v>16600000</v>
      </c>
      <c r="L2528">
        <v>4300000</v>
      </c>
      <c r="M2528" t="s">
        <v>35</v>
      </c>
      <c r="N2528">
        <f t="shared" si="235"/>
        <v>0</v>
      </c>
      <c r="O2528" t="str">
        <f t="shared" si="234"/>
        <v>Low</v>
      </c>
      <c r="P2528" t="str">
        <f t="shared" si="236"/>
        <v>High</v>
      </c>
      <c r="Q2528" t="str">
        <f t="shared" si="237"/>
        <v>Low Loan</v>
      </c>
      <c r="R2528">
        <f t="shared" si="238"/>
        <v>28200000</v>
      </c>
      <c r="S2528" t="str">
        <f t="shared" si="239"/>
        <v>Strong</v>
      </c>
    </row>
    <row r="2529" spans="1:19" x14ac:dyDescent="0.25">
      <c r="A2529">
        <v>2528</v>
      </c>
      <c r="B2529">
        <v>5</v>
      </c>
      <c r="C2529" t="s">
        <v>31</v>
      </c>
      <c r="D2529" t="s">
        <v>33</v>
      </c>
      <c r="E2529">
        <v>1700000</v>
      </c>
      <c r="F2529">
        <v>5200000</v>
      </c>
      <c r="G2529">
        <v>16</v>
      </c>
      <c r="H2529">
        <v>820</v>
      </c>
      <c r="I2529">
        <v>1700000</v>
      </c>
      <c r="J2529">
        <v>1200000</v>
      </c>
      <c r="K2529">
        <v>4000000</v>
      </c>
      <c r="L2529">
        <v>1000000</v>
      </c>
      <c r="M2529" t="s">
        <v>34</v>
      </c>
      <c r="N2529">
        <f t="shared" si="235"/>
        <v>1</v>
      </c>
      <c r="O2529" t="str">
        <f t="shared" si="234"/>
        <v>Excellent</v>
      </c>
      <c r="P2529" t="str">
        <f t="shared" si="236"/>
        <v>High</v>
      </c>
      <c r="Q2529" t="str">
        <f t="shared" si="237"/>
        <v>Low Loan</v>
      </c>
      <c r="R2529">
        <f t="shared" si="238"/>
        <v>7900000</v>
      </c>
      <c r="S2529" t="str">
        <f t="shared" si="239"/>
        <v>Moderate</v>
      </c>
    </row>
    <row r="2530" spans="1:19" x14ac:dyDescent="0.25">
      <c r="A2530">
        <v>2529</v>
      </c>
      <c r="B2530">
        <v>0</v>
      </c>
      <c r="C2530" t="s">
        <v>30</v>
      </c>
      <c r="D2530" t="s">
        <v>32</v>
      </c>
      <c r="E2530">
        <v>2500000</v>
      </c>
      <c r="F2530">
        <v>7800000</v>
      </c>
      <c r="G2530">
        <v>8</v>
      </c>
      <c r="H2530">
        <v>437</v>
      </c>
      <c r="I2530">
        <v>5800000</v>
      </c>
      <c r="J2530">
        <v>0</v>
      </c>
      <c r="K2530">
        <v>5800000</v>
      </c>
      <c r="L2530">
        <v>3300000</v>
      </c>
      <c r="M2530" t="s">
        <v>35</v>
      </c>
      <c r="N2530">
        <f t="shared" si="235"/>
        <v>0</v>
      </c>
      <c r="O2530" t="str">
        <f t="shared" si="234"/>
        <v>Low</v>
      </c>
      <c r="P2530" t="str">
        <f t="shared" si="236"/>
        <v>High</v>
      </c>
      <c r="Q2530" t="str">
        <f t="shared" si="237"/>
        <v>Low Loan</v>
      </c>
      <c r="R2530">
        <f t="shared" si="238"/>
        <v>14900000</v>
      </c>
      <c r="S2530" t="str">
        <f t="shared" si="239"/>
        <v>Strong</v>
      </c>
    </row>
    <row r="2531" spans="1:19" x14ac:dyDescent="0.25">
      <c r="A2531">
        <v>2530</v>
      </c>
      <c r="B2531">
        <v>1</v>
      </c>
      <c r="C2531" t="s">
        <v>31</v>
      </c>
      <c r="D2531" t="s">
        <v>33</v>
      </c>
      <c r="E2531">
        <v>400000</v>
      </c>
      <c r="F2531">
        <v>1400000</v>
      </c>
      <c r="G2531">
        <v>12</v>
      </c>
      <c r="H2531">
        <v>468</v>
      </c>
      <c r="I2531">
        <v>700000</v>
      </c>
      <c r="J2531">
        <v>0</v>
      </c>
      <c r="K2531">
        <v>1500000</v>
      </c>
      <c r="L2531">
        <v>400000</v>
      </c>
      <c r="M2531" t="s">
        <v>35</v>
      </c>
      <c r="N2531">
        <f t="shared" si="235"/>
        <v>0</v>
      </c>
      <c r="O2531" t="str">
        <f t="shared" si="234"/>
        <v>Low</v>
      </c>
      <c r="P2531" t="str">
        <f t="shared" si="236"/>
        <v>Middle</v>
      </c>
      <c r="Q2531" t="str">
        <f t="shared" si="237"/>
        <v>Low Loan</v>
      </c>
      <c r="R2531">
        <f t="shared" si="238"/>
        <v>2600000</v>
      </c>
      <c r="S2531" t="str">
        <f t="shared" si="239"/>
        <v>Weak</v>
      </c>
    </row>
    <row r="2532" spans="1:19" x14ac:dyDescent="0.25">
      <c r="A2532">
        <v>2531</v>
      </c>
      <c r="B2532">
        <v>0</v>
      </c>
      <c r="C2532" t="s">
        <v>31</v>
      </c>
      <c r="D2532" t="s">
        <v>33</v>
      </c>
      <c r="E2532">
        <v>2400000</v>
      </c>
      <c r="F2532">
        <v>9100000</v>
      </c>
      <c r="G2532">
        <v>8</v>
      </c>
      <c r="H2532">
        <v>368</v>
      </c>
      <c r="I2532">
        <v>2200000</v>
      </c>
      <c r="J2532">
        <v>200000</v>
      </c>
      <c r="K2532">
        <v>5600000</v>
      </c>
      <c r="L2532">
        <v>3300000</v>
      </c>
      <c r="M2532" t="s">
        <v>35</v>
      </c>
      <c r="N2532">
        <f t="shared" si="235"/>
        <v>0</v>
      </c>
      <c r="O2532" t="str">
        <f t="shared" si="234"/>
        <v>Low</v>
      </c>
      <c r="P2532" t="str">
        <f t="shared" si="236"/>
        <v>High</v>
      </c>
      <c r="Q2532" t="str">
        <f t="shared" si="237"/>
        <v>Low Loan</v>
      </c>
      <c r="R2532">
        <f t="shared" si="238"/>
        <v>11300000</v>
      </c>
      <c r="S2532" t="str">
        <f t="shared" si="239"/>
        <v>Strong</v>
      </c>
    </row>
    <row r="2533" spans="1:19" x14ac:dyDescent="0.25">
      <c r="A2533">
        <v>2532</v>
      </c>
      <c r="B2533">
        <v>4</v>
      </c>
      <c r="C2533" t="s">
        <v>30</v>
      </c>
      <c r="D2533" t="s">
        <v>32</v>
      </c>
      <c r="E2533">
        <v>5700000</v>
      </c>
      <c r="F2533">
        <v>21900000</v>
      </c>
      <c r="G2533">
        <v>2</v>
      </c>
      <c r="H2533">
        <v>871</v>
      </c>
      <c r="I2533">
        <v>3200000</v>
      </c>
      <c r="J2533">
        <v>1700000</v>
      </c>
      <c r="K2533">
        <v>14400000</v>
      </c>
      <c r="L2533">
        <v>6100000</v>
      </c>
      <c r="M2533" t="s">
        <v>34</v>
      </c>
      <c r="N2533">
        <f t="shared" si="235"/>
        <v>1</v>
      </c>
      <c r="O2533" t="str">
        <f t="shared" si="234"/>
        <v>Excellent</v>
      </c>
      <c r="P2533" t="str">
        <f t="shared" si="236"/>
        <v>High</v>
      </c>
      <c r="Q2533" t="str">
        <f t="shared" si="237"/>
        <v>High Loan</v>
      </c>
      <c r="R2533">
        <f t="shared" si="238"/>
        <v>25400000</v>
      </c>
      <c r="S2533" t="str">
        <f t="shared" si="239"/>
        <v>Strong</v>
      </c>
    </row>
    <row r="2534" spans="1:19" x14ac:dyDescent="0.25">
      <c r="A2534">
        <v>2533</v>
      </c>
      <c r="B2534">
        <v>1</v>
      </c>
      <c r="C2534" t="s">
        <v>30</v>
      </c>
      <c r="D2534" t="s">
        <v>32</v>
      </c>
      <c r="E2534">
        <v>9800000</v>
      </c>
      <c r="F2534">
        <v>37900000</v>
      </c>
      <c r="G2534">
        <v>4</v>
      </c>
      <c r="H2534">
        <v>816</v>
      </c>
      <c r="I2534">
        <v>21800000</v>
      </c>
      <c r="J2534">
        <v>12200000</v>
      </c>
      <c r="K2534">
        <v>26100000</v>
      </c>
      <c r="L2534">
        <v>8500000</v>
      </c>
      <c r="M2534" t="s">
        <v>34</v>
      </c>
      <c r="N2534">
        <f t="shared" si="235"/>
        <v>1</v>
      </c>
      <c r="O2534" t="str">
        <f t="shared" si="234"/>
        <v>Excellent</v>
      </c>
      <c r="P2534" t="str">
        <f t="shared" si="236"/>
        <v>High</v>
      </c>
      <c r="Q2534" t="str">
        <f t="shared" si="237"/>
        <v>High Loan</v>
      </c>
      <c r="R2534">
        <f t="shared" si="238"/>
        <v>68600000</v>
      </c>
      <c r="S2534" t="str">
        <f t="shared" si="239"/>
        <v>Strong</v>
      </c>
    </row>
    <row r="2535" spans="1:19" x14ac:dyDescent="0.25">
      <c r="A2535">
        <v>2534</v>
      </c>
      <c r="B2535">
        <v>5</v>
      </c>
      <c r="C2535" t="s">
        <v>30</v>
      </c>
      <c r="D2535" t="s">
        <v>32</v>
      </c>
      <c r="E2535">
        <v>9000000</v>
      </c>
      <c r="F2535">
        <v>32800000</v>
      </c>
      <c r="G2535">
        <v>4</v>
      </c>
      <c r="H2535">
        <v>773</v>
      </c>
      <c r="I2535">
        <v>10600000</v>
      </c>
      <c r="J2535">
        <v>4100000</v>
      </c>
      <c r="K2535">
        <v>18900000</v>
      </c>
      <c r="L2535">
        <v>11500000</v>
      </c>
      <c r="M2535" t="s">
        <v>34</v>
      </c>
      <c r="N2535">
        <f t="shared" si="235"/>
        <v>1</v>
      </c>
      <c r="O2535" t="str">
        <f t="shared" si="234"/>
        <v>Excellent</v>
      </c>
      <c r="P2535" t="str">
        <f t="shared" si="236"/>
        <v>High</v>
      </c>
      <c r="Q2535" t="str">
        <f t="shared" si="237"/>
        <v>High Loan</v>
      </c>
      <c r="R2535">
        <f t="shared" si="238"/>
        <v>45100000</v>
      </c>
      <c r="S2535" t="str">
        <f t="shared" si="239"/>
        <v>Strong</v>
      </c>
    </row>
    <row r="2536" spans="1:19" x14ac:dyDescent="0.25">
      <c r="A2536">
        <v>2535</v>
      </c>
      <c r="B2536">
        <v>3</v>
      </c>
      <c r="C2536" t="s">
        <v>31</v>
      </c>
      <c r="D2536" t="s">
        <v>32</v>
      </c>
      <c r="E2536">
        <v>800000</v>
      </c>
      <c r="F2536">
        <v>3000000</v>
      </c>
      <c r="G2536">
        <v>14</v>
      </c>
      <c r="H2536">
        <v>576</v>
      </c>
      <c r="I2536">
        <v>1200000</v>
      </c>
      <c r="J2536">
        <v>1300000</v>
      </c>
      <c r="K2536">
        <v>2600000</v>
      </c>
      <c r="L2536">
        <v>400000</v>
      </c>
      <c r="M2536" t="s">
        <v>34</v>
      </c>
      <c r="N2536">
        <f t="shared" si="235"/>
        <v>1</v>
      </c>
      <c r="O2536" t="str">
        <f t="shared" si="234"/>
        <v>Low</v>
      </c>
      <c r="P2536" t="str">
        <f t="shared" si="236"/>
        <v>High</v>
      </c>
      <c r="Q2536" t="str">
        <f t="shared" si="237"/>
        <v>Low Loan</v>
      </c>
      <c r="R2536">
        <f t="shared" si="238"/>
        <v>5500000</v>
      </c>
      <c r="S2536" t="str">
        <f t="shared" si="239"/>
        <v>Moderate</v>
      </c>
    </row>
    <row r="2537" spans="1:19" x14ac:dyDescent="0.25">
      <c r="A2537">
        <v>2536</v>
      </c>
      <c r="B2537">
        <v>1</v>
      </c>
      <c r="C2537" t="s">
        <v>30</v>
      </c>
      <c r="D2537" t="s">
        <v>32</v>
      </c>
      <c r="E2537">
        <v>1600000</v>
      </c>
      <c r="F2537">
        <v>4500000</v>
      </c>
      <c r="G2537">
        <v>14</v>
      </c>
      <c r="H2537">
        <v>673</v>
      </c>
      <c r="I2537">
        <v>1900000</v>
      </c>
      <c r="J2537">
        <v>2700000</v>
      </c>
      <c r="K2537">
        <v>3700000</v>
      </c>
      <c r="L2537">
        <v>1300000</v>
      </c>
      <c r="M2537" t="s">
        <v>34</v>
      </c>
      <c r="N2537">
        <f t="shared" si="235"/>
        <v>1</v>
      </c>
      <c r="O2537" t="str">
        <f t="shared" si="234"/>
        <v>Medium</v>
      </c>
      <c r="P2537" t="str">
        <f t="shared" si="236"/>
        <v>High</v>
      </c>
      <c r="Q2537" t="str">
        <f t="shared" si="237"/>
        <v>Low Loan</v>
      </c>
      <c r="R2537">
        <f t="shared" si="238"/>
        <v>9600000</v>
      </c>
      <c r="S2537" t="str">
        <f t="shared" si="239"/>
        <v>Moderate</v>
      </c>
    </row>
    <row r="2538" spans="1:19" x14ac:dyDescent="0.25">
      <c r="A2538">
        <v>2537</v>
      </c>
      <c r="B2538">
        <v>0</v>
      </c>
      <c r="C2538" t="s">
        <v>30</v>
      </c>
      <c r="D2538" t="s">
        <v>33</v>
      </c>
      <c r="E2538">
        <v>9800000</v>
      </c>
      <c r="F2538">
        <v>34100000</v>
      </c>
      <c r="G2538">
        <v>20</v>
      </c>
      <c r="H2538">
        <v>760</v>
      </c>
      <c r="I2538">
        <v>21500000</v>
      </c>
      <c r="J2538">
        <v>9400000</v>
      </c>
      <c r="K2538">
        <v>33400000</v>
      </c>
      <c r="L2538">
        <v>13600000</v>
      </c>
      <c r="M2538" t="s">
        <v>34</v>
      </c>
      <c r="N2538">
        <f t="shared" si="235"/>
        <v>1</v>
      </c>
      <c r="O2538" t="str">
        <f t="shared" si="234"/>
        <v>Excellent</v>
      </c>
      <c r="P2538" t="str">
        <f t="shared" si="236"/>
        <v>High</v>
      </c>
      <c r="Q2538" t="str">
        <f t="shared" si="237"/>
        <v>High Loan</v>
      </c>
      <c r="R2538">
        <f t="shared" si="238"/>
        <v>77900000</v>
      </c>
      <c r="S2538" t="str">
        <f t="shared" si="239"/>
        <v>Strong</v>
      </c>
    </row>
    <row r="2539" spans="1:19" x14ac:dyDescent="0.25">
      <c r="A2539">
        <v>2538</v>
      </c>
      <c r="B2539">
        <v>5</v>
      </c>
      <c r="C2539" t="s">
        <v>31</v>
      </c>
      <c r="D2539" t="s">
        <v>33</v>
      </c>
      <c r="E2539">
        <v>2900000</v>
      </c>
      <c r="F2539">
        <v>7500000</v>
      </c>
      <c r="G2539">
        <v>12</v>
      </c>
      <c r="H2539">
        <v>678</v>
      </c>
      <c r="I2539">
        <v>3400000</v>
      </c>
      <c r="J2539">
        <v>3000000</v>
      </c>
      <c r="K2539">
        <v>10900000</v>
      </c>
      <c r="L2539">
        <v>3700000</v>
      </c>
      <c r="M2539" t="s">
        <v>34</v>
      </c>
      <c r="N2539">
        <f t="shared" si="235"/>
        <v>1</v>
      </c>
      <c r="O2539" t="str">
        <f t="shared" si="234"/>
        <v>Medium</v>
      </c>
      <c r="P2539" t="str">
        <f t="shared" si="236"/>
        <v>High</v>
      </c>
      <c r="Q2539" t="str">
        <f t="shared" si="237"/>
        <v>Low Loan</v>
      </c>
      <c r="R2539">
        <f t="shared" si="238"/>
        <v>21000000</v>
      </c>
      <c r="S2539" t="str">
        <f t="shared" si="239"/>
        <v>Strong</v>
      </c>
    </row>
    <row r="2540" spans="1:19" x14ac:dyDescent="0.25">
      <c r="A2540">
        <v>2539</v>
      </c>
      <c r="B2540">
        <v>4</v>
      </c>
      <c r="C2540" t="s">
        <v>31</v>
      </c>
      <c r="D2540" t="s">
        <v>33</v>
      </c>
      <c r="E2540">
        <v>3900000</v>
      </c>
      <c r="F2540">
        <v>12000000</v>
      </c>
      <c r="G2540">
        <v>14</v>
      </c>
      <c r="H2540">
        <v>893</v>
      </c>
      <c r="I2540">
        <v>6000000</v>
      </c>
      <c r="J2540">
        <v>4700000</v>
      </c>
      <c r="K2540">
        <v>12900000</v>
      </c>
      <c r="L2540">
        <v>5200000</v>
      </c>
      <c r="M2540" t="s">
        <v>34</v>
      </c>
      <c r="N2540">
        <f t="shared" si="235"/>
        <v>1</v>
      </c>
      <c r="O2540" t="str">
        <f t="shared" si="234"/>
        <v>Excellent</v>
      </c>
      <c r="P2540" t="str">
        <f t="shared" si="236"/>
        <v>High</v>
      </c>
      <c r="Q2540" t="str">
        <f t="shared" si="237"/>
        <v>Low Loan</v>
      </c>
      <c r="R2540">
        <f t="shared" si="238"/>
        <v>28800000</v>
      </c>
      <c r="S2540" t="str">
        <f t="shared" si="239"/>
        <v>Strong</v>
      </c>
    </row>
    <row r="2541" spans="1:19" x14ac:dyDescent="0.25">
      <c r="A2541">
        <v>2540</v>
      </c>
      <c r="B2541">
        <v>0</v>
      </c>
      <c r="C2541" t="s">
        <v>30</v>
      </c>
      <c r="D2541" t="s">
        <v>33</v>
      </c>
      <c r="E2541">
        <v>3300000</v>
      </c>
      <c r="F2541">
        <v>9000000</v>
      </c>
      <c r="G2541">
        <v>18</v>
      </c>
      <c r="H2541">
        <v>754</v>
      </c>
      <c r="I2541">
        <v>6100000</v>
      </c>
      <c r="J2541">
        <v>3900000</v>
      </c>
      <c r="K2541">
        <v>6900000</v>
      </c>
      <c r="L2541">
        <v>4700000</v>
      </c>
      <c r="M2541" t="s">
        <v>34</v>
      </c>
      <c r="N2541">
        <f t="shared" si="235"/>
        <v>1</v>
      </c>
      <c r="O2541" t="str">
        <f t="shared" si="234"/>
        <v>Excellent</v>
      </c>
      <c r="P2541" t="str">
        <f t="shared" si="236"/>
        <v>High</v>
      </c>
      <c r="Q2541" t="str">
        <f t="shared" si="237"/>
        <v>Low Loan</v>
      </c>
      <c r="R2541">
        <f t="shared" si="238"/>
        <v>21600000</v>
      </c>
      <c r="S2541" t="str">
        <f t="shared" si="239"/>
        <v>Strong</v>
      </c>
    </row>
    <row r="2542" spans="1:19" x14ac:dyDescent="0.25">
      <c r="A2542">
        <v>2541</v>
      </c>
      <c r="B2542">
        <v>3</v>
      </c>
      <c r="C2542" t="s">
        <v>30</v>
      </c>
      <c r="D2542" t="s">
        <v>33</v>
      </c>
      <c r="E2542">
        <v>700000</v>
      </c>
      <c r="F2542">
        <v>2200000</v>
      </c>
      <c r="G2542">
        <v>8</v>
      </c>
      <c r="H2542">
        <v>617</v>
      </c>
      <c r="I2542">
        <v>1600000</v>
      </c>
      <c r="J2542">
        <v>400000</v>
      </c>
      <c r="K2542">
        <v>2400000</v>
      </c>
      <c r="L2542">
        <v>900000</v>
      </c>
      <c r="M2542" t="s">
        <v>34</v>
      </c>
      <c r="N2542">
        <f t="shared" si="235"/>
        <v>1</v>
      </c>
      <c r="O2542" t="str">
        <f t="shared" si="234"/>
        <v>Low</v>
      </c>
      <c r="P2542" t="str">
        <f t="shared" si="236"/>
        <v>High</v>
      </c>
      <c r="Q2542" t="str">
        <f t="shared" si="237"/>
        <v>Low Loan</v>
      </c>
      <c r="R2542">
        <f t="shared" si="238"/>
        <v>5300000</v>
      </c>
      <c r="S2542" t="str">
        <f t="shared" si="239"/>
        <v>Moderate</v>
      </c>
    </row>
    <row r="2543" spans="1:19" x14ac:dyDescent="0.25">
      <c r="A2543">
        <v>2542</v>
      </c>
      <c r="B2543">
        <v>3</v>
      </c>
      <c r="C2543" t="s">
        <v>31</v>
      </c>
      <c r="D2543" t="s">
        <v>33</v>
      </c>
      <c r="E2543">
        <v>8400000</v>
      </c>
      <c r="F2543">
        <v>29500000</v>
      </c>
      <c r="G2543">
        <v>20</v>
      </c>
      <c r="H2543">
        <v>661</v>
      </c>
      <c r="I2543">
        <v>14600000</v>
      </c>
      <c r="J2543">
        <v>3400000</v>
      </c>
      <c r="K2543">
        <v>28900000</v>
      </c>
      <c r="L2543">
        <v>10900000</v>
      </c>
      <c r="M2543" t="s">
        <v>34</v>
      </c>
      <c r="N2543">
        <f t="shared" si="235"/>
        <v>1</v>
      </c>
      <c r="O2543" t="str">
        <f t="shared" si="234"/>
        <v>Medium</v>
      </c>
      <c r="P2543" t="str">
        <f t="shared" si="236"/>
        <v>High</v>
      </c>
      <c r="Q2543" t="str">
        <f t="shared" si="237"/>
        <v>High Loan</v>
      </c>
      <c r="R2543">
        <f t="shared" si="238"/>
        <v>57800000</v>
      </c>
      <c r="S2543" t="str">
        <f t="shared" si="239"/>
        <v>Strong</v>
      </c>
    </row>
    <row r="2544" spans="1:19" x14ac:dyDescent="0.25">
      <c r="A2544">
        <v>2543</v>
      </c>
      <c r="B2544">
        <v>1</v>
      </c>
      <c r="C2544" t="s">
        <v>30</v>
      </c>
      <c r="D2544" t="s">
        <v>33</v>
      </c>
      <c r="E2544">
        <v>4000000</v>
      </c>
      <c r="F2544">
        <v>12100000</v>
      </c>
      <c r="G2544">
        <v>12</v>
      </c>
      <c r="H2544">
        <v>356</v>
      </c>
      <c r="I2544">
        <v>10500000</v>
      </c>
      <c r="J2544">
        <v>2500000</v>
      </c>
      <c r="K2544">
        <v>15600000</v>
      </c>
      <c r="L2544">
        <v>5000000</v>
      </c>
      <c r="M2544" t="s">
        <v>35</v>
      </c>
      <c r="N2544">
        <f t="shared" si="235"/>
        <v>0</v>
      </c>
      <c r="O2544" t="str">
        <f t="shared" si="234"/>
        <v>Low</v>
      </c>
      <c r="P2544" t="str">
        <f t="shared" si="236"/>
        <v>High</v>
      </c>
      <c r="Q2544" t="str">
        <f t="shared" si="237"/>
        <v>Low Loan</v>
      </c>
      <c r="R2544">
        <f t="shared" si="238"/>
        <v>33600000</v>
      </c>
      <c r="S2544" t="str">
        <f t="shared" si="239"/>
        <v>Strong</v>
      </c>
    </row>
    <row r="2545" spans="1:19" x14ac:dyDescent="0.25">
      <c r="A2545">
        <v>2544</v>
      </c>
      <c r="B2545">
        <v>0</v>
      </c>
      <c r="C2545" t="s">
        <v>31</v>
      </c>
      <c r="D2545" t="s">
        <v>33</v>
      </c>
      <c r="E2545">
        <v>1900000</v>
      </c>
      <c r="F2545">
        <v>6300000</v>
      </c>
      <c r="G2545">
        <v>16</v>
      </c>
      <c r="H2545">
        <v>811</v>
      </c>
      <c r="I2545">
        <v>1100000</v>
      </c>
      <c r="J2545">
        <v>100000</v>
      </c>
      <c r="K2545">
        <v>5100000</v>
      </c>
      <c r="L2545">
        <v>1900000</v>
      </c>
      <c r="M2545" t="s">
        <v>34</v>
      </c>
      <c r="N2545">
        <f t="shared" si="235"/>
        <v>1</v>
      </c>
      <c r="O2545" t="str">
        <f t="shared" si="234"/>
        <v>Excellent</v>
      </c>
      <c r="P2545" t="str">
        <f t="shared" si="236"/>
        <v>High</v>
      </c>
      <c r="Q2545" t="str">
        <f t="shared" si="237"/>
        <v>Low Loan</v>
      </c>
      <c r="R2545">
        <f t="shared" si="238"/>
        <v>8200000</v>
      </c>
      <c r="S2545" t="str">
        <f t="shared" si="239"/>
        <v>Moderate</v>
      </c>
    </row>
    <row r="2546" spans="1:19" x14ac:dyDescent="0.25">
      <c r="A2546">
        <v>2545</v>
      </c>
      <c r="B2546">
        <v>0</v>
      </c>
      <c r="C2546" t="s">
        <v>31</v>
      </c>
      <c r="D2546" t="s">
        <v>32</v>
      </c>
      <c r="E2546">
        <v>3900000</v>
      </c>
      <c r="F2546">
        <v>14600000</v>
      </c>
      <c r="G2546">
        <v>2</v>
      </c>
      <c r="H2546">
        <v>730</v>
      </c>
      <c r="I2546">
        <v>9200000</v>
      </c>
      <c r="J2546">
        <v>4000000</v>
      </c>
      <c r="K2546">
        <v>14600000</v>
      </c>
      <c r="L2546">
        <v>5400000</v>
      </c>
      <c r="M2546" t="s">
        <v>34</v>
      </c>
      <c r="N2546">
        <f t="shared" si="235"/>
        <v>1</v>
      </c>
      <c r="O2546" t="str">
        <f t="shared" si="234"/>
        <v>Good</v>
      </c>
      <c r="P2546" t="str">
        <f t="shared" si="236"/>
        <v>High</v>
      </c>
      <c r="Q2546" t="str">
        <f t="shared" si="237"/>
        <v>Low Loan</v>
      </c>
      <c r="R2546">
        <f t="shared" si="238"/>
        <v>33200000</v>
      </c>
      <c r="S2546" t="str">
        <f t="shared" si="239"/>
        <v>Strong</v>
      </c>
    </row>
    <row r="2547" spans="1:19" x14ac:dyDescent="0.25">
      <c r="A2547">
        <v>2546</v>
      </c>
      <c r="B2547">
        <v>5</v>
      </c>
      <c r="C2547" t="s">
        <v>31</v>
      </c>
      <c r="D2547" t="s">
        <v>32</v>
      </c>
      <c r="E2547">
        <v>7400000</v>
      </c>
      <c r="F2547">
        <v>18000000</v>
      </c>
      <c r="G2547">
        <v>2</v>
      </c>
      <c r="H2547">
        <v>792</v>
      </c>
      <c r="I2547">
        <v>5300000</v>
      </c>
      <c r="J2547">
        <v>9400000</v>
      </c>
      <c r="K2547">
        <v>19900000</v>
      </c>
      <c r="L2547">
        <v>5300000</v>
      </c>
      <c r="M2547" t="s">
        <v>34</v>
      </c>
      <c r="N2547">
        <f t="shared" si="235"/>
        <v>1</v>
      </c>
      <c r="O2547" t="str">
        <f t="shared" si="234"/>
        <v>Excellent</v>
      </c>
      <c r="P2547" t="str">
        <f t="shared" si="236"/>
        <v>High</v>
      </c>
      <c r="Q2547" t="str">
        <f t="shared" si="237"/>
        <v>Low Loan</v>
      </c>
      <c r="R2547">
        <f t="shared" si="238"/>
        <v>39900000</v>
      </c>
      <c r="S2547" t="str">
        <f t="shared" si="239"/>
        <v>Strong</v>
      </c>
    </row>
    <row r="2548" spans="1:19" x14ac:dyDescent="0.25">
      <c r="A2548">
        <v>2547</v>
      </c>
      <c r="B2548">
        <v>5</v>
      </c>
      <c r="C2548" t="s">
        <v>31</v>
      </c>
      <c r="D2548" t="s">
        <v>33</v>
      </c>
      <c r="E2548">
        <v>5900000</v>
      </c>
      <c r="F2548">
        <v>16000000</v>
      </c>
      <c r="G2548">
        <v>6</v>
      </c>
      <c r="H2548">
        <v>798</v>
      </c>
      <c r="I2548">
        <v>15900000</v>
      </c>
      <c r="J2548">
        <v>5000000</v>
      </c>
      <c r="K2548">
        <v>12300000</v>
      </c>
      <c r="L2548">
        <v>3100000</v>
      </c>
      <c r="M2548" t="s">
        <v>34</v>
      </c>
      <c r="N2548">
        <f t="shared" si="235"/>
        <v>1</v>
      </c>
      <c r="O2548" t="str">
        <f t="shared" si="234"/>
        <v>Excellent</v>
      </c>
      <c r="P2548" t="str">
        <f t="shared" si="236"/>
        <v>High</v>
      </c>
      <c r="Q2548" t="str">
        <f t="shared" si="237"/>
        <v>Low Loan</v>
      </c>
      <c r="R2548">
        <f t="shared" si="238"/>
        <v>36300000</v>
      </c>
      <c r="S2548" t="str">
        <f t="shared" si="239"/>
        <v>Strong</v>
      </c>
    </row>
    <row r="2549" spans="1:19" x14ac:dyDescent="0.25">
      <c r="A2549">
        <v>2548</v>
      </c>
      <c r="B2549">
        <v>2</v>
      </c>
      <c r="C2549" t="s">
        <v>31</v>
      </c>
      <c r="D2549" t="s">
        <v>32</v>
      </c>
      <c r="E2549">
        <v>1400000</v>
      </c>
      <c r="F2549">
        <v>2900000</v>
      </c>
      <c r="G2549">
        <v>12</v>
      </c>
      <c r="H2549">
        <v>490</v>
      </c>
      <c r="I2549">
        <v>600000</v>
      </c>
      <c r="J2549">
        <v>1600000</v>
      </c>
      <c r="K2549">
        <v>5500000</v>
      </c>
      <c r="L2549">
        <v>1300000</v>
      </c>
      <c r="M2549" t="s">
        <v>35</v>
      </c>
      <c r="N2549">
        <f t="shared" si="235"/>
        <v>0</v>
      </c>
      <c r="O2549" t="str">
        <f t="shared" si="234"/>
        <v>Low</v>
      </c>
      <c r="P2549" t="str">
        <f t="shared" si="236"/>
        <v>High</v>
      </c>
      <c r="Q2549" t="str">
        <f t="shared" si="237"/>
        <v>Low Loan</v>
      </c>
      <c r="R2549">
        <f t="shared" si="238"/>
        <v>9000000</v>
      </c>
      <c r="S2549" t="str">
        <f t="shared" si="239"/>
        <v>Moderate</v>
      </c>
    </row>
    <row r="2550" spans="1:19" x14ac:dyDescent="0.25">
      <c r="A2550">
        <v>2549</v>
      </c>
      <c r="B2550">
        <v>2</v>
      </c>
      <c r="C2550" t="s">
        <v>30</v>
      </c>
      <c r="D2550" t="s">
        <v>33</v>
      </c>
      <c r="E2550">
        <v>1800000</v>
      </c>
      <c r="F2550">
        <v>5500000</v>
      </c>
      <c r="G2550">
        <v>6</v>
      </c>
      <c r="H2550">
        <v>448</v>
      </c>
      <c r="I2550">
        <v>2900000</v>
      </c>
      <c r="J2550">
        <v>300000</v>
      </c>
      <c r="K2550">
        <v>5600000</v>
      </c>
      <c r="L2550">
        <v>1300000</v>
      </c>
      <c r="M2550" t="s">
        <v>35</v>
      </c>
      <c r="N2550">
        <f t="shared" si="235"/>
        <v>0</v>
      </c>
      <c r="O2550" t="str">
        <f t="shared" si="234"/>
        <v>Low</v>
      </c>
      <c r="P2550" t="str">
        <f t="shared" si="236"/>
        <v>High</v>
      </c>
      <c r="Q2550" t="str">
        <f t="shared" si="237"/>
        <v>Low Loan</v>
      </c>
      <c r="R2550">
        <f t="shared" si="238"/>
        <v>10100000</v>
      </c>
      <c r="S2550" t="str">
        <f t="shared" si="239"/>
        <v>Strong</v>
      </c>
    </row>
    <row r="2551" spans="1:19" x14ac:dyDescent="0.25">
      <c r="A2551">
        <v>2550</v>
      </c>
      <c r="B2551">
        <v>0</v>
      </c>
      <c r="C2551" t="s">
        <v>30</v>
      </c>
      <c r="D2551" t="s">
        <v>33</v>
      </c>
      <c r="E2551">
        <v>1000000</v>
      </c>
      <c r="F2551">
        <v>3100000</v>
      </c>
      <c r="G2551">
        <v>6</v>
      </c>
      <c r="H2551">
        <v>525</v>
      </c>
      <c r="I2551">
        <v>1900000</v>
      </c>
      <c r="J2551">
        <v>1700000</v>
      </c>
      <c r="K2551">
        <v>2800000</v>
      </c>
      <c r="L2551">
        <v>1400000</v>
      </c>
      <c r="M2551" t="s">
        <v>35</v>
      </c>
      <c r="N2551">
        <f t="shared" si="235"/>
        <v>0</v>
      </c>
      <c r="O2551" t="str">
        <f t="shared" si="234"/>
        <v>Low</v>
      </c>
      <c r="P2551" t="str">
        <f t="shared" si="236"/>
        <v>High</v>
      </c>
      <c r="Q2551" t="str">
        <f t="shared" si="237"/>
        <v>Low Loan</v>
      </c>
      <c r="R2551">
        <f t="shared" si="238"/>
        <v>7800000</v>
      </c>
      <c r="S2551" t="str">
        <f t="shared" si="239"/>
        <v>Moderate</v>
      </c>
    </row>
    <row r="2552" spans="1:19" x14ac:dyDescent="0.25">
      <c r="A2552">
        <v>2551</v>
      </c>
      <c r="B2552">
        <v>1</v>
      </c>
      <c r="C2552" t="s">
        <v>30</v>
      </c>
      <c r="D2552" t="s">
        <v>32</v>
      </c>
      <c r="E2552">
        <v>7400000</v>
      </c>
      <c r="F2552">
        <v>19200000</v>
      </c>
      <c r="G2552">
        <v>20</v>
      </c>
      <c r="H2552">
        <v>415</v>
      </c>
      <c r="I2552">
        <v>2200000</v>
      </c>
      <c r="J2552">
        <v>4800000</v>
      </c>
      <c r="K2552">
        <v>29200000</v>
      </c>
      <c r="L2552">
        <v>7000000</v>
      </c>
      <c r="M2552" t="s">
        <v>35</v>
      </c>
      <c r="N2552">
        <f t="shared" si="235"/>
        <v>0</v>
      </c>
      <c r="O2552" t="str">
        <f t="shared" si="234"/>
        <v>Low</v>
      </c>
      <c r="P2552" t="str">
        <f t="shared" si="236"/>
        <v>High</v>
      </c>
      <c r="Q2552" t="str">
        <f t="shared" si="237"/>
        <v>Low Loan</v>
      </c>
      <c r="R2552">
        <f t="shared" si="238"/>
        <v>43200000</v>
      </c>
      <c r="S2552" t="str">
        <f t="shared" si="239"/>
        <v>Strong</v>
      </c>
    </row>
    <row r="2553" spans="1:19" x14ac:dyDescent="0.25">
      <c r="A2553">
        <v>2552</v>
      </c>
      <c r="B2553">
        <v>5</v>
      </c>
      <c r="C2553" t="s">
        <v>30</v>
      </c>
      <c r="D2553" t="s">
        <v>32</v>
      </c>
      <c r="E2553">
        <v>2700000</v>
      </c>
      <c r="F2553">
        <v>10600000</v>
      </c>
      <c r="G2553">
        <v>16</v>
      </c>
      <c r="H2553">
        <v>496</v>
      </c>
      <c r="I2553">
        <v>800000</v>
      </c>
      <c r="J2553">
        <v>2900000</v>
      </c>
      <c r="K2553">
        <v>9700000</v>
      </c>
      <c r="L2553">
        <v>2400000</v>
      </c>
      <c r="M2553" t="s">
        <v>35</v>
      </c>
      <c r="N2553">
        <f t="shared" si="235"/>
        <v>0</v>
      </c>
      <c r="O2553" t="str">
        <f t="shared" si="234"/>
        <v>Low</v>
      </c>
      <c r="P2553" t="str">
        <f t="shared" si="236"/>
        <v>High</v>
      </c>
      <c r="Q2553" t="str">
        <f t="shared" si="237"/>
        <v>Low Loan</v>
      </c>
      <c r="R2553">
        <f t="shared" si="238"/>
        <v>15800000</v>
      </c>
      <c r="S2553" t="str">
        <f t="shared" si="239"/>
        <v>Strong</v>
      </c>
    </row>
    <row r="2554" spans="1:19" x14ac:dyDescent="0.25">
      <c r="A2554">
        <v>2553</v>
      </c>
      <c r="B2554">
        <v>1</v>
      </c>
      <c r="C2554" t="s">
        <v>31</v>
      </c>
      <c r="D2554" t="s">
        <v>33</v>
      </c>
      <c r="E2554">
        <v>3600000</v>
      </c>
      <c r="F2554">
        <v>13100000</v>
      </c>
      <c r="G2554">
        <v>8</v>
      </c>
      <c r="H2554">
        <v>543</v>
      </c>
      <c r="I2554">
        <v>2900000</v>
      </c>
      <c r="J2554">
        <v>100000</v>
      </c>
      <c r="K2554">
        <v>9900000</v>
      </c>
      <c r="L2554">
        <v>2700000</v>
      </c>
      <c r="M2554" t="s">
        <v>35</v>
      </c>
      <c r="N2554">
        <f t="shared" si="235"/>
        <v>0</v>
      </c>
      <c r="O2554" t="str">
        <f t="shared" si="234"/>
        <v>Low</v>
      </c>
      <c r="P2554" t="str">
        <f t="shared" si="236"/>
        <v>High</v>
      </c>
      <c r="Q2554" t="str">
        <f t="shared" si="237"/>
        <v>Low Loan</v>
      </c>
      <c r="R2554">
        <f t="shared" si="238"/>
        <v>15600000</v>
      </c>
      <c r="S2554" t="str">
        <f t="shared" si="239"/>
        <v>Strong</v>
      </c>
    </row>
    <row r="2555" spans="1:19" x14ac:dyDescent="0.25">
      <c r="A2555">
        <v>2554</v>
      </c>
      <c r="B2555">
        <v>5</v>
      </c>
      <c r="C2555" t="s">
        <v>30</v>
      </c>
      <c r="D2555" t="s">
        <v>32</v>
      </c>
      <c r="E2555">
        <v>7000000</v>
      </c>
      <c r="F2555">
        <v>18400000</v>
      </c>
      <c r="G2555">
        <v>12</v>
      </c>
      <c r="H2555">
        <v>520</v>
      </c>
      <c r="I2555">
        <v>4700000</v>
      </c>
      <c r="J2555">
        <v>11900000</v>
      </c>
      <c r="K2555">
        <v>17000000</v>
      </c>
      <c r="L2555">
        <v>3800000</v>
      </c>
      <c r="M2555" t="s">
        <v>35</v>
      </c>
      <c r="N2555">
        <f t="shared" si="235"/>
        <v>0</v>
      </c>
      <c r="O2555" t="str">
        <f t="shared" si="234"/>
        <v>Low</v>
      </c>
      <c r="P2555" t="str">
        <f t="shared" si="236"/>
        <v>High</v>
      </c>
      <c r="Q2555" t="str">
        <f t="shared" si="237"/>
        <v>Low Loan</v>
      </c>
      <c r="R2555">
        <f t="shared" si="238"/>
        <v>37400000</v>
      </c>
      <c r="S2555" t="str">
        <f t="shared" si="239"/>
        <v>Strong</v>
      </c>
    </row>
    <row r="2556" spans="1:19" x14ac:dyDescent="0.25">
      <c r="A2556">
        <v>2555</v>
      </c>
      <c r="B2556">
        <v>4</v>
      </c>
      <c r="C2556" t="s">
        <v>31</v>
      </c>
      <c r="D2556" t="s">
        <v>33</v>
      </c>
      <c r="E2556">
        <v>5000000</v>
      </c>
      <c r="F2556">
        <v>18000000</v>
      </c>
      <c r="G2556">
        <v>14</v>
      </c>
      <c r="H2556">
        <v>307</v>
      </c>
      <c r="I2556">
        <v>5300000</v>
      </c>
      <c r="J2556">
        <v>5600000</v>
      </c>
      <c r="K2556">
        <v>12800000</v>
      </c>
      <c r="L2556">
        <v>3300000</v>
      </c>
      <c r="M2556" t="s">
        <v>35</v>
      </c>
      <c r="N2556">
        <f t="shared" si="235"/>
        <v>0</v>
      </c>
      <c r="O2556" t="str">
        <f t="shared" si="234"/>
        <v>Low</v>
      </c>
      <c r="P2556" t="str">
        <f t="shared" si="236"/>
        <v>High</v>
      </c>
      <c r="Q2556" t="str">
        <f t="shared" si="237"/>
        <v>Low Loan</v>
      </c>
      <c r="R2556">
        <f t="shared" si="238"/>
        <v>27000000</v>
      </c>
      <c r="S2556" t="str">
        <f t="shared" si="239"/>
        <v>Strong</v>
      </c>
    </row>
    <row r="2557" spans="1:19" x14ac:dyDescent="0.25">
      <c r="A2557">
        <v>2556</v>
      </c>
      <c r="B2557">
        <v>2</v>
      </c>
      <c r="C2557" t="s">
        <v>30</v>
      </c>
      <c r="D2557" t="s">
        <v>32</v>
      </c>
      <c r="E2557">
        <v>1800000</v>
      </c>
      <c r="F2557">
        <v>5700000</v>
      </c>
      <c r="G2557">
        <v>14</v>
      </c>
      <c r="H2557">
        <v>502</v>
      </c>
      <c r="I2557">
        <v>1400000</v>
      </c>
      <c r="J2557">
        <v>1100000</v>
      </c>
      <c r="K2557">
        <v>4400000</v>
      </c>
      <c r="L2557">
        <v>1300000</v>
      </c>
      <c r="M2557" t="s">
        <v>35</v>
      </c>
      <c r="N2557">
        <f t="shared" si="235"/>
        <v>0</v>
      </c>
      <c r="O2557" t="str">
        <f t="shared" si="234"/>
        <v>Low</v>
      </c>
      <c r="P2557" t="str">
        <f t="shared" si="236"/>
        <v>High</v>
      </c>
      <c r="Q2557" t="str">
        <f t="shared" si="237"/>
        <v>Low Loan</v>
      </c>
      <c r="R2557">
        <f t="shared" si="238"/>
        <v>8200000</v>
      </c>
      <c r="S2557" t="str">
        <f t="shared" si="239"/>
        <v>Moderate</v>
      </c>
    </row>
    <row r="2558" spans="1:19" x14ac:dyDescent="0.25">
      <c r="A2558">
        <v>2557</v>
      </c>
      <c r="B2558">
        <v>2</v>
      </c>
      <c r="C2558" t="s">
        <v>30</v>
      </c>
      <c r="D2558" t="s">
        <v>33</v>
      </c>
      <c r="E2558">
        <v>4700000</v>
      </c>
      <c r="F2558">
        <v>12000000</v>
      </c>
      <c r="G2558">
        <v>6</v>
      </c>
      <c r="H2558">
        <v>505</v>
      </c>
      <c r="I2558">
        <v>3400000</v>
      </c>
      <c r="J2558">
        <v>3800000</v>
      </c>
      <c r="K2558">
        <v>18000000</v>
      </c>
      <c r="L2558">
        <v>2300000</v>
      </c>
      <c r="M2558" t="s">
        <v>35</v>
      </c>
      <c r="N2558">
        <f t="shared" si="235"/>
        <v>0</v>
      </c>
      <c r="O2558" t="str">
        <f t="shared" si="234"/>
        <v>Low</v>
      </c>
      <c r="P2558" t="str">
        <f t="shared" si="236"/>
        <v>High</v>
      </c>
      <c r="Q2558" t="str">
        <f t="shared" si="237"/>
        <v>Low Loan</v>
      </c>
      <c r="R2558">
        <f t="shared" si="238"/>
        <v>27500000</v>
      </c>
      <c r="S2558" t="str">
        <f t="shared" si="239"/>
        <v>Strong</v>
      </c>
    </row>
    <row r="2559" spans="1:19" x14ac:dyDescent="0.25">
      <c r="A2559">
        <v>2558</v>
      </c>
      <c r="B2559">
        <v>2</v>
      </c>
      <c r="C2559" t="s">
        <v>31</v>
      </c>
      <c r="D2559" t="s">
        <v>33</v>
      </c>
      <c r="E2559">
        <v>6700000</v>
      </c>
      <c r="F2559">
        <v>23100000</v>
      </c>
      <c r="G2559">
        <v>4</v>
      </c>
      <c r="H2559">
        <v>304</v>
      </c>
      <c r="I2559">
        <v>14400000</v>
      </c>
      <c r="J2559">
        <v>7100000</v>
      </c>
      <c r="K2559">
        <v>24300000</v>
      </c>
      <c r="L2559">
        <v>10000000</v>
      </c>
      <c r="M2559" t="s">
        <v>34</v>
      </c>
      <c r="N2559">
        <f t="shared" si="235"/>
        <v>1</v>
      </c>
      <c r="O2559" t="str">
        <f t="shared" si="234"/>
        <v>Low</v>
      </c>
      <c r="P2559" t="str">
        <f t="shared" si="236"/>
        <v>High</v>
      </c>
      <c r="Q2559" t="str">
        <f t="shared" si="237"/>
        <v>High Loan</v>
      </c>
      <c r="R2559">
        <f t="shared" si="238"/>
        <v>55800000</v>
      </c>
      <c r="S2559" t="str">
        <f t="shared" si="239"/>
        <v>Strong</v>
      </c>
    </row>
    <row r="2560" spans="1:19" x14ac:dyDescent="0.25">
      <c r="A2560">
        <v>2559</v>
      </c>
      <c r="B2560">
        <v>5</v>
      </c>
      <c r="C2560" t="s">
        <v>31</v>
      </c>
      <c r="D2560" t="s">
        <v>32</v>
      </c>
      <c r="E2560">
        <v>5800000</v>
      </c>
      <c r="F2560">
        <v>17500000</v>
      </c>
      <c r="G2560">
        <v>10</v>
      </c>
      <c r="H2560">
        <v>719</v>
      </c>
      <c r="I2560">
        <v>5800000</v>
      </c>
      <c r="J2560">
        <v>1900000</v>
      </c>
      <c r="K2560">
        <v>12400000</v>
      </c>
      <c r="L2560">
        <v>3100000</v>
      </c>
      <c r="M2560" t="s">
        <v>34</v>
      </c>
      <c r="N2560">
        <f t="shared" si="235"/>
        <v>1</v>
      </c>
      <c r="O2560" t="str">
        <f t="shared" si="234"/>
        <v>Good</v>
      </c>
      <c r="P2560" t="str">
        <f t="shared" si="236"/>
        <v>High</v>
      </c>
      <c r="Q2560" t="str">
        <f t="shared" si="237"/>
        <v>Low Loan</v>
      </c>
      <c r="R2560">
        <f t="shared" si="238"/>
        <v>23200000</v>
      </c>
      <c r="S2560" t="str">
        <f t="shared" si="239"/>
        <v>Strong</v>
      </c>
    </row>
    <row r="2561" spans="1:19" x14ac:dyDescent="0.25">
      <c r="A2561">
        <v>2560</v>
      </c>
      <c r="B2561">
        <v>0</v>
      </c>
      <c r="C2561" t="s">
        <v>30</v>
      </c>
      <c r="D2561" t="s">
        <v>33</v>
      </c>
      <c r="E2561">
        <v>5900000</v>
      </c>
      <c r="F2561">
        <v>22700000</v>
      </c>
      <c r="G2561">
        <v>18</v>
      </c>
      <c r="H2561">
        <v>855</v>
      </c>
      <c r="I2561">
        <v>13400000</v>
      </c>
      <c r="J2561">
        <v>6300000</v>
      </c>
      <c r="K2561">
        <v>14500000</v>
      </c>
      <c r="L2561">
        <v>4000000</v>
      </c>
      <c r="M2561" t="s">
        <v>34</v>
      </c>
      <c r="N2561">
        <f t="shared" si="235"/>
        <v>1</v>
      </c>
      <c r="O2561" t="str">
        <f t="shared" si="234"/>
        <v>Excellent</v>
      </c>
      <c r="P2561" t="str">
        <f t="shared" si="236"/>
        <v>High</v>
      </c>
      <c r="Q2561" t="str">
        <f t="shared" si="237"/>
        <v>High Loan</v>
      </c>
      <c r="R2561">
        <f t="shared" si="238"/>
        <v>38200000</v>
      </c>
      <c r="S2561" t="str">
        <f t="shared" si="239"/>
        <v>Strong</v>
      </c>
    </row>
    <row r="2562" spans="1:19" x14ac:dyDescent="0.25">
      <c r="A2562">
        <v>2561</v>
      </c>
      <c r="B2562">
        <v>4</v>
      </c>
      <c r="C2562" t="s">
        <v>31</v>
      </c>
      <c r="D2562" t="s">
        <v>32</v>
      </c>
      <c r="E2562">
        <v>6000000</v>
      </c>
      <c r="F2562">
        <v>15800000</v>
      </c>
      <c r="G2562">
        <v>18</v>
      </c>
      <c r="H2562">
        <v>593</v>
      </c>
      <c r="I2562">
        <v>6800000</v>
      </c>
      <c r="J2562">
        <v>4800000</v>
      </c>
      <c r="K2562">
        <v>13200000</v>
      </c>
      <c r="L2562">
        <v>6400000</v>
      </c>
      <c r="M2562" t="s">
        <v>34</v>
      </c>
      <c r="N2562">
        <f t="shared" si="235"/>
        <v>1</v>
      </c>
      <c r="O2562" t="str">
        <f t="shared" ref="O2562:O2625" si="240">IF(H2562&lt;650,"Low",
 IF(H2562&lt;700,"Medium",
 IF(H2562&lt;750,"Good","Excellent")))</f>
        <v>Low</v>
      </c>
      <c r="P2562" t="str">
        <f t="shared" si="236"/>
        <v>High</v>
      </c>
      <c r="Q2562" t="str">
        <f t="shared" si="237"/>
        <v>Low Loan</v>
      </c>
      <c r="R2562">
        <f t="shared" si="238"/>
        <v>31200000</v>
      </c>
      <c r="S2562" t="str">
        <f t="shared" si="239"/>
        <v>Strong</v>
      </c>
    </row>
    <row r="2563" spans="1:19" x14ac:dyDescent="0.25">
      <c r="A2563">
        <v>2562</v>
      </c>
      <c r="B2563">
        <v>1</v>
      </c>
      <c r="C2563" t="s">
        <v>31</v>
      </c>
      <c r="D2563" t="s">
        <v>33</v>
      </c>
      <c r="E2563">
        <v>700000</v>
      </c>
      <c r="F2563">
        <v>1400000</v>
      </c>
      <c r="G2563">
        <v>10</v>
      </c>
      <c r="H2563">
        <v>523</v>
      </c>
      <c r="I2563">
        <v>700000</v>
      </c>
      <c r="J2563">
        <v>1100000</v>
      </c>
      <c r="K2563">
        <v>1600000</v>
      </c>
      <c r="L2563">
        <v>900000</v>
      </c>
      <c r="M2563" t="s">
        <v>35</v>
      </c>
      <c r="N2563">
        <f t="shared" ref="N2563:N2626" si="241">IF(TRIM(CLEAN(M2563))="Approved",1,0)</f>
        <v>0</v>
      </c>
      <c r="O2563" t="str">
        <f t="shared" si="240"/>
        <v>Low</v>
      </c>
      <c r="P2563" t="str">
        <f t="shared" ref="P2563:P2626" si="242">IF(E2563&lt;300000,"Low",
 IF(E2563&lt;700000,"Middle","High"))</f>
        <v>High</v>
      </c>
      <c r="Q2563" t="str">
        <f t="shared" ref="Q2563:Q2626" si="243">IF(F2563&lt;20000000,"Low Loan","High Loan")</f>
        <v>Low Loan</v>
      </c>
      <c r="R2563">
        <f t="shared" ref="R2563:R2626" si="244">I2563+J2563+K2563+L2563</f>
        <v>4300000</v>
      </c>
      <c r="S2563" t="str">
        <f t="shared" ref="S2563:S2626" si="245">IF(R2563&lt;5000000,"Weak",
 IF(R2563&lt;10000000,"Moderate","Strong"))</f>
        <v>Weak</v>
      </c>
    </row>
    <row r="2564" spans="1:19" x14ac:dyDescent="0.25">
      <c r="A2564">
        <v>2563</v>
      </c>
      <c r="B2564">
        <v>0</v>
      </c>
      <c r="C2564" t="s">
        <v>31</v>
      </c>
      <c r="D2564" t="s">
        <v>33</v>
      </c>
      <c r="E2564">
        <v>3700000</v>
      </c>
      <c r="F2564">
        <v>13100000</v>
      </c>
      <c r="G2564">
        <v>14</v>
      </c>
      <c r="H2564">
        <v>385</v>
      </c>
      <c r="I2564">
        <v>10600000</v>
      </c>
      <c r="J2564">
        <v>6800000</v>
      </c>
      <c r="K2564">
        <v>9200000</v>
      </c>
      <c r="L2564">
        <v>4900000</v>
      </c>
      <c r="M2564" t="s">
        <v>35</v>
      </c>
      <c r="N2564">
        <f t="shared" si="241"/>
        <v>0</v>
      </c>
      <c r="O2564" t="str">
        <f t="shared" si="240"/>
        <v>Low</v>
      </c>
      <c r="P2564" t="str">
        <f t="shared" si="242"/>
        <v>High</v>
      </c>
      <c r="Q2564" t="str">
        <f t="shared" si="243"/>
        <v>Low Loan</v>
      </c>
      <c r="R2564">
        <f t="shared" si="244"/>
        <v>31500000</v>
      </c>
      <c r="S2564" t="str">
        <f t="shared" si="245"/>
        <v>Strong</v>
      </c>
    </row>
    <row r="2565" spans="1:19" x14ac:dyDescent="0.25">
      <c r="A2565">
        <v>2564</v>
      </c>
      <c r="B2565">
        <v>0</v>
      </c>
      <c r="C2565" t="s">
        <v>30</v>
      </c>
      <c r="D2565" t="s">
        <v>33</v>
      </c>
      <c r="E2565">
        <v>7100000</v>
      </c>
      <c r="F2565">
        <v>19300000</v>
      </c>
      <c r="G2565">
        <v>6</v>
      </c>
      <c r="H2565">
        <v>783</v>
      </c>
      <c r="I2565">
        <v>3900000</v>
      </c>
      <c r="J2565">
        <v>4800000</v>
      </c>
      <c r="K2565">
        <v>21800000</v>
      </c>
      <c r="L2565">
        <v>5000000</v>
      </c>
      <c r="M2565" t="s">
        <v>34</v>
      </c>
      <c r="N2565">
        <f t="shared" si="241"/>
        <v>1</v>
      </c>
      <c r="O2565" t="str">
        <f t="shared" si="240"/>
        <v>Excellent</v>
      </c>
      <c r="P2565" t="str">
        <f t="shared" si="242"/>
        <v>High</v>
      </c>
      <c r="Q2565" t="str">
        <f t="shared" si="243"/>
        <v>Low Loan</v>
      </c>
      <c r="R2565">
        <f t="shared" si="244"/>
        <v>35500000</v>
      </c>
      <c r="S2565" t="str">
        <f t="shared" si="245"/>
        <v>Strong</v>
      </c>
    </row>
    <row r="2566" spans="1:19" x14ac:dyDescent="0.25">
      <c r="A2566">
        <v>2565</v>
      </c>
      <c r="B2566">
        <v>5</v>
      </c>
      <c r="C2566" t="s">
        <v>30</v>
      </c>
      <c r="D2566" t="s">
        <v>33</v>
      </c>
      <c r="E2566">
        <v>1100000</v>
      </c>
      <c r="F2566">
        <v>3900000</v>
      </c>
      <c r="G2566">
        <v>2</v>
      </c>
      <c r="H2566">
        <v>538</v>
      </c>
      <c r="I2566">
        <v>400000</v>
      </c>
      <c r="J2566">
        <v>1300000</v>
      </c>
      <c r="K2566">
        <v>4300000</v>
      </c>
      <c r="L2566">
        <v>1600000</v>
      </c>
      <c r="M2566" t="s">
        <v>34</v>
      </c>
      <c r="N2566">
        <f t="shared" si="241"/>
        <v>1</v>
      </c>
      <c r="O2566" t="str">
        <f t="shared" si="240"/>
        <v>Low</v>
      </c>
      <c r="P2566" t="str">
        <f t="shared" si="242"/>
        <v>High</v>
      </c>
      <c r="Q2566" t="str">
        <f t="shared" si="243"/>
        <v>Low Loan</v>
      </c>
      <c r="R2566">
        <f t="shared" si="244"/>
        <v>7600000</v>
      </c>
      <c r="S2566" t="str">
        <f t="shared" si="245"/>
        <v>Moderate</v>
      </c>
    </row>
    <row r="2567" spans="1:19" x14ac:dyDescent="0.25">
      <c r="A2567">
        <v>2566</v>
      </c>
      <c r="B2567">
        <v>3</v>
      </c>
      <c r="C2567" t="s">
        <v>31</v>
      </c>
      <c r="D2567" t="s">
        <v>33</v>
      </c>
      <c r="E2567">
        <v>9500000</v>
      </c>
      <c r="F2567">
        <v>20100000</v>
      </c>
      <c r="G2567">
        <v>2</v>
      </c>
      <c r="H2567">
        <v>506</v>
      </c>
      <c r="I2567">
        <v>16800000</v>
      </c>
      <c r="J2567">
        <v>800000</v>
      </c>
      <c r="K2567">
        <v>32700000</v>
      </c>
      <c r="L2567">
        <v>11000000</v>
      </c>
      <c r="M2567" t="s">
        <v>35</v>
      </c>
      <c r="N2567">
        <f t="shared" si="241"/>
        <v>0</v>
      </c>
      <c r="O2567" t="str">
        <f t="shared" si="240"/>
        <v>Low</v>
      </c>
      <c r="P2567" t="str">
        <f t="shared" si="242"/>
        <v>High</v>
      </c>
      <c r="Q2567" t="str">
        <f t="shared" si="243"/>
        <v>High Loan</v>
      </c>
      <c r="R2567">
        <f t="shared" si="244"/>
        <v>61300000</v>
      </c>
      <c r="S2567" t="str">
        <f t="shared" si="245"/>
        <v>Strong</v>
      </c>
    </row>
    <row r="2568" spans="1:19" x14ac:dyDescent="0.25">
      <c r="A2568">
        <v>2567</v>
      </c>
      <c r="B2568">
        <v>4</v>
      </c>
      <c r="C2568" t="s">
        <v>31</v>
      </c>
      <c r="D2568" t="s">
        <v>33</v>
      </c>
      <c r="E2568">
        <v>2200000</v>
      </c>
      <c r="F2568">
        <v>8600000</v>
      </c>
      <c r="G2568">
        <v>2</v>
      </c>
      <c r="H2568">
        <v>461</v>
      </c>
      <c r="I2568">
        <v>1400000</v>
      </c>
      <c r="J2568">
        <v>3000000</v>
      </c>
      <c r="K2568">
        <v>4700000</v>
      </c>
      <c r="L2568">
        <v>2100000</v>
      </c>
      <c r="M2568" t="s">
        <v>34</v>
      </c>
      <c r="N2568">
        <f t="shared" si="241"/>
        <v>1</v>
      </c>
      <c r="O2568" t="str">
        <f t="shared" si="240"/>
        <v>Low</v>
      </c>
      <c r="P2568" t="str">
        <f t="shared" si="242"/>
        <v>High</v>
      </c>
      <c r="Q2568" t="str">
        <f t="shared" si="243"/>
        <v>Low Loan</v>
      </c>
      <c r="R2568">
        <f t="shared" si="244"/>
        <v>11200000</v>
      </c>
      <c r="S2568" t="str">
        <f t="shared" si="245"/>
        <v>Strong</v>
      </c>
    </row>
    <row r="2569" spans="1:19" x14ac:dyDescent="0.25">
      <c r="A2569">
        <v>2568</v>
      </c>
      <c r="B2569">
        <v>4</v>
      </c>
      <c r="C2569" t="s">
        <v>31</v>
      </c>
      <c r="D2569" t="s">
        <v>33</v>
      </c>
      <c r="E2569">
        <v>5500000</v>
      </c>
      <c r="F2569">
        <v>20000000</v>
      </c>
      <c r="G2569">
        <v>8</v>
      </c>
      <c r="H2569">
        <v>666</v>
      </c>
      <c r="I2569">
        <v>3800000</v>
      </c>
      <c r="J2569">
        <v>4700000</v>
      </c>
      <c r="K2569">
        <v>18000000</v>
      </c>
      <c r="L2569">
        <v>7900000</v>
      </c>
      <c r="M2569" t="s">
        <v>34</v>
      </c>
      <c r="N2569">
        <f t="shared" si="241"/>
        <v>1</v>
      </c>
      <c r="O2569" t="str">
        <f t="shared" si="240"/>
        <v>Medium</v>
      </c>
      <c r="P2569" t="str">
        <f t="shared" si="242"/>
        <v>High</v>
      </c>
      <c r="Q2569" t="str">
        <f t="shared" si="243"/>
        <v>High Loan</v>
      </c>
      <c r="R2569">
        <f t="shared" si="244"/>
        <v>34400000</v>
      </c>
      <c r="S2569" t="str">
        <f t="shared" si="245"/>
        <v>Strong</v>
      </c>
    </row>
    <row r="2570" spans="1:19" x14ac:dyDescent="0.25">
      <c r="A2570">
        <v>2569</v>
      </c>
      <c r="B2570">
        <v>3</v>
      </c>
      <c r="C2570" t="s">
        <v>31</v>
      </c>
      <c r="D2570" t="s">
        <v>33</v>
      </c>
      <c r="E2570">
        <v>4400000</v>
      </c>
      <c r="F2570">
        <v>16300000</v>
      </c>
      <c r="G2570">
        <v>20</v>
      </c>
      <c r="H2570">
        <v>561</v>
      </c>
      <c r="I2570">
        <v>5500000</v>
      </c>
      <c r="J2570">
        <v>8000000</v>
      </c>
      <c r="K2570">
        <v>12000000</v>
      </c>
      <c r="L2570">
        <v>4000000</v>
      </c>
      <c r="M2570" t="s">
        <v>34</v>
      </c>
      <c r="N2570">
        <f t="shared" si="241"/>
        <v>1</v>
      </c>
      <c r="O2570" t="str">
        <f t="shared" si="240"/>
        <v>Low</v>
      </c>
      <c r="P2570" t="str">
        <f t="shared" si="242"/>
        <v>High</v>
      </c>
      <c r="Q2570" t="str">
        <f t="shared" si="243"/>
        <v>Low Loan</v>
      </c>
      <c r="R2570">
        <f t="shared" si="244"/>
        <v>29500000</v>
      </c>
      <c r="S2570" t="str">
        <f t="shared" si="245"/>
        <v>Strong</v>
      </c>
    </row>
    <row r="2571" spans="1:19" x14ac:dyDescent="0.25">
      <c r="A2571">
        <v>2570</v>
      </c>
      <c r="B2571">
        <v>5</v>
      </c>
      <c r="C2571" t="s">
        <v>31</v>
      </c>
      <c r="D2571" t="s">
        <v>32</v>
      </c>
      <c r="E2571">
        <v>5000000</v>
      </c>
      <c r="F2571">
        <v>10800000</v>
      </c>
      <c r="G2571">
        <v>10</v>
      </c>
      <c r="H2571">
        <v>345</v>
      </c>
      <c r="I2571">
        <v>12300000</v>
      </c>
      <c r="J2571">
        <v>5000000</v>
      </c>
      <c r="K2571">
        <v>14100000</v>
      </c>
      <c r="L2571">
        <v>6300000</v>
      </c>
      <c r="M2571" t="s">
        <v>35</v>
      </c>
      <c r="N2571">
        <f t="shared" si="241"/>
        <v>0</v>
      </c>
      <c r="O2571" t="str">
        <f t="shared" si="240"/>
        <v>Low</v>
      </c>
      <c r="P2571" t="str">
        <f t="shared" si="242"/>
        <v>High</v>
      </c>
      <c r="Q2571" t="str">
        <f t="shared" si="243"/>
        <v>Low Loan</v>
      </c>
      <c r="R2571">
        <f t="shared" si="244"/>
        <v>37700000</v>
      </c>
      <c r="S2571" t="str">
        <f t="shared" si="245"/>
        <v>Strong</v>
      </c>
    </row>
    <row r="2572" spans="1:19" x14ac:dyDescent="0.25">
      <c r="A2572">
        <v>2571</v>
      </c>
      <c r="B2572">
        <v>4</v>
      </c>
      <c r="C2572" t="s">
        <v>31</v>
      </c>
      <c r="D2572" t="s">
        <v>33</v>
      </c>
      <c r="E2572">
        <v>6100000</v>
      </c>
      <c r="F2572">
        <v>12500000</v>
      </c>
      <c r="G2572">
        <v>14</v>
      </c>
      <c r="H2572">
        <v>862</v>
      </c>
      <c r="I2572">
        <v>11300000</v>
      </c>
      <c r="J2572">
        <v>1500000</v>
      </c>
      <c r="K2572">
        <v>21900000</v>
      </c>
      <c r="L2572">
        <v>6800000</v>
      </c>
      <c r="M2572" t="s">
        <v>34</v>
      </c>
      <c r="N2572">
        <f t="shared" si="241"/>
        <v>1</v>
      </c>
      <c r="O2572" t="str">
        <f t="shared" si="240"/>
        <v>Excellent</v>
      </c>
      <c r="P2572" t="str">
        <f t="shared" si="242"/>
        <v>High</v>
      </c>
      <c r="Q2572" t="str">
        <f t="shared" si="243"/>
        <v>Low Loan</v>
      </c>
      <c r="R2572">
        <f t="shared" si="244"/>
        <v>41500000</v>
      </c>
      <c r="S2572" t="str">
        <f t="shared" si="245"/>
        <v>Strong</v>
      </c>
    </row>
    <row r="2573" spans="1:19" x14ac:dyDescent="0.25">
      <c r="A2573">
        <v>2572</v>
      </c>
      <c r="B2573">
        <v>3</v>
      </c>
      <c r="C2573" t="s">
        <v>31</v>
      </c>
      <c r="D2573" t="s">
        <v>32</v>
      </c>
      <c r="E2573">
        <v>8100000</v>
      </c>
      <c r="F2573">
        <v>22300000</v>
      </c>
      <c r="G2573">
        <v>10</v>
      </c>
      <c r="H2573">
        <v>686</v>
      </c>
      <c r="I2573">
        <v>20400000</v>
      </c>
      <c r="J2573">
        <v>8700000</v>
      </c>
      <c r="K2573">
        <v>19200000</v>
      </c>
      <c r="L2573">
        <v>6200000</v>
      </c>
      <c r="M2573" t="s">
        <v>34</v>
      </c>
      <c r="N2573">
        <f t="shared" si="241"/>
        <v>1</v>
      </c>
      <c r="O2573" t="str">
        <f t="shared" si="240"/>
        <v>Medium</v>
      </c>
      <c r="P2573" t="str">
        <f t="shared" si="242"/>
        <v>High</v>
      </c>
      <c r="Q2573" t="str">
        <f t="shared" si="243"/>
        <v>High Loan</v>
      </c>
      <c r="R2573">
        <f t="shared" si="244"/>
        <v>54500000</v>
      </c>
      <c r="S2573" t="str">
        <f t="shared" si="245"/>
        <v>Strong</v>
      </c>
    </row>
    <row r="2574" spans="1:19" x14ac:dyDescent="0.25">
      <c r="A2574">
        <v>2573</v>
      </c>
      <c r="B2574">
        <v>4</v>
      </c>
      <c r="C2574" t="s">
        <v>30</v>
      </c>
      <c r="D2574" t="s">
        <v>33</v>
      </c>
      <c r="E2574">
        <v>7000000</v>
      </c>
      <c r="F2574">
        <v>19600000</v>
      </c>
      <c r="G2574">
        <v>8</v>
      </c>
      <c r="H2574">
        <v>708</v>
      </c>
      <c r="I2574">
        <v>17600000</v>
      </c>
      <c r="J2574">
        <v>2600000</v>
      </c>
      <c r="K2574">
        <v>24300000</v>
      </c>
      <c r="L2574">
        <v>4500000</v>
      </c>
      <c r="M2574" t="s">
        <v>34</v>
      </c>
      <c r="N2574">
        <f t="shared" si="241"/>
        <v>1</v>
      </c>
      <c r="O2574" t="str">
        <f t="shared" si="240"/>
        <v>Good</v>
      </c>
      <c r="P2574" t="str">
        <f t="shared" si="242"/>
        <v>High</v>
      </c>
      <c r="Q2574" t="str">
        <f t="shared" si="243"/>
        <v>Low Loan</v>
      </c>
      <c r="R2574">
        <f t="shared" si="244"/>
        <v>49000000</v>
      </c>
      <c r="S2574" t="str">
        <f t="shared" si="245"/>
        <v>Strong</v>
      </c>
    </row>
    <row r="2575" spans="1:19" x14ac:dyDescent="0.25">
      <c r="A2575">
        <v>2574</v>
      </c>
      <c r="B2575">
        <v>4</v>
      </c>
      <c r="C2575" t="s">
        <v>31</v>
      </c>
      <c r="D2575" t="s">
        <v>32</v>
      </c>
      <c r="E2575">
        <v>5600000</v>
      </c>
      <c r="F2575">
        <v>14800000</v>
      </c>
      <c r="G2575">
        <v>20</v>
      </c>
      <c r="H2575">
        <v>656</v>
      </c>
      <c r="I2575">
        <v>9600000</v>
      </c>
      <c r="J2575">
        <v>9200000</v>
      </c>
      <c r="K2575">
        <v>11600000</v>
      </c>
      <c r="L2575">
        <v>6500000</v>
      </c>
      <c r="M2575" t="s">
        <v>34</v>
      </c>
      <c r="N2575">
        <f t="shared" si="241"/>
        <v>1</v>
      </c>
      <c r="O2575" t="str">
        <f t="shared" si="240"/>
        <v>Medium</v>
      </c>
      <c r="P2575" t="str">
        <f t="shared" si="242"/>
        <v>High</v>
      </c>
      <c r="Q2575" t="str">
        <f t="shared" si="243"/>
        <v>Low Loan</v>
      </c>
      <c r="R2575">
        <f t="shared" si="244"/>
        <v>36900000</v>
      </c>
      <c r="S2575" t="str">
        <f t="shared" si="245"/>
        <v>Strong</v>
      </c>
    </row>
    <row r="2576" spans="1:19" x14ac:dyDescent="0.25">
      <c r="A2576">
        <v>2575</v>
      </c>
      <c r="B2576">
        <v>4</v>
      </c>
      <c r="C2576" t="s">
        <v>30</v>
      </c>
      <c r="D2576" t="s">
        <v>32</v>
      </c>
      <c r="E2576">
        <v>1800000</v>
      </c>
      <c r="F2576">
        <v>7000000</v>
      </c>
      <c r="G2576">
        <v>14</v>
      </c>
      <c r="H2576">
        <v>743</v>
      </c>
      <c r="I2576">
        <v>2600000</v>
      </c>
      <c r="J2576">
        <v>1000000</v>
      </c>
      <c r="K2576">
        <v>4500000</v>
      </c>
      <c r="L2576">
        <v>1500000</v>
      </c>
      <c r="M2576" t="s">
        <v>34</v>
      </c>
      <c r="N2576">
        <f t="shared" si="241"/>
        <v>1</v>
      </c>
      <c r="O2576" t="str">
        <f t="shared" si="240"/>
        <v>Good</v>
      </c>
      <c r="P2576" t="str">
        <f t="shared" si="242"/>
        <v>High</v>
      </c>
      <c r="Q2576" t="str">
        <f t="shared" si="243"/>
        <v>Low Loan</v>
      </c>
      <c r="R2576">
        <f t="shared" si="244"/>
        <v>9600000</v>
      </c>
      <c r="S2576" t="str">
        <f t="shared" si="245"/>
        <v>Moderate</v>
      </c>
    </row>
    <row r="2577" spans="1:19" x14ac:dyDescent="0.25">
      <c r="A2577">
        <v>2576</v>
      </c>
      <c r="B2577">
        <v>2</v>
      </c>
      <c r="C2577" t="s">
        <v>30</v>
      </c>
      <c r="D2577" t="s">
        <v>32</v>
      </c>
      <c r="E2577">
        <v>3600000</v>
      </c>
      <c r="F2577">
        <v>12100000</v>
      </c>
      <c r="G2577">
        <v>14</v>
      </c>
      <c r="H2577">
        <v>408</v>
      </c>
      <c r="I2577">
        <v>10100000</v>
      </c>
      <c r="J2577">
        <v>4200000</v>
      </c>
      <c r="K2577">
        <v>13000000</v>
      </c>
      <c r="L2577">
        <v>5400000</v>
      </c>
      <c r="M2577" t="s">
        <v>35</v>
      </c>
      <c r="N2577">
        <f t="shared" si="241"/>
        <v>0</v>
      </c>
      <c r="O2577" t="str">
        <f t="shared" si="240"/>
        <v>Low</v>
      </c>
      <c r="P2577" t="str">
        <f t="shared" si="242"/>
        <v>High</v>
      </c>
      <c r="Q2577" t="str">
        <f t="shared" si="243"/>
        <v>Low Loan</v>
      </c>
      <c r="R2577">
        <f t="shared" si="244"/>
        <v>32700000</v>
      </c>
      <c r="S2577" t="str">
        <f t="shared" si="245"/>
        <v>Strong</v>
      </c>
    </row>
    <row r="2578" spans="1:19" x14ac:dyDescent="0.25">
      <c r="A2578">
        <v>2577</v>
      </c>
      <c r="B2578">
        <v>5</v>
      </c>
      <c r="C2578" t="s">
        <v>30</v>
      </c>
      <c r="D2578" t="s">
        <v>32</v>
      </c>
      <c r="E2578">
        <v>600000</v>
      </c>
      <c r="F2578">
        <v>1300000</v>
      </c>
      <c r="G2578">
        <v>14</v>
      </c>
      <c r="H2578">
        <v>408</v>
      </c>
      <c r="I2578">
        <v>1000000</v>
      </c>
      <c r="J2578">
        <v>300000</v>
      </c>
      <c r="K2578">
        <v>1600000</v>
      </c>
      <c r="L2578">
        <v>900000</v>
      </c>
      <c r="M2578" t="s">
        <v>35</v>
      </c>
      <c r="N2578">
        <f t="shared" si="241"/>
        <v>0</v>
      </c>
      <c r="O2578" t="str">
        <f t="shared" si="240"/>
        <v>Low</v>
      </c>
      <c r="P2578" t="str">
        <f t="shared" si="242"/>
        <v>Middle</v>
      </c>
      <c r="Q2578" t="str">
        <f t="shared" si="243"/>
        <v>Low Loan</v>
      </c>
      <c r="R2578">
        <f t="shared" si="244"/>
        <v>3800000</v>
      </c>
      <c r="S2578" t="str">
        <f t="shared" si="245"/>
        <v>Weak</v>
      </c>
    </row>
    <row r="2579" spans="1:19" x14ac:dyDescent="0.25">
      <c r="A2579">
        <v>2578</v>
      </c>
      <c r="B2579">
        <v>1</v>
      </c>
      <c r="C2579" t="s">
        <v>30</v>
      </c>
      <c r="D2579" t="s">
        <v>33</v>
      </c>
      <c r="E2579">
        <v>4900000</v>
      </c>
      <c r="F2579">
        <v>16500000</v>
      </c>
      <c r="G2579">
        <v>12</v>
      </c>
      <c r="H2579">
        <v>439</v>
      </c>
      <c r="I2579">
        <v>7500000</v>
      </c>
      <c r="J2579">
        <v>1400000</v>
      </c>
      <c r="K2579">
        <v>10300000</v>
      </c>
      <c r="L2579">
        <v>7200000</v>
      </c>
      <c r="M2579" t="s">
        <v>35</v>
      </c>
      <c r="N2579">
        <f t="shared" si="241"/>
        <v>0</v>
      </c>
      <c r="O2579" t="str">
        <f t="shared" si="240"/>
        <v>Low</v>
      </c>
      <c r="P2579" t="str">
        <f t="shared" si="242"/>
        <v>High</v>
      </c>
      <c r="Q2579" t="str">
        <f t="shared" si="243"/>
        <v>Low Loan</v>
      </c>
      <c r="R2579">
        <f t="shared" si="244"/>
        <v>26400000</v>
      </c>
      <c r="S2579" t="str">
        <f t="shared" si="245"/>
        <v>Strong</v>
      </c>
    </row>
    <row r="2580" spans="1:19" x14ac:dyDescent="0.25">
      <c r="A2580">
        <v>2579</v>
      </c>
      <c r="B2580">
        <v>3</v>
      </c>
      <c r="C2580" t="s">
        <v>30</v>
      </c>
      <c r="D2580" t="s">
        <v>33</v>
      </c>
      <c r="E2580">
        <v>3000000</v>
      </c>
      <c r="F2580">
        <v>7100000</v>
      </c>
      <c r="G2580">
        <v>6</v>
      </c>
      <c r="H2580">
        <v>415</v>
      </c>
      <c r="I2580">
        <v>2000000</v>
      </c>
      <c r="J2580">
        <v>5700000</v>
      </c>
      <c r="K2580">
        <v>9500000</v>
      </c>
      <c r="L2580">
        <v>2500000</v>
      </c>
      <c r="M2580" t="s">
        <v>35</v>
      </c>
      <c r="N2580">
        <f t="shared" si="241"/>
        <v>0</v>
      </c>
      <c r="O2580" t="str">
        <f t="shared" si="240"/>
        <v>Low</v>
      </c>
      <c r="P2580" t="str">
        <f t="shared" si="242"/>
        <v>High</v>
      </c>
      <c r="Q2580" t="str">
        <f t="shared" si="243"/>
        <v>Low Loan</v>
      </c>
      <c r="R2580">
        <f t="shared" si="244"/>
        <v>19700000</v>
      </c>
      <c r="S2580" t="str">
        <f t="shared" si="245"/>
        <v>Strong</v>
      </c>
    </row>
    <row r="2581" spans="1:19" x14ac:dyDescent="0.25">
      <c r="A2581">
        <v>2580</v>
      </c>
      <c r="B2581">
        <v>0</v>
      </c>
      <c r="C2581" t="s">
        <v>31</v>
      </c>
      <c r="D2581" t="s">
        <v>33</v>
      </c>
      <c r="E2581">
        <v>3800000</v>
      </c>
      <c r="F2581">
        <v>10600000</v>
      </c>
      <c r="G2581">
        <v>12</v>
      </c>
      <c r="H2581">
        <v>490</v>
      </c>
      <c r="I2581">
        <v>3300000</v>
      </c>
      <c r="J2581">
        <v>6500000</v>
      </c>
      <c r="K2581">
        <v>14400000</v>
      </c>
      <c r="L2581">
        <v>3100000</v>
      </c>
      <c r="M2581" t="s">
        <v>35</v>
      </c>
      <c r="N2581">
        <f t="shared" si="241"/>
        <v>0</v>
      </c>
      <c r="O2581" t="str">
        <f t="shared" si="240"/>
        <v>Low</v>
      </c>
      <c r="P2581" t="str">
        <f t="shared" si="242"/>
        <v>High</v>
      </c>
      <c r="Q2581" t="str">
        <f t="shared" si="243"/>
        <v>Low Loan</v>
      </c>
      <c r="R2581">
        <f t="shared" si="244"/>
        <v>27300000</v>
      </c>
      <c r="S2581" t="str">
        <f t="shared" si="245"/>
        <v>Strong</v>
      </c>
    </row>
    <row r="2582" spans="1:19" x14ac:dyDescent="0.25">
      <c r="A2582">
        <v>2581</v>
      </c>
      <c r="B2582">
        <v>1</v>
      </c>
      <c r="C2582" t="s">
        <v>30</v>
      </c>
      <c r="D2582" t="s">
        <v>33</v>
      </c>
      <c r="E2582">
        <v>7600000</v>
      </c>
      <c r="F2582">
        <v>30000000</v>
      </c>
      <c r="G2582">
        <v>16</v>
      </c>
      <c r="H2582">
        <v>884</v>
      </c>
      <c r="I2582">
        <v>13300000</v>
      </c>
      <c r="J2582">
        <v>3600000</v>
      </c>
      <c r="K2582">
        <v>17200000</v>
      </c>
      <c r="L2582">
        <v>10800000</v>
      </c>
      <c r="M2582" t="s">
        <v>34</v>
      </c>
      <c r="N2582">
        <f t="shared" si="241"/>
        <v>1</v>
      </c>
      <c r="O2582" t="str">
        <f t="shared" si="240"/>
        <v>Excellent</v>
      </c>
      <c r="P2582" t="str">
        <f t="shared" si="242"/>
        <v>High</v>
      </c>
      <c r="Q2582" t="str">
        <f t="shared" si="243"/>
        <v>High Loan</v>
      </c>
      <c r="R2582">
        <f t="shared" si="244"/>
        <v>44900000</v>
      </c>
      <c r="S2582" t="str">
        <f t="shared" si="245"/>
        <v>Strong</v>
      </c>
    </row>
    <row r="2583" spans="1:19" x14ac:dyDescent="0.25">
      <c r="A2583">
        <v>2582</v>
      </c>
      <c r="B2583">
        <v>4</v>
      </c>
      <c r="C2583" t="s">
        <v>30</v>
      </c>
      <c r="D2583" t="s">
        <v>32</v>
      </c>
      <c r="E2583">
        <v>7800000</v>
      </c>
      <c r="F2583">
        <v>25400000</v>
      </c>
      <c r="G2583">
        <v>18</v>
      </c>
      <c r="H2583">
        <v>425</v>
      </c>
      <c r="I2583">
        <v>3000000</v>
      </c>
      <c r="J2583">
        <v>14000000</v>
      </c>
      <c r="K2583">
        <v>30500000</v>
      </c>
      <c r="L2583">
        <v>7200000</v>
      </c>
      <c r="M2583" t="s">
        <v>35</v>
      </c>
      <c r="N2583">
        <f t="shared" si="241"/>
        <v>0</v>
      </c>
      <c r="O2583" t="str">
        <f t="shared" si="240"/>
        <v>Low</v>
      </c>
      <c r="P2583" t="str">
        <f t="shared" si="242"/>
        <v>High</v>
      </c>
      <c r="Q2583" t="str">
        <f t="shared" si="243"/>
        <v>High Loan</v>
      </c>
      <c r="R2583">
        <f t="shared" si="244"/>
        <v>54700000</v>
      </c>
      <c r="S2583" t="str">
        <f t="shared" si="245"/>
        <v>Strong</v>
      </c>
    </row>
    <row r="2584" spans="1:19" x14ac:dyDescent="0.25">
      <c r="A2584">
        <v>2583</v>
      </c>
      <c r="B2584">
        <v>0</v>
      </c>
      <c r="C2584" t="s">
        <v>30</v>
      </c>
      <c r="D2584" t="s">
        <v>32</v>
      </c>
      <c r="E2584">
        <v>6800000</v>
      </c>
      <c r="F2584">
        <v>21700000</v>
      </c>
      <c r="G2584">
        <v>20</v>
      </c>
      <c r="H2584">
        <v>730</v>
      </c>
      <c r="I2584">
        <v>17500000</v>
      </c>
      <c r="J2584">
        <v>1300000</v>
      </c>
      <c r="K2584">
        <v>18600000</v>
      </c>
      <c r="L2584">
        <v>3600000</v>
      </c>
      <c r="M2584" t="s">
        <v>34</v>
      </c>
      <c r="N2584">
        <f t="shared" si="241"/>
        <v>1</v>
      </c>
      <c r="O2584" t="str">
        <f t="shared" si="240"/>
        <v>Good</v>
      </c>
      <c r="P2584" t="str">
        <f t="shared" si="242"/>
        <v>High</v>
      </c>
      <c r="Q2584" t="str">
        <f t="shared" si="243"/>
        <v>High Loan</v>
      </c>
      <c r="R2584">
        <f t="shared" si="244"/>
        <v>41000000</v>
      </c>
      <c r="S2584" t="str">
        <f t="shared" si="245"/>
        <v>Strong</v>
      </c>
    </row>
    <row r="2585" spans="1:19" x14ac:dyDescent="0.25">
      <c r="A2585">
        <v>2584</v>
      </c>
      <c r="B2585">
        <v>4</v>
      </c>
      <c r="C2585" t="s">
        <v>30</v>
      </c>
      <c r="D2585" t="s">
        <v>33</v>
      </c>
      <c r="E2585">
        <v>5900000</v>
      </c>
      <c r="F2585">
        <v>17300000</v>
      </c>
      <c r="G2585">
        <v>20</v>
      </c>
      <c r="H2585">
        <v>657</v>
      </c>
      <c r="I2585">
        <v>1500000</v>
      </c>
      <c r="J2585">
        <v>5600000</v>
      </c>
      <c r="K2585">
        <v>13000000</v>
      </c>
      <c r="L2585">
        <v>4100000</v>
      </c>
      <c r="M2585" t="s">
        <v>34</v>
      </c>
      <c r="N2585">
        <f t="shared" si="241"/>
        <v>1</v>
      </c>
      <c r="O2585" t="str">
        <f t="shared" si="240"/>
        <v>Medium</v>
      </c>
      <c r="P2585" t="str">
        <f t="shared" si="242"/>
        <v>High</v>
      </c>
      <c r="Q2585" t="str">
        <f t="shared" si="243"/>
        <v>Low Loan</v>
      </c>
      <c r="R2585">
        <f t="shared" si="244"/>
        <v>24200000</v>
      </c>
      <c r="S2585" t="str">
        <f t="shared" si="245"/>
        <v>Strong</v>
      </c>
    </row>
    <row r="2586" spans="1:19" x14ac:dyDescent="0.25">
      <c r="A2586">
        <v>2585</v>
      </c>
      <c r="B2586">
        <v>2</v>
      </c>
      <c r="C2586" t="s">
        <v>31</v>
      </c>
      <c r="D2586" t="s">
        <v>32</v>
      </c>
      <c r="E2586">
        <v>4900000</v>
      </c>
      <c r="F2586">
        <v>16800000</v>
      </c>
      <c r="G2586">
        <v>10</v>
      </c>
      <c r="H2586">
        <v>480</v>
      </c>
      <c r="I2586">
        <v>2200000</v>
      </c>
      <c r="J2586">
        <v>8900000</v>
      </c>
      <c r="K2586">
        <v>12600000</v>
      </c>
      <c r="L2586">
        <v>2700000</v>
      </c>
      <c r="M2586" t="s">
        <v>35</v>
      </c>
      <c r="N2586">
        <f t="shared" si="241"/>
        <v>0</v>
      </c>
      <c r="O2586" t="str">
        <f t="shared" si="240"/>
        <v>Low</v>
      </c>
      <c r="P2586" t="str">
        <f t="shared" si="242"/>
        <v>High</v>
      </c>
      <c r="Q2586" t="str">
        <f t="shared" si="243"/>
        <v>Low Loan</v>
      </c>
      <c r="R2586">
        <f t="shared" si="244"/>
        <v>26400000</v>
      </c>
      <c r="S2586" t="str">
        <f t="shared" si="245"/>
        <v>Strong</v>
      </c>
    </row>
    <row r="2587" spans="1:19" x14ac:dyDescent="0.25">
      <c r="A2587">
        <v>2586</v>
      </c>
      <c r="B2587">
        <v>3</v>
      </c>
      <c r="C2587" t="s">
        <v>31</v>
      </c>
      <c r="D2587" t="s">
        <v>33</v>
      </c>
      <c r="E2587">
        <v>1100000</v>
      </c>
      <c r="F2587">
        <v>3100000</v>
      </c>
      <c r="G2587">
        <v>16</v>
      </c>
      <c r="H2587">
        <v>356</v>
      </c>
      <c r="I2587">
        <v>1300000</v>
      </c>
      <c r="J2587">
        <v>100000</v>
      </c>
      <c r="K2587">
        <v>3000000</v>
      </c>
      <c r="L2587">
        <v>1600000</v>
      </c>
      <c r="M2587" t="s">
        <v>35</v>
      </c>
      <c r="N2587">
        <f t="shared" si="241"/>
        <v>0</v>
      </c>
      <c r="O2587" t="str">
        <f t="shared" si="240"/>
        <v>Low</v>
      </c>
      <c r="P2587" t="str">
        <f t="shared" si="242"/>
        <v>High</v>
      </c>
      <c r="Q2587" t="str">
        <f t="shared" si="243"/>
        <v>Low Loan</v>
      </c>
      <c r="R2587">
        <f t="shared" si="244"/>
        <v>6000000</v>
      </c>
      <c r="S2587" t="str">
        <f t="shared" si="245"/>
        <v>Moderate</v>
      </c>
    </row>
    <row r="2588" spans="1:19" x14ac:dyDescent="0.25">
      <c r="A2588">
        <v>2587</v>
      </c>
      <c r="B2588">
        <v>1</v>
      </c>
      <c r="C2588" t="s">
        <v>31</v>
      </c>
      <c r="D2588" t="s">
        <v>33</v>
      </c>
      <c r="E2588">
        <v>9800000</v>
      </c>
      <c r="F2588">
        <v>36000000</v>
      </c>
      <c r="G2588">
        <v>12</v>
      </c>
      <c r="H2588">
        <v>629</v>
      </c>
      <c r="I2588">
        <v>28000000</v>
      </c>
      <c r="J2588">
        <v>4100000</v>
      </c>
      <c r="K2588">
        <v>29800000</v>
      </c>
      <c r="L2588">
        <v>11200000</v>
      </c>
      <c r="M2588" t="s">
        <v>34</v>
      </c>
      <c r="N2588">
        <f t="shared" si="241"/>
        <v>1</v>
      </c>
      <c r="O2588" t="str">
        <f t="shared" si="240"/>
        <v>Low</v>
      </c>
      <c r="P2588" t="str">
        <f t="shared" si="242"/>
        <v>High</v>
      </c>
      <c r="Q2588" t="str">
        <f t="shared" si="243"/>
        <v>High Loan</v>
      </c>
      <c r="R2588">
        <f t="shared" si="244"/>
        <v>73100000</v>
      </c>
      <c r="S2588" t="str">
        <f t="shared" si="245"/>
        <v>Strong</v>
      </c>
    </row>
    <row r="2589" spans="1:19" x14ac:dyDescent="0.25">
      <c r="A2589">
        <v>2588</v>
      </c>
      <c r="B2589">
        <v>1</v>
      </c>
      <c r="C2589" t="s">
        <v>30</v>
      </c>
      <c r="D2589" t="s">
        <v>33</v>
      </c>
      <c r="E2589">
        <v>1200000</v>
      </c>
      <c r="F2589">
        <v>4700000</v>
      </c>
      <c r="G2589">
        <v>2</v>
      </c>
      <c r="H2589">
        <v>667</v>
      </c>
      <c r="I2589">
        <v>1100000</v>
      </c>
      <c r="J2589">
        <v>300000</v>
      </c>
      <c r="K2589">
        <v>4200000</v>
      </c>
      <c r="L2589">
        <v>800000</v>
      </c>
      <c r="M2589" t="s">
        <v>34</v>
      </c>
      <c r="N2589">
        <f t="shared" si="241"/>
        <v>1</v>
      </c>
      <c r="O2589" t="str">
        <f t="shared" si="240"/>
        <v>Medium</v>
      </c>
      <c r="P2589" t="str">
        <f t="shared" si="242"/>
        <v>High</v>
      </c>
      <c r="Q2589" t="str">
        <f t="shared" si="243"/>
        <v>Low Loan</v>
      </c>
      <c r="R2589">
        <f t="shared" si="244"/>
        <v>6400000</v>
      </c>
      <c r="S2589" t="str">
        <f t="shared" si="245"/>
        <v>Moderate</v>
      </c>
    </row>
    <row r="2590" spans="1:19" x14ac:dyDescent="0.25">
      <c r="A2590">
        <v>2589</v>
      </c>
      <c r="B2590">
        <v>0</v>
      </c>
      <c r="C2590" t="s">
        <v>31</v>
      </c>
      <c r="D2590" t="s">
        <v>32</v>
      </c>
      <c r="E2590">
        <v>4700000</v>
      </c>
      <c r="F2590">
        <v>11500000</v>
      </c>
      <c r="G2590">
        <v>18</v>
      </c>
      <c r="H2590">
        <v>559</v>
      </c>
      <c r="I2590">
        <v>7500000</v>
      </c>
      <c r="J2590">
        <v>0</v>
      </c>
      <c r="K2590">
        <v>18700000</v>
      </c>
      <c r="L2590">
        <v>2600000</v>
      </c>
      <c r="M2590" t="s">
        <v>34</v>
      </c>
      <c r="N2590">
        <f t="shared" si="241"/>
        <v>1</v>
      </c>
      <c r="O2590" t="str">
        <f t="shared" si="240"/>
        <v>Low</v>
      </c>
      <c r="P2590" t="str">
        <f t="shared" si="242"/>
        <v>High</v>
      </c>
      <c r="Q2590" t="str">
        <f t="shared" si="243"/>
        <v>Low Loan</v>
      </c>
      <c r="R2590">
        <f t="shared" si="244"/>
        <v>28800000</v>
      </c>
      <c r="S2590" t="str">
        <f t="shared" si="245"/>
        <v>Strong</v>
      </c>
    </row>
    <row r="2591" spans="1:19" x14ac:dyDescent="0.25">
      <c r="A2591">
        <v>2590</v>
      </c>
      <c r="B2591">
        <v>4</v>
      </c>
      <c r="C2591" t="s">
        <v>30</v>
      </c>
      <c r="D2591" t="s">
        <v>32</v>
      </c>
      <c r="E2591">
        <v>6700000</v>
      </c>
      <c r="F2591">
        <v>16000000</v>
      </c>
      <c r="G2591">
        <v>4</v>
      </c>
      <c r="H2591">
        <v>791</v>
      </c>
      <c r="I2591">
        <v>0</v>
      </c>
      <c r="J2591">
        <v>13000000</v>
      </c>
      <c r="K2591">
        <v>20700000</v>
      </c>
      <c r="L2591">
        <v>5200000</v>
      </c>
      <c r="M2591" t="s">
        <v>34</v>
      </c>
      <c r="N2591">
        <f t="shared" si="241"/>
        <v>1</v>
      </c>
      <c r="O2591" t="str">
        <f t="shared" si="240"/>
        <v>Excellent</v>
      </c>
      <c r="P2591" t="str">
        <f t="shared" si="242"/>
        <v>High</v>
      </c>
      <c r="Q2591" t="str">
        <f t="shared" si="243"/>
        <v>Low Loan</v>
      </c>
      <c r="R2591">
        <f t="shared" si="244"/>
        <v>38900000</v>
      </c>
      <c r="S2591" t="str">
        <f t="shared" si="245"/>
        <v>Strong</v>
      </c>
    </row>
    <row r="2592" spans="1:19" x14ac:dyDescent="0.25">
      <c r="A2592">
        <v>2591</v>
      </c>
      <c r="B2592">
        <v>0</v>
      </c>
      <c r="C2592" t="s">
        <v>31</v>
      </c>
      <c r="D2592" t="s">
        <v>33</v>
      </c>
      <c r="E2592">
        <v>3700000</v>
      </c>
      <c r="F2592">
        <v>11300000</v>
      </c>
      <c r="G2592">
        <v>6</v>
      </c>
      <c r="H2592">
        <v>538</v>
      </c>
      <c r="I2592">
        <v>6200000</v>
      </c>
      <c r="J2592">
        <v>400000</v>
      </c>
      <c r="K2592">
        <v>10400000</v>
      </c>
      <c r="L2592">
        <v>5400000</v>
      </c>
      <c r="M2592" t="s">
        <v>35</v>
      </c>
      <c r="N2592">
        <f t="shared" si="241"/>
        <v>0</v>
      </c>
      <c r="O2592" t="str">
        <f t="shared" si="240"/>
        <v>Low</v>
      </c>
      <c r="P2592" t="str">
        <f t="shared" si="242"/>
        <v>High</v>
      </c>
      <c r="Q2592" t="str">
        <f t="shared" si="243"/>
        <v>Low Loan</v>
      </c>
      <c r="R2592">
        <f t="shared" si="244"/>
        <v>22400000</v>
      </c>
      <c r="S2592" t="str">
        <f t="shared" si="245"/>
        <v>Strong</v>
      </c>
    </row>
    <row r="2593" spans="1:19" x14ac:dyDescent="0.25">
      <c r="A2593">
        <v>2592</v>
      </c>
      <c r="B2593">
        <v>2</v>
      </c>
      <c r="C2593" t="s">
        <v>30</v>
      </c>
      <c r="D2593" t="s">
        <v>32</v>
      </c>
      <c r="E2593">
        <v>7400000</v>
      </c>
      <c r="F2593">
        <v>16000000</v>
      </c>
      <c r="G2593">
        <v>20</v>
      </c>
      <c r="H2593">
        <v>358</v>
      </c>
      <c r="I2593">
        <v>16700000</v>
      </c>
      <c r="J2593">
        <v>5500000</v>
      </c>
      <c r="K2593">
        <v>26800000</v>
      </c>
      <c r="L2593">
        <v>4300000</v>
      </c>
      <c r="M2593" t="s">
        <v>35</v>
      </c>
      <c r="N2593">
        <f t="shared" si="241"/>
        <v>0</v>
      </c>
      <c r="O2593" t="str">
        <f t="shared" si="240"/>
        <v>Low</v>
      </c>
      <c r="P2593" t="str">
        <f t="shared" si="242"/>
        <v>High</v>
      </c>
      <c r="Q2593" t="str">
        <f t="shared" si="243"/>
        <v>Low Loan</v>
      </c>
      <c r="R2593">
        <f t="shared" si="244"/>
        <v>53300000</v>
      </c>
      <c r="S2593" t="str">
        <f t="shared" si="245"/>
        <v>Strong</v>
      </c>
    </row>
    <row r="2594" spans="1:19" x14ac:dyDescent="0.25">
      <c r="A2594">
        <v>2593</v>
      </c>
      <c r="B2594">
        <v>2</v>
      </c>
      <c r="C2594" t="s">
        <v>31</v>
      </c>
      <c r="D2594" t="s">
        <v>32</v>
      </c>
      <c r="E2594">
        <v>3300000</v>
      </c>
      <c r="F2594">
        <v>11700000</v>
      </c>
      <c r="G2594">
        <v>14</v>
      </c>
      <c r="H2594">
        <v>439</v>
      </c>
      <c r="I2594">
        <v>4000000</v>
      </c>
      <c r="J2594">
        <v>6300000</v>
      </c>
      <c r="K2594">
        <v>8300000</v>
      </c>
      <c r="L2594">
        <v>1700000</v>
      </c>
      <c r="M2594" t="s">
        <v>35</v>
      </c>
      <c r="N2594">
        <f t="shared" si="241"/>
        <v>0</v>
      </c>
      <c r="O2594" t="str">
        <f t="shared" si="240"/>
        <v>Low</v>
      </c>
      <c r="P2594" t="str">
        <f t="shared" si="242"/>
        <v>High</v>
      </c>
      <c r="Q2594" t="str">
        <f t="shared" si="243"/>
        <v>Low Loan</v>
      </c>
      <c r="R2594">
        <f t="shared" si="244"/>
        <v>20300000</v>
      </c>
      <c r="S2594" t="str">
        <f t="shared" si="245"/>
        <v>Strong</v>
      </c>
    </row>
    <row r="2595" spans="1:19" x14ac:dyDescent="0.25">
      <c r="A2595">
        <v>2594</v>
      </c>
      <c r="B2595">
        <v>2</v>
      </c>
      <c r="C2595" t="s">
        <v>30</v>
      </c>
      <c r="D2595" t="s">
        <v>33</v>
      </c>
      <c r="E2595">
        <v>4800000</v>
      </c>
      <c r="F2595">
        <v>15300000</v>
      </c>
      <c r="G2595">
        <v>12</v>
      </c>
      <c r="H2595">
        <v>503</v>
      </c>
      <c r="I2595">
        <v>3300000</v>
      </c>
      <c r="J2595">
        <v>4000000</v>
      </c>
      <c r="K2595">
        <v>12000000</v>
      </c>
      <c r="L2595">
        <v>4300000</v>
      </c>
      <c r="M2595" t="s">
        <v>35</v>
      </c>
      <c r="N2595">
        <f t="shared" si="241"/>
        <v>0</v>
      </c>
      <c r="O2595" t="str">
        <f t="shared" si="240"/>
        <v>Low</v>
      </c>
      <c r="P2595" t="str">
        <f t="shared" si="242"/>
        <v>High</v>
      </c>
      <c r="Q2595" t="str">
        <f t="shared" si="243"/>
        <v>Low Loan</v>
      </c>
      <c r="R2595">
        <f t="shared" si="244"/>
        <v>23600000</v>
      </c>
      <c r="S2595" t="str">
        <f t="shared" si="245"/>
        <v>Strong</v>
      </c>
    </row>
    <row r="2596" spans="1:19" x14ac:dyDescent="0.25">
      <c r="A2596">
        <v>2595</v>
      </c>
      <c r="B2596">
        <v>4</v>
      </c>
      <c r="C2596" t="s">
        <v>30</v>
      </c>
      <c r="D2596" t="s">
        <v>33</v>
      </c>
      <c r="E2596">
        <v>4600000</v>
      </c>
      <c r="F2596">
        <v>11900000</v>
      </c>
      <c r="G2596">
        <v>6</v>
      </c>
      <c r="H2596">
        <v>810</v>
      </c>
      <c r="I2596">
        <v>11200000</v>
      </c>
      <c r="J2596">
        <v>8200000</v>
      </c>
      <c r="K2596">
        <v>17500000</v>
      </c>
      <c r="L2596">
        <v>5200000</v>
      </c>
      <c r="M2596" t="s">
        <v>34</v>
      </c>
      <c r="N2596">
        <f t="shared" si="241"/>
        <v>1</v>
      </c>
      <c r="O2596" t="str">
        <f t="shared" si="240"/>
        <v>Excellent</v>
      </c>
      <c r="P2596" t="str">
        <f t="shared" si="242"/>
        <v>High</v>
      </c>
      <c r="Q2596" t="str">
        <f t="shared" si="243"/>
        <v>Low Loan</v>
      </c>
      <c r="R2596">
        <f t="shared" si="244"/>
        <v>42100000</v>
      </c>
      <c r="S2596" t="str">
        <f t="shared" si="245"/>
        <v>Strong</v>
      </c>
    </row>
    <row r="2597" spans="1:19" x14ac:dyDescent="0.25">
      <c r="A2597">
        <v>2596</v>
      </c>
      <c r="B2597">
        <v>1</v>
      </c>
      <c r="C2597" t="s">
        <v>30</v>
      </c>
      <c r="D2597" t="s">
        <v>33</v>
      </c>
      <c r="E2597">
        <v>8000000</v>
      </c>
      <c r="F2597">
        <v>30600000</v>
      </c>
      <c r="G2597">
        <v>14</v>
      </c>
      <c r="H2597">
        <v>302</v>
      </c>
      <c r="I2597">
        <v>12700000</v>
      </c>
      <c r="J2597">
        <v>13100000</v>
      </c>
      <c r="K2597">
        <v>23900000</v>
      </c>
      <c r="L2597">
        <v>6800000</v>
      </c>
      <c r="M2597" t="s">
        <v>35</v>
      </c>
      <c r="N2597">
        <f t="shared" si="241"/>
        <v>0</v>
      </c>
      <c r="O2597" t="str">
        <f t="shared" si="240"/>
        <v>Low</v>
      </c>
      <c r="P2597" t="str">
        <f t="shared" si="242"/>
        <v>High</v>
      </c>
      <c r="Q2597" t="str">
        <f t="shared" si="243"/>
        <v>High Loan</v>
      </c>
      <c r="R2597">
        <f t="shared" si="244"/>
        <v>56500000</v>
      </c>
      <c r="S2597" t="str">
        <f t="shared" si="245"/>
        <v>Strong</v>
      </c>
    </row>
    <row r="2598" spans="1:19" x14ac:dyDescent="0.25">
      <c r="A2598">
        <v>2597</v>
      </c>
      <c r="B2598">
        <v>0</v>
      </c>
      <c r="C2598" t="s">
        <v>31</v>
      </c>
      <c r="D2598" t="s">
        <v>32</v>
      </c>
      <c r="E2598">
        <v>4100000</v>
      </c>
      <c r="F2598">
        <v>8800000</v>
      </c>
      <c r="G2598">
        <v>18</v>
      </c>
      <c r="H2598">
        <v>300</v>
      </c>
      <c r="I2598">
        <v>10900000</v>
      </c>
      <c r="J2598">
        <v>6400000</v>
      </c>
      <c r="K2598">
        <v>8600000</v>
      </c>
      <c r="L2598">
        <v>3500000</v>
      </c>
      <c r="M2598" t="s">
        <v>35</v>
      </c>
      <c r="N2598">
        <f t="shared" si="241"/>
        <v>0</v>
      </c>
      <c r="O2598" t="str">
        <f t="shared" si="240"/>
        <v>Low</v>
      </c>
      <c r="P2598" t="str">
        <f t="shared" si="242"/>
        <v>High</v>
      </c>
      <c r="Q2598" t="str">
        <f t="shared" si="243"/>
        <v>Low Loan</v>
      </c>
      <c r="R2598">
        <f t="shared" si="244"/>
        <v>29400000</v>
      </c>
      <c r="S2598" t="str">
        <f t="shared" si="245"/>
        <v>Strong</v>
      </c>
    </row>
    <row r="2599" spans="1:19" x14ac:dyDescent="0.25">
      <c r="A2599">
        <v>2598</v>
      </c>
      <c r="B2599">
        <v>4</v>
      </c>
      <c r="C2599" t="s">
        <v>31</v>
      </c>
      <c r="D2599" t="s">
        <v>32</v>
      </c>
      <c r="E2599">
        <v>2600000</v>
      </c>
      <c r="F2599">
        <v>7200000</v>
      </c>
      <c r="G2599">
        <v>16</v>
      </c>
      <c r="H2599">
        <v>612</v>
      </c>
      <c r="I2599">
        <v>1300000</v>
      </c>
      <c r="J2599">
        <v>1000000</v>
      </c>
      <c r="K2599">
        <v>5800000</v>
      </c>
      <c r="L2599">
        <v>1400000</v>
      </c>
      <c r="M2599" t="s">
        <v>34</v>
      </c>
      <c r="N2599">
        <f t="shared" si="241"/>
        <v>1</v>
      </c>
      <c r="O2599" t="str">
        <f t="shared" si="240"/>
        <v>Low</v>
      </c>
      <c r="P2599" t="str">
        <f t="shared" si="242"/>
        <v>High</v>
      </c>
      <c r="Q2599" t="str">
        <f t="shared" si="243"/>
        <v>Low Loan</v>
      </c>
      <c r="R2599">
        <f t="shared" si="244"/>
        <v>9500000</v>
      </c>
      <c r="S2599" t="str">
        <f t="shared" si="245"/>
        <v>Moderate</v>
      </c>
    </row>
    <row r="2600" spans="1:19" x14ac:dyDescent="0.25">
      <c r="A2600">
        <v>2599</v>
      </c>
      <c r="B2600">
        <v>3</v>
      </c>
      <c r="C2600" t="s">
        <v>31</v>
      </c>
      <c r="D2600" t="s">
        <v>32</v>
      </c>
      <c r="E2600">
        <v>1300000</v>
      </c>
      <c r="F2600">
        <v>5000000</v>
      </c>
      <c r="G2600">
        <v>6</v>
      </c>
      <c r="H2600">
        <v>686</v>
      </c>
      <c r="I2600">
        <v>2700000</v>
      </c>
      <c r="J2600">
        <v>2000000</v>
      </c>
      <c r="K2600">
        <v>4100000</v>
      </c>
      <c r="L2600">
        <v>900000</v>
      </c>
      <c r="M2600" t="s">
        <v>34</v>
      </c>
      <c r="N2600">
        <f t="shared" si="241"/>
        <v>1</v>
      </c>
      <c r="O2600" t="str">
        <f t="shared" si="240"/>
        <v>Medium</v>
      </c>
      <c r="P2600" t="str">
        <f t="shared" si="242"/>
        <v>High</v>
      </c>
      <c r="Q2600" t="str">
        <f t="shared" si="243"/>
        <v>Low Loan</v>
      </c>
      <c r="R2600">
        <f t="shared" si="244"/>
        <v>9700000</v>
      </c>
      <c r="S2600" t="str">
        <f t="shared" si="245"/>
        <v>Moderate</v>
      </c>
    </row>
    <row r="2601" spans="1:19" x14ac:dyDescent="0.25">
      <c r="A2601">
        <v>2600</v>
      </c>
      <c r="B2601">
        <v>0</v>
      </c>
      <c r="C2601" t="s">
        <v>30</v>
      </c>
      <c r="D2601" t="s">
        <v>33</v>
      </c>
      <c r="E2601">
        <v>2300000</v>
      </c>
      <c r="F2601">
        <v>4900000</v>
      </c>
      <c r="G2601">
        <v>12</v>
      </c>
      <c r="H2601">
        <v>409</v>
      </c>
      <c r="I2601">
        <v>3300000</v>
      </c>
      <c r="J2601">
        <v>2400000</v>
      </c>
      <c r="K2601">
        <v>4700000</v>
      </c>
      <c r="L2601">
        <v>3200000</v>
      </c>
      <c r="M2601" t="s">
        <v>35</v>
      </c>
      <c r="N2601">
        <f t="shared" si="241"/>
        <v>0</v>
      </c>
      <c r="O2601" t="str">
        <f t="shared" si="240"/>
        <v>Low</v>
      </c>
      <c r="P2601" t="str">
        <f t="shared" si="242"/>
        <v>High</v>
      </c>
      <c r="Q2601" t="str">
        <f t="shared" si="243"/>
        <v>Low Loan</v>
      </c>
      <c r="R2601">
        <f t="shared" si="244"/>
        <v>13600000</v>
      </c>
      <c r="S2601" t="str">
        <f t="shared" si="245"/>
        <v>Strong</v>
      </c>
    </row>
    <row r="2602" spans="1:19" x14ac:dyDescent="0.25">
      <c r="A2602">
        <v>2601</v>
      </c>
      <c r="B2602">
        <v>5</v>
      </c>
      <c r="C2602" t="s">
        <v>30</v>
      </c>
      <c r="D2602" t="s">
        <v>32</v>
      </c>
      <c r="E2602">
        <v>300000</v>
      </c>
      <c r="F2602">
        <v>900000</v>
      </c>
      <c r="G2602">
        <v>6</v>
      </c>
      <c r="H2602">
        <v>492</v>
      </c>
      <c r="I2602">
        <v>800000</v>
      </c>
      <c r="J2602">
        <v>300000</v>
      </c>
      <c r="K2602">
        <v>700000</v>
      </c>
      <c r="L2602">
        <v>400000</v>
      </c>
      <c r="M2602" t="s">
        <v>35</v>
      </c>
      <c r="N2602">
        <f t="shared" si="241"/>
        <v>0</v>
      </c>
      <c r="O2602" t="str">
        <f t="shared" si="240"/>
        <v>Low</v>
      </c>
      <c r="P2602" t="str">
        <f t="shared" si="242"/>
        <v>Middle</v>
      </c>
      <c r="Q2602" t="str">
        <f t="shared" si="243"/>
        <v>Low Loan</v>
      </c>
      <c r="R2602">
        <f t="shared" si="244"/>
        <v>2200000</v>
      </c>
      <c r="S2602" t="str">
        <f t="shared" si="245"/>
        <v>Weak</v>
      </c>
    </row>
    <row r="2603" spans="1:19" x14ac:dyDescent="0.25">
      <c r="A2603">
        <v>2602</v>
      </c>
      <c r="B2603">
        <v>0</v>
      </c>
      <c r="C2603" t="s">
        <v>30</v>
      </c>
      <c r="D2603" t="s">
        <v>33</v>
      </c>
      <c r="E2603">
        <v>7000000</v>
      </c>
      <c r="F2603">
        <v>21700000</v>
      </c>
      <c r="G2603">
        <v>20</v>
      </c>
      <c r="H2603">
        <v>498</v>
      </c>
      <c r="I2603">
        <v>6600000</v>
      </c>
      <c r="J2603">
        <v>5500000</v>
      </c>
      <c r="K2603">
        <v>14700000</v>
      </c>
      <c r="L2603">
        <v>3900000</v>
      </c>
      <c r="M2603" t="s">
        <v>35</v>
      </c>
      <c r="N2603">
        <f t="shared" si="241"/>
        <v>0</v>
      </c>
      <c r="O2603" t="str">
        <f t="shared" si="240"/>
        <v>Low</v>
      </c>
      <c r="P2603" t="str">
        <f t="shared" si="242"/>
        <v>High</v>
      </c>
      <c r="Q2603" t="str">
        <f t="shared" si="243"/>
        <v>High Loan</v>
      </c>
      <c r="R2603">
        <f t="shared" si="244"/>
        <v>30700000</v>
      </c>
      <c r="S2603" t="str">
        <f t="shared" si="245"/>
        <v>Strong</v>
      </c>
    </row>
    <row r="2604" spans="1:19" x14ac:dyDescent="0.25">
      <c r="A2604">
        <v>2603</v>
      </c>
      <c r="B2604">
        <v>3</v>
      </c>
      <c r="C2604" t="s">
        <v>31</v>
      </c>
      <c r="D2604" t="s">
        <v>33</v>
      </c>
      <c r="E2604">
        <v>4400000</v>
      </c>
      <c r="F2604">
        <v>10900000</v>
      </c>
      <c r="G2604">
        <v>18</v>
      </c>
      <c r="H2604">
        <v>611</v>
      </c>
      <c r="I2604">
        <v>8600000</v>
      </c>
      <c r="J2604">
        <v>6300000</v>
      </c>
      <c r="K2604">
        <v>8800000</v>
      </c>
      <c r="L2604">
        <v>3000000</v>
      </c>
      <c r="M2604" t="s">
        <v>34</v>
      </c>
      <c r="N2604">
        <f t="shared" si="241"/>
        <v>1</v>
      </c>
      <c r="O2604" t="str">
        <f t="shared" si="240"/>
        <v>Low</v>
      </c>
      <c r="P2604" t="str">
        <f t="shared" si="242"/>
        <v>High</v>
      </c>
      <c r="Q2604" t="str">
        <f t="shared" si="243"/>
        <v>Low Loan</v>
      </c>
      <c r="R2604">
        <f t="shared" si="244"/>
        <v>26700000</v>
      </c>
      <c r="S2604" t="str">
        <f t="shared" si="245"/>
        <v>Strong</v>
      </c>
    </row>
    <row r="2605" spans="1:19" x14ac:dyDescent="0.25">
      <c r="A2605">
        <v>2604</v>
      </c>
      <c r="B2605">
        <v>5</v>
      </c>
      <c r="C2605" t="s">
        <v>31</v>
      </c>
      <c r="D2605" t="s">
        <v>33</v>
      </c>
      <c r="E2605">
        <v>5100000</v>
      </c>
      <c r="F2605">
        <v>11800000</v>
      </c>
      <c r="G2605">
        <v>6</v>
      </c>
      <c r="H2605">
        <v>776</v>
      </c>
      <c r="I2605">
        <v>7600000</v>
      </c>
      <c r="J2605">
        <v>400000</v>
      </c>
      <c r="K2605">
        <v>10500000</v>
      </c>
      <c r="L2605">
        <v>4400000</v>
      </c>
      <c r="M2605" t="s">
        <v>34</v>
      </c>
      <c r="N2605">
        <f t="shared" si="241"/>
        <v>1</v>
      </c>
      <c r="O2605" t="str">
        <f t="shared" si="240"/>
        <v>Excellent</v>
      </c>
      <c r="P2605" t="str">
        <f t="shared" si="242"/>
        <v>High</v>
      </c>
      <c r="Q2605" t="str">
        <f t="shared" si="243"/>
        <v>Low Loan</v>
      </c>
      <c r="R2605">
        <f t="shared" si="244"/>
        <v>22900000</v>
      </c>
      <c r="S2605" t="str">
        <f t="shared" si="245"/>
        <v>Strong</v>
      </c>
    </row>
    <row r="2606" spans="1:19" x14ac:dyDescent="0.25">
      <c r="A2606">
        <v>2605</v>
      </c>
      <c r="B2606">
        <v>1</v>
      </c>
      <c r="C2606" t="s">
        <v>31</v>
      </c>
      <c r="D2606" t="s">
        <v>32</v>
      </c>
      <c r="E2606">
        <v>5900000</v>
      </c>
      <c r="F2606">
        <v>13000000</v>
      </c>
      <c r="G2606">
        <v>6</v>
      </c>
      <c r="H2606">
        <v>779</v>
      </c>
      <c r="I2606">
        <v>10800000</v>
      </c>
      <c r="J2606">
        <v>11600000</v>
      </c>
      <c r="K2606">
        <v>13100000</v>
      </c>
      <c r="L2606">
        <v>6600000</v>
      </c>
      <c r="M2606" t="s">
        <v>34</v>
      </c>
      <c r="N2606">
        <f t="shared" si="241"/>
        <v>1</v>
      </c>
      <c r="O2606" t="str">
        <f t="shared" si="240"/>
        <v>Excellent</v>
      </c>
      <c r="P2606" t="str">
        <f t="shared" si="242"/>
        <v>High</v>
      </c>
      <c r="Q2606" t="str">
        <f t="shared" si="243"/>
        <v>Low Loan</v>
      </c>
      <c r="R2606">
        <f t="shared" si="244"/>
        <v>42100000</v>
      </c>
      <c r="S2606" t="str">
        <f t="shared" si="245"/>
        <v>Strong</v>
      </c>
    </row>
    <row r="2607" spans="1:19" x14ac:dyDescent="0.25">
      <c r="A2607">
        <v>2606</v>
      </c>
      <c r="B2607">
        <v>3</v>
      </c>
      <c r="C2607" t="s">
        <v>30</v>
      </c>
      <c r="D2607" t="s">
        <v>33</v>
      </c>
      <c r="E2607">
        <v>7800000</v>
      </c>
      <c r="F2607">
        <v>27200000</v>
      </c>
      <c r="G2607">
        <v>16</v>
      </c>
      <c r="H2607">
        <v>560</v>
      </c>
      <c r="I2607">
        <v>3600000</v>
      </c>
      <c r="J2607">
        <v>8100000</v>
      </c>
      <c r="K2607">
        <v>21800000</v>
      </c>
      <c r="L2607">
        <v>8600000</v>
      </c>
      <c r="M2607" t="s">
        <v>34</v>
      </c>
      <c r="N2607">
        <f t="shared" si="241"/>
        <v>1</v>
      </c>
      <c r="O2607" t="str">
        <f t="shared" si="240"/>
        <v>Low</v>
      </c>
      <c r="P2607" t="str">
        <f t="shared" si="242"/>
        <v>High</v>
      </c>
      <c r="Q2607" t="str">
        <f t="shared" si="243"/>
        <v>High Loan</v>
      </c>
      <c r="R2607">
        <f t="shared" si="244"/>
        <v>42100000</v>
      </c>
      <c r="S2607" t="str">
        <f t="shared" si="245"/>
        <v>Strong</v>
      </c>
    </row>
    <row r="2608" spans="1:19" x14ac:dyDescent="0.25">
      <c r="A2608">
        <v>2607</v>
      </c>
      <c r="B2608">
        <v>4</v>
      </c>
      <c r="C2608" t="s">
        <v>30</v>
      </c>
      <c r="D2608" t="s">
        <v>33</v>
      </c>
      <c r="E2608">
        <v>2200000</v>
      </c>
      <c r="F2608">
        <v>5100000</v>
      </c>
      <c r="G2608">
        <v>6</v>
      </c>
      <c r="H2608">
        <v>308</v>
      </c>
      <c r="I2608">
        <v>3200000</v>
      </c>
      <c r="J2608">
        <v>2600000</v>
      </c>
      <c r="K2608">
        <v>6600000</v>
      </c>
      <c r="L2608">
        <v>3100000</v>
      </c>
      <c r="M2608" t="s">
        <v>35</v>
      </c>
      <c r="N2608">
        <f t="shared" si="241"/>
        <v>0</v>
      </c>
      <c r="O2608" t="str">
        <f t="shared" si="240"/>
        <v>Low</v>
      </c>
      <c r="P2608" t="str">
        <f t="shared" si="242"/>
        <v>High</v>
      </c>
      <c r="Q2608" t="str">
        <f t="shared" si="243"/>
        <v>Low Loan</v>
      </c>
      <c r="R2608">
        <f t="shared" si="244"/>
        <v>15500000</v>
      </c>
      <c r="S2608" t="str">
        <f t="shared" si="245"/>
        <v>Strong</v>
      </c>
    </row>
    <row r="2609" spans="1:19" x14ac:dyDescent="0.25">
      <c r="A2609">
        <v>2608</v>
      </c>
      <c r="B2609">
        <v>4</v>
      </c>
      <c r="C2609" t="s">
        <v>31</v>
      </c>
      <c r="D2609" t="s">
        <v>32</v>
      </c>
      <c r="E2609">
        <v>5400000</v>
      </c>
      <c r="F2609">
        <v>12600000</v>
      </c>
      <c r="G2609">
        <v>18</v>
      </c>
      <c r="H2609">
        <v>786</v>
      </c>
      <c r="I2609">
        <v>300000</v>
      </c>
      <c r="J2609">
        <v>2500000</v>
      </c>
      <c r="K2609">
        <v>21000000</v>
      </c>
      <c r="L2609">
        <v>6600000</v>
      </c>
      <c r="M2609" t="s">
        <v>34</v>
      </c>
      <c r="N2609">
        <f t="shared" si="241"/>
        <v>1</v>
      </c>
      <c r="O2609" t="str">
        <f t="shared" si="240"/>
        <v>Excellent</v>
      </c>
      <c r="P2609" t="str">
        <f t="shared" si="242"/>
        <v>High</v>
      </c>
      <c r="Q2609" t="str">
        <f t="shared" si="243"/>
        <v>Low Loan</v>
      </c>
      <c r="R2609">
        <f t="shared" si="244"/>
        <v>30400000</v>
      </c>
      <c r="S2609" t="str">
        <f t="shared" si="245"/>
        <v>Strong</v>
      </c>
    </row>
    <row r="2610" spans="1:19" x14ac:dyDescent="0.25">
      <c r="A2610">
        <v>2609</v>
      </c>
      <c r="B2610">
        <v>1</v>
      </c>
      <c r="C2610" t="s">
        <v>31</v>
      </c>
      <c r="D2610" t="s">
        <v>32</v>
      </c>
      <c r="E2610">
        <v>7400000</v>
      </c>
      <c r="F2610">
        <v>29100000</v>
      </c>
      <c r="G2610">
        <v>8</v>
      </c>
      <c r="H2610">
        <v>597</v>
      </c>
      <c r="I2610">
        <v>12100000</v>
      </c>
      <c r="J2610">
        <v>4800000</v>
      </c>
      <c r="K2610">
        <v>16300000</v>
      </c>
      <c r="L2610">
        <v>7000000</v>
      </c>
      <c r="M2610" t="s">
        <v>34</v>
      </c>
      <c r="N2610">
        <f t="shared" si="241"/>
        <v>1</v>
      </c>
      <c r="O2610" t="str">
        <f t="shared" si="240"/>
        <v>Low</v>
      </c>
      <c r="P2610" t="str">
        <f t="shared" si="242"/>
        <v>High</v>
      </c>
      <c r="Q2610" t="str">
        <f t="shared" si="243"/>
        <v>High Loan</v>
      </c>
      <c r="R2610">
        <f t="shared" si="244"/>
        <v>40200000</v>
      </c>
      <c r="S2610" t="str">
        <f t="shared" si="245"/>
        <v>Strong</v>
      </c>
    </row>
    <row r="2611" spans="1:19" x14ac:dyDescent="0.25">
      <c r="A2611">
        <v>2610</v>
      </c>
      <c r="B2611">
        <v>4</v>
      </c>
      <c r="C2611" t="s">
        <v>30</v>
      </c>
      <c r="D2611" t="s">
        <v>32</v>
      </c>
      <c r="E2611">
        <v>5800000</v>
      </c>
      <c r="F2611">
        <v>12000000</v>
      </c>
      <c r="G2611">
        <v>12</v>
      </c>
      <c r="H2611">
        <v>811</v>
      </c>
      <c r="I2611">
        <v>9400000</v>
      </c>
      <c r="J2611">
        <v>8800000</v>
      </c>
      <c r="K2611">
        <v>14200000</v>
      </c>
      <c r="L2611">
        <v>3100000</v>
      </c>
      <c r="M2611" t="s">
        <v>34</v>
      </c>
      <c r="N2611">
        <f t="shared" si="241"/>
        <v>1</v>
      </c>
      <c r="O2611" t="str">
        <f t="shared" si="240"/>
        <v>Excellent</v>
      </c>
      <c r="P2611" t="str">
        <f t="shared" si="242"/>
        <v>High</v>
      </c>
      <c r="Q2611" t="str">
        <f t="shared" si="243"/>
        <v>Low Loan</v>
      </c>
      <c r="R2611">
        <f t="shared" si="244"/>
        <v>35500000</v>
      </c>
      <c r="S2611" t="str">
        <f t="shared" si="245"/>
        <v>Strong</v>
      </c>
    </row>
    <row r="2612" spans="1:19" x14ac:dyDescent="0.25">
      <c r="A2612">
        <v>2611</v>
      </c>
      <c r="B2612">
        <v>1</v>
      </c>
      <c r="C2612" t="s">
        <v>30</v>
      </c>
      <c r="D2612" t="s">
        <v>33</v>
      </c>
      <c r="E2612">
        <v>5800000</v>
      </c>
      <c r="F2612">
        <v>13000000</v>
      </c>
      <c r="G2612">
        <v>12</v>
      </c>
      <c r="H2612">
        <v>862</v>
      </c>
      <c r="I2612">
        <v>11300000</v>
      </c>
      <c r="J2612">
        <v>8400000</v>
      </c>
      <c r="K2612">
        <v>12000000</v>
      </c>
      <c r="L2612">
        <v>3900000</v>
      </c>
      <c r="M2612" t="s">
        <v>34</v>
      </c>
      <c r="N2612">
        <f t="shared" si="241"/>
        <v>1</v>
      </c>
      <c r="O2612" t="str">
        <f t="shared" si="240"/>
        <v>Excellent</v>
      </c>
      <c r="P2612" t="str">
        <f t="shared" si="242"/>
        <v>High</v>
      </c>
      <c r="Q2612" t="str">
        <f t="shared" si="243"/>
        <v>Low Loan</v>
      </c>
      <c r="R2612">
        <f t="shared" si="244"/>
        <v>35600000</v>
      </c>
      <c r="S2612" t="str">
        <f t="shared" si="245"/>
        <v>Strong</v>
      </c>
    </row>
    <row r="2613" spans="1:19" x14ac:dyDescent="0.25">
      <c r="A2613">
        <v>2612</v>
      </c>
      <c r="B2613">
        <v>3</v>
      </c>
      <c r="C2613" t="s">
        <v>31</v>
      </c>
      <c r="D2613" t="s">
        <v>33</v>
      </c>
      <c r="E2613">
        <v>4800000</v>
      </c>
      <c r="F2613">
        <v>14200000</v>
      </c>
      <c r="G2613">
        <v>12</v>
      </c>
      <c r="H2613">
        <v>369</v>
      </c>
      <c r="I2613">
        <v>3200000</v>
      </c>
      <c r="J2613">
        <v>200000</v>
      </c>
      <c r="K2613">
        <v>14000000</v>
      </c>
      <c r="L2613">
        <v>3000000</v>
      </c>
      <c r="M2613" t="s">
        <v>35</v>
      </c>
      <c r="N2613">
        <f t="shared" si="241"/>
        <v>0</v>
      </c>
      <c r="O2613" t="str">
        <f t="shared" si="240"/>
        <v>Low</v>
      </c>
      <c r="P2613" t="str">
        <f t="shared" si="242"/>
        <v>High</v>
      </c>
      <c r="Q2613" t="str">
        <f t="shared" si="243"/>
        <v>Low Loan</v>
      </c>
      <c r="R2613">
        <f t="shared" si="244"/>
        <v>20400000</v>
      </c>
      <c r="S2613" t="str">
        <f t="shared" si="245"/>
        <v>Strong</v>
      </c>
    </row>
    <row r="2614" spans="1:19" x14ac:dyDescent="0.25">
      <c r="A2614">
        <v>2613</v>
      </c>
      <c r="B2614">
        <v>1</v>
      </c>
      <c r="C2614" t="s">
        <v>31</v>
      </c>
      <c r="D2614" t="s">
        <v>33</v>
      </c>
      <c r="E2614">
        <v>7400000</v>
      </c>
      <c r="F2614">
        <v>23900000</v>
      </c>
      <c r="G2614">
        <v>4</v>
      </c>
      <c r="H2614">
        <v>687</v>
      </c>
      <c r="I2614">
        <v>20800000</v>
      </c>
      <c r="J2614">
        <v>10900000</v>
      </c>
      <c r="K2614">
        <v>26100000</v>
      </c>
      <c r="L2614">
        <v>5600000</v>
      </c>
      <c r="M2614" t="s">
        <v>34</v>
      </c>
      <c r="N2614">
        <f t="shared" si="241"/>
        <v>1</v>
      </c>
      <c r="O2614" t="str">
        <f t="shared" si="240"/>
        <v>Medium</v>
      </c>
      <c r="P2614" t="str">
        <f t="shared" si="242"/>
        <v>High</v>
      </c>
      <c r="Q2614" t="str">
        <f t="shared" si="243"/>
        <v>High Loan</v>
      </c>
      <c r="R2614">
        <f t="shared" si="244"/>
        <v>63400000</v>
      </c>
      <c r="S2614" t="str">
        <f t="shared" si="245"/>
        <v>Strong</v>
      </c>
    </row>
    <row r="2615" spans="1:19" x14ac:dyDescent="0.25">
      <c r="A2615">
        <v>2614</v>
      </c>
      <c r="B2615">
        <v>0</v>
      </c>
      <c r="C2615" t="s">
        <v>31</v>
      </c>
      <c r="D2615" t="s">
        <v>33</v>
      </c>
      <c r="E2615">
        <v>9600000</v>
      </c>
      <c r="F2615">
        <v>19600000</v>
      </c>
      <c r="G2615">
        <v>12</v>
      </c>
      <c r="H2615">
        <v>500</v>
      </c>
      <c r="I2615">
        <v>21500000</v>
      </c>
      <c r="J2615">
        <v>700000</v>
      </c>
      <c r="K2615">
        <v>37600000</v>
      </c>
      <c r="L2615">
        <v>10900000</v>
      </c>
      <c r="M2615" t="s">
        <v>35</v>
      </c>
      <c r="N2615">
        <f t="shared" si="241"/>
        <v>0</v>
      </c>
      <c r="O2615" t="str">
        <f t="shared" si="240"/>
        <v>Low</v>
      </c>
      <c r="P2615" t="str">
        <f t="shared" si="242"/>
        <v>High</v>
      </c>
      <c r="Q2615" t="str">
        <f t="shared" si="243"/>
        <v>Low Loan</v>
      </c>
      <c r="R2615">
        <f t="shared" si="244"/>
        <v>70700000</v>
      </c>
      <c r="S2615" t="str">
        <f t="shared" si="245"/>
        <v>Strong</v>
      </c>
    </row>
    <row r="2616" spans="1:19" x14ac:dyDescent="0.25">
      <c r="A2616">
        <v>2615</v>
      </c>
      <c r="B2616">
        <v>2</v>
      </c>
      <c r="C2616" t="s">
        <v>31</v>
      </c>
      <c r="D2616" t="s">
        <v>33</v>
      </c>
      <c r="E2616">
        <v>200000</v>
      </c>
      <c r="F2616">
        <v>500000</v>
      </c>
      <c r="G2616">
        <v>6</v>
      </c>
      <c r="H2616">
        <v>746</v>
      </c>
      <c r="I2616">
        <v>400000</v>
      </c>
      <c r="J2616">
        <v>0</v>
      </c>
      <c r="K2616">
        <v>500000</v>
      </c>
      <c r="L2616">
        <v>0</v>
      </c>
      <c r="M2616" t="s">
        <v>34</v>
      </c>
      <c r="N2616">
        <f t="shared" si="241"/>
        <v>1</v>
      </c>
      <c r="O2616" t="str">
        <f t="shared" si="240"/>
        <v>Good</v>
      </c>
      <c r="P2616" t="str">
        <f t="shared" si="242"/>
        <v>Low</v>
      </c>
      <c r="Q2616" t="str">
        <f t="shared" si="243"/>
        <v>Low Loan</v>
      </c>
      <c r="R2616">
        <f t="shared" si="244"/>
        <v>900000</v>
      </c>
      <c r="S2616" t="str">
        <f t="shared" si="245"/>
        <v>Weak</v>
      </c>
    </row>
    <row r="2617" spans="1:19" x14ac:dyDescent="0.25">
      <c r="A2617">
        <v>2616</v>
      </c>
      <c r="B2617">
        <v>4</v>
      </c>
      <c r="C2617" t="s">
        <v>31</v>
      </c>
      <c r="D2617" t="s">
        <v>32</v>
      </c>
      <c r="E2617">
        <v>700000</v>
      </c>
      <c r="F2617">
        <v>2100000</v>
      </c>
      <c r="G2617">
        <v>14</v>
      </c>
      <c r="H2617">
        <v>619</v>
      </c>
      <c r="I2617">
        <v>1900000</v>
      </c>
      <c r="J2617">
        <v>700000</v>
      </c>
      <c r="K2617">
        <v>2400000</v>
      </c>
      <c r="L2617">
        <v>1000000</v>
      </c>
      <c r="M2617" t="s">
        <v>34</v>
      </c>
      <c r="N2617">
        <f t="shared" si="241"/>
        <v>1</v>
      </c>
      <c r="O2617" t="str">
        <f t="shared" si="240"/>
        <v>Low</v>
      </c>
      <c r="P2617" t="str">
        <f t="shared" si="242"/>
        <v>High</v>
      </c>
      <c r="Q2617" t="str">
        <f t="shared" si="243"/>
        <v>Low Loan</v>
      </c>
      <c r="R2617">
        <f t="shared" si="244"/>
        <v>6000000</v>
      </c>
      <c r="S2617" t="str">
        <f t="shared" si="245"/>
        <v>Moderate</v>
      </c>
    </row>
    <row r="2618" spans="1:19" x14ac:dyDescent="0.25">
      <c r="A2618">
        <v>2617</v>
      </c>
      <c r="B2618">
        <v>2</v>
      </c>
      <c r="C2618" t="s">
        <v>31</v>
      </c>
      <c r="D2618" t="s">
        <v>32</v>
      </c>
      <c r="E2618">
        <v>7600000</v>
      </c>
      <c r="F2618">
        <v>16700000</v>
      </c>
      <c r="G2618">
        <v>20</v>
      </c>
      <c r="H2618">
        <v>692</v>
      </c>
      <c r="I2618">
        <v>9900000</v>
      </c>
      <c r="J2618">
        <v>9600000</v>
      </c>
      <c r="K2618">
        <v>25100000</v>
      </c>
      <c r="L2618">
        <v>7400000</v>
      </c>
      <c r="M2618" t="s">
        <v>34</v>
      </c>
      <c r="N2618">
        <f t="shared" si="241"/>
        <v>1</v>
      </c>
      <c r="O2618" t="str">
        <f t="shared" si="240"/>
        <v>Medium</v>
      </c>
      <c r="P2618" t="str">
        <f t="shared" si="242"/>
        <v>High</v>
      </c>
      <c r="Q2618" t="str">
        <f t="shared" si="243"/>
        <v>Low Loan</v>
      </c>
      <c r="R2618">
        <f t="shared" si="244"/>
        <v>52000000</v>
      </c>
      <c r="S2618" t="str">
        <f t="shared" si="245"/>
        <v>Strong</v>
      </c>
    </row>
    <row r="2619" spans="1:19" x14ac:dyDescent="0.25">
      <c r="A2619">
        <v>2618</v>
      </c>
      <c r="B2619">
        <v>1</v>
      </c>
      <c r="C2619" t="s">
        <v>31</v>
      </c>
      <c r="D2619" t="s">
        <v>33</v>
      </c>
      <c r="E2619">
        <v>1400000</v>
      </c>
      <c r="F2619">
        <v>3300000</v>
      </c>
      <c r="G2619">
        <v>18</v>
      </c>
      <c r="H2619">
        <v>321</v>
      </c>
      <c r="I2619">
        <v>900000</v>
      </c>
      <c r="J2619">
        <v>1500000</v>
      </c>
      <c r="K2619">
        <v>3000000</v>
      </c>
      <c r="L2619">
        <v>700000</v>
      </c>
      <c r="M2619" t="s">
        <v>35</v>
      </c>
      <c r="N2619">
        <f t="shared" si="241"/>
        <v>0</v>
      </c>
      <c r="O2619" t="str">
        <f t="shared" si="240"/>
        <v>Low</v>
      </c>
      <c r="P2619" t="str">
        <f t="shared" si="242"/>
        <v>High</v>
      </c>
      <c r="Q2619" t="str">
        <f t="shared" si="243"/>
        <v>Low Loan</v>
      </c>
      <c r="R2619">
        <f t="shared" si="244"/>
        <v>6100000</v>
      </c>
      <c r="S2619" t="str">
        <f t="shared" si="245"/>
        <v>Moderate</v>
      </c>
    </row>
    <row r="2620" spans="1:19" x14ac:dyDescent="0.25">
      <c r="A2620">
        <v>2619</v>
      </c>
      <c r="B2620">
        <v>2</v>
      </c>
      <c r="C2620" t="s">
        <v>31</v>
      </c>
      <c r="D2620" t="s">
        <v>33</v>
      </c>
      <c r="E2620">
        <v>3800000</v>
      </c>
      <c r="F2620">
        <v>15000000</v>
      </c>
      <c r="G2620">
        <v>14</v>
      </c>
      <c r="H2620">
        <v>730</v>
      </c>
      <c r="I2620">
        <v>10800000</v>
      </c>
      <c r="J2620">
        <v>2900000</v>
      </c>
      <c r="K2620">
        <v>10700000</v>
      </c>
      <c r="L2620">
        <v>3600000</v>
      </c>
      <c r="M2620" t="s">
        <v>34</v>
      </c>
      <c r="N2620">
        <f t="shared" si="241"/>
        <v>1</v>
      </c>
      <c r="O2620" t="str">
        <f t="shared" si="240"/>
        <v>Good</v>
      </c>
      <c r="P2620" t="str">
        <f t="shared" si="242"/>
        <v>High</v>
      </c>
      <c r="Q2620" t="str">
        <f t="shared" si="243"/>
        <v>Low Loan</v>
      </c>
      <c r="R2620">
        <f t="shared" si="244"/>
        <v>28000000</v>
      </c>
      <c r="S2620" t="str">
        <f t="shared" si="245"/>
        <v>Strong</v>
      </c>
    </row>
    <row r="2621" spans="1:19" x14ac:dyDescent="0.25">
      <c r="A2621">
        <v>2620</v>
      </c>
      <c r="B2621">
        <v>3</v>
      </c>
      <c r="C2621" t="s">
        <v>31</v>
      </c>
      <c r="D2621" t="s">
        <v>32</v>
      </c>
      <c r="E2621">
        <v>2700000</v>
      </c>
      <c r="F2621">
        <v>10800000</v>
      </c>
      <c r="G2621">
        <v>6</v>
      </c>
      <c r="H2621">
        <v>480</v>
      </c>
      <c r="I2621">
        <v>4400000</v>
      </c>
      <c r="J2621">
        <v>0</v>
      </c>
      <c r="K2621">
        <v>10300000</v>
      </c>
      <c r="L2621">
        <v>3500000</v>
      </c>
      <c r="M2621" t="s">
        <v>35</v>
      </c>
      <c r="N2621">
        <f t="shared" si="241"/>
        <v>0</v>
      </c>
      <c r="O2621" t="str">
        <f t="shared" si="240"/>
        <v>Low</v>
      </c>
      <c r="P2621" t="str">
        <f t="shared" si="242"/>
        <v>High</v>
      </c>
      <c r="Q2621" t="str">
        <f t="shared" si="243"/>
        <v>Low Loan</v>
      </c>
      <c r="R2621">
        <f t="shared" si="244"/>
        <v>18200000</v>
      </c>
      <c r="S2621" t="str">
        <f t="shared" si="245"/>
        <v>Strong</v>
      </c>
    </row>
    <row r="2622" spans="1:19" x14ac:dyDescent="0.25">
      <c r="A2622">
        <v>2621</v>
      </c>
      <c r="B2622">
        <v>2</v>
      </c>
      <c r="C2622" t="s">
        <v>31</v>
      </c>
      <c r="D2622" t="s">
        <v>33</v>
      </c>
      <c r="E2622">
        <v>5000000</v>
      </c>
      <c r="F2622">
        <v>10700000</v>
      </c>
      <c r="G2622">
        <v>2</v>
      </c>
      <c r="H2622">
        <v>753</v>
      </c>
      <c r="I2622">
        <v>12600000</v>
      </c>
      <c r="J2622">
        <v>9000000</v>
      </c>
      <c r="K2622">
        <v>11500000</v>
      </c>
      <c r="L2622">
        <v>5700000</v>
      </c>
      <c r="M2622" t="s">
        <v>34</v>
      </c>
      <c r="N2622">
        <f t="shared" si="241"/>
        <v>1</v>
      </c>
      <c r="O2622" t="str">
        <f t="shared" si="240"/>
        <v>Excellent</v>
      </c>
      <c r="P2622" t="str">
        <f t="shared" si="242"/>
        <v>High</v>
      </c>
      <c r="Q2622" t="str">
        <f t="shared" si="243"/>
        <v>Low Loan</v>
      </c>
      <c r="R2622">
        <f t="shared" si="244"/>
        <v>38800000</v>
      </c>
      <c r="S2622" t="str">
        <f t="shared" si="245"/>
        <v>Strong</v>
      </c>
    </row>
    <row r="2623" spans="1:19" x14ac:dyDescent="0.25">
      <c r="A2623">
        <v>2622</v>
      </c>
      <c r="B2623">
        <v>4</v>
      </c>
      <c r="C2623" t="s">
        <v>30</v>
      </c>
      <c r="D2623" t="s">
        <v>33</v>
      </c>
      <c r="E2623">
        <v>9000000</v>
      </c>
      <c r="F2623">
        <v>28900000</v>
      </c>
      <c r="G2623">
        <v>6</v>
      </c>
      <c r="H2623">
        <v>637</v>
      </c>
      <c r="I2623">
        <v>11300000</v>
      </c>
      <c r="J2623">
        <v>1200000</v>
      </c>
      <c r="K2623">
        <v>33000000</v>
      </c>
      <c r="L2623">
        <v>4800000</v>
      </c>
      <c r="M2623" t="s">
        <v>34</v>
      </c>
      <c r="N2623">
        <f t="shared" si="241"/>
        <v>1</v>
      </c>
      <c r="O2623" t="str">
        <f t="shared" si="240"/>
        <v>Low</v>
      </c>
      <c r="P2623" t="str">
        <f t="shared" si="242"/>
        <v>High</v>
      </c>
      <c r="Q2623" t="str">
        <f t="shared" si="243"/>
        <v>High Loan</v>
      </c>
      <c r="R2623">
        <f t="shared" si="244"/>
        <v>50300000</v>
      </c>
      <c r="S2623" t="str">
        <f t="shared" si="245"/>
        <v>Strong</v>
      </c>
    </row>
    <row r="2624" spans="1:19" x14ac:dyDescent="0.25">
      <c r="A2624">
        <v>2623</v>
      </c>
      <c r="B2624">
        <v>3</v>
      </c>
      <c r="C2624" t="s">
        <v>30</v>
      </c>
      <c r="D2624" t="s">
        <v>32</v>
      </c>
      <c r="E2624">
        <v>3700000</v>
      </c>
      <c r="F2624">
        <v>9000000</v>
      </c>
      <c r="G2624">
        <v>6</v>
      </c>
      <c r="H2624">
        <v>483</v>
      </c>
      <c r="I2624">
        <v>9300000</v>
      </c>
      <c r="J2624">
        <v>400000</v>
      </c>
      <c r="K2624">
        <v>9900000</v>
      </c>
      <c r="L2624">
        <v>3600000</v>
      </c>
      <c r="M2624" t="s">
        <v>35</v>
      </c>
      <c r="N2624">
        <f t="shared" si="241"/>
        <v>0</v>
      </c>
      <c r="O2624" t="str">
        <f t="shared" si="240"/>
        <v>Low</v>
      </c>
      <c r="P2624" t="str">
        <f t="shared" si="242"/>
        <v>High</v>
      </c>
      <c r="Q2624" t="str">
        <f t="shared" si="243"/>
        <v>Low Loan</v>
      </c>
      <c r="R2624">
        <f t="shared" si="244"/>
        <v>23200000</v>
      </c>
      <c r="S2624" t="str">
        <f t="shared" si="245"/>
        <v>Strong</v>
      </c>
    </row>
    <row r="2625" spans="1:19" x14ac:dyDescent="0.25">
      <c r="A2625">
        <v>2624</v>
      </c>
      <c r="B2625">
        <v>4</v>
      </c>
      <c r="C2625" t="s">
        <v>31</v>
      </c>
      <c r="D2625" t="s">
        <v>33</v>
      </c>
      <c r="E2625">
        <v>300000</v>
      </c>
      <c r="F2625">
        <v>1100000</v>
      </c>
      <c r="G2625">
        <v>4</v>
      </c>
      <c r="H2625">
        <v>315</v>
      </c>
      <c r="I2625">
        <v>700000</v>
      </c>
      <c r="J2625">
        <v>100000</v>
      </c>
      <c r="K2625">
        <v>900000</v>
      </c>
      <c r="L2625">
        <v>100000</v>
      </c>
      <c r="M2625" t="s">
        <v>34</v>
      </c>
      <c r="N2625">
        <f t="shared" si="241"/>
        <v>1</v>
      </c>
      <c r="O2625" t="str">
        <f t="shared" si="240"/>
        <v>Low</v>
      </c>
      <c r="P2625" t="str">
        <f t="shared" si="242"/>
        <v>Middle</v>
      </c>
      <c r="Q2625" t="str">
        <f t="shared" si="243"/>
        <v>Low Loan</v>
      </c>
      <c r="R2625">
        <f t="shared" si="244"/>
        <v>1800000</v>
      </c>
      <c r="S2625" t="str">
        <f t="shared" si="245"/>
        <v>Weak</v>
      </c>
    </row>
    <row r="2626" spans="1:19" x14ac:dyDescent="0.25">
      <c r="A2626">
        <v>2625</v>
      </c>
      <c r="B2626">
        <v>4</v>
      </c>
      <c r="C2626" t="s">
        <v>30</v>
      </c>
      <c r="D2626" t="s">
        <v>32</v>
      </c>
      <c r="E2626">
        <v>1800000</v>
      </c>
      <c r="F2626">
        <v>4100000</v>
      </c>
      <c r="G2626">
        <v>8</v>
      </c>
      <c r="H2626">
        <v>777</v>
      </c>
      <c r="I2626">
        <v>2200000</v>
      </c>
      <c r="J2626">
        <v>2500000</v>
      </c>
      <c r="K2626">
        <v>3600000</v>
      </c>
      <c r="L2626">
        <v>1900000</v>
      </c>
      <c r="M2626" t="s">
        <v>34</v>
      </c>
      <c r="N2626">
        <f t="shared" si="241"/>
        <v>1</v>
      </c>
      <c r="O2626" t="str">
        <f t="shared" ref="O2626:O2689" si="246">IF(H2626&lt;650,"Low",
 IF(H2626&lt;700,"Medium",
 IF(H2626&lt;750,"Good","Excellent")))</f>
        <v>Excellent</v>
      </c>
      <c r="P2626" t="str">
        <f t="shared" si="242"/>
        <v>High</v>
      </c>
      <c r="Q2626" t="str">
        <f t="shared" si="243"/>
        <v>Low Loan</v>
      </c>
      <c r="R2626">
        <f t="shared" si="244"/>
        <v>10200000</v>
      </c>
      <c r="S2626" t="str">
        <f t="shared" si="245"/>
        <v>Strong</v>
      </c>
    </row>
    <row r="2627" spans="1:19" x14ac:dyDescent="0.25">
      <c r="A2627">
        <v>2626</v>
      </c>
      <c r="B2627">
        <v>2</v>
      </c>
      <c r="C2627" t="s">
        <v>30</v>
      </c>
      <c r="D2627" t="s">
        <v>32</v>
      </c>
      <c r="E2627">
        <v>7900000</v>
      </c>
      <c r="F2627">
        <v>17700000</v>
      </c>
      <c r="G2627">
        <v>4</v>
      </c>
      <c r="H2627">
        <v>402</v>
      </c>
      <c r="I2627">
        <v>20900000</v>
      </c>
      <c r="J2627">
        <v>11800000</v>
      </c>
      <c r="K2627">
        <v>25600000</v>
      </c>
      <c r="L2627">
        <v>8400000</v>
      </c>
      <c r="M2627" t="s">
        <v>35</v>
      </c>
      <c r="N2627">
        <f t="shared" ref="N2627:N2690" si="247">IF(TRIM(CLEAN(M2627))="Approved",1,0)</f>
        <v>0</v>
      </c>
      <c r="O2627" t="str">
        <f t="shared" si="246"/>
        <v>Low</v>
      </c>
      <c r="P2627" t="str">
        <f t="shared" ref="P2627:P2690" si="248">IF(E2627&lt;300000,"Low",
 IF(E2627&lt;700000,"Middle","High"))</f>
        <v>High</v>
      </c>
      <c r="Q2627" t="str">
        <f t="shared" ref="Q2627:Q2690" si="249">IF(F2627&lt;20000000,"Low Loan","High Loan")</f>
        <v>Low Loan</v>
      </c>
      <c r="R2627">
        <f t="shared" ref="R2627:R2690" si="250">I2627+J2627+K2627+L2627</f>
        <v>66700000</v>
      </c>
      <c r="S2627" t="str">
        <f t="shared" ref="S2627:S2690" si="251">IF(R2627&lt;5000000,"Weak",
 IF(R2627&lt;10000000,"Moderate","Strong"))</f>
        <v>Strong</v>
      </c>
    </row>
    <row r="2628" spans="1:19" x14ac:dyDescent="0.25">
      <c r="A2628">
        <v>2627</v>
      </c>
      <c r="B2628">
        <v>4</v>
      </c>
      <c r="C2628" t="s">
        <v>30</v>
      </c>
      <c r="D2628" t="s">
        <v>33</v>
      </c>
      <c r="E2628">
        <v>2100000</v>
      </c>
      <c r="F2628">
        <v>7700000</v>
      </c>
      <c r="G2628">
        <v>8</v>
      </c>
      <c r="H2628">
        <v>493</v>
      </c>
      <c r="I2628">
        <v>4300000</v>
      </c>
      <c r="J2628">
        <v>400000</v>
      </c>
      <c r="K2628">
        <v>4400000</v>
      </c>
      <c r="L2628">
        <v>1300000</v>
      </c>
      <c r="M2628" t="s">
        <v>35</v>
      </c>
      <c r="N2628">
        <f t="shared" si="247"/>
        <v>0</v>
      </c>
      <c r="O2628" t="str">
        <f t="shared" si="246"/>
        <v>Low</v>
      </c>
      <c r="P2628" t="str">
        <f t="shared" si="248"/>
        <v>High</v>
      </c>
      <c r="Q2628" t="str">
        <f t="shared" si="249"/>
        <v>Low Loan</v>
      </c>
      <c r="R2628">
        <f t="shared" si="250"/>
        <v>10400000</v>
      </c>
      <c r="S2628" t="str">
        <f t="shared" si="251"/>
        <v>Strong</v>
      </c>
    </row>
    <row r="2629" spans="1:19" x14ac:dyDescent="0.25">
      <c r="A2629">
        <v>2628</v>
      </c>
      <c r="B2629">
        <v>0</v>
      </c>
      <c r="C2629" t="s">
        <v>30</v>
      </c>
      <c r="D2629" t="s">
        <v>33</v>
      </c>
      <c r="E2629">
        <v>900000</v>
      </c>
      <c r="F2629">
        <v>3100000</v>
      </c>
      <c r="G2629">
        <v>4</v>
      </c>
      <c r="H2629">
        <v>355</v>
      </c>
      <c r="I2629">
        <v>1700000</v>
      </c>
      <c r="J2629">
        <v>100000</v>
      </c>
      <c r="K2629">
        <v>3000000</v>
      </c>
      <c r="L2629">
        <v>500000</v>
      </c>
      <c r="M2629" t="s">
        <v>34</v>
      </c>
      <c r="N2629">
        <f t="shared" si="247"/>
        <v>1</v>
      </c>
      <c r="O2629" t="str">
        <f t="shared" si="246"/>
        <v>Low</v>
      </c>
      <c r="P2629" t="str">
        <f t="shared" si="248"/>
        <v>High</v>
      </c>
      <c r="Q2629" t="str">
        <f t="shared" si="249"/>
        <v>Low Loan</v>
      </c>
      <c r="R2629">
        <f t="shared" si="250"/>
        <v>5300000</v>
      </c>
      <c r="S2629" t="str">
        <f t="shared" si="251"/>
        <v>Moderate</v>
      </c>
    </row>
    <row r="2630" spans="1:19" x14ac:dyDescent="0.25">
      <c r="A2630">
        <v>2629</v>
      </c>
      <c r="B2630">
        <v>3</v>
      </c>
      <c r="C2630" t="s">
        <v>30</v>
      </c>
      <c r="D2630" t="s">
        <v>32</v>
      </c>
      <c r="E2630">
        <v>9900000</v>
      </c>
      <c r="F2630">
        <v>23600000</v>
      </c>
      <c r="G2630">
        <v>18</v>
      </c>
      <c r="H2630">
        <v>557</v>
      </c>
      <c r="I2630">
        <v>18300000</v>
      </c>
      <c r="J2630">
        <v>8600000</v>
      </c>
      <c r="K2630">
        <v>23000000</v>
      </c>
      <c r="L2630">
        <v>9100000</v>
      </c>
      <c r="M2630" t="s">
        <v>34</v>
      </c>
      <c r="N2630">
        <f t="shared" si="247"/>
        <v>1</v>
      </c>
      <c r="O2630" t="str">
        <f t="shared" si="246"/>
        <v>Low</v>
      </c>
      <c r="P2630" t="str">
        <f t="shared" si="248"/>
        <v>High</v>
      </c>
      <c r="Q2630" t="str">
        <f t="shared" si="249"/>
        <v>High Loan</v>
      </c>
      <c r="R2630">
        <f t="shared" si="250"/>
        <v>59000000</v>
      </c>
      <c r="S2630" t="str">
        <f t="shared" si="251"/>
        <v>Strong</v>
      </c>
    </row>
    <row r="2631" spans="1:19" x14ac:dyDescent="0.25">
      <c r="A2631">
        <v>2630</v>
      </c>
      <c r="B2631">
        <v>0</v>
      </c>
      <c r="C2631" t="s">
        <v>31</v>
      </c>
      <c r="D2631" t="s">
        <v>33</v>
      </c>
      <c r="E2631">
        <v>5600000</v>
      </c>
      <c r="F2631">
        <v>20000000</v>
      </c>
      <c r="G2631">
        <v>20</v>
      </c>
      <c r="H2631">
        <v>606</v>
      </c>
      <c r="I2631">
        <v>7100000</v>
      </c>
      <c r="J2631">
        <v>500000</v>
      </c>
      <c r="K2631">
        <v>20000000</v>
      </c>
      <c r="L2631">
        <v>7600000</v>
      </c>
      <c r="M2631" t="s">
        <v>34</v>
      </c>
      <c r="N2631">
        <f t="shared" si="247"/>
        <v>1</v>
      </c>
      <c r="O2631" t="str">
        <f t="shared" si="246"/>
        <v>Low</v>
      </c>
      <c r="P2631" t="str">
        <f t="shared" si="248"/>
        <v>High</v>
      </c>
      <c r="Q2631" t="str">
        <f t="shared" si="249"/>
        <v>High Loan</v>
      </c>
      <c r="R2631">
        <f t="shared" si="250"/>
        <v>35200000</v>
      </c>
      <c r="S2631" t="str">
        <f t="shared" si="251"/>
        <v>Strong</v>
      </c>
    </row>
    <row r="2632" spans="1:19" x14ac:dyDescent="0.25">
      <c r="A2632">
        <v>2631</v>
      </c>
      <c r="B2632">
        <v>1</v>
      </c>
      <c r="C2632" t="s">
        <v>31</v>
      </c>
      <c r="D2632" t="s">
        <v>33</v>
      </c>
      <c r="E2632">
        <v>6000000</v>
      </c>
      <c r="F2632">
        <v>12200000</v>
      </c>
      <c r="G2632">
        <v>16</v>
      </c>
      <c r="H2632">
        <v>743</v>
      </c>
      <c r="I2632">
        <v>8800000</v>
      </c>
      <c r="J2632">
        <v>2600000</v>
      </c>
      <c r="K2632">
        <v>20600000</v>
      </c>
      <c r="L2632">
        <v>2900000</v>
      </c>
      <c r="M2632" t="s">
        <v>34</v>
      </c>
      <c r="N2632">
        <f t="shared" si="247"/>
        <v>1</v>
      </c>
      <c r="O2632" t="str">
        <f t="shared" si="246"/>
        <v>Good</v>
      </c>
      <c r="P2632" t="str">
        <f t="shared" si="248"/>
        <v>High</v>
      </c>
      <c r="Q2632" t="str">
        <f t="shared" si="249"/>
        <v>Low Loan</v>
      </c>
      <c r="R2632">
        <f t="shared" si="250"/>
        <v>34900000</v>
      </c>
      <c r="S2632" t="str">
        <f t="shared" si="251"/>
        <v>Strong</v>
      </c>
    </row>
    <row r="2633" spans="1:19" x14ac:dyDescent="0.25">
      <c r="A2633">
        <v>2632</v>
      </c>
      <c r="B2633">
        <v>5</v>
      </c>
      <c r="C2633" t="s">
        <v>31</v>
      </c>
      <c r="D2633" t="s">
        <v>32</v>
      </c>
      <c r="E2633">
        <v>5700000</v>
      </c>
      <c r="F2633">
        <v>18400000</v>
      </c>
      <c r="G2633">
        <v>4</v>
      </c>
      <c r="H2633">
        <v>579</v>
      </c>
      <c r="I2633">
        <v>12800000</v>
      </c>
      <c r="J2633">
        <v>4000000</v>
      </c>
      <c r="K2633">
        <v>17200000</v>
      </c>
      <c r="L2633">
        <v>4900000</v>
      </c>
      <c r="M2633" t="s">
        <v>34</v>
      </c>
      <c r="N2633">
        <f t="shared" si="247"/>
        <v>1</v>
      </c>
      <c r="O2633" t="str">
        <f t="shared" si="246"/>
        <v>Low</v>
      </c>
      <c r="P2633" t="str">
        <f t="shared" si="248"/>
        <v>High</v>
      </c>
      <c r="Q2633" t="str">
        <f t="shared" si="249"/>
        <v>Low Loan</v>
      </c>
      <c r="R2633">
        <f t="shared" si="250"/>
        <v>38900000</v>
      </c>
      <c r="S2633" t="str">
        <f t="shared" si="251"/>
        <v>Strong</v>
      </c>
    </row>
    <row r="2634" spans="1:19" x14ac:dyDescent="0.25">
      <c r="A2634">
        <v>2633</v>
      </c>
      <c r="B2634">
        <v>0</v>
      </c>
      <c r="C2634" t="s">
        <v>30</v>
      </c>
      <c r="D2634" t="s">
        <v>33</v>
      </c>
      <c r="E2634">
        <v>9000000</v>
      </c>
      <c r="F2634">
        <v>33100000</v>
      </c>
      <c r="G2634">
        <v>20</v>
      </c>
      <c r="H2634">
        <v>734</v>
      </c>
      <c r="I2634">
        <v>2800000</v>
      </c>
      <c r="J2634">
        <v>5900000</v>
      </c>
      <c r="K2634">
        <v>25300000</v>
      </c>
      <c r="L2634">
        <v>10300000</v>
      </c>
      <c r="M2634" t="s">
        <v>34</v>
      </c>
      <c r="N2634">
        <f t="shared" si="247"/>
        <v>1</v>
      </c>
      <c r="O2634" t="str">
        <f t="shared" si="246"/>
        <v>Good</v>
      </c>
      <c r="P2634" t="str">
        <f t="shared" si="248"/>
        <v>High</v>
      </c>
      <c r="Q2634" t="str">
        <f t="shared" si="249"/>
        <v>High Loan</v>
      </c>
      <c r="R2634">
        <f t="shared" si="250"/>
        <v>44300000</v>
      </c>
      <c r="S2634" t="str">
        <f t="shared" si="251"/>
        <v>Strong</v>
      </c>
    </row>
    <row r="2635" spans="1:19" x14ac:dyDescent="0.25">
      <c r="A2635">
        <v>2634</v>
      </c>
      <c r="B2635">
        <v>0</v>
      </c>
      <c r="C2635" t="s">
        <v>30</v>
      </c>
      <c r="D2635" t="s">
        <v>32</v>
      </c>
      <c r="E2635">
        <v>7300000</v>
      </c>
      <c r="F2635">
        <v>16100000</v>
      </c>
      <c r="G2635">
        <v>2</v>
      </c>
      <c r="H2635">
        <v>490</v>
      </c>
      <c r="I2635">
        <v>7600000</v>
      </c>
      <c r="J2635">
        <v>1400000</v>
      </c>
      <c r="K2635">
        <v>21800000</v>
      </c>
      <c r="L2635">
        <v>10700000</v>
      </c>
      <c r="M2635" t="s">
        <v>35</v>
      </c>
      <c r="N2635">
        <f t="shared" si="247"/>
        <v>0</v>
      </c>
      <c r="O2635" t="str">
        <f t="shared" si="246"/>
        <v>Low</v>
      </c>
      <c r="P2635" t="str">
        <f t="shared" si="248"/>
        <v>High</v>
      </c>
      <c r="Q2635" t="str">
        <f t="shared" si="249"/>
        <v>Low Loan</v>
      </c>
      <c r="R2635">
        <f t="shared" si="250"/>
        <v>41500000</v>
      </c>
      <c r="S2635" t="str">
        <f t="shared" si="251"/>
        <v>Strong</v>
      </c>
    </row>
    <row r="2636" spans="1:19" x14ac:dyDescent="0.25">
      <c r="A2636">
        <v>2635</v>
      </c>
      <c r="B2636">
        <v>5</v>
      </c>
      <c r="C2636" t="s">
        <v>30</v>
      </c>
      <c r="D2636" t="s">
        <v>32</v>
      </c>
      <c r="E2636">
        <v>5300000</v>
      </c>
      <c r="F2636">
        <v>20500000</v>
      </c>
      <c r="G2636">
        <v>16</v>
      </c>
      <c r="H2636">
        <v>802</v>
      </c>
      <c r="I2636">
        <v>11200000</v>
      </c>
      <c r="J2636">
        <v>7100000</v>
      </c>
      <c r="K2636">
        <v>21100000</v>
      </c>
      <c r="L2636">
        <v>4100000</v>
      </c>
      <c r="M2636" t="s">
        <v>34</v>
      </c>
      <c r="N2636">
        <f t="shared" si="247"/>
        <v>1</v>
      </c>
      <c r="O2636" t="str">
        <f t="shared" si="246"/>
        <v>Excellent</v>
      </c>
      <c r="P2636" t="str">
        <f t="shared" si="248"/>
        <v>High</v>
      </c>
      <c r="Q2636" t="str">
        <f t="shared" si="249"/>
        <v>High Loan</v>
      </c>
      <c r="R2636">
        <f t="shared" si="250"/>
        <v>43500000</v>
      </c>
      <c r="S2636" t="str">
        <f t="shared" si="251"/>
        <v>Strong</v>
      </c>
    </row>
    <row r="2637" spans="1:19" x14ac:dyDescent="0.25">
      <c r="A2637">
        <v>2636</v>
      </c>
      <c r="B2637">
        <v>1</v>
      </c>
      <c r="C2637" t="s">
        <v>31</v>
      </c>
      <c r="D2637" t="s">
        <v>33</v>
      </c>
      <c r="E2637">
        <v>3500000</v>
      </c>
      <c r="F2637">
        <v>7400000</v>
      </c>
      <c r="G2637">
        <v>16</v>
      </c>
      <c r="H2637">
        <v>867</v>
      </c>
      <c r="I2637">
        <v>500000</v>
      </c>
      <c r="J2637">
        <v>6600000</v>
      </c>
      <c r="K2637">
        <v>9500000</v>
      </c>
      <c r="L2637">
        <v>2100000</v>
      </c>
      <c r="M2637" t="s">
        <v>34</v>
      </c>
      <c r="N2637">
        <f t="shared" si="247"/>
        <v>1</v>
      </c>
      <c r="O2637" t="str">
        <f t="shared" si="246"/>
        <v>Excellent</v>
      </c>
      <c r="P2637" t="str">
        <f t="shared" si="248"/>
        <v>High</v>
      </c>
      <c r="Q2637" t="str">
        <f t="shared" si="249"/>
        <v>Low Loan</v>
      </c>
      <c r="R2637">
        <f t="shared" si="250"/>
        <v>18700000</v>
      </c>
      <c r="S2637" t="str">
        <f t="shared" si="251"/>
        <v>Strong</v>
      </c>
    </row>
    <row r="2638" spans="1:19" x14ac:dyDescent="0.25">
      <c r="A2638">
        <v>2637</v>
      </c>
      <c r="B2638">
        <v>0</v>
      </c>
      <c r="C2638" t="s">
        <v>31</v>
      </c>
      <c r="D2638" t="s">
        <v>32</v>
      </c>
      <c r="E2638">
        <v>1000000</v>
      </c>
      <c r="F2638">
        <v>2200000</v>
      </c>
      <c r="G2638">
        <v>12</v>
      </c>
      <c r="H2638">
        <v>302</v>
      </c>
      <c r="I2638">
        <v>2200000</v>
      </c>
      <c r="J2638">
        <v>400000</v>
      </c>
      <c r="K2638">
        <v>3700000</v>
      </c>
      <c r="L2638">
        <v>1400000</v>
      </c>
      <c r="M2638" t="s">
        <v>35</v>
      </c>
      <c r="N2638">
        <f t="shared" si="247"/>
        <v>0</v>
      </c>
      <c r="O2638" t="str">
        <f t="shared" si="246"/>
        <v>Low</v>
      </c>
      <c r="P2638" t="str">
        <f t="shared" si="248"/>
        <v>High</v>
      </c>
      <c r="Q2638" t="str">
        <f t="shared" si="249"/>
        <v>Low Loan</v>
      </c>
      <c r="R2638">
        <f t="shared" si="250"/>
        <v>7700000</v>
      </c>
      <c r="S2638" t="str">
        <f t="shared" si="251"/>
        <v>Moderate</v>
      </c>
    </row>
    <row r="2639" spans="1:19" x14ac:dyDescent="0.25">
      <c r="A2639">
        <v>2638</v>
      </c>
      <c r="B2639">
        <v>0</v>
      </c>
      <c r="C2639" t="s">
        <v>31</v>
      </c>
      <c r="D2639" t="s">
        <v>32</v>
      </c>
      <c r="E2639">
        <v>5100000</v>
      </c>
      <c r="F2639">
        <v>19900000</v>
      </c>
      <c r="G2639">
        <v>12</v>
      </c>
      <c r="H2639">
        <v>867</v>
      </c>
      <c r="I2639">
        <v>1800000</v>
      </c>
      <c r="J2639">
        <v>7100000</v>
      </c>
      <c r="K2639">
        <v>18300000</v>
      </c>
      <c r="L2639">
        <v>5700000</v>
      </c>
      <c r="M2639" t="s">
        <v>34</v>
      </c>
      <c r="N2639">
        <f t="shared" si="247"/>
        <v>1</v>
      </c>
      <c r="O2639" t="str">
        <f t="shared" si="246"/>
        <v>Excellent</v>
      </c>
      <c r="P2639" t="str">
        <f t="shared" si="248"/>
        <v>High</v>
      </c>
      <c r="Q2639" t="str">
        <f t="shared" si="249"/>
        <v>Low Loan</v>
      </c>
      <c r="R2639">
        <f t="shared" si="250"/>
        <v>32900000</v>
      </c>
      <c r="S2639" t="str">
        <f t="shared" si="251"/>
        <v>Strong</v>
      </c>
    </row>
    <row r="2640" spans="1:19" x14ac:dyDescent="0.25">
      <c r="A2640">
        <v>2639</v>
      </c>
      <c r="B2640">
        <v>0</v>
      </c>
      <c r="C2640" t="s">
        <v>30</v>
      </c>
      <c r="D2640" t="s">
        <v>33</v>
      </c>
      <c r="E2640">
        <v>2900000</v>
      </c>
      <c r="F2640">
        <v>9900000</v>
      </c>
      <c r="G2640">
        <v>8</v>
      </c>
      <c r="H2640">
        <v>312</v>
      </c>
      <c r="I2640">
        <v>1800000</v>
      </c>
      <c r="J2640">
        <v>4500000</v>
      </c>
      <c r="K2640">
        <v>11200000</v>
      </c>
      <c r="L2640">
        <v>3700000</v>
      </c>
      <c r="M2640" t="s">
        <v>35</v>
      </c>
      <c r="N2640">
        <f t="shared" si="247"/>
        <v>0</v>
      </c>
      <c r="O2640" t="str">
        <f t="shared" si="246"/>
        <v>Low</v>
      </c>
      <c r="P2640" t="str">
        <f t="shared" si="248"/>
        <v>High</v>
      </c>
      <c r="Q2640" t="str">
        <f t="shared" si="249"/>
        <v>Low Loan</v>
      </c>
      <c r="R2640">
        <f t="shared" si="250"/>
        <v>21200000</v>
      </c>
      <c r="S2640" t="str">
        <f t="shared" si="251"/>
        <v>Strong</v>
      </c>
    </row>
    <row r="2641" spans="1:19" x14ac:dyDescent="0.25">
      <c r="A2641">
        <v>2640</v>
      </c>
      <c r="B2641">
        <v>3</v>
      </c>
      <c r="C2641" t="s">
        <v>31</v>
      </c>
      <c r="D2641" t="s">
        <v>32</v>
      </c>
      <c r="E2641">
        <v>7600000</v>
      </c>
      <c r="F2641">
        <v>19100000</v>
      </c>
      <c r="G2641">
        <v>14</v>
      </c>
      <c r="H2641">
        <v>762</v>
      </c>
      <c r="I2641">
        <v>14800000</v>
      </c>
      <c r="J2641">
        <v>15000000</v>
      </c>
      <c r="K2641">
        <v>23500000</v>
      </c>
      <c r="L2641">
        <v>7300000</v>
      </c>
      <c r="M2641" t="s">
        <v>34</v>
      </c>
      <c r="N2641">
        <f t="shared" si="247"/>
        <v>1</v>
      </c>
      <c r="O2641" t="str">
        <f t="shared" si="246"/>
        <v>Excellent</v>
      </c>
      <c r="P2641" t="str">
        <f t="shared" si="248"/>
        <v>High</v>
      </c>
      <c r="Q2641" t="str">
        <f t="shared" si="249"/>
        <v>Low Loan</v>
      </c>
      <c r="R2641">
        <f t="shared" si="250"/>
        <v>60600000</v>
      </c>
      <c r="S2641" t="str">
        <f t="shared" si="251"/>
        <v>Strong</v>
      </c>
    </row>
    <row r="2642" spans="1:19" x14ac:dyDescent="0.25">
      <c r="A2642">
        <v>2641</v>
      </c>
      <c r="B2642">
        <v>5</v>
      </c>
      <c r="C2642" t="s">
        <v>31</v>
      </c>
      <c r="D2642" t="s">
        <v>33</v>
      </c>
      <c r="E2642">
        <v>6000000</v>
      </c>
      <c r="F2642">
        <v>14700000</v>
      </c>
      <c r="G2642">
        <v>18</v>
      </c>
      <c r="H2642">
        <v>462</v>
      </c>
      <c r="I2642">
        <v>15400000</v>
      </c>
      <c r="J2642">
        <v>9700000</v>
      </c>
      <c r="K2642">
        <v>13800000</v>
      </c>
      <c r="L2642">
        <v>3500000</v>
      </c>
      <c r="M2642" t="s">
        <v>35</v>
      </c>
      <c r="N2642">
        <f t="shared" si="247"/>
        <v>0</v>
      </c>
      <c r="O2642" t="str">
        <f t="shared" si="246"/>
        <v>Low</v>
      </c>
      <c r="P2642" t="str">
        <f t="shared" si="248"/>
        <v>High</v>
      </c>
      <c r="Q2642" t="str">
        <f t="shared" si="249"/>
        <v>Low Loan</v>
      </c>
      <c r="R2642">
        <f t="shared" si="250"/>
        <v>42400000</v>
      </c>
      <c r="S2642" t="str">
        <f t="shared" si="251"/>
        <v>Strong</v>
      </c>
    </row>
    <row r="2643" spans="1:19" x14ac:dyDescent="0.25">
      <c r="A2643">
        <v>2642</v>
      </c>
      <c r="B2643">
        <v>1</v>
      </c>
      <c r="C2643" t="s">
        <v>30</v>
      </c>
      <c r="D2643" t="s">
        <v>32</v>
      </c>
      <c r="E2643">
        <v>6300000</v>
      </c>
      <c r="F2643">
        <v>18200000</v>
      </c>
      <c r="G2643">
        <v>18</v>
      </c>
      <c r="H2643">
        <v>849</v>
      </c>
      <c r="I2643">
        <v>4300000</v>
      </c>
      <c r="J2643">
        <v>5800000</v>
      </c>
      <c r="K2643">
        <v>15500000</v>
      </c>
      <c r="L2643">
        <v>5200000</v>
      </c>
      <c r="M2643" t="s">
        <v>34</v>
      </c>
      <c r="N2643">
        <f t="shared" si="247"/>
        <v>1</v>
      </c>
      <c r="O2643" t="str">
        <f t="shared" si="246"/>
        <v>Excellent</v>
      </c>
      <c r="P2643" t="str">
        <f t="shared" si="248"/>
        <v>High</v>
      </c>
      <c r="Q2643" t="str">
        <f t="shared" si="249"/>
        <v>Low Loan</v>
      </c>
      <c r="R2643">
        <f t="shared" si="250"/>
        <v>30800000</v>
      </c>
      <c r="S2643" t="str">
        <f t="shared" si="251"/>
        <v>Strong</v>
      </c>
    </row>
    <row r="2644" spans="1:19" x14ac:dyDescent="0.25">
      <c r="A2644">
        <v>2643</v>
      </c>
      <c r="B2644">
        <v>3</v>
      </c>
      <c r="C2644" t="s">
        <v>31</v>
      </c>
      <c r="D2644" t="s">
        <v>32</v>
      </c>
      <c r="E2644">
        <v>1900000</v>
      </c>
      <c r="F2644">
        <v>7400000</v>
      </c>
      <c r="G2644">
        <v>18</v>
      </c>
      <c r="H2644">
        <v>592</v>
      </c>
      <c r="I2644">
        <v>2300000</v>
      </c>
      <c r="J2644">
        <v>3000000</v>
      </c>
      <c r="K2644">
        <v>6000000</v>
      </c>
      <c r="L2644">
        <v>1800000</v>
      </c>
      <c r="M2644" t="s">
        <v>34</v>
      </c>
      <c r="N2644">
        <f t="shared" si="247"/>
        <v>1</v>
      </c>
      <c r="O2644" t="str">
        <f t="shared" si="246"/>
        <v>Low</v>
      </c>
      <c r="P2644" t="str">
        <f t="shared" si="248"/>
        <v>High</v>
      </c>
      <c r="Q2644" t="str">
        <f t="shared" si="249"/>
        <v>Low Loan</v>
      </c>
      <c r="R2644">
        <f t="shared" si="250"/>
        <v>13100000</v>
      </c>
      <c r="S2644" t="str">
        <f t="shared" si="251"/>
        <v>Strong</v>
      </c>
    </row>
    <row r="2645" spans="1:19" x14ac:dyDescent="0.25">
      <c r="A2645">
        <v>2644</v>
      </c>
      <c r="B2645">
        <v>4</v>
      </c>
      <c r="C2645" t="s">
        <v>30</v>
      </c>
      <c r="D2645" t="s">
        <v>32</v>
      </c>
      <c r="E2645">
        <v>600000</v>
      </c>
      <c r="F2645">
        <v>1400000</v>
      </c>
      <c r="G2645">
        <v>4</v>
      </c>
      <c r="H2645">
        <v>507</v>
      </c>
      <c r="I2645">
        <v>200000</v>
      </c>
      <c r="J2645">
        <v>300000</v>
      </c>
      <c r="K2645">
        <v>1700000</v>
      </c>
      <c r="L2645">
        <v>400000</v>
      </c>
      <c r="M2645" t="s">
        <v>35</v>
      </c>
      <c r="N2645">
        <f t="shared" si="247"/>
        <v>0</v>
      </c>
      <c r="O2645" t="str">
        <f t="shared" si="246"/>
        <v>Low</v>
      </c>
      <c r="P2645" t="str">
        <f t="shared" si="248"/>
        <v>Middle</v>
      </c>
      <c r="Q2645" t="str">
        <f t="shared" si="249"/>
        <v>Low Loan</v>
      </c>
      <c r="R2645">
        <f t="shared" si="250"/>
        <v>2600000</v>
      </c>
      <c r="S2645" t="str">
        <f t="shared" si="251"/>
        <v>Weak</v>
      </c>
    </row>
    <row r="2646" spans="1:19" x14ac:dyDescent="0.25">
      <c r="A2646">
        <v>2645</v>
      </c>
      <c r="B2646">
        <v>2</v>
      </c>
      <c r="C2646" t="s">
        <v>31</v>
      </c>
      <c r="D2646" t="s">
        <v>33</v>
      </c>
      <c r="E2646">
        <v>4100000</v>
      </c>
      <c r="F2646">
        <v>11400000</v>
      </c>
      <c r="G2646">
        <v>14</v>
      </c>
      <c r="H2646">
        <v>505</v>
      </c>
      <c r="I2646">
        <v>8100000</v>
      </c>
      <c r="J2646">
        <v>7500000</v>
      </c>
      <c r="K2646">
        <v>10100000</v>
      </c>
      <c r="L2646">
        <v>5500000</v>
      </c>
      <c r="M2646" t="s">
        <v>35</v>
      </c>
      <c r="N2646">
        <f t="shared" si="247"/>
        <v>0</v>
      </c>
      <c r="O2646" t="str">
        <f t="shared" si="246"/>
        <v>Low</v>
      </c>
      <c r="P2646" t="str">
        <f t="shared" si="248"/>
        <v>High</v>
      </c>
      <c r="Q2646" t="str">
        <f t="shared" si="249"/>
        <v>Low Loan</v>
      </c>
      <c r="R2646">
        <f t="shared" si="250"/>
        <v>31200000</v>
      </c>
      <c r="S2646" t="str">
        <f t="shared" si="251"/>
        <v>Strong</v>
      </c>
    </row>
    <row r="2647" spans="1:19" x14ac:dyDescent="0.25">
      <c r="A2647">
        <v>2646</v>
      </c>
      <c r="B2647">
        <v>0</v>
      </c>
      <c r="C2647" t="s">
        <v>31</v>
      </c>
      <c r="D2647" t="s">
        <v>33</v>
      </c>
      <c r="E2647">
        <v>800000</v>
      </c>
      <c r="F2647">
        <v>3200000</v>
      </c>
      <c r="G2647">
        <v>8</v>
      </c>
      <c r="H2647">
        <v>467</v>
      </c>
      <c r="I2647">
        <v>900000</v>
      </c>
      <c r="J2647">
        <v>400000</v>
      </c>
      <c r="K2647">
        <v>3100000</v>
      </c>
      <c r="L2647">
        <v>800000</v>
      </c>
      <c r="M2647" t="s">
        <v>35</v>
      </c>
      <c r="N2647">
        <f t="shared" si="247"/>
        <v>0</v>
      </c>
      <c r="O2647" t="str">
        <f t="shared" si="246"/>
        <v>Low</v>
      </c>
      <c r="P2647" t="str">
        <f t="shared" si="248"/>
        <v>High</v>
      </c>
      <c r="Q2647" t="str">
        <f t="shared" si="249"/>
        <v>Low Loan</v>
      </c>
      <c r="R2647">
        <f t="shared" si="250"/>
        <v>5200000</v>
      </c>
      <c r="S2647" t="str">
        <f t="shared" si="251"/>
        <v>Moderate</v>
      </c>
    </row>
    <row r="2648" spans="1:19" x14ac:dyDescent="0.25">
      <c r="A2648">
        <v>2647</v>
      </c>
      <c r="B2648">
        <v>2</v>
      </c>
      <c r="C2648" t="s">
        <v>31</v>
      </c>
      <c r="D2648" t="s">
        <v>32</v>
      </c>
      <c r="E2648">
        <v>6600000</v>
      </c>
      <c r="F2648">
        <v>22900000</v>
      </c>
      <c r="G2648">
        <v>16</v>
      </c>
      <c r="H2648">
        <v>543</v>
      </c>
      <c r="I2648">
        <v>2500000</v>
      </c>
      <c r="J2648">
        <v>11000000</v>
      </c>
      <c r="K2648">
        <v>26300000</v>
      </c>
      <c r="L2648">
        <v>8500000</v>
      </c>
      <c r="M2648" t="s">
        <v>35</v>
      </c>
      <c r="N2648">
        <f t="shared" si="247"/>
        <v>0</v>
      </c>
      <c r="O2648" t="str">
        <f t="shared" si="246"/>
        <v>Low</v>
      </c>
      <c r="P2648" t="str">
        <f t="shared" si="248"/>
        <v>High</v>
      </c>
      <c r="Q2648" t="str">
        <f t="shared" si="249"/>
        <v>High Loan</v>
      </c>
      <c r="R2648">
        <f t="shared" si="250"/>
        <v>48300000</v>
      </c>
      <c r="S2648" t="str">
        <f t="shared" si="251"/>
        <v>Strong</v>
      </c>
    </row>
    <row r="2649" spans="1:19" x14ac:dyDescent="0.25">
      <c r="A2649">
        <v>2648</v>
      </c>
      <c r="B2649">
        <v>4</v>
      </c>
      <c r="C2649" t="s">
        <v>30</v>
      </c>
      <c r="D2649" t="s">
        <v>33</v>
      </c>
      <c r="E2649">
        <v>300000</v>
      </c>
      <c r="F2649">
        <v>1100000</v>
      </c>
      <c r="G2649">
        <v>12</v>
      </c>
      <c r="H2649">
        <v>674</v>
      </c>
      <c r="I2649">
        <v>600000</v>
      </c>
      <c r="J2649">
        <v>0</v>
      </c>
      <c r="K2649">
        <v>800000</v>
      </c>
      <c r="L2649">
        <v>200000</v>
      </c>
      <c r="M2649" t="s">
        <v>34</v>
      </c>
      <c r="N2649">
        <f t="shared" si="247"/>
        <v>1</v>
      </c>
      <c r="O2649" t="str">
        <f t="shared" si="246"/>
        <v>Medium</v>
      </c>
      <c r="P2649" t="str">
        <f t="shared" si="248"/>
        <v>Middle</v>
      </c>
      <c r="Q2649" t="str">
        <f t="shared" si="249"/>
        <v>Low Loan</v>
      </c>
      <c r="R2649">
        <f t="shared" si="250"/>
        <v>1600000</v>
      </c>
      <c r="S2649" t="str">
        <f t="shared" si="251"/>
        <v>Weak</v>
      </c>
    </row>
    <row r="2650" spans="1:19" x14ac:dyDescent="0.25">
      <c r="A2650">
        <v>2649</v>
      </c>
      <c r="B2650">
        <v>3</v>
      </c>
      <c r="C2650" t="s">
        <v>30</v>
      </c>
      <c r="D2650" t="s">
        <v>32</v>
      </c>
      <c r="E2650">
        <v>6100000</v>
      </c>
      <c r="F2650">
        <v>13500000</v>
      </c>
      <c r="G2650">
        <v>2</v>
      </c>
      <c r="H2650">
        <v>717</v>
      </c>
      <c r="I2650">
        <v>15700000</v>
      </c>
      <c r="J2650">
        <v>4200000</v>
      </c>
      <c r="K2650">
        <v>16100000</v>
      </c>
      <c r="L2650">
        <v>3400000</v>
      </c>
      <c r="M2650" t="s">
        <v>34</v>
      </c>
      <c r="N2650">
        <f t="shared" si="247"/>
        <v>1</v>
      </c>
      <c r="O2650" t="str">
        <f t="shared" si="246"/>
        <v>Good</v>
      </c>
      <c r="P2650" t="str">
        <f t="shared" si="248"/>
        <v>High</v>
      </c>
      <c r="Q2650" t="str">
        <f t="shared" si="249"/>
        <v>Low Loan</v>
      </c>
      <c r="R2650">
        <f t="shared" si="250"/>
        <v>39400000</v>
      </c>
      <c r="S2650" t="str">
        <f t="shared" si="251"/>
        <v>Strong</v>
      </c>
    </row>
    <row r="2651" spans="1:19" x14ac:dyDescent="0.25">
      <c r="A2651">
        <v>2650</v>
      </c>
      <c r="B2651">
        <v>5</v>
      </c>
      <c r="C2651" t="s">
        <v>31</v>
      </c>
      <c r="D2651" t="s">
        <v>33</v>
      </c>
      <c r="E2651">
        <v>4800000</v>
      </c>
      <c r="F2651">
        <v>17000000</v>
      </c>
      <c r="G2651">
        <v>10</v>
      </c>
      <c r="H2651">
        <v>666</v>
      </c>
      <c r="I2651">
        <v>6800000</v>
      </c>
      <c r="J2651">
        <v>5400000</v>
      </c>
      <c r="K2651">
        <v>12400000</v>
      </c>
      <c r="L2651">
        <v>2900000</v>
      </c>
      <c r="M2651" t="s">
        <v>34</v>
      </c>
      <c r="N2651">
        <f t="shared" si="247"/>
        <v>1</v>
      </c>
      <c r="O2651" t="str">
        <f t="shared" si="246"/>
        <v>Medium</v>
      </c>
      <c r="P2651" t="str">
        <f t="shared" si="248"/>
        <v>High</v>
      </c>
      <c r="Q2651" t="str">
        <f t="shared" si="249"/>
        <v>Low Loan</v>
      </c>
      <c r="R2651">
        <f t="shared" si="250"/>
        <v>27500000</v>
      </c>
      <c r="S2651" t="str">
        <f t="shared" si="251"/>
        <v>Strong</v>
      </c>
    </row>
    <row r="2652" spans="1:19" x14ac:dyDescent="0.25">
      <c r="A2652">
        <v>2651</v>
      </c>
      <c r="B2652">
        <v>4</v>
      </c>
      <c r="C2652" t="s">
        <v>31</v>
      </c>
      <c r="D2652" t="s">
        <v>32</v>
      </c>
      <c r="E2652">
        <v>4500000</v>
      </c>
      <c r="F2652">
        <v>17300000</v>
      </c>
      <c r="G2652">
        <v>18</v>
      </c>
      <c r="H2652">
        <v>830</v>
      </c>
      <c r="I2652">
        <v>200000</v>
      </c>
      <c r="J2652">
        <v>4200000</v>
      </c>
      <c r="K2652">
        <v>12000000</v>
      </c>
      <c r="L2652">
        <v>2500000</v>
      </c>
      <c r="M2652" t="s">
        <v>34</v>
      </c>
      <c r="N2652">
        <f t="shared" si="247"/>
        <v>1</v>
      </c>
      <c r="O2652" t="str">
        <f t="shared" si="246"/>
        <v>Excellent</v>
      </c>
      <c r="P2652" t="str">
        <f t="shared" si="248"/>
        <v>High</v>
      </c>
      <c r="Q2652" t="str">
        <f t="shared" si="249"/>
        <v>Low Loan</v>
      </c>
      <c r="R2652">
        <f t="shared" si="250"/>
        <v>18900000</v>
      </c>
      <c r="S2652" t="str">
        <f t="shared" si="251"/>
        <v>Strong</v>
      </c>
    </row>
    <row r="2653" spans="1:19" x14ac:dyDescent="0.25">
      <c r="A2653">
        <v>2652</v>
      </c>
      <c r="B2653">
        <v>2</v>
      </c>
      <c r="C2653" t="s">
        <v>30</v>
      </c>
      <c r="D2653" t="s">
        <v>32</v>
      </c>
      <c r="E2653">
        <v>3800000</v>
      </c>
      <c r="F2653">
        <v>9400000</v>
      </c>
      <c r="G2653">
        <v>16</v>
      </c>
      <c r="H2653">
        <v>383</v>
      </c>
      <c r="I2653">
        <v>8300000</v>
      </c>
      <c r="J2653">
        <v>500000</v>
      </c>
      <c r="K2653">
        <v>9200000</v>
      </c>
      <c r="L2653">
        <v>2300000</v>
      </c>
      <c r="M2653" t="s">
        <v>35</v>
      </c>
      <c r="N2653">
        <f t="shared" si="247"/>
        <v>0</v>
      </c>
      <c r="O2653" t="str">
        <f t="shared" si="246"/>
        <v>Low</v>
      </c>
      <c r="P2653" t="str">
        <f t="shared" si="248"/>
        <v>High</v>
      </c>
      <c r="Q2653" t="str">
        <f t="shared" si="249"/>
        <v>Low Loan</v>
      </c>
      <c r="R2653">
        <f t="shared" si="250"/>
        <v>20300000</v>
      </c>
      <c r="S2653" t="str">
        <f t="shared" si="251"/>
        <v>Strong</v>
      </c>
    </row>
    <row r="2654" spans="1:19" x14ac:dyDescent="0.25">
      <c r="A2654">
        <v>2653</v>
      </c>
      <c r="B2654">
        <v>2</v>
      </c>
      <c r="C2654" t="s">
        <v>30</v>
      </c>
      <c r="D2654" t="s">
        <v>33</v>
      </c>
      <c r="E2654">
        <v>7000000</v>
      </c>
      <c r="F2654">
        <v>18900000</v>
      </c>
      <c r="G2654">
        <v>8</v>
      </c>
      <c r="H2654">
        <v>584</v>
      </c>
      <c r="I2654">
        <v>13000000</v>
      </c>
      <c r="J2654">
        <v>13600000</v>
      </c>
      <c r="K2654">
        <v>20600000</v>
      </c>
      <c r="L2654">
        <v>5000000</v>
      </c>
      <c r="M2654" t="s">
        <v>34</v>
      </c>
      <c r="N2654">
        <f t="shared" si="247"/>
        <v>1</v>
      </c>
      <c r="O2654" t="str">
        <f t="shared" si="246"/>
        <v>Low</v>
      </c>
      <c r="P2654" t="str">
        <f t="shared" si="248"/>
        <v>High</v>
      </c>
      <c r="Q2654" t="str">
        <f t="shared" si="249"/>
        <v>Low Loan</v>
      </c>
      <c r="R2654">
        <f t="shared" si="250"/>
        <v>52200000</v>
      </c>
      <c r="S2654" t="str">
        <f t="shared" si="251"/>
        <v>Strong</v>
      </c>
    </row>
    <row r="2655" spans="1:19" x14ac:dyDescent="0.25">
      <c r="A2655">
        <v>2654</v>
      </c>
      <c r="B2655">
        <v>2</v>
      </c>
      <c r="C2655" t="s">
        <v>31</v>
      </c>
      <c r="D2655" t="s">
        <v>32</v>
      </c>
      <c r="E2655">
        <v>4400000</v>
      </c>
      <c r="F2655">
        <v>14200000</v>
      </c>
      <c r="G2655">
        <v>18</v>
      </c>
      <c r="H2655">
        <v>799</v>
      </c>
      <c r="I2655">
        <v>6300000</v>
      </c>
      <c r="J2655">
        <v>7800000</v>
      </c>
      <c r="K2655">
        <v>10800000</v>
      </c>
      <c r="L2655">
        <v>2400000</v>
      </c>
      <c r="M2655" t="s">
        <v>34</v>
      </c>
      <c r="N2655">
        <f t="shared" si="247"/>
        <v>1</v>
      </c>
      <c r="O2655" t="str">
        <f t="shared" si="246"/>
        <v>Excellent</v>
      </c>
      <c r="P2655" t="str">
        <f t="shared" si="248"/>
        <v>High</v>
      </c>
      <c r="Q2655" t="str">
        <f t="shared" si="249"/>
        <v>Low Loan</v>
      </c>
      <c r="R2655">
        <f t="shared" si="250"/>
        <v>27300000</v>
      </c>
      <c r="S2655" t="str">
        <f t="shared" si="251"/>
        <v>Strong</v>
      </c>
    </row>
    <row r="2656" spans="1:19" x14ac:dyDescent="0.25">
      <c r="A2656">
        <v>2655</v>
      </c>
      <c r="B2656">
        <v>5</v>
      </c>
      <c r="C2656" t="s">
        <v>30</v>
      </c>
      <c r="D2656" t="s">
        <v>32</v>
      </c>
      <c r="E2656">
        <v>5300000</v>
      </c>
      <c r="F2656">
        <v>19400000</v>
      </c>
      <c r="G2656">
        <v>6</v>
      </c>
      <c r="H2656">
        <v>510</v>
      </c>
      <c r="I2656">
        <v>14700000</v>
      </c>
      <c r="J2656">
        <v>7000000</v>
      </c>
      <c r="K2656">
        <v>13600000</v>
      </c>
      <c r="L2656">
        <v>3700000</v>
      </c>
      <c r="M2656" t="s">
        <v>35</v>
      </c>
      <c r="N2656">
        <f t="shared" si="247"/>
        <v>0</v>
      </c>
      <c r="O2656" t="str">
        <f t="shared" si="246"/>
        <v>Low</v>
      </c>
      <c r="P2656" t="str">
        <f t="shared" si="248"/>
        <v>High</v>
      </c>
      <c r="Q2656" t="str">
        <f t="shared" si="249"/>
        <v>Low Loan</v>
      </c>
      <c r="R2656">
        <f t="shared" si="250"/>
        <v>39000000</v>
      </c>
      <c r="S2656" t="str">
        <f t="shared" si="251"/>
        <v>Strong</v>
      </c>
    </row>
    <row r="2657" spans="1:19" x14ac:dyDescent="0.25">
      <c r="A2657">
        <v>2656</v>
      </c>
      <c r="B2657">
        <v>0</v>
      </c>
      <c r="C2657" t="s">
        <v>31</v>
      </c>
      <c r="D2657" t="s">
        <v>33</v>
      </c>
      <c r="E2657">
        <v>2600000</v>
      </c>
      <c r="F2657">
        <v>5900000</v>
      </c>
      <c r="G2657">
        <v>6</v>
      </c>
      <c r="H2657">
        <v>572</v>
      </c>
      <c r="I2657">
        <v>5800000</v>
      </c>
      <c r="J2657">
        <v>3100000</v>
      </c>
      <c r="K2657">
        <v>7300000</v>
      </c>
      <c r="L2657">
        <v>3800000</v>
      </c>
      <c r="M2657" t="s">
        <v>34</v>
      </c>
      <c r="N2657">
        <f t="shared" si="247"/>
        <v>1</v>
      </c>
      <c r="O2657" t="str">
        <f t="shared" si="246"/>
        <v>Low</v>
      </c>
      <c r="P2657" t="str">
        <f t="shared" si="248"/>
        <v>High</v>
      </c>
      <c r="Q2657" t="str">
        <f t="shared" si="249"/>
        <v>Low Loan</v>
      </c>
      <c r="R2657">
        <f t="shared" si="250"/>
        <v>20000000</v>
      </c>
      <c r="S2657" t="str">
        <f t="shared" si="251"/>
        <v>Strong</v>
      </c>
    </row>
    <row r="2658" spans="1:19" x14ac:dyDescent="0.25">
      <c r="A2658">
        <v>2657</v>
      </c>
      <c r="B2658">
        <v>3</v>
      </c>
      <c r="C2658" t="s">
        <v>31</v>
      </c>
      <c r="D2658" t="s">
        <v>32</v>
      </c>
      <c r="E2658">
        <v>3300000</v>
      </c>
      <c r="F2658">
        <v>13100000</v>
      </c>
      <c r="G2658">
        <v>2</v>
      </c>
      <c r="H2658">
        <v>554</v>
      </c>
      <c r="I2658">
        <v>6000000</v>
      </c>
      <c r="J2658">
        <v>2500000</v>
      </c>
      <c r="K2658">
        <v>6700000</v>
      </c>
      <c r="L2658">
        <v>3800000</v>
      </c>
      <c r="M2658" t="s">
        <v>34</v>
      </c>
      <c r="N2658">
        <f t="shared" si="247"/>
        <v>1</v>
      </c>
      <c r="O2658" t="str">
        <f t="shared" si="246"/>
        <v>Low</v>
      </c>
      <c r="P2658" t="str">
        <f t="shared" si="248"/>
        <v>High</v>
      </c>
      <c r="Q2658" t="str">
        <f t="shared" si="249"/>
        <v>Low Loan</v>
      </c>
      <c r="R2658">
        <f t="shared" si="250"/>
        <v>19000000</v>
      </c>
      <c r="S2658" t="str">
        <f t="shared" si="251"/>
        <v>Strong</v>
      </c>
    </row>
    <row r="2659" spans="1:19" x14ac:dyDescent="0.25">
      <c r="A2659">
        <v>2658</v>
      </c>
      <c r="B2659">
        <v>1</v>
      </c>
      <c r="C2659" t="s">
        <v>31</v>
      </c>
      <c r="D2659" t="s">
        <v>33</v>
      </c>
      <c r="E2659">
        <v>1200000</v>
      </c>
      <c r="F2659">
        <v>4800000</v>
      </c>
      <c r="G2659">
        <v>6</v>
      </c>
      <c r="H2659">
        <v>344</v>
      </c>
      <c r="I2659">
        <v>2900000</v>
      </c>
      <c r="J2659">
        <v>1700000</v>
      </c>
      <c r="K2659">
        <v>3200000</v>
      </c>
      <c r="L2659">
        <v>1300000</v>
      </c>
      <c r="M2659" t="s">
        <v>35</v>
      </c>
      <c r="N2659">
        <f t="shared" si="247"/>
        <v>0</v>
      </c>
      <c r="O2659" t="str">
        <f t="shared" si="246"/>
        <v>Low</v>
      </c>
      <c r="P2659" t="str">
        <f t="shared" si="248"/>
        <v>High</v>
      </c>
      <c r="Q2659" t="str">
        <f t="shared" si="249"/>
        <v>Low Loan</v>
      </c>
      <c r="R2659">
        <f t="shared" si="250"/>
        <v>9100000</v>
      </c>
      <c r="S2659" t="str">
        <f t="shared" si="251"/>
        <v>Moderate</v>
      </c>
    </row>
    <row r="2660" spans="1:19" x14ac:dyDescent="0.25">
      <c r="A2660">
        <v>2659</v>
      </c>
      <c r="B2660">
        <v>3</v>
      </c>
      <c r="C2660" t="s">
        <v>30</v>
      </c>
      <c r="D2660" t="s">
        <v>32</v>
      </c>
      <c r="E2660">
        <v>4300000</v>
      </c>
      <c r="F2660">
        <v>8600000</v>
      </c>
      <c r="G2660">
        <v>8</v>
      </c>
      <c r="H2660">
        <v>881</v>
      </c>
      <c r="I2660">
        <v>9100000</v>
      </c>
      <c r="J2660">
        <v>5200000</v>
      </c>
      <c r="K2660">
        <v>15000000</v>
      </c>
      <c r="L2660">
        <v>5500000</v>
      </c>
      <c r="M2660" t="s">
        <v>34</v>
      </c>
      <c r="N2660">
        <f t="shared" si="247"/>
        <v>1</v>
      </c>
      <c r="O2660" t="str">
        <f t="shared" si="246"/>
        <v>Excellent</v>
      </c>
      <c r="P2660" t="str">
        <f t="shared" si="248"/>
        <v>High</v>
      </c>
      <c r="Q2660" t="str">
        <f t="shared" si="249"/>
        <v>Low Loan</v>
      </c>
      <c r="R2660">
        <f t="shared" si="250"/>
        <v>34800000</v>
      </c>
      <c r="S2660" t="str">
        <f t="shared" si="251"/>
        <v>Strong</v>
      </c>
    </row>
    <row r="2661" spans="1:19" x14ac:dyDescent="0.25">
      <c r="A2661">
        <v>2660</v>
      </c>
      <c r="B2661">
        <v>0</v>
      </c>
      <c r="C2661" t="s">
        <v>31</v>
      </c>
      <c r="D2661" t="s">
        <v>33</v>
      </c>
      <c r="E2661">
        <v>8400000</v>
      </c>
      <c r="F2661">
        <v>27200000</v>
      </c>
      <c r="G2661">
        <v>10</v>
      </c>
      <c r="H2661">
        <v>514</v>
      </c>
      <c r="I2661">
        <v>2500000</v>
      </c>
      <c r="J2661">
        <v>6400000</v>
      </c>
      <c r="K2661">
        <v>20100000</v>
      </c>
      <c r="L2661">
        <v>7200000</v>
      </c>
      <c r="M2661" t="s">
        <v>35</v>
      </c>
      <c r="N2661">
        <f t="shared" si="247"/>
        <v>0</v>
      </c>
      <c r="O2661" t="str">
        <f t="shared" si="246"/>
        <v>Low</v>
      </c>
      <c r="P2661" t="str">
        <f t="shared" si="248"/>
        <v>High</v>
      </c>
      <c r="Q2661" t="str">
        <f t="shared" si="249"/>
        <v>High Loan</v>
      </c>
      <c r="R2661">
        <f t="shared" si="250"/>
        <v>36200000</v>
      </c>
      <c r="S2661" t="str">
        <f t="shared" si="251"/>
        <v>Strong</v>
      </c>
    </row>
    <row r="2662" spans="1:19" x14ac:dyDescent="0.25">
      <c r="A2662">
        <v>2661</v>
      </c>
      <c r="B2662">
        <v>0</v>
      </c>
      <c r="C2662" t="s">
        <v>30</v>
      </c>
      <c r="D2662" t="s">
        <v>32</v>
      </c>
      <c r="E2662">
        <v>600000</v>
      </c>
      <c r="F2662">
        <v>1800000</v>
      </c>
      <c r="G2662">
        <v>18</v>
      </c>
      <c r="H2662">
        <v>796</v>
      </c>
      <c r="I2662">
        <v>1000000</v>
      </c>
      <c r="J2662">
        <v>700000</v>
      </c>
      <c r="K2662">
        <v>1200000</v>
      </c>
      <c r="L2662">
        <v>500000</v>
      </c>
      <c r="M2662" t="s">
        <v>34</v>
      </c>
      <c r="N2662">
        <f t="shared" si="247"/>
        <v>1</v>
      </c>
      <c r="O2662" t="str">
        <f t="shared" si="246"/>
        <v>Excellent</v>
      </c>
      <c r="P2662" t="str">
        <f t="shared" si="248"/>
        <v>Middle</v>
      </c>
      <c r="Q2662" t="str">
        <f t="shared" si="249"/>
        <v>Low Loan</v>
      </c>
      <c r="R2662">
        <f t="shared" si="250"/>
        <v>3400000</v>
      </c>
      <c r="S2662" t="str">
        <f t="shared" si="251"/>
        <v>Weak</v>
      </c>
    </row>
    <row r="2663" spans="1:19" x14ac:dyDescent="0.25">
      <c r="A2663">
        <v>2662</v>
      </c>
      <c r="B2663">
        <v>2</v>
      </c>
      <c r="C2663" t="s">
        <v>30</v>
      </c>
      <c r="D2663" t="s">
        <v>33</v>
      </c>
      <c r="E2663">
        <v>4700000</v>
      </c>
      <c r="F2663">
        <v>16200000</v>
      </c>
      <c r="G2663">
        <v>12</v>
      </c>
      <c r="H2663">
        <v>802</v>
      </c>
      <c r="I2663">
        <v>2300000</v>
      </c>
      <c r="J2663">
        <v>5400000</v>
      </c>
      <c r="K2663">
        <v>14800000</v>
      </c>
      <c r="L2663">
        <v>6700000</v>
      </c>
      <c r="M2663" t="s">
        <v>34</v>
      </c>
      <c r="N2663">
        <f t="shared" si="247"/>
        <v>1</v>
      </c>
      <c r="O2663" t="str">
        <f t="shared" si="246"/>
        <v>Excellent</v>
      </c>
      <c r="P2663" t="str">
        <f t="shared" si="248"/>
        <v>High</v>
      </c>
      <c r="Q2663" t="str">
        <f t="shared" si="249"/>
        <v>Low Loan</v>
      </c>
      <c r="R2663">
        <f t="shared" si="250"/>
        <v>29200000</v>
      </c>
      <c r="S2663" t="str">
        <f t="shared" si="251"/>
        <v>Strong</v>
      </c>
    </row>
    <row r="2664" spans="1:19" x14ac:dyDescent="0.25">
      <c r="A2664">
        <v>2663</v>
      </c>
      <c r="B2664">
        <v>3</v>
      </c>
      <c r="C2664" t="s">
        <v>30</v>
      </c>
      <c r="D2664" t="s">
        <v>32</v>
      </c>
      <c r="E2664">
        <v>4200000</v>
      </c>
      <c r="F2664">
        <v>12500000</v>
      </c>
      <c r="G2664">
        <v>20</v>
      </c>
      <c r="H2664">
        <v>375</v>
      </c>
      <c r="I2664">
        <v>1300000</v>
      </c>
      <c r="J2664">
        <v>5100000</v>
      </c>
      <c r="K2664">
        <v>10900000</v>
      </c>
      <c r="L2664">
        <v>2400000</v>
      </c>
      <c r="M2664" t="s">
        <v>35</v>
      </c>
      <c r="N2664">
        <f t="shared" si="247"/>
        <v>0</v>
      </c>
      <c r="O2664" t="str">
        <f t="shared" si="246"/>
        <v>Low</v>
      </c>
      <c r="P2664" t="str">
        <f t="shared" si="248"/>
        <v>High</v>
      </c>
      <c r="Q2664" t="str">
        <f t="shared" si="249"/>
        <v>Low Loan</v>
      </c>
      <c r="R2664">
        <f t="shared" si="250"/>
        <v>19700000</v>
      </c>
      <c r="S2664" t="str">
        <f t="shared" si="251"/>
        <v>Strong</v>
      </c>
    </row>
    <row r="2665" spans="1:19" x14ac:dyDescent="0.25">
      <c r="A2665">
        <v>2664</v>
      </c>
      <c r="B2665">
        <v>2</v>
      </c>
      <c r="C2665" t="s">
        <v>30</v>
      </c>
      <c r="D2665" t="s">
        <v>32</v>
      </c>
      <c r="E2665">
        <v>4300000</v>
      </c>
      <c r="F2665">
        <v>14700000</v>
      </c>
      <c r="G2665">
        <v>2</v>
      </c>
      <c r="H2665">
        <v>871</v>
      </c>
      <c r="I2665">
        <v>4100000</v>
      </c>
      <c r="J2665">
        <v>7300000</v>
      </c>
      <c r="K2665">
        <v>13900000</v>
      </c>
      <c r="L2665">
        <v>4400000</v>
      </c>
      <c r="M2665" t="s">
        <v>34</v>
      </c>
      <c r="N2665">
        <f t="shared" si="247"/>
        <v>1</v>
      </c>
      <c r="O2665" t="str">
        <f t="shared" si="246"/>
        <v>Excellent</v>
      </c>
      <c r="P2665" t="str">
        <f t="shared" si="248"/>
        <v>High</v>
      </c>
      <c r="Q2665" t="str">
        <f t="shared" si="249"/>
        <v>Low Loan</v>
      </c>
      <c r="R2665">
        <f t="shared" si="250"/>
        <v>29700000</v>
      </c>
      <c r="S2665" t="str">
        <f t="shared" si="251"/>
        <v>Strong</v>
      </c>
    </row>
    <row r="2666" spans="1:19" x14ac:dyDescent="0.25">
      <c r="A2666">
        <v>2665</v>
      </c>
      <c r="B2666">
        <v>0</v>
      </c>
      <c r="C2666" t="s">
        <v>31</v>
      </c>
      <c r="D2666" t="s">
        <v>32</v>
      </c>
      <c r="E2666">
        <v>800000</v>
      </c>
      <c r="F2666">
        <v>2900000</v>
      </c>
      <c r="G2666">
        <v>2</v>
      </c>
      <c r="H2666">
        <v>439</v>
      </c>
      <c r="I2666">
        <v>100000</v>
      </c>
      <c r="J2666">
        <v>900000</v>
      </c>
      <c r="K2666">
        <v>2700000</v>
      </c>
      <c r="L2666">
        <v>1200000</v>
      </c>
      <c r="M2666" t="s">
        <v>34</v>
      </c>
      <c r="N2666">
        <f t="shared" si="247"/>
        <v>1</v>
      </c>
      <c r="O2666" t="str">
        <f t="shared" si="246"/>
        <v>Low</v>
      </c>
      <c r="P2666" t="str">
        <f t="shared" si="248"/>
        <v>High</v>
      </c>
      <c r="Q2666" t="str">
        <f t="shared" si="249"/>
        <v>Low Loan</v>
      </c>
      <c r="R2666">
        <f t="shared" si="250"/>
        <v>4900000</v>
      </c>
      <c r="S2666" t="str">
        <f t="shared" si="251"/>
        <v>Weak</v>
      </c>
    </row>
    <row r="2667" spans="1:19" x14ac:dyDescent="0.25">
      <c r="A2667">
        <v>2666</v>
      </c>
      <c r="B2667">
        <v>0</v>
      </c>
      <c r="C2667" t="s">
        <v>31</v>
      </c>
      <c r="D2667" t="s">
        <v>33</v>
      </c>
      <c r="E2667">
        <v>9300000</v>
      </c>
      <c r="F2667">
        <v>32000000</v>
      </c>
      <c r="G2667">
        <v>8</v>
      </c>
      <c r="H2667">
        <v>438</v>
      </c>
      <c r="I2667">
        <v>24800000</v>
      </c>
      <c r="J2667">
        <v>6400000</v>
      </c>
      <c r="K2667">
        <v>34900000</v>
      </c>
      <c r="L2667">
        <v>12400000</v>
      </c>
      <c r="M2667" t="s">
        <v>35</v>
      </c>
      <c r="N2667">
        <f t="shared" si="247"/>
        <v>0</v>
      </c>
      <c r="O2667" t="str">
        <f t="shared" si="246"/>
        <v>Low</v>
      </c>
      <c r="P2667" t="str">
        <f t="shared" si="248"/>
        <v>High</v>
      </c>
      <c r="Q2667" t="str">
        <f t="shared" si="249"/>
        <v>High Loan</v>
      </c>
      <c r="R2667">
        <f t="shared" si="250"/>
        <v>78500000</v>
      </c>
      <c r="S2667" t="str">
        <f t="shared" si="251"/>
        <v>Strong</v>
      </c>
    </row>
    <row r="2668" spans="1:19" x14ac:dyDescent="0.25">
      <c r="A2668">
        <v>2667</v>
      </c>
      <c r="B2668">
        <v>5</v>
      </c>
      <c r="C2668" t="s">
        <v>31</v>
      </c>
      <c r="D2668" t="s">
        <v>32</v>
      </c>
      <c r="E2668">
        <v>6200000</v>
      </c>
      <c r="F2668">
        <v>13700000</v>
      </c>
      <c r="G2668">
        <v>2</v>
      </c>
      <c r="H2668">
        <v>468</v>
      </c>
      <c r="I2668">
        <v>3300000</v>
      </c>
      <c r="J2668">
        <v>12300000</v>
      </c>
      <c r="K2668">
        <v>13900000</v>
      </c>
      <c r="L2668">
        <v>5500000</v>
      </c>
      <c r="M2668" t="s">
        <v>35</v>
      </c>
      <c r="N2668">
        <f t="shared" si="247"/>
        <v>0</v>
      </c>
      <c r="O2668" t="str">
        <f t="shared" si="246"/>
        <v>Low</v>
      </c>
      <c r="P2668" t="str">
        <f t="shared" si="248"/>
        <v>High</v>
      </c>
      <c r="Q2668" t="str">
        <f t="shared" si="249"/>
        <v>Low Loan</v>
      </c>
      <c r="R2668">
        <f t="shared" si="250"/>
        <v>35000000</v>
      </c>
      <c r="S2668" t="str">
        <f t="shared" si="251"/>
        <v>Strong</v>
      </c>
    </row>
    <row r="2669" spans="1:19" x14ac:dyDescent="0.25">
      <c r="A2669">
        <v>2668</v>
      </c>
      <c r="B2669">
        <v>3</v>
      </c>
      <c r="C2669" t="s">
        <v>30</v>
      </c>
      <c r="D2669" t="s">
        <v>33</v>
      </c>
      <c r="E2669">
        <v>3500000</v>
      </c>
      <c r="F2669">
        <v>10200000</v>
      </c>
      <c r="G2669">
        <v>12</v>
      </c>
      <c r="H2669">
        <v>645</v>
      </c>
      <c r="I2669">
        <v>10400000</v>
      </c>
      <c r="J2669">
        <v>5700000</v>
      </c>
      <c r="K2669">
        <v>10000000</v>
      </c>
      <c r="L2669">
        <v>2400000</v>
      </c>
      <c r="M2669" t="s">
        <v>34</v>
      </c>
      <c r="N2669">
        <f t="shared" si="247"/>
        <v>1</v>
      </c>
      <c r="O2669" t="str">
        <f t="shared" si="246"/>
        <v>Low</v>
      </c>
      <c r="P2669" t="str">
        <f t="shared" si="248"/>
        <v>High</v>
      </c>
      <c r="Q2669" t="str">
        <f t="shared" si="249"/>
        <v>Low Loan</v>
      </c>
      <c r="R2669">
        <f t="shared" si="250"/>
        <v>28500000</v>
      </c>
      <c r="S2669" t="str">
        <f t="shared" si="251"/>
        <v>Strong</v>
      </c>
    </row>
    <row r="2670" spans="1:19" x14ac:dyDescent="0.25">
      <c r="A2670">
        <v>2669</v>
      </c>
      <c r="B2670">
        <v>2</v>
      </c>
      <c r="C2670" t="s">
        <v>30</v>
      </c>
      <c r="D2670" t="s">
        <v>33</v>
      </c>
      <c r="E2670">
        <v>3600000</v>
      </c>
      <c r="F2670">
        <v>9200000</v>
      </c>
      <c r="G2670">
        <v>18</v>
      </c>
      <c r="H2670">
        <v>700</v>
      </c>
      <c r="I2670">
        <v>4400000</v>
      </c>
      <c r="J2670">
        <v>1800000</v>
      </c>
      <c r="K2670">
        <v>10700000</v>
      </c>
      <c r="L2670">
        <v>3500000</v>
      </c>
      <c r="M2670" t="s">
        <v>34</v>
      </c>
      <c r="N2670">
        <f t="shared" si="247"/>
        <v>1</v>
      </c>
      <c r="O2670" t="str">
        <f t="shared" si="246"/>
        <v>Good</v>
      </c>
      <c r="P2670" t="str">
        <f t="shared" si="248"/>
        <v>High</v>
      </c>
      <c r="Q2670" t="str">
        <f t="shared" si="249"/>
        <v>Low Loan</v>
      </c>
      <c r="R2670">
        <f t="shared" si="250"/>
        <v>20400000</v>
      </c>
      <c r="S2670" t="str">
        <f t="shared" si="251"/>
        <v>Strong</v>
      </c>
    </row>
    <row r="2671" spans="1:19" x14ac:dyDescent="0.25">
      <c r="A2671">
        <v>2670</v>
      </c>
      <c r="B2671">
        <v>5</v>
      </c>
      <c r="C2671" t="s">
        <v>30</v>
      </c>
      <c r="D2671" t="s">
        <v>33</v>
      </c>
      <c r="E2671">
        <v>9500000</v>
      </c>
      <c r="F2671">
        <v>36700000</v>
      </c>
      <c r="G2671">
        <v>16</v>
      </c>
      <c r="H2671">
        <v>348</v>
      </c>
      <c r="I2671">
        <v>3500000</v>
      </c>
      <c r="J2671">
        <v>2200000</v>
      </c>
      <c r="K2671">
        <v>31600000</v>
      </c>
      <c r="L2671">
        <v>11400000</v>
      </c>
      <c r="M2671" t="s">
        <v>35</v>
      </c>
      <c r="N2671">
        <f t="shared" si="247"/>
        <v>0</v>
      </c>
      <c r="O2671" t="str">
        <f t="shared" si="246"/>
        <v>Low</v>
      </c>
      <c r="P2671" t="str">
        <f t="shared" si="248"/>
        <v>High</v>
      </c>
      <c r="Q2671" t="str">
        <f t="shared" si="249"/>
        <v>High Loan</v>
      </c>
      <c r="R2671">
        <f t="shared" si="250"/>
        <v>48700000</v>
      </c>
      <c r="S2671" t="str">
        <f t="shared" si="251"/>
        <v>Strong</v>
      </c>
    </row>
    <row r="2672" spans="1:19" x14ac:dyDescent="0.25">
      <c r="A2672">
        <v>2671</v>
      </c>
      <c r="B2672">
        <v>5</v>
      </c>
      <c r="C2672" t="s">
        <v>30</v>
      </c>
      <c r="D2672" t="s">
        <v>33</v>
      </c>
      <c r="E2672">
        <v>600000</v>
      </c>
      <c r="F2672">
        <v>1400000</v>
      </c>
      <c r="G2672">
        <v>10</v>
      </c>
      <c r="H2672">
        <v>877</v>
      </c>
      <c r="I2672">
        <v>1400000</v>
      </c>
      <c r="J2672">
        <v>400000</v>
      </c>
      <c r="K2672">
        <v>2000000</v>
      </c>
      <c r="L2672">
        <v>700000</v>
      </c>
      <c r="M2672" t="s">
        <v>34</v>
      </c>
      <c r="N2672">
        <f t="shared" si="247"/>
        <v>1</v>
      </c>
      <c r="O2672" t="str">
        <f t="shared" si="246"/>
        <v>Excellent</v>
      </c>
      <c r="P2672" t="str">
        <f t="shared" si="248"/>
        <v>Middle</v>
      </c>
      <c r="Q2672" t="str">
        <f t="shared" si="249"/>
        <v>Low Loan</v>
      </c>
      <c r="R2672">
        <f t="shared" si="250"/>
        <v>4500000</v>
      </c>
      <c r="S2672" t="str">
        <f t="shared" si="251"/>
        <v>Weak</v>
      </c>
    </row>
    <row r="2673" spans="1:19" x14ac:dyDescent="0.25">
      <c r="A2673">
        <v>2672</v>
      </c>
      <c r="B2673">
        <v>0</v>
      </c>
      <c r="C2673" t="s">
        <v>31</v>
      </c>
      <c r="D2673" t="s">
        <v>33</v>
      </c>
      <c r="E2673">
        <v>3800000</v>
      </c>
      <c r="F2673">
        <v>14900000</v>
      </c>
      <c r="G2673">
        <v>6</v>
      </c>
      <c r="H2673">
        <v>899</v>
      </c>
      <c r="I2673">
        <v>7800000</v>
      </c>
      <c r="J2673">
        <v>600000</v>
      </c>
      <c r="K2673">
        <v>12400000</v>
      </c>
      <c r="L2673">
        <v>2800000</v>
      </c>
      <c r="M2673" t="s">
        <v>34</v>
      </c>
      <c r="N2673">
        <f t="shared" si="247"/>
        <v>1</v>
      </c>
      <c r="O2673" t="str">
        <f t="shared" si="246"/>
        <v>Excellent</v>
      </c>
      <c r="P2673" t="str">
        <f t="shared" si="248"/>
        <v>High</v>
      </c>
      <c r="Q2673" t="str">
        <f t="shared" si="249"/>
        <v>Low Loan</v>
      </c>
      <c r="R2673">
        <f t="shared" si="250"/>
        <v>23600000</v>
      </c>
      <c r="S2673" t="str">
        <f t="shared" si="251"/>
        <v>Strong</v>
      </c>
    </row>
    <row r="2674" spans="1:19" x14ac:dyDescent="0.25">
      <c r="A2674">
        <v>2673</v>
      </c>
      <c r="B2674">
        <v>3</v>
      </c>
      <c r="C2674" t="s">
        <v>30</v>
      </c>
      <c r="D2674" t="s">
        <v>33</v>
      </c>
      <c r="E2674">
        <v>1400000</v>
      </c>
      <c r="F2674">
        <v>3500000</v>
      </c>
      <c r="G2674">
        <v>12</v>
      </c>
      <c r="H2674">
        <v>610</v>
      </c>
      <c r="I2674">
        <v>1200000</v>
      </c>
      <c r="J2674">
        <v>600000</v>
      </c>
      <c r="K2674">
        <v>3800000</v>
      </c>
      <c r="L2674">
        <v>1400000</v>
      </c>
      <c r="M2674" t="s">
        <v>34</v>
      </c>
      <c r="N2674">
        <f t="shared" si="247"/>
        <v>1</v>
      </c>
      <c r="O2674" t="str">
        <f t="shared" si="246"/>
        <v>Low</v>
      </c>
      <c r="P2674" t="str">
        <f t="shared" si="248"/>
        <v>High</v>
      </c>
      <c r="Q2674" t="str">
        <f t="shared" si="249"/>
        <v>Low Loan</v>
      </c>
      <c r="R2674">
        <f t="shared" si="250"/>
        <v>7000000</v>
      </c>
      <c r="S2674" t="str">
        <f t="shared" si="251"/>
        <v>Moderate</v>
      </c>
    </row>
    <row r="2675" spans="1:19" x14ac:dyDescent="0.25">
      <c r="A2675">
        <v>2674</v>
      </c>
      <c r="B2675">
        <v>1</v>
      </c>
      <c r="C2675" t="s">
        <v>31</v>
      </c>
      <c r="D2675" t="s">
        <v>32</v>
      </c>
      <c r="E2675">
        <v>6300000</v>
      </c>
      <c r="F2675">
        <v>23900000</v>
      </c>
      <c r="G2675">
        <v>4</v>
      </c>
      <c r="H2675">
        <v>742</v>
      </c>
      <c r="I2675">
        <v>1500000</v>
      </c>
      <c r="J2675">
        <v>7100000</v>
      </c>
      <c r="K2675">
        <v>21800000</v>
      </c>
      <c r="L2675">
        <v>4300000</v>
      </c>
      <c r="M2675" t="s">
        <v>34</v>
      </c>
      <c r="N2675">
        <f t="shared" si="247"/>
        <v>1</v>
      </c>
      <c r="O2675" t="str">
        <f t="shared" si="246"/>
        <v>Good</v>
      </c>
      <c r="P2675" t="str">
        <f t="shared" si="248"/>
        <v>High</v>
      </c>
      <c r="Q2675" t="str">
        <f t="shared" si="249"/>
        <v>High Loan</v>
      </c>
      <c r="R2675">
        <f t="shared" si="250"/>
        <v>34700000</v>
      </c>
      <c r="S2675" t="str">
        <f t="shared" si="251"/>
        <v>Strong</v>
      </c>
    </row>
    <row r="2676" spans="1:19" x14ac:dyDescent="0.25">
      <c r="A2676">
        <v>2675</v>
      </c>
      <c r="B2676">
        <v>1</v>
      </c>
      <c r="C2676" t="s">
        <v>31</v>
      </c>
      <c r="D2676" t="s">
        <v>33</v>
      </c>
      <c r="E2676">
        <v>2800000</v>
      </c>
      <c r="F2676">
        <v>6600000</v>
      </c>
      <c r="G2676">
        <v>18</v>
      </c>
      <c r="H2676">
        <v>801</v>
      </c>
      <c r="I2676">
        <v>4000000</v>
      </c>
      <c r="J2676">
        <v>4900000</v>
      </c>
      <c r="K2676">
        <v>7100000</v>
      </c>
      <c r="L2676">
        <v>3700000</v>
      </c>
      <c r="M2676" t="s">
        <v>34</v>
      </c>
      <c r="N2676">
        <f t="shared" si="247"/>
        <v>1</v>
      </c>
      <c r="O2676" t="str">
        <f t="shared" si="246"/>
        <v>Excellent</v>
      </c>
      <c r="P2676" t="str">
        <f t="shared" si="248"/>
        <v>High</v>
      </c>
      <c r="Q2676" t="str">
        <f t="shared" si="249"/>
        <v>Low Loan</v>
      </c>
      <c r="R2676">
        <f t="shared" si="250"/>
        <v>19700000</v>
      </c>
      <c r="S2676" t="str">
        <f t="shared" si="251"/>
        <v>Strong</v>
      </c>
    </row>
    <row r="2677" spans="1:19" x14ac:dyDescent="0.25">
      <c r="A2677">
        <v>2676</v>
      </c>
      <c r="B2677">
        <v>4</v>
      </c>
      <c r="C2677" t="s">
        <v>30</v>
      </c>
      <c r="D2677" t="s">
        <v>33</v>
      </c>
      <c r="E2677">
        <v>5400000</v>
      </c>
      <c r="F2677">
        <v>17100000</v>
      </c>
      <c r="G2677">
        <v>2</v>
      </c>
      <c r="H2677">
        <v>533</v>
      </c>
      <c r="I2677">
        <v>13800000</v>
      </c>
      <c r="J2677">
        <v>5100000</v>
      </c>
      <c r="K2677">
        <v>12200000</v>
      </c>
      <c r="L2677">
        <v>4700000</v>
      </c>
      <c r="M2677" t="s">
        <v>34</v>
      </c>
      <c r="N2677">
        <f t="shared" si="247"/>
        <v>1</v>
      </c>
      <c r="O2677" t="str">
        <f t="shared" si="246"/>
        <v>Low</v>
      </c>
      <c r="P2677" t="str">
        <f t="shared" si="248"/>
        <v>High</v>
      </c>
      <c r="Q2677" t="str">
        <f t="shared" si="249"/>
        <v>Low Loan</v>
      </c>
      <c r="R2677">
        <f t="shared" si="250"/>
        <v>35800000</v>
      </c>
      <c r="S2677" t="str">
        <f t="shared" si="251"/>
        <v>Strong</v>
      </c>
    </row>
    <row r="2678" spans="1:19" x14ac:dyDescent="0.25">
      <c r="A2678">
        <v>2677</v>
      </c>
      <c r="B2678">
        <v>3</v>
      </c>
      <c r="C2678" t="s">
        <v>31</v>
      </c>
      <c r="D2678" t="s">
        <v>33</v>
      </c>
      <c r="E2678">
        <v>6300000</v>
      </c>
      <c r="F2678">
        <v>23900000</v>
      </c>
      <c r="G2678">
        <v>16</v>
      </c>
      <c r="H2678">
        <v>656</v>
      </c>
      <c r="I2678">
        <v>12700000</v>
      </c>
      <c r="J2678">
        <v>9300000</v>
      </c>
      <c r="K2678">
        <v>15200000</v>
      </c>
      <c r="L2678">
        <v>5100000</v>
      </c>
      <c r="M2678" t="s">
        <v>34</v>
      </c>
      <c r="N2678">
        <f t="shared" si="247"/>
        <v>1</v>
      </c>
      <c r="O2678" t="str">
        <f t="shared" si="246"/>
        <v>Medium</v>
      </c>
      <c r="P2678" t="str">
        <f t="shared" si="248"/>
        <v>High</v>
      </c>
      <c r="Q2678" t="str">
        <f t="shared" si="249"/>
        <v>High Loan</v>
      </c>
      <c r="R2678">
        <f t="shared" si="250"/>
        <v>42300000</v>
      </c>
      <c r="S2678" t="str">
        <f t="shared" si="251"/>
        <v>Strong</v>
      </c>
    </row>
    <row r="2679" spans="1:19" x14ac:dyDescent="0.25">
      <c r="A2679">
        <v>2678</v>
      </c>
      <c r="B2679">
        <v>3</v>
      </c>
      <c r="C2679" t="s">
        <v>30</v>
      </c>
      <c r="D2679" t="s">
        <v>33</v>
      </c>
      <c r="E2679">
        <v>3900000</v>
      </c>
      <c r="F2679">
        <v>14300000</v>
      </c>
      <c r="G2679">
        <v>18</v>
      </c>
      <c r="H2679">
        <v>785</v>
      </c>
      <c r="I2679">
        <v>10900000</v>
      </c>
      <c r="J2679">
        <v>7600000</v>
      </c>
      <c r="K2679">
        <v>13900000</v>
      </c>
      <c r="L2679">
        <v>4900000</v>
      </c>
      <c r="M2679" t="s">
        <v>34</v>
      </c>
      <c r="N2679">
        <f t="shared" si="247"/>
        <v>1</v>
      </c>
      <c r="O2679" t="str">
        <f t="shared" si="246"/>
        <v>Excellent</v>
      </c>
      <c r="P2679" t="str">
        <f t="shared" si="248"/>
        <v>High</v>
      </c>
      <c r="Q2679" t="str">
        <f t="shared" si="249"/>
        <v>Low Loan</v>
      </c>
      <c r="R2679">
        <f t="shared" si="250"/>
        <v>37300000</v>
      </c>
      <c r="S2679" t="str">
        <f t="shared" si="251"/>
        <v>Strong</v>
      </c>
    </row>
    <row r="2680" spans="1:19" x14ac:dyDescent="0.25">
      <c r="A2680">
        <v>2679</v>
      </c>
      <c r="B2680">
        <v>2</v>
      </c>
      <c r="C2680" t="s">
        <v>30</v>
      </c>
      <c r="D2680" t="s">
        <v>33</v>
      </c>
      <c r="E2680">
        <v>4200000</v>
      </c>
      <c r="F2680">
        <v>15700000</v>
      </c>
      <c r="G2680">
        <v>2</v>
      </c>
      <c r="H2680">
        <v>332</v>
      </c>
      <c r="I2680">
        <v>7000000</v>
      </c>
      <c r="J2680">
        <v>700000</v>
      </c>
      <c r="K2680">
        <v>13300000</v>
      </c>
      <c r="L2680">
        <v>3000000</v>
      </c>
      <c r="M2680" t="s">
        <v>34</v>
      </c>
      <c r="N2680">
        <f t="shared" si="247"/>
        <v>1</v>
      </c>
      <c r="O2680" t="str">
        <f t="shared" si="246"/>
        <v>Low</v>
      </c>
      <c r="P2680" t="str">
        <f t="shared" si="248"/>
        <v>High</v>
      </c>
      <c r="Q2680" t="str">
        <f t="shared" si="249"/>
        <v>Low Loan</v>
      </c>
      <c r="R2680">
        <f t="shared" si="250"/>
        <v>24000000</v>
      </c>
      <c r="S2680" t="str">
        <f t="shared" si="251"/>
        <v>Strong</v>
      </c>
    </row>
    <row r="2681" spans="1:19" x14ac:dyDescent="0.25">
      <c r="A2681">
        <v>2680</v>
      </c>
      <c r="B2681">
        <v>0</v>
      </c>
      <c r="C2681" t="s">
        <v>30</v>
      </c>
      <c r="D2681" t="s">
        <v>32</v>
      </c>
      <c r="E2681">
        <v>3100000</v>
      </c>
      <c r="F2681">
        <v>8100000</v>
      </c>
      <c r="G2681">
        <v>18</v>
      </c>
      <c r="H2681">
        <v>768</v>
      </c>
      <c r="I2681">
        <v>400000</v>
      </c>
      <c r="J2681">
        <v>1600000</v>
      </c>
      <c r="K2681">
        <v>11600000</v>
      </c>
      <c r="L2681">
        <v>2400000</v>
      </c>
      <c r="M2681" t="s">
        <v>34</v>
      </c>
      <c r="N2681">
        <f t="shared" si="247"/>
        <v>1</v>
      </c>
      <c r="O2681" t="str">
        <f t="shared" si="246"/>
        <v>Excellent</v>
      </c>
      <c r="P2681" t="str">
        <f t="shared" si="248"/>
        <v>High</v>
      </c>
      <c r="Q2681" t="str">
        <f t="shared" si="249"/>
        <v>Low Loan</v>
      </c>
      <c r="R2681">
        <f t="shared" si="250"/>
        <v>16000000</v>
      </c>
      <c r="S2681" t="str">
        <f t="shared" si="251"/>
        <v>Strong</v>
      </c>
    </row>
    <row r="2682" spans="1:19" x14ac:dyDescent="0.25">
      <c r="A2682">
        <v>2681</v>
      </c>
      <c r="B2682">
        <v>1</v>
      </c>
      <c r="C2682" t="s">
        <v>30</v>
      </c>
      <c r="D2682" t="s">
        <v>32</v>
      </c>
      <c r="E2682">
        <v>3400000</v>
      </c>
      <c r="F2682">
        <v>8600000</v>
      </c>
      <c r="G2682">
        <v>6</v>
      </c>
      <c r="H2682">
        <v>640</v>
      </c>
      <c r="I2682">
        <v>7700000</v>
      </c>
      <c r="J2682">
        <v>1000000</v>
      </c>
      <c r="K2682">
        <v>7800000</v>
      </c>
      <c r="L2682">
        <v>4400000</v>
      </c>
      <c r="M2682" t="s">
        <v>34</v>
      </c>
      <c r="N2682">
        <f t="shared" si="247"/>
        <v>1</v>
      </c>
      <c r="O2682" t="str">
        <f t="shared" si="246"/>
        <v>Low</v>
      </c>
      <c r="P2682" t="str">
        <f t="shared" si="248"/>
        <v>High</v>
      </c>
      <c r="Q2682" t="str">
        <f t="shared" si="249"/>
        <v>Low Loan</v>
      </c>
      <c r="R2682">
        <f t="shared" si="250"/>
        <v>20900000</v>
      </c>
      <c r="S2682" t="str">
        <f t="shared" si="251"/>
        <v>Strong</v>
      </c>
    </row>
    <row r="2683" spans="1:19" x14ac:dyDescent="0.25">
      <c r="A2683">
        <v>2682</v>
      </c>
      <c r="B2683">
        <v>4</v>
      </c>
      <c r="C2683" t="s">
        <v>31</v>
      </c>
      <c r="D2683" t="s">
        <v>32</v>
      </c>
      <c r="E2683">
        <v>1500000</v>
      </c>
      <c r="F2683">
        <v>3100000</v>
      </c>
      <c r="G2683">
        <v>6</v>
      </c>
      <c r="H2683">
        <v>885</v>
      </c>
      <c r="I2683">
        <v>100000</v>
      </c>
      <c r="J2683">
        <v>2800000</v>
      </c>
      <c r="K2683">
        <v>3800000</v>
      </c>
      <c r="L2683">
        <v>1900000</v>
      </c>
      <c r="M2683" t="s">
        <v>34</v>
      </c>
      <c r="N2683">
        <f t="shared" si="247"/>
        <v>1</v>
      </c>
      <c r="O2683" t="str">
        <f t="shared" si="246"/>
        <v>Excellent</v>
      </c>
      <c r="P2683" t="str">
        <f t="shared" si="248"/>
        <v>High</v>
      </c>
      <c r="Q2683" t="str">
        <f t="shared" si="249"/>
        <v>Low Loan</v>
      </c>
      <c r="R2683">
        <f t="shared" si="250"/>
        <v>8600000</v>
      </c>
      <c r="S2683" t="str">
        <f t="shared" si="251"/>
        <v>Moderate</v>
      </c>
    </row>
    <row r="2684" spans="1:19" x14ac:dyDescent="0.25">
      <c r="A2684">
        <v>2683</v>
      </c>
      <c r="B2684">
        <v>3</v>
      </c>
      <c r="C2684" t="s">
        <v>31</v>
      </c>
      <c r="D2684" t="s">
        <v>33</v>
      </c>
      <c r="E2684">
        <v>900000</v>
      </c>
      <c r="F2684">
        <v>2000000</v>
      </c>
      <c r="G2684">
        <v>18</v>
      </c>
      <c r="H2684">
        <v>772</v>
      </c>
      <c r="I2684">
        <v>2300000</v>
      </c>
      <c r="J2684">
        <v>700000</v>
      </c>
      <c r="K2684">
        <v>3500000</v>
      </c>
      <c r="L2684">
        <v>800000</v>
      </c>
      <c r="M2684" t="s">
        <v>34</v>
      </c>
      <c r="N2684">
        <f t="shared" si="247"/>
        <v>1</v>
      </c>
      <c r="O2684" t="str">
        <f t="shared" si="246"/>
        <v>Excellent</v>
      </c>
      <c r="P2684" t="str">
        <f t="shared" si="248"/>
        <v>High</v>
      </c>
      <c r="Q2684" t="str">
        <f t="shared" si="249"/>
        <v>Low Loan</v>
      </c>
      <c r="R2684">
        <f t="shared" si="250"/>
        <v>7300000</v>
      </c>
      <c r="S2684" t="str">
        <f t="shared" si="251"/>
        <v>Moderate</v>
      </c>
    </row>
    <row r="2685" spans="1:19" x14ac:dyDescent="0.25">
      <c r="A2685">
        <v>2684</v>
      </c>
      <c r="B2685">
        <v>4</v>
      </c>
      <c r="C2685" t="s">
        <v>30</v>
      </c>
      <c r="D2685" t="s">
        <v>33</v>
      </c>
      <c r="E2685">
        <v>7800000</v>
      </c>
      <c r="F2685">
        <v>25600000</v>
      </c>
      <c r="G2685">
        <v>4</v>
      </c>
      <c r="H2685">
        <v>665</v>
      </c>
      <c r="I2685">
        <v>1000000</v>
      </c>
      <c r="J2685">
        <v>2300000</v>
      </c>
      <c r="K2685">
        <v>27300000</v>
      </c>
      <c r="L2685">
        <v>8200000</v>
      </c>
      <c r="M2685" t="s">
        <v>34</v>
      </c>
      <c r="N2685">
        <f t="shared" si="247"/>
        <v>1</v>
      </c>
      <c r="O2685" t="str">
        <f t="shared" si="246"/>
        <v>Medium</v>
      </c>
      <c r="P2685" t="str">
        <f t="shared" si="248"/>
        <v>High</v>
      </c>
      <c r="Q2685" t="str">
        <f t="shared" si="249"/>
        <v>High Loan</v>
      </c>
      <c r="R2685">
        <f t="shared" si="250"/>
        <v>38800000</v>
      </c>
      <c r="S2685" t="str">
        <f t="shared" si="251"/>
        <v>Strong</v>
      </c>
    </row>
    <row r="2686" spans="1:19" x14ac:dyDescent="0.25">
      <c r="A2686">
        <v>2685</v>
      </c>
      <c r="B2686">
        <v>1</v>
      </c>
      <c r="C2686" t="s">
        <v>31</v>
      </c>
      <c r="D2686" t="s">
        <v>33</v>
      </c>
      <c r="E2686">
        <v>3500000</v>
      </c>
      <c r="F2686">
        <v>10500000</v>
      </c>
      <c r="G2686">
        <v>20</v>
      </c>
      <c r="H2686">
        <v>454</v>
      </c>
      <c r="I2686">
        <v>8300000</v>
      </c>
      <c r="J2686">
        <v>4000000</v>
      </c>
      <c r="K2686">
        <v>7600000</v>
      </c>
      <c r="L2686">
        <v>2100000</v>
      </c>
      <c r="M2686" t="s">
        <v>35</v>
      </c>
      <c r="N2686">
        <f t="shared" si="247"/>
        <v>0</v>
      </c>
      <c r="O2686" t="str">
        <f t="shared" si="246"/>
        <v>Low</v>
      </c>
      <c r="P2686" t="str">
        <f t="shared" si="248"/>
        <v>High</v>
      </c>
      <c r="Q2686" t="str">
        <f t="shared" si="249"/>
        <v>Low Loan</v>
      </c>
      <c r="R2686">
        <f t="shared" si="250"/>
        <v>22000000</v>
      </c>
      <c r="S2686" t="str">
        <f t="shared" si="251"/>
        <v>Strong</v>
      </c>
    </row>
    <row r="2687" spans="1:19" x14ac:dyDescent="0.25">
      <c r="A2687">
        <v>2686</v>
      </c>
      <c r="B2687">
        <v>1</v>
      </c>
      <c r="C2687" t="s">
        <v>31</v>
      </c>
      <c r="D2687" t="s">
        <v>32</v>
      </c>
      <c r="E2687">
        <v>8400000</v>
      </c>
      <c r="F2687">
        <v>32500000</v>
      </c>
      <c r="G2687">
        <v>14</v>
      </c>
      <c r="H2687">
        <v>698</v>
      </c>
      <c r="I2687">
        <v>20600000</v>
      </c>
      <c r="J2687">
        <v>5900000</v>
      </c>
      <c r="K2687">
        <v>17300000</v>
      </c>
      <c r="L2687">
        <v>12200000</v>
      </c>
      <c r="M2687" t="s">
        <v>34</v>
      </c>
      <c r="N2687">
        <f t="shared" si="247"/>
        <v>1</v>
      </c>
      <c r="O2687" t="str">
        <f t="shared" si="246"/>
        <v>Medium</v>
      </c>
      <c r="P2687" t="str">
        <f t="shared" si="248"/>
        <v>High</v>
      </c>
      <c r="Q2687" t="str">
        <f t="shared" si="249"/>
        <v>High Loan</v>
      </c>
      <c r="R2687">
        <f t="shared" si="250"/>
        <v>56000000</v>
      </c>
      <c r="S2687" t="str">
        <f t="shared" si="251"/>
        <v>Strong</v>
      </c>
    </row>
    <row r="2688" spans="1:19" x14ac:dyDescent="0.25">
      <c r="A2688">
        <v>2687</v>
      </c>
      <c r="B2688">
        <v>4</v>
      </c>
      <c r="C2688" t="s">
        <v>31</v>
      </c>
      <c r="D2688" t="s">
        <v>33</v>
      </c>
      <c r="E2688">
        <v>6400000</v>
      </c>
      <c r="F2688">
        <v>21300000</v>
      </c>
      <c r="G2688">
        <v>20</v>
      </c>
      <c r="H2688">
        <v>332</v>
      </c>
      <c r="I2688">
        <v>3600000</v>
      </c>
      <c r="J2688">
        <v>9100000</v>
      </c>
      <c r="K2688">
        <v>16200000</v>
      </c>
      <c r="L2688">
        <v>8000000</v>
      </c>
      <c r="M2688" t="s">
        <v>35</v>
      </c>
      <c r="N2688">
        <f t="shared" si="247"/>
        <v>0</v>
      </c>
      <c r="O2688" t="str">
        <f t="shared" si="246"/>
        <v>Low</v>
      </c>
      <c r="P2688" t="str">
        <f t="shared" si="248"/>
        <v>High</v>
      </c>
      <c r="Q2688" t="str">
        <f t="shared" si="249"/>
        <v>High Loan</v>
      </c>
      <c r="R2688">
        <f t="shared" si="250"/>
        <v>36900000</v>
      </c>
      <c r="S2688" t="str">
        <f t="shared" si="251"/>
        <v>Strong</v>
      </c>
    </row>
    <row r="2689" spans="1:19" x14ac:dyDescent="0.25">
      <c r="A2689">
        <v>2688</v>
      </c>
      <c r="B2689">
        <v>1</v>
      </c>
      <c r="C2689" t="s">
        <v>31</v>
      </c>
      <c r="D2689" t="s">
        <v>32</v>
      </c>
      <c r="E2689">
        <v>9600000</v>
      </c>
      <c r="F2689">
        <v>28300000</v>
      </c>
      <c r="G2689">
        <v>6</v>
      </c>
      <c r="H2689">
        <v>536</v>
      </c>
      <c r="I2689">
        <v>18700000</v>
      </c>
      <c r="J2689">
        <v>9300000</v>
      </c>
      <c r="K2689">
        <v>27300000</v>
      </c>
      <c r="L2689">
        <v>6000000</v>
      </c>
      <c r="M2689" t="s">
        <v>35</v>
      </c>
      <c r="N2689">
        <f t="shared" si="247"/>
        <v>0</v>
      </c>
      <c r="O2689" t="str">
        <f t="shared" si="246"/>
        <v>Low</v>
      </c>
      <c r="P2689" t="str">
        <f t="shared" si="248"/>
        <v>High</v>
      </c>
      <c r="Q2689" t="str">
        <f t="shared" si="249"/>
        <v>High Loan</v>
      </c>
      <c r="R2689">
        <f t="shared" si="250"/>
        <v>61300000</v>
      </c>
      <c r="S2689" t="str">
        <f t="shared" si="251"/>
        <v>Strong</v>
      </c>
    </row>
    <row r="2690" spans="1:19" x14ac:dyDescent="0.25">
      <c r="A2690">
        <v>2689</v>
      </c>
      <c r="B2690">
        <v>5</v>
      </c>
      <c r="C2690" t="s">
        <v>31</v>
      </c>
      <c r="D2690" t="s">
        <v>33</v>
      </c>
      <c r="E2690">
        <v>2100000</v>
      </c>
      <c r="F2690">
        <v>6500000</v>
      </c>
      <c r="G2690">
        <v>10</v>
      </c>
      <c r="H2690">
        <v>796</v>
      </c>
      <c r="I2690">
        <v>2400000</v>
      </c>
      <c r="J2690">
        <v>2800000</v>
      </c>
      <c r="K2690">
        <v>7300000</v>
      </c>
      <c r="L2690">
        <v>2700000</v>
      </c>
      <c r="M2690" t="s">
        <v>34</v>
      </c>
      <c r="N2690">
        <f t="shared" si="247"/>
        <v>1</v>
      </c>
      <c r="O2690" t="str">
        <f t="shared" ref="O2690:O2753" si="252">IF(H2690&lt;650,"Low",
 IF(H2690&lt;700,"Medium",
 IF(H2690&lt;750,"Good","Excellent")))</f>
        <v>Excellent</v>
      </c>
      <c r="P2690" t="str">
        <f t="shared" si="248"/>
        <v>High</v>
      </c>
      <c r="Q2690" t="str">
        <f t="shared" si="249"/>
        <v>Low Loan</v>
      </c>
      <c r="R2690">
        <f t="shared" si="250"/>
        <v>15200000</v>
      </c>
      <c r="S2690" t="str">
        <f t="shared" si="251"/>
        <v>Strong</v>
      </c>
    </row>
    <row r="2691" spans="1:19" x14ac:dyDescent="0.25">
      <c r="A2691">
        <v>2690</v>
      </c>
      <c r="B2691">
        <v>2</v>
      </c>
      <c r="C2691" t="s">
        <v>31</v>
      </c>
      <c r="D2691" t="s">
        <v>33</v>
      </c>
      <c r="E2691">
        <v>6000000</v>
      </c>
      <c r="F2691">
        <v>19900000</v>
      </c>
      <c r="G2691">
        <v>8</v>
      </c>
      <c r="H2691">
        <v>486</v>
      </c>
      <c r="I2691">
        <v>12100000</v>
      </c>
      <c r="J2691">
        <v>8100000</v>
      </c>
      <c r="K2691">
        <v>20100000</v>
      </c>
      <c r="L2691">
        <v>6600000</v>
      </c>
      <c r="M2691" t="s">
        <v>35</v>
      </c>
      <c r="N2691">
        <f t="shared" ref="N2691:N2754" si="253">IF(TRIM(CLEAN(M2691))="Approved",1,0)</f>
        <v>0</v>
      </c>
      <c r="O2691" t="str">
        <f t="shared" si="252"/>
        <v>Low</v>
      </c>
      <c r="P2691" t="str">
        <f t="shared" ref="P2691:P2754" si="254">IF(E2691&lt;300000,"Low",
 IF(E2691&lt;700000,"Middle","High"))</f>
        <v>High</v>
      </c>
      <c r="Q2691" t="str">
        <f t="shared" ref="Q2691:Q2754" si="255">IF(F2691&lt;20000000,"Low Loan","High Loan")</f>
        <v>Low Loan</v>
      </c>
      <c r="R2691">
        <f t="shared" ref="R2691:R2754" si="256">I2691+J2691+K2691+L2691</f>
        <v>46900000</v>
      </c>
      <c r="S2691" t="str">
        <f t="shared" ref="S2691:S2754" si="257">IF(R2691&lt;5000000,"Weak",
 IF(R2691&lt;10000000,"Moderate","Strong"))</f>
        <v>Strong</v>
      </c>
    </row>
    <row r="2692" spans="1:19" x14ac:dyDescent="0.25">
      <c r="A2692">
        <v>2691</v>
      </c>
      <c r="B2692">
        <v>0</v>
      </c>
      <c r="C2692" t="s">
        <v>31</v>
      </c>
      <c r="D2692" t="s">
        <v>33</v>
      </c>
      <c r="E2692">
        <v>8300000</v>
      </c>
      <c r="F2692">
        <v>16800000</v>
      </c>
      <c r="G2692">
        <v>18</v>
      </c>
      <c r="H2692">
        <v>422</v>
      </c>
      <c r="I2692">
        <v>8000000</v>
      </c>
      <c r="J2692">
        <v>10600000</v>
      </c>
      <c r="K2692">
        <v>23300000</v>
      </c>
      <c r="L2692">
        <v>11400000</v>
      </c>
      <c r="M2692" t="s">
        <v>35</v>
      </c>
      <c r="N2692">
        <f t="shared" si="253"/>
        <v>0</v>
      </c>
      <c r="O2692" t="str">
        <f t="shared" si="252"/>
        <v>Low</v>
      </c>
      <c r="P2692" t="str">
        <f t="shared" si="254"/>
        <v>High</v>
      </c>
      <c r="Q2692" t="str">
        <f t="shared" si="255"/>
        <v>Low Loan</v>
      </c>
      <c r="R2692">
        <f t="shared" si="256"/>
        <v>53300000</v>
      </c>
      <c r="S2692" t="str">
        <f t="shared" si="257"/>
        <v>Strong</v>
      </c>
    </row>
    <row r="2693" spans="1:19" x14ac:dyDescent="0.25">
      <c r="A2693">
        <v>2692</v>
      </c>
      <c r="B2693">
        <v>1</v>
      </c>
      <c r="C2693" t="s">
        <v>31</v>
      </c>
      <c r="D2693" t="s">
        <v>33</v>
      </c>
      <c r="E2693">
        <v>5300000</v>
      </c>
      <c r="F2693">
        <v>18500000</v>
      </c>
      <c r="G2693">
        <v>6</v>
      </c>
      <c r="H2693">
        <v>501</v>
      </c>
      <c r="I2693">
        <v>6700000</v>
      </c>
      <c r="J2693">
        <v>8600000</v>
      </c>
      <c r="K2693">
        <v>16600000</v>
      </c>
      <c r="L2693">
        <v>4300000</v>
      </c>
      <c r="M2693" t="s">
        <v>35</v>
      </c>
      <c r="N2693">
        <f t="shared" si="253"/>
        <v>0</v>
      </c>
      <c r="O2693" t="str">
        <f t="shared" si="252"/>
        <v>Low</v>
      </c>
      <c r="P2693" t="str">
        <f t="shared" si="254"/>
        <v>High</v>
      </c>
      <c r="Q2693" t="str">
        <f t="shared" si="255"/>
        <v>Low Loan</v>
      </c>
      <c r="R2693">
        <f t="shared" si="256"/>
        <v>36200000</v>
      </c>
      <c r="S2693" t="str">
        <f t="shared" si="257"/>
        <v>Strong</v>
      </c>
    </row>
    <row r="2694" spans="1:19" x14ac:dyDescent="0.25">
      <c r="A2694">
        <v>2693</v>
      </c>
      <c r="B2694">
        <v>1</v>
      </c>
      <c r="C2694" t="s">
        <v>31</v>
      </c>
      <c r="D2694" t="s">
        <v>33</v>
      </c>
      <c r="E2694">
        <v>9700000</v>
      </c>
      <c r="F2694">
        <v>23500000</v>
      </c>
      <c r="G2694">
        <v>4</v>
      </c>
      <c r="H2694">
        <v>666</v>
      </c>
      <c r="I2694">
        <v>15100000</v>
      </c>
      <c r="J2694">
        <v>9400000</v>
      </c>
      <c r="K2694">
        <v>23300000</v>
      </c>
      <c r="L2694">
        <v>8000000</v>
      </c>
      <c r="M2694" t="s">
        <v>34</v>
      </c>
      <c r="N2694">
        <f t="shared" si="253"/>
        <v>1</v>
      </c>
      <c r="O2694" t="str">
        <f t="shared" si="252"/>
        <v>Medium</v>
      </c>
      <c r="P2694" t="str">
        <f t="shared" si="254"/>
        <v>High</v>
      </c>
      <c r="Q2694" t="str">
        <f t="shared" si="255"/>
        <v>High Loan</v>
      </c>
      <c r="R2694">
        <f t="shared" si="256"/>
        <v>55800000</v>
      </c>
      <c r="S2694" t="str">
        <f t="shared" si="257"/>
        <v>Strong</v>
      </c>
    </row>
    <row r="2695" spans="1:19" x14ac:dyDescent="0.25">
      <c r="A2695">
        <v>2694</v>
      </c>
      <c r="B2695">
        <v>3</v>
      </c>
      <c r="C2695" t="s">
        <v>31</v>
      </c>
      <c r="D2695" t="s">
        <v>33</v>
      </c>
      <c r="E2695">
        <v>8200000</v>
      </c>
      <c r="F2695">
        <v>16500000</v>
      </c>
      <c r="G2695">
        <v>18</v>
      </c>
      <c r="H2695">
        <v>371</v>
      </c>
      <c r="I2695">
        <v>19000000</v>
      </c>
      <c r="J2695">
        <v>1200000</v>
      </c>
      <c r="K2695">
        <v>18500000</v>
      </c>
      <c r="L2695">
        <v>8200000</v>
      </c>
      <c r="M2695" t="s">
        <v>35</v>
      </c>
      <c r="N2695">
        <f t="shared" si="253"/>
        <v>0</v>
      </c>
      <c r="O2695" t="str">
        <f t="shared" si="252"/>
        <v>Low</v>
      </c>
      <c r="P2695" t="str">
        <f t="shared" si="254"/>
        <v>High</v>
      </c>
      <c r="Q2695" t="str">
        <f t="shared" si="255"/>
        <v>Low Loan</v>
      </c>
      <c r="R2695">
        <f t="shared" si="256"/>
        <v>46900000</v>
      </c>
      <c r="S2695" t="str">
        <f t="shared" si="257"/>
        <v>Strong</v>
      </c>
    </row>
    <row r="2696" spans="1:19" x14ac:dyDescent="0.25">
      <c r="A2696">
        <v>2695</v>
      </c>
      <c r="B2696">
        <v>5</v>
      </c>
      <c r="C2696" t="s">
        <v>30</v>
      </c>
      <c r="D2696" t="s">
        <v>32</v>
      </c>
      <c r="E2696">
        <v>3400000</v>
      </c>
      <c r="F2696">
        <v>6900000</v>
      </c>
      <c r="G2696">
        <v>14</v>
      </c>
      <c r="H2696">
        <v>312</v>
      </c>
      <c r="I2696">
        <v>1800000</v>
      </c>
      <c r="J2696">
        <v>400000</v>
      </c>
      <c r="K2696">
        <v>10300000</v>
      </c>
      <c r="L2696">
        <v>3800000</v>
      </c>
      <c r="M2696" t="s">
        <v>35</v>
      </c>
      <c r="N2696">
        <f t="shared" si="253"/>
        <v>0</v>
      </c>
      <c r="O2696" t="str">
        <f t="shared" si="252"/>
        <v>Low</v>
      </c>
      <c r="P2696" t="str">
        <f t="shared" si="254"/>
        <v>High</v>
      </c>
      <c r="Q2696" t="str">
        <f t="shared" si="255"/>
        <v>Low Loan</v>
      </c>
      <c r="R2696">
        <f t="shared" si="256"/>
        <v>16300000</v>
      </c>
      <c r="S2696" t="str">
        <f t="shared" si="257"/>
        <v>Strong</v>
      </c>
    </row>
    <row r="2697" spans="1:19" x14ac:dyDescent="0.25">
      <c r="A2697">
        <v>2696</v>
      </c>
      <c r="B2697">
        <v>5</v>
      </c>
      <c r="C2697" t="s">
        <v>30</v>
      </c>
      <c r="D2697" t="s">
        <v>32</v>
      </c>
      <c r="E2697">
        <v>2800000</v>
      </c>
      <c r="F2697">
        <v>11000000</v>
      </c>
      <c r="G2697">
        <v>12</v>
      </c>
      <c r="H2697">
        <v>753</v>
      </c>
      <c r="I2697">
        <v>3900000</v>
      </c>
      <c r="J2697">
        <v>4600000</v>
      </c>
      <c r="K2697">
        <v>10700000</v>
      </c>
      <c r="L2697">
        <v>2400000</v>
      </c>
      <c r="M2697" t="s">
        <v>34</v>
      </c>
      <c r="N2697">
        <f t="shared" si="253"/>
        <v>1</v>
      </c>
      <c r="O2697" t="str">
        <f t="shared" si="252"/>
        <v>Excellent</v>
      </c>
      <c r="P2697" t="str">
        <f t="shared" si="254"/>
        <v>High</v>
      </c>
      <c r="Q2697" t="str">
        <f t="shared" si="255"/>
        <v>Low Loan</v>
      </c>
      <c r="R2697">
        <f t="shared" si="256"/>
        <v>21600000</v>
      </c>
      <c r="S2697" t="str">
        <f t="shared" si="257"/>
        <v>Strong</v>
      </c>
    </row>
    <row r="2698" spans="1:19" x14ac:dyDescent="0.25">
      <c r="A2698">
        <v>2697</v>
      </c>
      <c r="B2698">
        <v>0</v>
      </c>
      <c r="C2698" t="s">
        <v>31</v>
      </c>
      <c r="D2698" t="s">
        <v>33</v>
      </c>
      <c r="E2698">
        <v>2400000</v>
      </c>
      <c r="F2698">
        <v>5200000</v>
      </c>
      <c r="G2698">
        <v>16</v>
      </c>
      <c r="H2698">
        <v>740</v>
      </c>
      <c r="I2698">
        <v>6300000</v>
      </c>
      <c r="J2698">
        <v>1000000</v>
      </c>
      <c r="K2698">
        <v>7500000</v>
      </c>
      <c r="L2698">
        <v>2900000</v>
      </c>
      <c r="M2698" t="s">
        <v>34</v>
      </c>
      <c r="N2698">
        <f t="shared" si="253"/>
        <v>1</v>
      </c>
      <c r="O2698" t="str">
        <f t="shared" si="252"/>
        <v>Good</v>
      </c>
      <c r="P2698" t="str">
        <f t="shared" si="254"/>
        <v>High</v>
      </c>
      <c r="Q2698" t="str">
        <f t="shared" si="255"/>
        <v>Low Loan</v>
      </c>
      <c r="R2698">
        <f t="shared" si="256"/>
        <v>17700000</v>
      </c>
      <c r="S2698" t="str">
        <f t="shared" si="257"/>
        <v>Strong</v>
      </c>
    </row>
    <row r="2699" spans="1:19" x14ac:dyDescent="0.25">
      <c r="A2699">
        <v>2698</v>
      </c>
      <c r="B2699">
        <v>1</v>
      </c>
      <c r="C2699" t="s">
        <v>30</v>
      </c>
      <c r="D2699" t="s">
        <v>32</v>
      </c>
      <c r="E2699">
        <v>8200000</v>
      </c>
      <c r="F2699">
        <v>24000000</v>
      </c>
      <c r="G2699">
        <v>4</v>
      </c>
      <c r="H2699">
        <v>366</v>
      </c>
      <c r="I2699">
        <v>10900000</v>
      </c>
      <c r="J2699">
        <v>15200000</v>
      </c>
      <c r="K2699">
        <v>25200000</v>
      </c>
      <c r="L2699">
        <v>10400000</v>
      </c>
      <c r="M2699" t="s">
        <v>35</v>
      </c>
      <c r="N2699">
        <f t="shared" si="253"/>
        <v>0</v>
      </c>
      <c r="O2699" t="str">
        <f t="shared" si="252"/>
        <v>Low</v>
      </c>
      <c r="P2699" t="str">
        <f t="shared" si="254"/>
        <v>High</v>
      </c>
      <c r="Q2699" t="str">
        <f t="shared" si="255"/>
        <v>High Loan</v>
      </c>
      <c r="R2699">
        <f t="shared" si="256"/>
        <v>61700000</v>
      </c>
      <c r="S2699" t="str">
        <f t="shared" si="257"/>
        <v>Strong</v>
      </c>
    </row>
    <row r="2700" spans="1:19" x14ac:dyDescent="0.25">
      <c r="A2700">
        <v>2699</v>
      </c>
      <c r="B2700">
        <v>4</v>
      </c>
      <c r="C2700" t="s">
        <v>31</v>
      </c>
      <c r="D2700" t="s">
        <v>32</v>
      </c>
      <c r="E2700">
        <v>4200000</v>
      </c>
      <c r="F2700">
        <v>11100000</v>
      </c>
      <c r="G2700">
        <v>8</v>
      </c>
      <c r="H2700">
        <v>526</v>
      </c>
      <c r="I2700">
        <v>11600000</v>
      </c>
      <c r="J2700">
        <v>200000</v>
      </c>
      <c r="K2700">
        <v>16800000</v>
      </c>
      <c r="L2700">
        <v>4900000</v>
      </c>
      <c r="M2700" t="s">
        <v>35</v>
      </c>
      <c r="N2700">
        <f t="shared" si="253"/>
        <v>0</v>
      </c>
      <c r="O2700" t="str">
        <f t="shared" si="252"/>
        <v>Low</v>
      </c>
      <c r="P2700" t="str">
        <f t="shared" si="254"/>
        <v>High</v>
      </c>
      <c r="Q2700" t="str">
        <f t="shared" si="255"/>
        <v>Low Loan</v>
      </c>
      <c r="R2700">
        <f t="shared" si="256"/>
        <v>33500000</v>
      </c>
      <c r="S2700" t="str">
        <f t="shared" si="257"/>
        <v>Strong</v>
      </c>
    </row>
    <row r="2701" spans="1:19" x14ac:dyDescent="0.25">
      <c r="A2701">
        <v>2700</v>
      </c>
      <c r="B2701">
        <v>4</v>
      </c>
      <c r="C2701" t="s">
        <v>30</v>
      </c>
      <c r="D2701" t="s">
        <v>33</v>
      </c>
      <c r="E2701">
        <v>5500000</v>
      </c>
      <c r="F2701">
        <v>14800000</v>
      </c>
      <c r="G2701">
        <v>10</v>
      </c>
      <c r="H2701">
        <v>354</v>
      </c>
      <c r="I2701">
        <v>16000000</v>
      </c>
      <c r="J2701">
        <v>3400000</v>
      </c>
      <c r="K2701">
        <v>21200000</v>
      </c>
      <c r="L2701">
        <v>7700000</v>
      </c>
      <c r="M2701" t="s">
        <v>35</v>
      </c>
      <c r="N2701">
        <f t="shared" si="253"/>
        <v>0</v>
      </c>
      <c r="O2701" t="str">
        <f t="shared" si="252"/>
        <v>Low</v>
      </c>
      <c r="P2701" t="str">
        <f t="shared" si="254"/>
        <v>High</v>
      </c>
      <c r="Q2701" t="str">
        <f t="shared" si="255"/>
        <v>Low Loan</v>
      </c>
      <c r="R2701">
        <f t="shared" si="256"/>
        <v>48300000</v>
      </c>
      <c r="S2701" t="str">
        <f t="shared" si="257"/>
        <v>Strong</v>
      </c>
    </row>
    <row r="2702" spans="1:19" x14ac:dyDescent="0.25">
      <c r="A2702">
        <v>2701</v>
      </c>
      <c r="B2702">
        <v>5</v>
      </c>
      <c r="C2702" t="s">
        <v>31</v>
      </c>
      <c r="D2702" t="s">
        <v>33</v>
      </c>
      <c r="E2702">
        <v>2900000</v>
      </c>
      <c r="F2702">
        <v>6300000</v>
      </c>
      <c r="G2702">
        <v>6</v>
      </c>
      <c r="H2702">
        <v>719</v>
      </c>
      <c r="I2702">
        <v>7900000</v>
      </c>
      <c r="J2702">
        <v>1600000</v>
      </c>
      <c r="K2702">
        <v>8000000</v>
      </c>
      <c r="L2702">
        <v>1600000</v>
      </c>
      <c r="M2702" t="s">
        <v>34</v>
      </c>
      <c r="N2702">
        <f t="shared" si="253"/>
        <v>1</v>
      </c>
      <c r="O2702" t="str">
        <f t="shared" si="252"/>
        <v>Good</v>
      </c>
      <c r="P2702" t="str">
        <f t="shared" si="254"/>
        <v>High</v>
      </c>
      <c r="Q2702" t="str">
        <f t="shared" si="255"/>
        <v>Low Loan</v>
      </c>
      <c r="R2702">
        <f t="shared" si="256"/>
        <v>19100000</v>
      </c>
      <c r="S2702" t="str">
        <f t="shared" si="257"/>
        <v>Strong</v>
      </c>
    </row>
    <row r="2703" spans="1:19" x14ac:dyDescent="0.25">
      <c r="A2703">
        <v>2702</v>
      </c>
      <c r="B2703">
        <v>5</v>
      </c>
      <c r="C2703" t="s">
        <v>31</v>
      </c>
      <c r="D2703" t="s">
        <v>32</v>
      </c>
      <c r="E2703">
        <v>6300000</v>
      </c>
      <c r="F2703">
        <v>20100000</v>
      </c>
      <c r="G2703">
        <v>12</v>
      </c>
      <c r="H2703">
        <v>774</v>
      </c>
      <c r="I2703">
        <v>15600000</v>
      </c>
      <c r="J2703">
        <v>11800000</v>
      </c>
      <c r="K2703">
        <v>16200000</v>
      </c>
      <c r="L2703">
        <v>5800000</v>
      </c>
      <c r="M2703" t="s">
        <v>34</v>
      </c>
      <c r="N2703">
        <f t="shared" si="253"/>
        <v>1</v>
      </c>
      <c r="O2703" t="str">
        <f t="shared" si="252"/>
        <v>Excellent</v>
      </c>
      <c r="P2703" t="str">
        <f t="shared" si="254"/>
        <v>High</v>
      </c>
      <c r="Q2703" t="str">
        <f t="shared" si="255"/>
        <v>High Loan</v>
      </c>
      <c r="R2703">
        <f t="shared" si="256"/>
        <v>49400000</v>
      </c>
      <c r="S2703" t="str">
        <f t="shared" si="257"/>
        <v>Strong</v>
      </c>
    </row>
    <row r="2704" spans="1:19" x14ac:dyDescent="0.25">
      <c r="A2704">
        <v>2703</v>
      </c>
      <c r="B2704">
        <v>5</v>
      </c>
      <c r="C2704" t="s">
        <v>31</v>
      </c>
      <c r="D2704" t="s">
        <v>33</v>
      </c>
      <c r="E2704">
        <v>9700000</v>
      </c>
      <c r="F2704">
        <v>29100000</v>
      </c>
      <c r="G2704">
        <v>18</v>
      </c>
      <c r="H2704">
        <v>732</v>
      </c>
      <c r="I2704">
        <v>4700000</v>
      </c>
      <c r="J2704">
        <v>7400000</v>
      </c>
      <c r="K2704">
        <v>35600000</v>
      </c>
      <c r="L2704">
        <v>12400000</v>
      </c>
      <c r="M2704" t="s">
        <v>34</v>
      </c>
      <c r="N2704">
        <f t="shared" si="253"/>
        <v>1</v>
      </c>
      <c r="O2704" t="str">
        <f t="shared" si="252"/>
        <v>Good</v>
      </c>
      <c r="P2704" t="str">
        <f t="shared" si="254"/>
        <v>High</v>
      </c>
      <c r="Q2704" t="str">
        <f t="shared" si="255"/>
        <v>High Loan</v>
      </c>
      <c r="R2704">
        <f t="shared" si="256"/>
        <v>60100000</v>
      </c>
      <c r="S2704" t="str">
        <f t="shared" si="257"/>
        <v>Strong</v>
      </c>
    </row>
    <row r="2705" spans="1:19" x14ac:dyDescent="0.25">
      <c r="A2705">
        <v>2704</v>
      </c>
      <c r="B2705">
        <v>1</v>
      </c>
      <c r="C2705" t="s">
        <v>31</v>
      </c>
      <c r="D2705" t="s">
        <v>32</v>
      </c>
      <c r="E2705">
        <v>6500000</v>
      </c>
      <c r="F2705">
        <v>16000000</v>
      </c>
      <c r="G2705">
        <v>6</v>
      </c>
      <c r="H2705">
        <v>862</v>
      </c>
      <c r="I2705">
        <v>2000000</v>
      </c>
      <c r="J2705">
        <v>0</v>
      </c>
      <c r="K2705">
        <v>24000000</v>
      </c>
      <c r="L2705">
        <v>9700000</v>
      </c>
      <c r="M2705" t="s">
        <v>34</v>
      </c>
      <c r="N2705">
        <f t="shared" si="253"/>
        <v>1</v>
      </c>
      <c r="O2705" t="str">
        <f t="shared" si="252"/>
        <v>Excellent</v>
      </c>
      <c r="P2705" t="str">
        <f t="shared" si="254"/>
        <v>High</v>
      </c>
      <c r="Q2705" t="str">
        <f t="shared" si="255"/>
        <v>Low Loan</v>
      </c>
      <c r="R2705">
        <f t="shared" si="256"/>
        <v>35700000</v>
      </c>
      <c r="S2705" t="str">
        <f t="shared" si="257"/>
        <v>Strong</v>
      </c>
    </row>
    <row r="2706" spans="1:19" x14ac:dyDescent="0.25">
      <c r="A2706">
        <v>2705</v>
      </c>
      <c r="B2706">
        <v>5</v>
      </c>
      <c r="C2706" t="s">
        <v>31</v>
      </c>
      <c r="D2706" t="s">
        <v>32</v>
      </c>
      <c r="E2706">
        <v>4900000</v>
      </c>
      <c r="F2706">
        <v>10800000</v>
      </c>
      <c r="G2706">
        <v>18</v>
      </c>
      <c r="H2706">
        <v>613</v>
      </c>
      <c r="I2706">
        <v>6800000</v>
      </c>
      <c r="J2706">
        <v>800000</v>
      </c>
      <c r="K2706">
        <v>14500000</v>
      </c>
      <c r="L2706">
        <v>5300000</v>
      </c>
      <c r="M2706" t="s">
        <v>34</v>
      </c>
      <c r="N2706">
        <f t="shared" si="253"/>
        <v>1</v>
      </c>
      <c r="O2706" t="str">
        <f t="shared" si="252"/>
        <v>Low</v>
      </c>
      <c r="P2706" t="str">
        <f t="shared" si="254"/>
        <v>High</v>
      </c>
      <c r="Q2706" t="str">
        <f t="shared" si="255"/>
        <v>Low Loan</v>
      </c>
      <c r="R2706">
        <f t="shared" si="256"/>
        <v>27400000</v>
      </c>
      <c r="S2706" t="str">
        <f t="shared" si="257"/>
        <v>Strong</v>
      </c>
    </row>
    <row r="2707" spans="1:19" x14ac:dyDescent="0.25">
      <c r="A2707">
        <v>2706</v>
      </c>
      <c r="B2707">
        <v>5</v>
      </c>
      <c r="C2707" t="s">
        <v>30</v>
      </c>
      <c r="D2707" t="s">
        <v>33</v>
      </c>
      <c r="E2707">
        <v>6900000</v>
      </c>
      <c r="F2707">
        <v>16500000</v>
      </c>
      <c r="G2707">
        <v>6</v>
      </c>
      <c r="H2707">
        <v>447</v>
      </c>
      <c r="I2707">
        <v>4100000</v>
      </c>
      <c r="J2707">
        <v>400000</v>
      </c>
      <c r="K2707">
        <v>14100000</v>
      </c>
      <c r="L2707">
        <v>6600000</v>
      </c>
      <c r="M2707" t="s">
        <v>35</v>
      </c>
      <c r="N2707">
        <f t="shared" si="253"/>
        <v>0</v>
      </c>
      <c r="O2707" t="str">
        <f t="shared" si="252"/>
        <v>Low</v>
      </c>
      <c r="P2707" t="str">
        <f t="shared" si="254"/>
        <v>High</v>
      </c>
      <c r="Q2707" t="str">
        <f t="shared" si="255"/>
        <v>Low Loan</v>
      </c>
      <c r="R2707">
        <f t="shared" si="256"/>
        <v>25200000</v>
      </c>
      <c r="S2707" t="str">
        <f t="shared" si="257"/>
        <v>Strong</v>
      </c>
    </row>
    <row r="2708" spans="1:19" x14ac:dyDescent="0.25">
      <c r="A2708">
        <v>2707</v>
      </c>
      <c r="B2708">
        <v>4</v>
      </c>
      <c r="C2708" t="s">
        <v>31</v>
      </c>
      <c r="D2708" t="s">
        <v>33</v>
      </c>
      <c r="E2708">
        <v>1100000</v>
      </c>
      <c r="F2708">
        <v>3000000</v>
      </c>
      <c r="G2708">
        <v>4</v>
      </c>
      <c r="H2708">
        <v>730</v>
      </c>
      <c r="I2708">
        <v>300000</v>
      </c>
      <c r="J2708">
        <v>600000</v>
      </c>
      <c r="K2708">
        <v>3600000</v>
      </c>
      <c r="L2708">
        <v>1100000</v>
      </c>
      <c r="M2708" t="s">
        <v>34</v>
      </c>
      <c r="N2708">
        <f t="shared" si="253"/>
        <v>1</v>
      </c>
      <c r="O2708" t="str">
        <f t="shared" si="252"/>
        <v>Good</v>
      </c>
      <c r="P2708" t="str">
        <f t="shared" si="254"/>
        <v>High</v>
      </c>
      <c r="Q2708" t="str">
        <f t="shared" si="255"/>
        <v>Low Loan</v>
      </c>
      <c r="R2708">
        <f t="shared" si="256"/>
        <v>5600000</v>
      </c>
      <c r="S2708" t="str">
        <f t="shared" si="257"/>
        <v>Moderate</v>
      </c>
    </row>
    <row r="2709" spans="1:19" x14ac:dyDescent="0.25">
      <c r="A2709">
        <v>2708</v>
      </c>
      <c r="B2709">
        <v>2</v>
      </c>
      <c r="C2709" t="s">
        <v>31</v>
      </c>
      <c r="D2709" t="s">
        <v>33</v>
      </c>
      <c r="E2709">
        <v>7800000</v>
      </c>
      <c r="F2709">
        <v>29600000</v>
      </c>
      <c r="G2709">
        <v>14</v>
      </c>
      <c r="H2709">
        <v>568</v>
      </c>
      <c r="I2709">
        <v>-100000</v>
      </c>
      <c r="J2709">
        <v>8600000</v>
      </c>
      <c r="K2709">
        <v>27000000</v>
      </c>
      <c r="L2709">
        <v>7200000</v>
      </c>
      <c r="M2709" t="s">
        <v>34</v>
      </c>
      <c r="N2709">
        <f t="shared" si="253"/>
        <v>1</v>
      </c>
      <c r="O2709" t="str">
        <f t="shared" si="252"/>
        <v>Low</v>
      </c>
      <c r="P2709" t="str">
        <f t="shared" si="254"/>
        <v>High</v>
      </c>
      <c r="Q2709" t="str">
        <f t="shared" si="255"/>
        <v>High Loan</v>
      </c>
      <c r="R2709">
        <f t="shared" si="256"/>
        <v>42700000</v>
      </c>
      <c r="S2709" t="str">
        <f t="shared" si="257"/>
        <v>Strong</v>
      </c>
    </row>
    <row r="2710" spans="1:19" x14ac:dyDescent="0.25">
      <c r="A2710">
        <v>2709</v>
      </c>
      <c r="B2710">
        <v>2</v>
      </c>
      <c r="C2710" t="s">
        <v>30</v>
      </c>
      <c r="D2710" t="s">
        <v>33</v>
      </c>
      <c r="E2710">
        <v>8200000</v>
      </c>
      <c r="F2710">
        <v>23600000</v>
      </c>
      <c r="G2710">
        <v>6</v>
      </c>
      <c r="H2710">
        <v>495</v>
      </c>
      <c r="I2710">
        <v>23000000</v>
      </c>
      <c r="J2710">
        <v>10600000</v>
      </c>
      <c r="K2710">
        <v>27200000</v>
      </c>
      <c r="L2710">
        <v>6100000</v>
      </c>
      <c r="M2710" t="s">
        <v>35</v>
      </c>
      <c r="N2710">
        <f t="shared" si="253"/>
        <v>0</v>
      </c>
      <c r="O2710" t="str">
        <f t="shared" si="252"/>
        <v>Low</v>
      </c>
      <c r="P2710" t="str">
        <f t="shared" si="254"/>
        <v>High</v>
      </c>
      <c r="Q2710" t="str">
        <f t="shared" si="255"/>
        <v>High Loan</v>
      </c>
      <c r="R2710">
        <f t="shared" si="256"/>
        <v>66900000</v>
      </c>
      <c r="S2710" t="str">
        <f t="shared" si="257"/>
        <v>Strong</v>
      </c>
    </row>
    <row r="2711" spans="1:19" x14ac:dyDescent="0.25">
      <c r="A2711">
        <v>2710</v>
      </c>
      <c r="B2711">
        <v>5</v>
      </c>
      <c r="C2711" t="s">
        <v>31</v>
      </c>
      <c r="D2711" t="s">
        <v>33</v>
      </c>
      <c r="E2711">
        <v>6700000</v>
      </c>
      <c r="F2711">
        <v>23600000</v>
      </c>
      <c r="G2711">
        <v>14</v>
      </c>
      <c r="H2711">
        <v>854</v>
      </c>
      <c r="I2711">
        <v>3000000</v>
      </c>
      <c r="J2711">
        <v>3300000</v>
      </c>
      <c r="K2711">
        <v>19400000</v>
      </c>
      <c r="L2711">
        <v>7500000</v>
      </c>
      <c r="M2711" t="s">
        <v>34</v>
      </c>
      <c r="N2711">
        <f t="shared" si="253"/>
        <v>1</v>
      </c>
      <c r="O2711" t="str">
        <f t="shared" si="252"/>
        <v>Excellent</v>
      </c>
      <c r="P2711" t="str">
        <f t="shared" si="254"/>
        <v>High</v>
      </c>
      <c r="Q2711" t="str">
        <f t="shared" si="255"/>
        <v>High Loan</v>
      </c>
      <c r="R2711">
        <f t="shared" si="256"/>
        <v>33200000</v>
      </c>
      <c r="S2711" t="str">
        <f t="shared" si="257"/>
        <v>Strong</v>
      </c>
    </row>
    <row r="2712" spans="1:19" x14ac:dyDescent="0.25">
      <c r="A2712">
        <v>2711</v>
      </c>
      <c r="B2712">
        <v>3</v>
      </c>
      <c r="C2712" t="s">
        <v>30</v>
      </c>
      <c r="D2712" t="s">
        <v>33</v>
      </c>
      <c r="E2712">
        <v>7400000</v>
      </c>
      <c r="F2712">
        <v>15200000</v>
      </c>
      <c r="G2712">
        <v>10</v>
      </c>
      <c r="H2712">
        <v>548</v>
      </c>
      <c r="I2712">
        <v>16700000</v>
      </c>
      <c r="J2712">
        <v>12800000</v>
      </c>
      <c r="K2712">
        <v>19300000</v>
      </c>
      <c r="L2712">
        <v>4800000</v>
      </c>
      <c r="M2712" t="s">
        <v>35</v>
      </c>
      <c r="N2712">
        <f t="shared" si="253"/>
        <v>0</v>
      </c>
      <c r="O2712" t="str">
        <f t="shared" si="252"/>
        <v>Low</v>
      </c>
      <c r="P2712" t="str">
        <f t="shared" si="254"/>
        <v>High</v>
      </c>
      <c r="Q2712" t="str">
        <f t="shared" si="255"/>
        <v>Low Loan</v>
      </c>
      <c r="R2712">
        <f t="shared" si="256"/>
        <v>53600000</v>
      </c>
      <c r="S2712" t="str">
        <f t="shared" si="257"/>
        <v>Strong</v>
      </c>
    </row>
    <row r="2713" spans="1:19" x14ac:dyDescent="0.25">
      <c r="A2713">
        <v>2712</v>
      </c>
      <c r="B2713">
        <v>1</v>
      </c>
      <c r="C2713" t="s">
        <v>31</v>
      </c>
      <c r="D2713" t="s">
        <v>32</v>
      </c>
      <c r="E2713">
        <v>1200000</v>
      </c>
      <c r="F2713">
        <v>2700000</v>
      </c>
      <c r="G2713">
        <v>14</v>
      </c>
      <c r="H2713">
        <v>779</v>
      </c>
      <c r="I2713">
        <v>600000</v>
      </c>
      <c r="J2713">
        <v>2200000</v>
      </c>
      <c r="K2713">
        <v>2400000</v>
      </c>
      <c r="L2713">
        <v>600000</v>
      </c>
      <c r="M2713" t="s">
        <v>34</v>
      </c>
      <c r="N2713">
        <f t="shared" si="253"/>
        <v>1</v>
      </c>
      <c r="O2713" t="str">
        <f t="shared" si="252"/>
        <v>Excellent</v>
      </c>
      <c r="P2713" t="str">
        <f t="shared" si="254"/>
        <v>High</v>
      </c>
      <c r="Q2713" t="str">
        <f t="shared" si="255"/>
        <v>Low Loan</v>
      </c>
      <c r="R2713">
        <f t="shared" si="256"/>
        <v>5800000</v>
      </c>
      <c r="S2713" t="str">
        <f t="shared" si="257"/>
        <v>Moderate</v>
      </c>
    </row>
    <row r="2714" spans="1:19" x14ac:dyDescent="0.25">
      <c r="A2714">
        <v>2713</v>
      </c>
      <c r="B2714">
        <v>0</v>
      </c>
      <c r="C2714" t="s">
        <v>31</v>
      </c>
      <c r="D2714" t="s">
        <v>32</v>
      </c>
      <c r="E2714">
        <v>9500000</v>
      </c>
      <c r="F2714">
        <v>24800000</v>
      </c>
      <c r="G2714">
        <v>2</v>
      </c>
      <c r="H2714">
        <v>564</v>
      </c>
      <c r="I2714">
        <v>17400000</v>
      </c>
      <c r="J2714">
        <v>16000000</v>
      </c>
      <c r="K2714">
        <v>19600000</v>
      </c>
      <c r="L2714">
        <v>12000000</v>
      </c>
      <c r="M2714" t="s">
        <v>34</v>
      </c>
      <c r="N2714">
        <f t="shared" si="253"/>
        <v>1</v>
      </c>
      <c r="O2714" t="str">
        <f t="shared" si="252"/>
        <v>Low</v>
      </c>
      <c r="P2714" t="str">
        <f t="shared" si="254"/>
        <v>High</v>
      </c>
      <c r="Q2714" t="str">
        <f t="shared" si="255"/>
        <v>High Loan</v>
      </c>
      <c r="R2714">
        <f t="shared" si="256"/>
        <v>65000000</v>
      </c>
      <c r="S2714" t="str">
        <f t="shared" si="257"/>
        <v>Strong</v>
      </c>
    </row>
    <row r="2715" spans="1:19" x14ac:dyDescent="0.25">
      <c r="A2715">
        <v>2714</v>
      </c>
      <c r="B2715">
        <v>5</v>
      </c>
      <c r="C2715" t="s">
        <v>31</v>
      </c>
      <c r="D2715" t="s">
        <v>33</v>
      </c>
      <c r="E2715">
        <v>4000000</v>
      </c>
      <c r="F2715">
        <v>8200000</v>
      </c>
      <c r="G2715">
        <v>2</v>
      </c>
      <c r="H2715">
        <v>571</v>
      </c>
      <c r="I2715">
        <v>3500000</v>
      </c>
      <c r="J2715">
        <v>7700000</v>
      </c>
      <c r="K2715">
        <v>9500000</v>
      </c>
      <c r="L2715">
        <v>4400000</v>
      </c>
      <c r="M2715" t="s">
        <v>34</v>
      </c>
      <c r="N2715">
        <f t="shared" si="253"/>
        <v>1</v>
      </c>
      <c r="O2715" t="str">
        <f t="shared" si="252"/>
        <v>Low</v>
      </c>
      <c r="P2715" t="str">
        <f t="shared" si="254"/>
        <v>High</v>
      </c>
      <c r="Q2715" t="str">
        <f t="shared" si="255"/>
        <v>Low Loan</v>
      </c>
      <c r="R2715">
        <f t="shared" si="256"/>
        <v>25100000</v>
      </c>
      <c r="S2715" t="str">
        <f t="shared" si="257"/>
        <v>Strong</v>
      </c>
    </row>
    <row r="2716" spans="1:19" x14ac:dyDescent="0.25">
      <c r="A2716">
        <v>2715</v>
      </c>
      <c r="B2716">
        <v>0</v>
      </c>
      <c r="C2716" t="s">
        <v>31</v>
      </c>
      <c r="D2716" t="s">
        <v>33</v>
      </c>
      <c r="E2716">
        <v>8600000</v>
      </c>
      <c r="F2716">
        <v>32600000</v>
      </c>
      <c r="G2716">
        <v>8</v>
      </c>
      <c r="H2716">
        <v>778</v>
      </c>
      <c r="I2716">
        <v>21500000</v>
      </c>
      <c r="J2716">
        <v>14100000</v>
      </c>
      <c r="K2716">
        <v>33600000</v>
      </c>
      <c r="L2716">
        <v>11000000</v>
      </c>
      <c r="M2716" t="s">
        <v>34</v>
      </c>
      <c r="N2716">
        <f t="shared" si="253"/>
        <v>1</v>
      </c>
      <c r="O2716" t="str">
        <f t="shared" si="252"/>
        <v>Excellent</v>
      </c>
      <c r="P2716" t="str">
        <f t="shared" si="254"/>
        <v>High</v>
      </c>
      <c r="Q2716" t="str">
        <f t="shared" si="255"/>
        <v>High Loan</v>
      </c>
      <c r="R2716">
        <f t="shared" si="256"/>
        <v>80200000</v>
      </c>
      <c r="S2716" t="str">
        <f t="shared" si="257"/>
        <v>Strong</v>
      </c>
    </row>
    <row r="2717" spans="1:19" x14ac:dyDescent="0.25">
      <c r="A2717">
        <v>2716</v>
      </c>
      <c r="B2717">
        <v>4</v>
      </c>
      <c r="C2717" t="s">
        <v>30</v>
      </c>
      <c r="D2717" t="s">
        <v>33</v>
      </c>
      <c r="E2717">
        <v>9100000</v>
      </c>
      <c r="F2717">
        <v>28400000</v>
      </c>
      <c r="G2717">
        <v>12</v>
      </c>
      <c r="H2717">
        <v>808</v>
      </c>
      <c r="I2717">
        <v>25800000</v>
      </c>
      <c r="J2717">
        <v>11800000</v>
      </c>
      <c r="K2717">
        <v>19300000</v>
      </c>
      <c r="L2717">
        <v>9700000</v>
      </c>
      <c r="M2717" t="s">
        <v>34</v>
      </c>
      <c r="N2717">
        <f t="shared" si="253"/>
        <v>1</v>
      </c>
      <c r="O2717" t="str">
        <f t="shared" si="252"/>
        <v>Excellent</v>
      </c>
      <c r="P2717" t="str">
        <f t="shared" si="254"/>
        <v>High</v>
      </c>
      <c r="Q2717" t="str">
        <f t="shared" si="255"/>
        <v>High Loan</v>
      </c>
      <c r="R2717">
        <f t="shared" si="256"/>
        <v>66600000</v>
      </c>
      <c r="S2717" t="str">
        <f t="shared" si="257"/>
        <v>Strong</v>
      </c>
    </row>
    <row r="2718" spans="1:19" x14ac:dyDescent="0.25">
      <c r="A2718">
        <v>2717</v>
      </c>
      <c r="B2718">
        <v>0</v>
      </c>
      <c r="C2718" t="s">
        <v>31</v>
      </c>
      <c r="D2718" t="s">
        <v>33</v>
      </c>
      <c r="E2718">
        <v>7100000</v>
      </c>
      <c r="F2718">
        <v>18600000</v>
      </c>
      <c r="G2718">
        <v>20</v>
      </c>
      <c r="H2718">
        <v>770</v>
      </c>
      <c r="I2718">
        <v>19200000</v>
      </c>
      <c r="J2718">
        <v>13100000</v>
      </c>
      <c r="K2718">
        <v>23100000</v>
      </c>
      <c r="L2718">
        <v>5100000</v>
      </c>
      <c r="M2718" t="s">
        <v>34</v>
      </c>
      <c r="N2718">
        <f t="shared" si="253"/>
        <v>1</v>
      </c>
      <c r="O2718" t="str">
        <f t="shared" si="252"/>
        <v>Excellent</v>
      </c>
      <c r="P2718" t="str">
        <f t="shared" si="254"/>
        <v>High</v>
      </c>
      <c r="Q2718" t="str">
        <f t="shared" si="255"/>
        <v>Low Loan</v>
      </c>
      <c r="R2718">
        <f t="shared" si="256"/>
        <v>60500000</v>
      </c>
      <c r="S2718" t="str">
        <f t="shared" si="257"/>
        <v>Strong</v>
      </c>
    </row>
    <row r="2719" spans="1:19" x14ac:dyDescent="0.25">
      <c r="A2719">
        <v>2718</v>
      </c>
      <c r="B2719">
        <v>0</v>
      </c>
      <c r="C2719" t="s">
        <v>31</v>
      </c>
      <c r="D2719" t="s">
        <v>32</v>
      </c>
      <c r="E2719">
        <v>9000000</v>
      </c>
      <c r="F2719">
        <v>28400000</v>
      </c>
      <c r="G2719">
        <v>4</v>
      </c>
      <c r="H2719">
        <v>612</v>
      </c>
      <c r="I2719">
        <v>0</v>
      </c>
      <c r="J2719">
        <v>7200000</v>
      </c>
      <c r="K2719">
        <v>26900000</v>
      </c>
      <c r="L2719">
        <v>13200000</v>
      </c>
      <c r="M2719" t="s">
        <v>34</v>
      </c>
      <c r="N2719">
        <f t="shared" si="253"/>
        <v>1</v>
      </c>
      <c r="O2719" t="str">
        <f t="shared" si="252"/>
        <v>Low</v>
      </c>
      <c r="P2719" t="str">
        <f t="shared" si="254"/>
        <v>High</v>
      </c>
      <c r="Q2719" t="str">
        <f t="shared" si="255"/>
        <v>High Loan</v>
      </c>
      <c r="R2719">
        <f t="shared" si="256"/>
        <v>47300000</v>
      </c>
      <c r="S2719" t="str">
        <f t="shared" si="257"/>
        <v>Strong</v>
      </c>
    </row>
    <row r="2720" spans="1:19" x14ac:dyDescent="0.25">
      <c r="A2720">
        <v>2719</v>
      </c>
      <c r="B2720">
        <v>3</v>
      </c>
      <c r="C2720" t="s">
        <v>30</v>
      </c>
      <c r="D2720" t="s">
        <v>33</v>
      </c>
      <c r="E2720">
        <v>1400000</v>
      </c>
      <c r="F2720">
        <v>2700000</v>
      </c>
      <c r="G2720">
        <v>14</v>
      </c>
      <c r="H2720">
        <v>819</v>
      </c>
      <c r="I2720">
        <v>1200000</v>
      </c>
      <c r="J2720">
        <v>1500000</v>
      </c>
      <c r="K2720">
        <v>4000000</v>
      </c>
      <c r="L2720">
        <v>1300000</v>
      </c>
      <c r="M2720" t="s">
        <v>34</v>
      </c>
      <c r="N2720">
        <f t="shared" si="253"/>
        <v>1</v>
      </c>
      <c r="O2720" t="str">
        <f t="shared" si="252"/>
        <v>Excellent</v>
      </c>
      <c r="P2720" t="str">
        <f t="shared" si="254"/>
        <v>High</v>
      </c>
      <c r="Q2720" t="str">
        <f t="shared" si="255"/>
        <v>Low Loan</v>
      </c>
      <c r="R2720">
        <f t="shared" si="256"/>
        <v>8000000</v>
      </c>
      <c r="S2720" t="str">
        <f t="shared" si="257"/>
        <v>Moderate</v>
      </c>
    </row>
    <row r="2721" spans="1:19" x14ac:dyDescent="0.25">
      <c r="A2721">
        <v>2720</v>
      </c>
      <c r="B2721">
        <v>1</v>
      </c>
      <c r="C2721" t="s">
        <v>30</v>
      </c>
      <c r="D2721" t="s">
        <v>32</v>
      </c>
      <c r="E2721">
        <v>8800000</v>
      </c>
      <c r="F2721">
        <v>20200000</v>
      </c>
      <c r="G2721">
        <v>6</v>
      </c>
      <c r="H2721">
        <v>627</v>
      </c>
      <c r="I2721">
        <v>24200000</v>
      </c>
      <c r="J2721">
        <v>16100000</v>
      </c>
      <c r="K2721">
        <v>17600000</v>
      </c>
      <c r="L2721">
        <v>11900000</v>
      </c>
      <c r="M2721" t="s">
        <v>34</v>
      </c>
      <c r="N2721">
        <f t="shared" si="253"/>
        <v>1</v>
      </c>
      <c r="O2721" t="str">
        <f t="shared" si="252"/>
        <v>Low</v>
      </c>
      <c r="P2721" t="str">
        <f t="shared" si="254"/>
        <v>High</v>
      </c>
      <c r="Q2721" t="str">
        <f t="shared" si="255"/>
        <v>High Loan</v>
      </c>
      <c r="R2721">
        <f t="shared" si="256"/>
        <v>69800000</v>
      </c>
      <c r="S2721" t="str">
        <f t="shared" si="257"/>
        <v>Strong</v>
      </c>
    </row>
    <row r="2722" spans="1:19" x14ac:dyDescent="0.25">
      <c r="A2722">
        <v>2721</v>
      </c>
      <c r="B2722">
        <v>3</v>
      </c>
      <c r="C2722" t="s">
        <v>31</v>
      </c>
      <c r="D2722" t="s">
        <v>33</v>
      </c>
      <c r="E2722">
        <v>5400000</v>
      </c>
      <c r="F2722">
        <v>14700000</v>
      </c>
      <c r="G2722">
        <v>4</v>
      </c>
      <c r="H2722">
        <v>359</v>
      </c>
      <c r="I2722">
        <v>12300000</v>
      </c>
      <c r="J2722">
        <v>9900000</v>
      </c>
      <c r="K2722">
        <v>15100000</v>
      </c>
      <c r="L2722">
        <v>6100000</v>
      </c>
      <c r="M2722" t="s">
        <v>35</v>
      </c>
      <c r="N2722">
        <f t="shared" si="253"/>
        <v>0</v>
      </c>
      <c r="O2722" t="str">
        <f t="shared" si="252"/>
        <v>Low</v>
      </c>
      <c r="P2722" t="str">
        <f t="shared" si="254"/>
        <v>High</v>
      </c>
      <c r="Q2722" t="str">
        <f t="shared" si="255"/>
        <v>Low Loan</v>
      </c>
      <c r="R2722">
        <f t="shared" si="256"/>
        <v>43400000</v>
      </c>
      <c r="S2722" t="str">
        <f t="shared" si="257"/>
        <v>Strong</v>
      </c>
    </row>
    <row r="2723" spans="1:19" x14ac:dyDescent="0.25">
      <c r="A2723">
        <v>2722</v>
      </c>
      <c r="B2723">
        <v>1</v>
      </c>
      <c r="C2723" t="s">
        <v>30</v>
      </c>
      <c r="D2723" t="s">
        <v>32</v>
      </c>
      <c r="E2723">
        <v>6100000</v>
      </c>
      <c r="F2723">
        <v>19100000</v>
      </c>
      <c r="G2723">
        <v>6</v>
      </c>
      <c r="H2723">
        <v>341</v>
      </c>
      <c r="I2723">
        <v>5700000</v>
      </c>
      <c r="J2723">
        <v>5900000</v>
      </c>
      <c r="K2723">
        <v>12400000</v>
      </c>
      <c r="L2723">
        <v>6300000</v>
      </c>
      <c r="M2723" t="s">
        <v>35</v>
      </c>
      <c r="N2723">
        <f t="shared" si="253"/>
        <v>0</v>
      </c>
      <c r="O2723" t="str">
        <f t="shared" si="252"/>
        <v>Low</v>
      </c>
      <c r="P2723" t="str">
        <f t="shared" si="254"/>
        <v>High</v>
      </c>
      <c r="Q2723" t="str">
        <f t="shared" si="255"/>
        <v>Low Loan</v>
      </c>
      <c r="R2723">
        <f t="shared" si="256"/>
        <v>30300000</v>
      </c>
      <c r="S2723" t="str">
        <f t="shared" si="257"/>
        <v>Strong</v>
      </c>
    </row>
    <row r="2724" spans="1:19" x14ac:dyDescent="0.25">
      <c r="A2724">
        <v>2723</v>
      </c>
      <c r="B2724">
        <v>1</v>
      </c>
      <c r="C2724" t="s">
        <v>30</v>
      </c>
      <c r="D2724" t="s">
        <v>32</v>
      </c>
      <c r="E2724">
        <v>1000000</v>
      </c>
      <c r="F2724">
        <v>3600000</v>
      </c>
      <c r="G2724">
        <v>4</v>
      </c>
      <c r="H2724">
        <v>570</v>
      </c>
      <c r="I2724">
        <v>1000000</v>
      </c>
      <c r="J2724">
        <v>1300000</v>
      </c>
      <c r="K2724">
        <v>3700000</v>
      </c>
      <c r="L2724">
        <v>1000000</v>
      </c>
      <c r="M2724" t="s">
        <v>34</v>
      </c>
      <c r="N2724">
        <f t="shared" si="253"/>
        <v>1</v>
      </c>
      <c r="O2724" t="str">
        <f t="shared" si="252"/>
        <v>Low</v>
      </c>
      <c r="P2724" t="str">
        <f t="shared" si="254"/>
        <v>High</v>
      </c>
      <c r="Q2724" t="str">
        <f t="shared" si="255"/>
        <v>Low Loan</v>
      </c>
      <c r="R2724">
        <f t="shared" si="256"/>
        <v>7000000</v>
      </c>
      <c r="S2724" t="str">
        <f t="shared" si="257"/>
        <v>Moderate</v>
      </c>
    </row>
    <row r="2725" spans="1:19" x14ac:dyDescent="0.25">
      <c r="A2725">
        <v>2724</v>
      </c>
      <c r="B2725">
        <v>3</v>
      </c>
      <c r="C2725" t="s">
        <v>30</v>
      </c>
      <c r="D2725" t="s">
        <v>33</v>
      </c>
      <c r="E2725">
        <v>7700000</v>
      </c>
      <c r="F2725">
        <v>18100000</v>
      </c>
      <c r="G2725">
        <v>20</v>
      </c>
      <c r="H2725">
        <v>736</v>
      </c>
      <c r="I2725">
        <v>7800000</v>
      </c>
      <c r="J2725">
        <v>14500000</v>
      </c>
      <c r="K2725">
        <v>29100000</v>
      </c>
      <c r="L2725">
        <v>10000000</v>
      </c>
      <c r="M2725" t="s">
        <v>34</v>
      </c>
      <c r="N2725">
        <f t="shared" si="253"/>
        <v>1</v>
      </c>
      <c r="O2725" t="str">
        <f t="shared" si="252"/>
        <v>Good</v>
      </c>
      <c r="P2725" t="str">
        <f t="shared" si="254"/>
        <v>High</v>
      </c>
      <c r="Q2725" t="str">
        <f t="shared" si="255"/>
        <v>Low Loan</v>
      </c>
      <c r="R2725">
        <f t="shared" si="256"/>
        <v>61400000</v>
      </c>
      <c r="S2725" t="str">
        <f t="shared" si="257"/>
        <v>Strong</v>
      </c>
    </row>
    <row r="2726" spans="1:19" x14ac:dyDescent="0.25">
      <c r="A2726">
        <v>2725</v>
      </c>
      <c r="B2726">
        <v>1</v>
      </c>
      <c r="C2726" t="s">
        <v>30</v>
      </c>
      <c r="D2726" t="s">
        <v>33</v>
      </c>
      <c r="E2726">
        <v>6100000</v>
      </c>
      <c r="F2726">
        <v>12900000</v>
      </c>
      <c r="G2726">
        <v>2</v>
      </c>
      <c r="H2726">
        <v>302</v>
      </c>
      <c r="I2726">
        <v>8900000</v>
      </c>
      <c r="J2726">
        <v>7500000</v>
      </c>
      <c r="K2726">
        <v>15600000</v>
      </c>
      <c r="L2726">
        <v>7200000</v>
      </c>
      <c r="M2726" t="s">
        <v>35</v>
      </c>
      <c r="N2726">
        <f t="shared" si="253"/>
        <v>0</v>
      </c>
      <c r="O2726" t="str">
        <f t="shared" si="252"/>
        <v>Low</v>
      </c>
      <c r="P2726" t="str">
        <f t="shared" si="254"/>
        <v>High</v>
      </c>
      <c r="Q2726" t="str">
        <f t="shared" si="255"/>
        <v>Low Loan</v>
      </c>
      <c r="R2726">
        <f t="shared" si="256"/>
        <v>39200000</v>
      </c>
      <c r="S2726" t="str">
        <f t="shared" si="257"/>
        <v>Strong</v>
      </c>
    </row>
    <row r="2727" spans="1:19" x14ac:dyDescent="0.25">
      <c r="A2727">
        <v>2726</v>
      </c>
      <c r="B2727">
        <v>2</v>
      </c>
      <c r="C2727" t="s">
        <v>31</v>
      </c>
      <c r="D2727" t="s">
        <v>33</v>
      </c>
      <c r="E2727">
        <v>7700000</v>
      </c>
      <c r="F2727">
        <v>21000000</v>
      </c>
      <c r="G2727">
        <v>12</v>
      </c>
      <c r="H2727">
        <v>420</v>
      </c>
      <c r="I2727">
        <v>16100000</v>
      </c>
      <c r="J2727">
        <v>4300000</v>
      </c>
      <c r="K2727">
        <v>27400000</v>
      </c>
      <c r="L2727">
        <v>10500000</v>
      </c>
      <c r="M2727" t="s">
        <v>35</v>
      </c>
      <c r="N2727">
        <f t="shared" si="253"/>
        <v>0</v>
      </c>
      <c r="O2727" t="str">
        <f t="shared" si="252"/>
        <v>Low</v>
      </c>
      <c r="P2727" t="str">
        <f t="shared" si="254"/>
        <v>High</v>
      </c>
      <c r="Q2727" t="str">
        <f t="shared" si="255"/>
        <v>High Loan</v>
      </c>
      <c r="R2727">
        <f t="shared" si="256"/>
        <v>58300000</v>
      </c>
      <c r="S2727" t="str">
        <f t="shared" si="257"/>
        <v>Strong</v>
      </c>
    </row>
    <row r="2728" spans="1:19" x14ac:dyDescent="0.25">
      <c r="A2728">
        <v>2727</v>
      </c>
      <c r="B2728">
        <v>4</v>
      </c>
      <c r="C2728" t="s">
        <v>30</v>
      </c>
      <c r="D2728" t="s">
        <v>33</v>
      </c>
      <c r="E2728">
        <v>4700000</v>
      </c>
      <c r="F2728">
        <v>12000000</v>
      </c>
      <c r="G2728">
        <v>2</v>
      </c>
      <c r="H2728">
        <v>416</v>
      </c>
      <c r="I2728">
        <v>5800000</v>
      </c>
      <c r="J2728">
        <v>8200000</v>
      </c>
      <c r="K2728">
        <v>13000000</v>
      </c>
      <c r="L2728">
        <v>6800000</v>
      </c>
      <c r="M2728" t="s">
        <v>35</v>
      </c>
      <c r="N2728">
        <f t="shared" si="253"/>
        <v>0</v>
      </c>
      <c r="O2728" t="str">
        <f t="shared" si="252"/>
        <v>Low</v>
      </c>
      <c r="P2728" t="str">
        <f t="shared" si="254"/>
        <v>High</v>
      </c>
      <c r="Q2728" t="str">
        <f t="shared" si="255"/>
        <v>Low Loan</v>
      </c>
      <c r="R2728">
        <f t="shared" si="256"/>
        <v>33800000</v>
      </c>
      <c r="S2728" t="str">
        <f t="shared" si="257"/>
        <v>Strong</v>
      </c>
    </row>
    <row r="2729" spans="1:19" x14ac:dyDescent="0.25">
      <c r="A2729">
        <v>2728</v>
      </c>
      <c r="B2729">
        <v>2</v>
      </c>
      <c r="C2729" t="s">
        <v>30</v>
      </c>
      <c r="D2729" t="s">
        <v>33</v>
      </c>
      <c r="E2729">
        <v>9100000</v>
      </c>
      <c r="F2729">
        <v>34800000</v>
      </c>
      <c r="G2729">
        <v>20</v>
      </c>
      <c r="H2729">
        <v>836</v>
      </c>
      <c r="I2729">
        <v>21300000</v>
      </c>
      <c r="J2729">
        <v>10900000</v>
      </c>
      <c r="K2729">
        <v>30600000</v>
      </c>
      <c r="L2729">
        <v>9900000</v>
      </c>
      <c r="M2729" t="s">
        <v>34</v>
      </c>
      <c r="N2729">
        <f t="shared" si="253"/>
        <v>1</v>
      </c>
      <c r="O2729" t="str">
        <f t="shared" si="252"/>
        <v>Excellent</v>
      </c>
      <c r="P2729" t="str">
        <f t="shared" si="254"/>
        <v>High</v>
      </c>
      <c r="Q2729" t="str">
        <f t="shared" si="255"/>
        <v>High Loan</v>
      </c>
      <c r="R2729">
        <f t="shared" si="256"/>
        <v>72700000</v>
      </c>
      <c r="S2729" t="str">
        <f t="shared" si="257"/>
        <v>Strong</v>
      </c>
    </row>
    <row r="2730" spans="1:19" x14ac:dyDescent="0.25">
      <c r="A2730">
        <v>2729</v>
      </c>
      <c r="B2730">
        <v>0</v>
      </c>
      <c r="C2730" t="s">
        <v>30</v>
      </c>
      <c r="D2730" t="s">
        <v>33</v>
      </c>
      <c r="E2730">
        <v>5800000</v>
      </c>
      <c r="F2730">
        <v>12700000</v>
      </c>
      <c r="G2730">
        <v>12</v>
      </c>
      <c r="H2730">
        <v>528</v>
      </c>
      <c r="I2730">
        <v>8400000</v>
      </c>
      <c r="J2730">
        <v>7300000</v>
      </c>
      <c r="K2730">
        <v>19600000</v>
      </c>
      <c r="L2730">
        <v>7600000</v>
      </c>
      <c r="M2730" t="s">
        <v>35</v>
      </c>
      <c r="N2730">
        <f t="shared" si="253"/>
        <v>0</v>
      </c>
      <c r="O2730" t="str">
        <f t="shared" si="252"/>
        <v>Low</v>
      </c>
      <c r="P2730" t="str">
        <f t="shared" si="254"/>
        <v>High</v>
      </c>
      <c r="Q2730" t="str">
        <f t="shared" si="255"/>
        <v>Low Loan</v>
      </c>
      <c r="R2730">
        <f t="shared" si="256"/>
        <v>42900000</v>
      </c>
      <c r="S2730" t="str">
        <f t="shared" si="257"/>
        <v>Strong</v>
      </c>
    </row>
    <row r="2731" spans="1:19" x14ac:dyDescent="0.25">
      <c r="A2731">
        <v>2730</v>
      </c>
      <c r="B2731">
        <v>4</v>
      </c>
      <c r="C2731" t="s">
        <v>31</v>
      </c>
      <c r="D2731" t="s">
        <v>32</v>
      </c>
      <c r="E2731">
        <v>8500000</v>
      </c>
      <c r="F2731">
        <v>24900000</v>
      </c>
      <c r="G2731">
        <v>2</v>
      </c>
      <c r="H2731">
        <v>405</v>
      </c>
      <c r="I2731">
        <v>1900000</v>
      </c>
      <c r="J2731">
        <v>400000</v>
      </c>
      <c r="K2731">
        <v>21700000</v>
      </c>
      <c r="L2731">
        <v>11400000</v>
      </c>
      <c r="M2731" t="s">
        <v>35</v>
      </c>
      <c r="N2731">
        <f t="shared" si="253"/>
        <v>0</v>
      </c>
      <c r="O2731" t="str">
        <f t="shared" si="252"/>
        <v>Low</v>
      </c>
      <c r="P2731" t="str">
        <f t="shared" si="254"/>
        <v>High</v>
      </c>
      <c r="Q2731" t="str">
        <f t="shared" si="255"/>
        <v>High Loan</v>
      </c>
      <c r="R2731">
        <f t="shared" si="256"/>
        <v>35400000</v>
      </c>
      <c r="S2731" t="str">
        <f t="shared" si="257"/>
        <v>Strong</v>
      </c>
    </row>
    <row r="2732" spans="1:19" x14ac:dyDescent="0.25">
      <c r="A2732">
        <v>2731</v>
      </c>
      <c r="B2732">
        <v>2</v>
      </c>
      <c r="C2732" t="s">
        <v>30</v>
      </c>
      <c r="D2732" t="s">
        <v>33</v>
      </c>
      <c r="E2732">
        <v>9900000</v>
      </c>
      <c r="F2732">
        <v>33400000</v>
      </c>
      <c r="G2732">
        <v>14</v>
      </c>
      <c r="H2732">
        <v>783</v>
      </c>
      <c r="I2732">
        <v>16600000</v>
      </c>
      <c r="J2732">
        <v>16100000</v>
      </c>
      <c r="K2732">
        <v>21000000</v>
      </c>
      <c r="L2732">
        <v>9500000</v>
      </c>
      <c r="M2732" t="s">
        <v>34</v>
      </c>
      <c r="N2732">
        <f t="shared" si="253"/>
        <v>1</v>
      </c>
      <c r="O2732" t="str">
        <f t="shared" si="252"/>
        <v>Excellent</v>
      </c>
      <c r="P2732" t="str">
        <f t="shared" si="254"/>
        <v>High</v>
      </c>
      <c r="Q2732" t="str">
        <f t="shared" si="255"/>
        <v>High Loan</v>
      </c>
      <c r="R2732">
        <f t="shared" si="256"/>
        <v>63200000</v>
      </c>
      <c r="S2732" t="str">
        <f t="shared" si="257"/>
        <v>Strong</v>
      </c>
    </row>
    <row r="2733" spans="1:19" x14ac:dyDescent="0.25">
      <c r="A2733">
        <v>2732</v>
      </c>
      <c r="B2733">
        <v>4</v>
      </c>
      <c r="C2733" t="s">
        <v>31</v>
      </c>
      <c r="D2733" t="s">
        <v>33</v>
      </c>
      <c r="E2733">
        <v>2000000</v>
      </c>
      <c r="F2733">
        <v>4000000</v>
      </c>
      <c r="G2733">
        <v>10</v>
      </c>
      <c r="H2733">
        <v>636</v>
      </c>
      <c r="I2733">
        <v>2100000</v>
      </c>
      <c r="J2733">
        <v>0</v>
      </c>
      <c r="K2733">
        <v>4000000</v>
      </c>
      <c r="L2733">
        <v>1700000</v>
      </c>
      <c r="M2733" t="s">
        <v>34</v>
      </c>
      <c r="N2733">
        <f t="shared" si="253"/>
        <v>1</v>
      </c>
      <c r="O2733" t="str">
        <f t="shared" si="252"/>
        <v>Low</v>
      </c>
      <c r="P2733" t="str">
        <f t="shared" si="254"/>
        <v>High</v>
      </c>
      <c r="Q2733" t="str">
        <f t="shared" si="255"/>
        <v>Low Loan</v>
      </c>
      <c r="R2733">
        <f t="shared" si="256"/>
        <v>7800000</v>
      </c>
      <c r="S2733" t="str">
        <f t="shared" si="257"/>
        <v>Moderate</v>
      </c>
    </row>
    <row r="2734" spans="1:19" x14ac:dyDescent="0.25">
      <c r="A2734">
        <v>2733</v>
      </c>
      <c r="B2734">
        <v>1</v>
      </c>
      <c r="C2734" t="s">
        <v>31</v>
      </c>
      <c r="D2734" t="s">
        <v>33</v>
      </c>
      <c r="E2734">
        <v>5000000</v>
      </c>
      <c r="F2734">
        <v>16800000</v>
      </c>
      <c r="G2734">
        <v>6</v>
      </c>
      <c r="H2734">
        <v>711</v>
      </c>
      <c r="I2734">
        <v>6300000</v>
      </c>
      <c r="J2734">
        <v>7600000</v>
      </c>
      <c r="K2734">
        <v>16000000</v>
      </c>
      <c r="L2734">
        <v>3200000</v>
      </c>
      <c r="M2734" t="s">
        <v>34</v>
      </c>
      <c r="N2734">
        <f t="shared" si="253"/>
        <v>1</v>
      </c>
      <c r="O2734" t="str">
        <f t="shared" si="252"/>
        <v>Good</v>
      </c>
      <c r="P2734" t="str">
        <f t="shared" si="254"/>
        <v>High</v>
      </c>
      <c r="Q2734" t="str">
        <f t="shared" si="255"/>
        <v>Low Loan</v>
      </c>
      <c r="R2734">
        <f t="shared" si="256"/>
        <v>33100000</v>
      </c>
      <c r="S2734" t="str">
        <f t="shared" si="257"/>
        <v>Strong</v>
      </c>
    </row>
    <row r="2735" spans="1:19" x14ac:dyDescent="0.25">
      <c r="A2735">
        <v>2734</v>
      </c>
      <c r="B2735">
        <v>1</v>
      </c>
      <c r="C2735" t="s">
        <v>30</v>
      </c>
      <c r="D2735" t="s">
        <v>33</v>
      </c>
      <c r="E2735">
        <v>3200000</v>
      </c>
      <c r="F2735">
        <v>11800000</v>
      </c>
      <c r="G2735">
        <v>16</v>
      </c>
      <c r="H2735">
        <v>848</v>
      </c>
      <c r="I2735">
        <v>5500000</v>
      </c>
      <c r="J2735">
        <v>3200000</v>
      </c>
      <c r="K2735">
        <v>7500000</v>
      </c>
      <c r="L2735">
        <v>2300000</v>
      </c>
      <c r="M2735" t="s">
        <v>34</v>
      </c>
      <c r="N2735">
        <f t="shared" si="253"/>
        <v>1</v>
      </c>
      <c r="O2735" t="str">
        <f t="shared" si="252"/>
        <v>Excellent</v>
      </c>
      <c r="P2735" t="str">
        <f t="shared" si="254"/>
        <v>High</v>
      </c>
      <c r="Q2735" t="str">
        <f t="shared" si="255"/>
        <v>Low Loan</v>
      </c>
      <c r="R2735">
        <f t="shared" si="256"/>
        <v>18500000</v>
      </c>
      <c r="S2735" t="str">
        <f t="shared" si="257"/>
        <v>Strong</v>
      </c>
    </row>
    <row r="2736" spans="1:19" x14ac:dyDescent="0.25">
      <c r="A2736">
        <v>2735</v>
      </c>
      <c r="B2736">
        <v>1</v>
      </c>
      <c r="C2736" t="s">
        <v>31</v>
      </c>
      <c r="D2736" t="s">
        <v>33</v>
      </c>
      <c r="E2736">
        <v>8000000</v>
      </c>
      <c r="F2736">
        <v>27800000</v>
      </c>
      <c r="G2736">
        <v>8</v>
      </c>
      <c r="H2736">
        <v>804</v>
      </c>
      <c r="I2736">
        <v>7900000</v>
      </c>
      <c r="J2736">
        <v>1600000</v>
      </c>
      <c r="K2736">
        <v>27100000</v>
      </c>
      <c r="L2736">
        <v>11800000</v>
      </c>
      <c r="M2736" t="s">
        <v>34</v>
      </c>
      <c r="N2736">
        <f t="shared" si="253"/>
        <v>1</v>
      </c>
      <c r="O2736" t="str">
        <f t="shared" si="252"/>
        <v>Excellent</v>
      </c>
      <c r="P2736" t="str">
        <f t="shared" si="254"/>
        <v>High</v>
      </c>
      <c r="Q2736" t="str">
        <f t="shared" si="255"/>
        <v>High Loan</v>
      </c>
      <c r="R2736">
        <f t="shared" si="256"/>
        <v>48400000</v>
      </c>
      <c r="S2736" t="str">
        <f t="shared" si="257"/>
        <v>Strong</v>
      </c>
    </row>
    <row r="2737" spans="1:19" x14ac:dyDescent="0.25">
      <c r="A2737">
        <v>2736</v>
      </c>
      <c r="B2737">
        <v>0</v>
      </c>
      <c r="C2737" t="s">
        <v>31</v>
      </c>
      <c r="D2737" t="s">
        <v>33</v>
      </c>
      <c r="E2737">
        <v>1200000</v>
      </c>
      <c r="F2737">
        <v>2800000</v>
      </c>
      <c r="G2737">
        <v>14</v>
      </c>
      <c r="H2737">
        <v>892</v>
      </c>
      <c r="I2737">
        <v>3200000</v>
      </c>
      <c r="J2737">
        <v>100000</v>
      </c>
      <c r="K2737">
        <v>3300000</v>
      </c>
      <c r="L2737">
        <v>1700000</v>
      </c>
      <c r="M2737" t="s">
        <v>34</v>
      </c>
      <c r="N2737">
        <f t="shared" si="253"/>
        <v>1</v>
      </c>
      <c r="O2737" t="str">
        <f t="shared" si="252"/>
        <v>Excellent</v>
      </c>
      <c r="P2737" t="str">
        <f t="shared" si="254"/>
        <v>High</v>
      </c>
      <c r="Q2737" t="str">
        <f t="shared" si="255"/>
        <v>Low Loan</v>
      </c>
      <c r="R2737">
        <f t="shared" si="256"/>
        <v>8300000</v>
      </c>
      <c r="S2737" t="str">
        <f t="shared" si="257"/>
        <v>Moderate</v>
      </c>
    </row>
    <row r="2738" spans="1:19" x14ac:dyDescent="0.25">
      <c r="A2738">
        <v>2737</v>
      </c>
      <c r="B2738">
        <v>2</v>
      </c>
      <c r="C2738" t="s">
        <v>31</v>
      </c>
      <c r="D2738" t="s">
        <v>33</v>
      </c>
      <c r="E2738">
        <v>5800000</v>
      </c>
      <c r="F2738">
        <v>22800000</v>
      </c>
      <c r="G2738">
        <v>14</v>
      </c>
      <c r="H2738">
        <v>696</v>
      </c>
      <c r="I2738">
        <v>12100000</v>
      </c>
      <c r="J2738">
        <v>200000</v>
      </c>
      <c r="K2738">
        <v>20800000</v>
      </c>
      <c r="L2738">
        <v>4800000</v>
      </c>
      <c r="M2738" t="s">
        <v>34</v>
      </c>
      <c r="N2738">
        <f t="shared" si="253"/>
        <v>1</v>
      </c>
      <c r="O2738" t="str">
        <f t="shared" si="252"/>
        <v>Medium</v>
      </c>
      <c r="P2738" t="str">
        <f t="shared" si="254"/>
        <v>High</v>
      </c>
      <c r="Q2738" t="str">
        <f t="shared" si="255"/>
        <v>High Loan</v>
      </c>
      <c r="R2738">
        <f t="shared" si="256"/>
        <v>37900000</v>
      </c>
      <c r="S2738" t="str">
        <f t="shared" si="257"/>
        <v>Strong</v>
      </c>
    </row>
    <row r="2739" spans="1:19" x14ac:dyDescent="0.25">
      <c r="A2739">
        <v>2738</v>
      </c>
      <c r="B2739">
        <v>1</v>
      </c>
      <c r="C2739" t="s">
        <v>30</v>
      </c>
      <c r="D2739" t="s">
        <v>32</v>
      </c>
      <c r="E2739">
        <v>2500000</v>
      </c>
      <c r="F2739">
        <v>7600000</v>
      </c>
      <c r="G2739">
        <v>20</v>
      </c>
      <c r="H2739">
        <v>888</v>
      </c>
      <c r="I2739">
        <v>7400000</v>
      </c>
      <c r="J2739">
        <v>4200000</v>
      </c>
      <c r="K2739">
        <v>6400000</v>
      </c>
      <c r="L2739">
        <v>1900000</v>
      </c>
      <c r="M2739" t="s">
        <v>34</v>
      </c>
      <c r="N2739">
        <f t="shared" si="253"/>
        <v>1</v>
      </c>
      <c r="O2739" t="str">
        <f t="shared" si="252"/>
        <v>Excellent</v>
      </c>
      <c r="P2739" t="str">
        <f t="shared" si="254"/>
        <v>High</v>
      </c>
      <c r="Q2739" t="str">
        <f t="shared" si="255"/>
        <v>Low Loan</v>
      </c>
      <c r="R2739">
        <f t="shared" si="256"/>
        <v>19900000</v>
      </c>
      <c r="S2739" t="str">
        <f t="shared" si="257"/>
        <v>Strong</v>
      </c>
    </row>
    <row r="2740" spans="1:19" x14ac:dyDescent="0.25">
      <c r="A2740">
        <v>2739</v>
      </c>
      <c r="B2740">
        <v>1</v>
      </c>
      <c r="C2740" t="s">
        <v>31</v>
      </c>
      <c r="D2740" t="s">
        <v>33</v>
      </c>
      <c r="E2740">
        <v>600000</v>
      </c>
      <c r="F2740">
        <v>1400000</v>
      </c>
      <c r="G2740">
        <v>10</v>
      </c>
      <c r="H2740">
        <v>699</v>
      </c>
      <c r="I2740">
        <v>400000</v>
      </c>
      <c r="J2740">
        <v>500000</v>
      </c>
      <c r="K2740">
        <v>1300000</v>
      </c>
      <c r="L2740">
        <v>800000</v>
      </c>
      <c r="M2740" t="s">
        <v>34</v>
      </c>
      <c r="N2740">
        <f t="shared" si="253"/>
        <v>1</v>
      </c>
      <c r="O2740" t="str">
        <f t="shared" si="252"/>
        <v>Medium</v>
      </c>
      <c r="P2740" t="str">
        <f t="shared" si="254"/>
        <v>Middle</v>
      </c>
      <c r="Q2740" t="str">
        <f t="shared" si="255"/>
        <v>Low Loan</v>
      </c>
      <c r="R2740">
        <f t="shared" si="256"/>
        <v>3000000</v>
      </c>
      <c r="S2740" t="str">
        <f t="shared" si="257"/>
        <v>Weak</v>
      </c>
    </row>
    <row r="2741" spans="1:19" x14ac:dyDescent="0.25">
      <c r="A2741">
        <v>2740</v>
      </c>
      <c r="B2741">
        <v>5</v>
      </c>
      <c r="C2741" t="s">
        <v>30</v>
      </c>
      <c r="D2741" t="s">
        <v>32</v>
      </c>
      <c r="E2741">
        <v>4900000</v>
      </c>
      <c r="F2741">
        <v>13000000</v>
      </c>
      <c r="G2741">
        <v>10</v>
      </c>
      <c r="H2741">
        <v>865</v>
      </c>
      <c r="I2741">
        <v>13300000</v>
      </c>
      <c r="J2741">
        <v>3700000</v>
      </c>
      <c r="K2741">
        <v>14700000</v>
      </c>
      <c r="L2741">
        <v>6500000</v>
      </c>
      <c r="M2741" t="s">
        <v>34</v>
      </c>
      <c r="N2741">
        <f t="shared" si="253"/>
        <v>1</v>
      </c>
      <c r="O2741" t="str">
        <f t="shared" si="252"/>
        <v>Excellent</v>
      </c>
      <c r="P2741" t="str">
        <f t="shared" si="254"/>
        <v>High</v>
      </c>
      <c r="Q2741" t="str">
        <f t="shared" si="255"/>
        <v>Low Loan</v>
      </c>
      <c r="R2741">
        <f t="shared" si="256"/>
        <v>38200000</v>
      </c>
      <c r="S2741" t="str">
        <f t="shared" si="257"/>
        <v>Strong</v>
      </c>
    </row>
    <row r="2742" spans="1:19" x14ac:dyDescent="0.25">
      <c r="A2742">
        <v>2741</v>
      </c>
      <c r="B2742">
        <v>2</v>
      </c>
      <c r="C2742" t="s">
        <v>30</v>
      </c>
      <c r="D2742" t="s">
        <v>33</v>
      </c>
      <c r="E2742">
        <v>9400000</v>
      </c>
      <c r="F2742">
        <v>37300000</v>
      </c>
      <c r="G2742">
        <v>14</v>
      </c>
      <c r="H2742">
        <v>383</v>
      </c>
      <c r="I2742">
        <v>7800000</v>
      </c>
      <c r="J2742">
        <v>15900000</v>
      </c>
      <c r="K2742">
        <v>27100000</v>
      </c>
      <c r="L2742">
        <v>7700000</v>
      </c>
      <c r="M2742" t="s">
        <v>35</v>
      </c>
      <c r="N2742">
        <f t="shared" si="253"/>
        <v>0</v>
      </c>
      <c r="O2742" t="str">
        <f t="shared" si="252"/>
        <v>Low</v>
      </c>
      <c r="P2742" t="str">
        <f t="shared" si="254"/>
        <v>High</v>
      </c>
      <c r="Q2742" t="str">
        <f t="shared" si="255"/>
        <v>High Loan</v>
      </c>
      <c r="R2742">
        <f t="shared" si="256"/>
        <v>58500000</v>
      </c>
      <c r="S2742" t="str">
        <f t="shared" si="257"/>
        <v>Strong</v>
      </c>
    </row>
    <row r="2743" spans="1:19" x14ac:dyDescent="0.25">
      <c r="A2743">
        <v>2742</v>
      </c>
      <c r="B2743">
        <v>2</v>
      </c>
      <c r="C2743" t="s">
        <v>30</v>
      </c>
      <c r="D2743" t="s">
        <v>32</v>
      </c>
      <c r="E2743">
        <v>5300000</v>
      </c>
      <c r="F2743">
        <v>19300000</v>
      </c>
      <c r="G2743">
        <v>16</v>
      </c>
      <c r="H2743">
        <v>368</v>
      </c>
      <c r="I2743">
        <v>14700000</v>
      </c>
      <c r="J2743">
        <v>400000</v>
      </c>
      <c r="K2743">
        <v>11600000</v>
      </c>
      <c r="L2743">
        <v>3700000</v>
      </c>
      <c r="M2743" t="s">
        <v>35</v>
      </c>
      <c r="N2743">
        <f t="shared" si="253"/>
        <v>0</v>
      </c>
      <c r="O2743" t="str">
        <f t="shared" si="252"/>
        <v>Low</v>
      </c>
      <c r="P2743" t="str">
        <f t="shared" si="254"/>
        <v>High</v>
      </c>
      <c r="Q2743" t="str">
        <f t="shared" si="255"/>
        <v>Low Loan</v>
      </c>
      <c r="R2743">
        <f t="shared" si="256"/>
        <v>30400000</v>
      </c>
      <c r="S2743" t="str">
        <f t="shared" si="257"/>
        <v>Strong</v>
      </c>
    </row>
    <row r="2744" spans="1:19" x14ac:dyDescent="0.25">
      <c r="A2744">
        <v>2743</v>
      </c>
      <c r="B2744">
        <v>5</v>
      </c>
      <c r="C2744" t="s">
        <v>31</v>
      </c>
      <c r="D2744" t="s">
        <v>32</v>
      </c>
      <c r="E2744">
        <v>5100000</v>
      </c>
      <c r="F2744">
        <v>15800000</v>
      </c>
      <c r="G2744">
        <v>4</v>
      </c>
      <c r="H2744">
        <v>607</v>
      </c>
      <c r="I2744">
        <v>6000000</v>
      </c>
      <c r="J2744">
        <v>7700000</v>
      </c>
      <c r="K2744">
        <v>12600000</v>
      </c>
      <c r="L2744">
        <v>7000000</v>
      </c>
      <c r="M2744" t="s">
        <v>34</v>
      </c>
      <c r="N2744">
        <f t="shared" si="253"/>
        <v>1</v>
      </c>
      <c r="O2744" t="str">
        <f t="shared" si="252"/>
        <v>Low</v>
      </c>
      <c r="P2744" t="str">
        <f t="shared" si="254"/>
        <v>High</v>
      </c>
      <c r="Q2744" t="str">
        <f t="shared" si="255"/>
        <v>Low Loan</v>
      </c>
      <c r="R2744">
        <f t="shared" si="256"/>
        <v>33300000</v>
      </c>
      <c r="S2744" t="str">
        <f t="shared" si="257"/>
        <v>Strong</v>
      </c>
    </row>
    <row r="2745" spans="1:19" x14ac:dyDescent="0.25">
      <c r="A2745">
        <v>2744</v>
      </c>
      <c r="B2745">
        <v>4</v>
      </c>
      <c r="C2745" t="s">
        <v>31</v>
      </c>
      <c r="D2745" t="s">
        <v>33</v>
      </c>
      <c r="E2745">
        <v>2900000</v>
      </c>
      <c r="F2745">
        <v>8900000</v>
      </c>
      <c r="G2745">
        <v>18</v>
      </c>
      <c r="H2745">
        <v>827</v>
      </c>
      <c r="I2745">
        <v>400000</v>
      </c>
      <c r="J2745">
        <v>3400000</v>
      </c>
      <c r="K2745">
        <v>11200000</v>
      </c>
      <c r="L2745">
        <v>1600000</v>
      </c>
      <c r="M2745" t="s">
        <v>34</v>
      </c>
      <c r="N2745">
        <f t="shared" si="253"/>
        <v>1</v>
      </c>
      <c r="O2745" t="str">
        <f t="shared" si="252"/>
        <v>Excellent</v>
      </c>
      <c r="P2745" t="str">
        <f t="shared" si="254"/>
        <v>High</v>
      </c>
      <c r="Q2745" t="str">
        <f t="shared" si="255"/>
        <v>Low Loan</v>
      </c>
      <c r="R2745">
        <f t="shared" si="256"/>
        <v>16600000</v>
      </c>
      <c r="S2745" t="str">
        <f t="shared" si="257"/>
        <v>Strong</v>
      </c>
    </row>
    <row r="2746" spans="1:19" x14ac:dyDescent="0.25">
      <c r="A2746">
        <v>2745</v>
      </c>
      <c r="B2746">
        <v>1</v>
      </c>
      <c r="C2746" t="s">
        <v>30</v>
      </c>
      <c r="D2746" t="s">
        <v>32</v>
      </c>
      <c r="E2746">
        <v>9100000</v>
      </c>
      <c r="F2746">
        <v>34000000</v>
      </c>
      <c r="G2746">
        <v>12</v>
      </c>
      <c r="H2746">
        <v>672</v>
      </c>
      <c r="I2746">
        <v>8600000</v>
      </c>
      <c r="J2746">
        <v>1600000</v>
      </c>
      <c r="K2746">
        <v>32700000</v>
      </c>
      <c r="L2746">
        <v>8800000</v>
      </c>
      <c r="M2746" t="s">
        <v>34</v>
      </c>
      <c r="N2746">
        <f t="shared" si="253"/>
        <v>1</v>
      </c>
      <c r="O2746" t="str">
        <f t="shared" si="252"/>
        <v>Medium</v>
      </c>
      <c r="P2746" t="str">
        <f t="shared" si="254"/>
        <v>High</v>
      </c>
      <c r="Q2746" t="str">
        <f t="shared" si="255"/>
        <v>High Loan</v>
      </c>
      <c r="R2746">
        <f t="shared" si="256"/>
        <v>51700000</v>
      </c>
      <c r="S2746" t="str">
        <f t="shared" si="257"/>
        <v>Strong</v>
      </c>
    </row>
    <row r="2747" spans="1:19" x14ac:dyDescent="0.25">
      <c r="A2747">
        <v>2746</v>
      </c>
      <c r="B2747">
        <v>3</v>
      </c>
      <c r="C2747" t="s">
        <v>31</v>
      </c>
      <c r="D2747" t="s">
        <v>33</v>
      </c>
      <c r="E2747">
        <v>8800000</v>
      </c>
      <c r="F2747">
        <v>26700000</v>
      </c>
      <c r="G2747">
        <v>12</v>
      </c>
      <c r="H2747">
        <v>708</v>
      </c>
      <c r="I2747">
        <v>16000000</v>
      </c>
      <c r="J2747">
        <v>15300000</v>
      </c>
      <c r="K2747">
        <v>26900000</v>
      </c>
      <c r="L2747">
        <v>9600000</v>
      </c>
      <c r="M2747" t="s">
        <v>34</v>
      </c>
      <c r="N2747">
        <f t="shared" si="253"/>
        <v>1</v>
      </c>
      <c r="O2747" t="str">
        <f t="shared" si="252"/>
        <v>Good</v>
      </c>
      <c r="P2747" t="str">
        <f t="shared" si="254"/>
        <v>High</v>
      </c>
      <c r="Q2747" t="str">
        <f t="shared" si="255"/>
        <v>High Loan</v>
      </c>
      <c r="R2747">
        <f t="shared" si="256"/>
        <v>67800000</v>
      </c>
      <c r="S2747" t="str">
        <f t="shared" si="257"/>
        <v>Strong</v>
      </c>
    </row>
    <row r="2748" spans="1:19" x14ac:dyDescent="0.25">
      <c r="A2748">
        <v>2747</v>
      </c>
      <c r="B2748">
        <v>4</v>
      </c>
      <c r="C2748" t="s">
        <v>31</v>
      </c>
      <c r="D2748" t="s">
        <v>32</v>
      </c>
      <c r="E2748">
        <v>2600000</v>
      </c>
      <c r="F2748">
        <v>8800000</v>
      </c>
      <c r="G2748">
        <v>10</v>
      </c>
      <c r="H2748">
        <v>682</v>
      </c>
      <c r="I2748">
        <v>4500000</v>
      </c>
      <c r="J2748">
        <v>4700000</v>
      </c>
      <c r="K2748">
        <v>10300000</v>
      </c>
      <c r="L2748">
        <v>1600000</v>
      </c>
      <c r="M2748" t="s">
        <v>34</v>
      </c>
      <c r="N2748">
        <f t="shared" si="253"/>
        <v>1</v>
      </c>
      <c r="O2748" t="str">
        <f t="shared" si="252"/>
        <v>Medium</v>
      </c>
      <c r="P2748" t="str">
        <f t="shared" si="254"/>
        <v>High</v>
      </c>
      <c r="Q2748" t="str">
        <f t="shared" si="255"/>
        <v>Low Loan</v>
      </c>
      <c r="R2748">
        <f t="shared" si="256"/>
        <v>21100000</v>
      </c>
      <c r="S2748" t="str">
        <f t="shared" si="257"/>
        <v>Strong</v>
      </c>
    </row>
    <row r="2749" spans="1:19" x14ac:dyDescent="0.25">
      <c r="A2749">
        <v>2748</v>
      </c>
      <c r="B2749">
        <v>1</v>
      </c>
      <c r="C2749" t="s">
        <v>30</v>
      </c>
      <c r="D2749" t="s">
        <v>33</v>
      </c>
      <c r="E2749">
        <v>9700000</v>
      </c>
      <c r="F2749">
        <v>25500000</v>
      </c>
      <c r="G2749">
        <v>18</v>
      </c>
      <c r="H2749">
        <v>741</v>
      </c>
      <c r="I2749">
        <v>21900000</v>
      </c>
      <c r="J2749">
        <v>6200000</v>
      </c>
      <c r="K2749">
        <v>34800000</v>
      </c>
      <c r="L2749">
        <v>4900000</v>
      </c>
      <c r="M2749" t="s">
        <v>34</v>
      </c>
      <c r="N2749">
        <f t="shared" si="253"/>
        <v>1</v>
      </c>
      <c r="O2749" t="str">
        <f t="shared" si="252"/>
        <v>Good</v>
      </c>
      <c r="P2749" t="str">
        <f t="shared" si="254"/>
        <v>High</v>
      </c>
      <c r="Q2749" t="str">
        <f t="shared" si="255"/>
        <v>High Loan</v>
      </c>
      <c r="R2749">
        <f t="shared" si="256"/>
        <v>67800000</v>
      </c>
      <c r="S2749" t="str">
        <f t="shared" si="257"/>
        <v>Strong</v>
      </c>
    </row>
    <row r="2750" spans="1:19" x14ac:dyDescent="0.25">
      <c r="A2750">
        <v>2749</v>
      </c>
      <c r="B2750">
        <v>5</v>
      </c>
      <c r="C2750" t="s">
        <v>31</v>
      </c>
      <c r="D2750" t="s">
        <v>33</v>
      </c>
      <c r="E2750">
        <v>600000</v>
      </c>
      <c r="F2750">
        <v>1200000</v>
      </c>
      <c r="G2750">
        <v>8</v>
      </c>
      <c r="H2750">
        <v>343</v>
      </c>
      <c r="I2750">
        <v>100000</v>
      </c>
      <c r="J2750">
        <v>700000</v>
      </c>
      <c r="K2750">
        <v>1600000</v>
      </c>
      <c r="L2750">
        <v>600000</v>
      </c>
      <c r="M2750" t="s">
        <v>35</v>
      </c>
      <c r="N2750">
        <f t="shared" si="253"/>
        <v>0</v>
      </c>
      <c r="O2750" t="str">
        <f t="shared" si="252"/>
        <v>Low</v>
      </c>
      <c r="P2750" t="str">
        <f t="shared" si="254"/>
        <v>Middle</v>
      </c>
      <c r="Q2750" t="str">
        <f t="shared" si="255"/>
        <v>Low Loan</v>
      </c>
      <c r="R2750">
        <f t="shared" si="256"/>
        <v>3000000</v>
      </c>
      <c r="S2750" t="str">
        <f t="shared" si="257"/>
        <v>Weak</v>
      </c>
    </row>
    <row r="2751" spans="1:19" x14ac:dyDescent="0.25">
      <c r="A2751">
        <v>2750</v>
      </c>
      <c r="B2751">
        <v>0</v>
      </c>
      <c r="C2751" t="s">
        <v>30</v>
      </c>
      <c r="D2751" t="s">
        <v>33</v>
      </c>
      <c r="E2751">
        <v>4100000</v>
      </c>
      <c r="F2751">
        <v>11100000</v>
      </c>
      <c r="G2751">
        <v>16</v>
      </c>
      <c r="H2751">
        <v>785</v>
      </c>
      <c r="I2751">
        <v>6800000</v>
      </c>
      <c r="J2751">
        <v>5300000</v>
      </c>
      <c r="K2751">
        <v>8500000</v>
      </c>
      <c r="L2751">
        <v>4800000</v>
      </c>
      <c r="M2751" t="s">
        <v>34</v>
      </c>
      <c r="N2751">
        <f t="shared" si="253"/>
        <v>1</v>
      </c>
      <c r="O2751" t="str">
        <f t="shared" si="252"/>
        <v>Excellent</v>
      </c>
      <c r="P2751" t="str">
        <f t="shared" si="254"/>
        <v>High</v>
      </c>
      <c r="Q2751" t="str">
        <f t="shared" si="255"/>
        <v>Low Loan</v>
      </c>
      <c r="R2751">
        <f t="shared" si="256"/>
        <v>25400000</v>
      </c>
      <c r="S2751" t="str">
        <f t="shared" si="257"/>
        <v>Strong</v>
      </c>
    </row>
    <row r="2752" spans="1:19" x14ac:dyDescent="0.25">
      <c r="A2752">
        <v>2751</v>
      </c>
      <c r="B2752">
        <v>1</v>
      </c>
      <c r="C2752" t="s">
        <v>31</v>
      </c>
      <c r="D2752" t="s">
        <v>33</v>
      </c>
      <c r="E2752">
        <v>8000000</v>
      </c>
      <c r="F2752">
        <v>28000000</v>
      </c>
      <c r="G2752">
        <v>20</v>
      </c>
      <c r="H2752">
        <v>830</v>
      </c>
      <c r="I2752">
        <v>22400000</v>
      </c>
      <c r="J2752">
        <v>12600000</v>
      </c>
      <c r="K2752">
        <v>25600000</v>
      </c>
      <c r="L2752">
        <v>10600000</v>
      </c>
      <c r="M2752" t="s">
        <v>34</v>
      </c>
      <c r="N2752">
        <f t="shared" si="253"/>
        <v>1</v>
      </c>
      <c r="O2752" t="str">
        <f t="shared" si="252"/>
        <v>Excellent</v>
      </c>
      <c r="P2752" t="str">
        <f t="shared" si="254"/>
        <v>High</v>
      </c>
      <c r="Q2752" t="str">
        <f t="shared" si="255"/>
        <v>High Loan</v>
      </c>
      <c r="R2752">
        <f t="shared" si="256"/>
        <v>71200000</v>
      </c>
      <c r="S2752" t="str">
        <f t="shared" si="257"/>
        <v>Strong</v>
      </c>
    </row>
    <row r="2753" spans="1:19" x14ac:dyDescent="0.25">
      <c r="A2753">
        <v>2752</v>
      </c>
      <c r="B2753">
        <v>2</v>
      </c>
      <c r="C2753" t="s">
        <v>30</v>
      </c>
      <c r="D2753" t="s">
        <v>32</v>
      </c>
      <c r="E2753">
        <v>8800000</v>
      </c>
      <c r="F2753">
        <v>26700000</v>
      </c>
      <c r="G2753">
        <v>16</v>
      </c>
      <c r="H2753">
        <v>696</v>
      </c>
      <c r="I2753">
        <v>12900000</v>
      </c>
      <c r="J2753">
        <v>15300000</v>
      </c>
      <c r="K2753">
        <v>20300000</v>
      </c>
      <c r="L2753">
        <v>10900000</v>
      </c>
      <c r="M2753" t="s">
        <v>34</v>
      </c>
      <c r="N2753">
        <f t="shared" si="253"/>
        <v>1</v>
      </c>
      <c r="O2753" t="str">
        <f t="shared" si="252"/>
        <v>Medium</v>
      </c>
      <c r="P2753" t="str">
        <f t="shared" si="254"/>
        <v>High</v>
      </c>
      <c r="Q2753" t="str">
        <f t="shared" si="255"/>
        <v>High Loan</v>
      </c>
      <c r="R2753">
        <f t="shared" si="256"/>
        <v>59400000</v>
      </c>
      <c r="S2753" t="str">
        <f t="shared" si="257"/>
        <v>Strong</v>
      </c>
    </row>
    <row r="2754" spans="1:19" x14ac:dyDescent="0.25">
      <c r="A2754">
        <v>2753</v>
      </c>
      <c r="B2754">
        <v>1</v>
      </c>
      <c r="C2754" t="s">
        <v>30</v>
      </c>
      <c r="D2754" t="s">
        <v>32</v>
      </c>
      <c r="E2754">
        <v>200000</v>
      </c>
      <c r="F2754">
        <v>300000</v>
      </c>
      <c r="G2754">
        <v>12</v>
      </c>
      <c r="H2754">
        <v>697</v>
      </c>
      <c r="I2754">
        <v>600000</v>
      </c>
      <c r="J2754">
        <v>300000</v>
      </c>
      <c r="K2754">
        <v>700000</v>
      </c>
      <c r="L2754">
        <v>100000</v>
      </c>
      <c r="M2754" t="s">
        <v>34</v>
      </c>
      <c r="N2754">
        <f t="shared" si="253"/>
        <v>1</v>
      </c>
      <c r="O2754" t="str">
        <f t="shared" ref="O2754:O2817" si="258">IF(H2754&lt;650,"Low",
 IF(H2754&lt;700,"Medium",
 IF(H2754&lt;750,"Good","Excellent")))</f>
        <v>Medium</v>
      </c>
      <c r="P2754" t="str">
        <f t="shared" si="254"/>
        <v>Low</v>
      </c>
      <c r="Q2754" t="str">
        <f t="shared" si="255"/>
        <v>Low Loan</v>
      </c>
      <c r="R2754">
        <f t="shared" si="256"/>
        <v>1700000</v>
      </c>
      <c r="S2754" t="str">
        <f t="shared" si="257"/>
        <v>Weak</v>
      </c>
    </row>
    <row r="2755" spans="1:19" x14ac:dyDescent="0.25">
      <c r="A2755">
        <v>2754</v>
      </c>
      <c r="B2755">
        <v>0</v>
      </c>
      <c r="C2755" t="s">
        <v>30</v>
      </c>
      <c r="D2755" t="s">
        <v>33</v>
      </c>
      <c r="E2755">
        <v>3800000</v>
      </c>
      <c r="F2755">
        <v>11700000</v>
      </c>
      <c r="G2755">
        <v>2</v>
      </c>
      <c r="H2755">
        <v>351</v>
      </c>
      <c r="I2755">
        <v>100000</v>
      </c>
      <c r="J2755">
        <v>6700000</v>
      </c>
      <c r="K2755">
        <v>12500000</v>
      </c>
      <c r="L2755">
        <v>3100000</v>
      </c>
      <c r="M2755" t="s">
        <v>34</v>
      </c>
      <c r="N2755">
        <f t="shared" ref="N2755:N2818" si="259">IF(TRIM(CLEAN(M2755))="Approved",1,0)</f>
        <v>1</v>
      </c>
      <c r="O2755" t="str">
        <f t="shared" si="258"/>
        <v>Low</v>
      </c>
      <c r="P2755" t="str">
        <f t="shared" ref="P2755:P2818" si="260">IF(E2755&lt;300000,"Low",
 IF(E2755&lt;700000,"Middle","High"))</f>
        <v>High</v>
      </c>
      <c r="Q2755" t="str">
        <f t="shared" ref="Q2755:Q2818" si="261">IF(F2755&lt;20000000,"Low Loan","High Loan")</f>
        <v>Low Loan</v>
      </c>
      <c r="R2755">
        <f t="shared" ref="R2755:R2818" si="262">I2755+J2755+K2755+L2755</f>
        <v>22400000</v>
      </c>
      <c r="S2755" t="str">
        <f t="shared" ref="S2755:S2818" si="263">IF(R2755&lt;5000000,"Weak",
 IF(R2755&lt;10000000,"Moderate","Strong"))</f>
        <v>Strong</v>
      </c>
    </row>
    <row r="2756" spans="1:19" x14ac:dyDescent="0.25">
      <c r="A2756">
        <v>2755</v>
      </c>
      <c r="B2756">
        <v>3</v>
      </c>
      <c r="C2756" t="s">
        <v>30</v>
      </c>
      <c r="D2756" t="s">
        <v>32</v>
      </c>
      <c r="E2756">
        <v>6800000</v>
      </c>
      <c r="F2756">
        <v>21800000</v>
      </c>
      <c r="G2756">
        <v>10</v>
      </c>
      <c r="H2756">
        <v>556</v>
      </c>
      <c r="I2756">
        <v>16400000</v>
      </c>
      <c r="J2756">
        <v>9300000</v>
      </c>
      <c r="K2756">
        <v>19100000</v>
      </c>
      <c r="L2756">
        <v>5400000</v>
      </c>
      <c r="M2756" t="s">
        <v>34</v>
      </c>
      <c r="N2756">
        <f t="shared" si="259"/>
        <v>1</v>
      </c>
      <c r="O2756" t="str">
        <f t="shared" si="258"/>
        <v>Low</v>
      </c>
      <c r="P2756" t="str">
        <f t="shared" si="260"/>
        <v>High</v>
      </c>
      <c r="Q2756" t="str">
        <f t="shared" si="261"/>
        <v>High Loan</v>
      </c>
      <c r="R2756">
        <f t="shared" si="262"/>
        <v>50200000</v>
      </c>
      <c r="S2756" t="str">
        <f t="shared" si="263"/>
        <v>Strong</v>
      </c>
    </row>
    <row r="2757" spans="1:19" x14ac:dyDescent="0.25">
      <c r="A2757">
        <v>2756</v>
      </c>
      <c r="B2757">
        <v>0</v>
      </c>
      <c r="C2757" t="s">
        <v>30</v>
      </c>
      <c r="D2757" t="s">
        <v>32</v>
      </c>
      <c r="E2757">
        <v>8600000</v>
      </c>
      <c r="F2757">
        <v>31800000</v>
      </c>
      <c r="G2757">
        <v>2</v>
      </c>
      <c r="H2757">
        <v>895</v>
      </c>
      <c r="I2757">
        <v>22600000</v>
      </c>
      <c r="J2757">
        <v>15900000</v>
      </c>
      <c r="K2757">
        <v>19600000</v>
      </c>
      <c r="L2757">
        <v>5100000</v>
      </c>
      <c r="M2757" t="s">
        <v>34</v>
      </c>
      <c r="N2757">
        <f t="shared" si="259"/>
        <v>1</v>
      </c>
      <c r="O2757" t="str">
        <f t="shared" si="258"/>
        <v>Excellent</v>
      </c>
      <c r="P2757" t="str">
        <f t="shared" si="260"/>
        <v>High</v>
      </c>
      <c r="Q2757" t="str">
        <f t="shared" si="261"/>
        <v>High Loan</v>
      </c>
      <c r="R2757">
        <f t="shared" si="262"/>
        <v>63200000</v>
      </c>
      <c r="S2757" t="str">
        <f t="shared" si="263"/>
        <v>Strong</v>
      </c>
    </row>
    <row r="2758" spans="1:19" x14ac:dyDescent="0.25">
      <c r="A2758">
        <v>2757</v>
      </c>
      <c r="B2758">
        <v>2</v>
      </c>
      <c r="C2758" t="s">
        <v>30</v>
      </c>
      <c r="D2758" t="s">
        <v>33</v>
      </c>
      <c r="E2758">
        <v>2800000</v>
      </c>
      <c r="F2758">
        <v>8400000</v>
      </c>
      <c r="G2758">
        <v>10</v>
      </c>
      <c r="H2758">
        <v>534</v>
      </c>
      <c r="I2758">
        <v>8300000</v>
      </c>
      <c r="J2758">
        <v>4800000</v>
      </c>
      <c r="K2758">
        <v>10600000</v>
      </c>
      <c r="L2758">
        <v>1500000</v>
      </c>
      <c r="M2758" t="s">
        <v>35</v>
      </c>
      <c r="N2758">
        <f t="shared" si="259"/>
        <v>0</v>
      </c>
      <c r="O2758" t="str">
        <f t="shared" si="258"/>
        <v>Low</v>
      </c>
      <c r="P2758" t="str">
        <f t="shared" si="260"/>
        <v>High</v>
      </c>
      <c r="Q2758" t="str">
        <f t="shared" si="261"/>
        <v>Low Loan</v>
      </c>
      <c r="R2758">
        <f t="shared" si="262"/>
        <v>25200000</v>
      </c>
      <c r="S2758" t="str">
        <f t="shared" si="263"/>
        <v>Strong</v>
      </c>
    </row>
    <row r="2759" spans="1:19" x14ac:dyDescent="0.25">
      <c r="A2759">
        <v>2758</v>
      </c>
      <c r="B2759">
        <v>0</v>
      </c>
      <c r="C2759" t="s">
        <v>30</v>
      </c>
      <c r="D2759" t="s">
        <v>32</v>
      </c>
      <c r="E2759">
        <v>8000000</v>
      </c>
      <c r="F2759">
        <v>29800000</v>
      </c>
      <c r="G2759">
        <v>12</v>
      </c>
      <c r="H2759">
        <v>736</v>
      </c>
      <c r="I2759">
        <v>600000</v>
      </c>
      <c r="J2759">
        <v>15700000</v>
      </c>
      <c r="K2759">
        <v>30800000</v>
      </c>
      <c r="L2759">
        <v>8400000</v>
      </c>
      <c r="M2759" t="s">
        <v>34</v>
      </c>
      <c r="N2759">
        <f t="shared" si="259"/>
        <v>1</v>
      </c>
      <c r="O2759" t="str">
        <f t="shared" si="258"/>
        <v>Good</v>
      </c>
      <c r="P2759" t="str">
        <f t="shared" si="260"/>
        <v>High</v>
      </c>
      <c r="Q2759" t="str">
        <f t="shared" si="261"/>
        <v>High Loan</v>
      </c>
      <c r="R2759">
        <f t="shared" si="262"/>
        <v>55500000</v>
      </c>
      <c r="S2759" t="str">
        <f t="shared" si="263"/>
        <v>Strong</v>
      </c>
    </row>
    <row r="2760" spans="1:19" x14ac:dyDescent="0.25">
      <c r="A2760">
        <v>2759</v>
      </c>
      <c r="B2760">
        <v>2</v>
      </c>
      <c r="C2760" t="s">
        <v>30</v>
      </c>
      <c r="D2760" t="s">
        <v>33</v>
      </c>
      <c r="E2760">
        <v>2300000</v>
      </c>
      <c r="F2760">
        <v>5500000</v>
      </c>
      <c r="G2760">
        <v>16</v>
      </c>
      <c r="H2760">
        <v>629</v>
      </c>
      <c r="I2760">
        <v>4600000</v>
      </c>
      <c r="J2760">
        <v>2900000</v>
      </c>
      <c r="K2760">
        <v>7000000</v>
      </c>
      <c r="L2760">
        <v>1900000</v>
      </c>
      <c r="M2760" t="s">
        <v>34</v>
      </c>
      <c r="N2760">
        <f t="shared" si="259"/>
        <v>1</v>
      </c>
      <c r="O2760" t="str">
        <f t="shared" si="258"/>
        <v>Low</v>
      </c>
      <c r="P2760" t="str">
        <f t="shared" si="260"/>
        <v>High</v>
      </c>
      <c r="Q2760" t="str">
        <f t="shared" si="261"/>
        <v>Low Loan</v>
      </c>
      <c r="R2760">
        <f t="shared" si="262"/>
        <v>16400000</v>
      </c>
      <c r="S2760" t="str">
        <f t="shared" si="263"/>
        <v>Strong</v>
      </c>
    </row>
    <row r="2761" spans="1:19" x14ac:dyDescent="0.25">
      <c r="A2761">
        <v>2760</v>
      </c>
      <c r="B2761">
        <v>4</v>
      </c>
      <c r="C2761" t="s">
        <v>30</v>
      </c>
      <c r="D2761" t="s">
        <v>33</v>
      </c>
      <c r="E2761">
        <v>7600000</v>
      </c>
      <c r="F2761">
        <v>16200000</v>
      </c>
      <c r="G2761">
        <v>20</v>
      </c>
      <c r="H2761">
        <v>657</v>
      </c>
      <c r="I2761">
        <v>1900000</v>
      </c>
      <c r="J2761">
        <v>9300000</v>
      </c>
      <c r="K2761">
        <v>28500000</v>
      </c>
      <c r="L2761">
        <v>5500000</v>
      </c>
      <c r="M2761" t="s">
        <v>34</v>
      </c>
      <c r="N2761">
        <f t="shared" si="259"/>
        <v>1</v>
      </c>
      <c r="O2761" t="str">
        <f t="shared" si="258"/>
        <v>Medium</v>
      </c>
      <c r="P2761" t="str">
        <f t="shared" si="260"/>
        <v>High</v>
      </c>
      <c r="Q2761" t="str">
        <f t="shared" si="261"/>
        <v>Low Loan</v>
      </c>
      <c r="R2761">
        <f t="shared" si="262"/>
        <v>45200000</v>
      </c>
      <c r="S2761" t="str">
        <f t="shared" si="263"/>
        <v>Strong</v>
      </c>
    </row>
    <row r="2762" spans="1:19" x14ac:dyDescent="0.25">
      <c r="A2762">
        <v>2761</v>
      </c>
      <c r="B2762">
        <v>2</v>
      </c>
      <c r="C2762" t="s">
        <v>30</v>
      </c>
      <c r="D2762" t="s">
        <v>32</v>
      </c>
      <c r="E2762">
        <v>2900000</v>
      </c>
      <c r="F2762">
        <v>11300000</v>
      </c>
      <c r="G2762">
        <v>12</v>
      </c>
      <c r="H2762">
        <v>839</v>
      </c>
      <c r="I2762">
        <v>700000</v>
      </c>
      <c r="J2762">
        <v>5100000</v>
      </c>
      <c r="K2762">
        <v>8100000</v>
      </c>
      <c r="L2762">
        <v>2600000</v>
      </c>
      <c r="M2762" t="s">
        <v>34</v>
      </c>
      <c r="N2762">
        <f t="shared" si="259"/>
        <v>1</v>
      </c>
      <c r="O2762" t="str">
        <f t="shared" si="258"/>
        <v>Excellent</v>
      </c>
      <c r="P2762" t="str">
        <f t="shared" si="260"/>
        <v>High</v>
      </c>
      <c r="Q2762" t="str">
        <f t="shared" si="261"/>
        <v>Low Loan</v>
      </c>
      <c r="R2762">
        <f t="shared" si="262"/>
        <v>16500000</v>
      </c>
      <c r="S2762" t="str">
        <f t="shared" si="263"/>
        <v>Strong</v>
      </c>
    </row>
    <row r="2763" spans="1:19" x14ac:dyDescent="0.25">
      <c r="A2763">
        <v>2762</v>
      </c>
      <c r="B2763">
        <v>4</v>
      </c>
      <c r="C2763" t="s">
        <v>31</v>
      </c>
      <c r="D2763" t="s">
        <v>32</v>
      </c>
      <c r="E2763">
        <v>7900000</v>
      </c>
      <c r="F2763">
        <v>25700000</v>
      </c>
      <c r="G2763">
        <v>18</v>
      </c>
      <c r="H2763">
        <v>589</v>
      </c>
      <c r="I2763">
        <v>4300000</v>
      </c>
      <c r="J2763">
        <v>300000</v>
      </c>
      <c r="K2763">
        <v>25300000</v>
      </c>
      <c r="L2763">
        <v>9800000</v>
      </c>
      <c r="M2763" t="s">
        <v>34</v>
      </c>
      <c r="N2763">
        <f t="shared" si="259"/>
        <v>1</v>
      </c>
      <c r="O2763" t="str">
        <f t="shared" si="258"/>
        <v>Low</v>
      </c>
      <c r="P2763" t="str">
        <f t="shared" si="260"/>
        <v>High</v>
      </c>
      <c r="Q2763" t="str">
        <f t="shared" si="261"/>
        <v>High Loan</v>
      </c>
      <c r="R2763">
        <f t="shared" si="262"/>
        <v>39700000</v>
      </c>
      <c r="S2763" t="str">
        <f t="shared" si="263"/>
        <v>Strong</v>
      </c>
    </row>
    <row r="2764" spans="1:19" x14ac:dyDescent="0.25">
      <c r="A2764">
        <v>2763</v>
      </c>
      <c r="B2764">
        <v>2</v>
      </c>
      <c r="C2764" t="s">
        <v>31</v>
      </c>
      <c r="D2764" t="s">
        <v>32</v>
      </c>
      <c r="E2764">
        <v>1900000</v>
      </c>
      <c r="F2764">
        <v>4500000</v>
      </c>
      <c r="G2764">
        <v>6</v>
      </c>
      <c r="H2764">
        <v>805</v>
      </c>
      <c r="I2764">
        <v>2200000</v>
      </c>
      <c r="J2764">
        <v>3100000</v>
      </c>
      <c r="K2764">
        <v>4800000</v>
      </c>
      <c r="L2764">
        <v>2300000</v>
      </c>
      <c r="M2764" t="s">
        <v>34</v>
      </c>
      <c r="N2764">
        <f t="shared" si="259"/>
        <v>1</v>
      </c>
      <c r="O2764" t="str">
        <f t="shared" si="258"/>
        <v>Excellent</v>
      </c>
      <c r="P2764" t="str">
        <f t="shared" si="260"/>
        <v>High</v>
      </c>
      <c r="Q2764" t="str">
        <f t="shared" si="261"/>
        <v>Low Loan</v>
      </c>
      <c r="R2764">
        <f t="shared" si="262"/>
        <v>12400000</v>
      </c>
      <c r="S2764" t="str">
        <f t="shared" si="263"/>
        <v>Strong</v>
      </c>
    </row>
    <row r="2765" spans="1:19" x14ac:dyDescent="0.25">
      <c r="A2765">
        <v>2764</v>
      </c>
      <c r="B2765">
        <v>3</v>
      </c>
      <c r="C2765" t="s">
        <v>31</v>
      </c>
      <c r="D2765" t="s">
        <v>33</v>
      </c>
      <c r="E2765">
        <v>4600000</v>
      </c>
      <c r="F2765">
        <v>13600000</v>
      </c>
      <c r="G2765">
        <v>20</v>
      </c>
      <c r="H2765">
        <v>729</v>
      </c>
      <c r="I2765">
        <v>1300000</v>
      </c>
      <c r="J2765">
        <v>8900000</v>
      </c>
      <c r="K2765">
        <v>17200000</v>
      </c>
      <c r="L2765">
        <v>5900000</v>
      </c>
      <c r="M2765" t="s">
        <v>34</v>
      </c>
      <c r="N2765">
        <f t="shared" si="259"/>
        <v>1</v>
      </c>
      <c r="O2765" t="str">
        <f t="shared" si="258"/>
        <v>Good</v>
      </c>
      <c r="P2765" t="str">
        <f t="shared" si="260"/>
        <v>High</v>
      </c>
      <c r="Q2765" t="str">
        <f t="shared" si="261"/>
        <v>Low Loan</v>
      </c>
      <c r="R2765">
        <f t="shared" si="262"/>
        <v>33300000</v>
      </c>
      <c r="S2765" t="str">
        <f t="shared" si="263"/>
        <v>Strong</v>
      </c>
    </row>
    <row r="2766" spans="1:19" x14ac:dyDescent="0.25">
      <c r="A2766">
        <v>2765</v>
      </c>
      <c r="B2766">
        <v>1</v>
      </c>
      <c r="C2766" t="s">
        <v>31</v>
      </c>
      <c r="D2766" t="s">
        <v>32</v>
      </c>
      <c r="E2766">
        <v>2600000</v>
      </c>
      <c r="F2766">
        <v>7700000</v>
      </c>
      <c r="G2766">
        <v>6</v>
      </c>
      <c r="H2766">
        <v>399</v>
      </c>
      <c r="I2766">
        <v>3700000</v>
      </c>
      <c r="J2766">
        <v>4300000</v>
      </c>
      <c r="K2766">
        <v>8900000</v>
      </c>
      <c r="L2766">
        <v>3500000</v>
      </c>
      <c r="M2766" t="s">
        <v>35</v>
      </c>
      <c r="N2766">
        <f t="shared" si="259"/>
        <v>0</v>
      </c>
      <c r="O2766" t="str">
        <f t="shared" si="258"/>
        <v>Low</v>
      </c>
      <c r="P2766" t="str">
        <f t="shared" si="260"/>
        <v>High</v>
      </c>
      <c r="Q2766" t="str">
        <f t="shared" si="261"/>
        <v>Low Loan</v>
      </c>
      <c r="R2766">
        <f t="shared" si="262"/>
        <v>20400000</v>
      </c>
      <c r="S2766" t="str">
        <f t="shared" si="263"/>
        <v>Strong</v>
      </c>
    </row>
    <row r="2767" spans="1:19" x14ac:dyDescent="0.25">
      <c r="A2767">
        <v>2766</v>
      </c>
      <c r="B2767">
        <v>2</v>
      </c>
      <c r="C2767" t="s">
        <v>31</v>
      </c>
      <c r="D2767" t="s">
        <v>32</v>
      </c>
      <c r="E2767">
        <v>2700000</v>
      </c>
      <c r="F2767">
        <v>6700000</v>
      </c>
      <c r="G2767">
        <v>8</v>
      </c>
      <c r="H2767">
        <v>413</v>
      </c>
      <c r="I2767">
        <v>7600000</v>
      </c>
      <c r="J2767">
        <v>800000</v>
      </c>
      <c r="K2767">
        <v>9200000</v>
      </c>
      <c r="L2767">
        <v>2300000</v>
      </c>
      <c r="M2767" t="s">
        <v>35</v>
      </c>
      <c r="N2767">
        <f t="shared" si="259"/>
        <v>0</v>
      </c>
      <c r="O2767" t="str">
        <f t="shared" si="258"/>
        <v>Low</v>
      </c>
      <c r="P2767" t="str">
        <f t="shared" si="260"/>
        <v>High</v>
      </c>
      <c r="Q2767" t="str">
        <f t="shared" si="261"/>
        <v>Low Loan</v>
      </c>
      <c r="R2767">
        <f t="shared" si="262"/>
        <v>19900000</v>
      </c>
      <c r="S2767" t="str">
        <f t="shared" si="263"/>
        <v>Strong</v>
      </c>
    </row>
    <row r="2768" spans="1:19" x14ac:dyDescent="0.25">
      <c r="A2768">
        <v>2767</v>
      </c>
      <c r="B2768">
        <v>5</v>
      </c>
      <c r="C2768" t="s">
        <v>30</v>
      </c>
      <c r="D2768" t="s">
        <v>33</v>
      </c>
      <c r="E2768">
        <v>6300000</v>
      </c>
      <c r="F2768">
        <v>13200000</v>
      </c>
      <c r="G2768">
        <v>16</v>
      </c>
      <c r="H2768">
        <v>321</v>
      </c>
      <c r="I2768">
        <v>6700000</v>
      </c>
      <c r="J2768">
        <v>4000000</v>
      </c>
      <c r="K2768">
        <v>15200000</v>
      </c>
      <c r="L2768">
        <v>7100000</v>
      </c>
      <c r="M2768" t="s">
        <v>35</v>
      </c>
      <c r="N2768">
        <f t="shared" si="259"/>
        <v>0</v>
      </c>
      <c r="O2768" t="str">
        <f t="shared" si="258"/>
        <v>Low</v>
      </c>
      <c r="P2768" t="str">
        <f t="shared" si="260"/>
        <v>High</v>
      </c>
      <c r="Q2768" t="str">
        <f t="shared" si="261"/>
        <v>Low Loan</v>
      </c>
      <c r="R2768">
        <f t="shared" si="262"/>
        <v>33000000</v>
      </c>
      <c r="S2768" t="str">
        <f t="shared" si="263"/>
        <v>Strong</v>
      </c>
    </row>
    <row r="2769" spans="1:19" x14ac:dyDescent="0.25">
      <c r="A2769">
        <v>2768</v>
      </c>
      <c r="B2769">
        <v>0</v>
      </c>
      <c r="C2769" t="s">
        <v>30</v>
      </c>
      <c r="D2769" t="s">
        <v>33</v>
      </c>
      <c r="E2769">
        <v>2600000</v>
      </c>
      <c r="F2769">
        <v>7500000</v>
      </c>
      <c r="G2769">
        <v>2</v>
      </c>
      <c r="H2769">
        <v>853</v>
      </c>
      <c r="I2769">
        <v>4200000</v>
      </c>
      <c r="J2769">
        <v>3900000</v>
      </c>
      <c r="K2769">
        <v>9600000</v>
      </c>
      <c r="L2769">
        <v>1400000</v>
      </c>
      <c r="M2769" t="s">
        <v>34</v>
      </c>
      <c r="N2769">
        <f t="shared" si="259"/>
        <v>1</v>
      </c>
      <c r="O2769" t="str">
        <f t="shared" si="258"/>
        <v>Excellent</v>
      </c>
      <c r="P2769" t="str">
        <f t="shared" si="260"/>
        <v>High</v>
      </c>
      <c r="Q2769" t="str">
        <f t="shared" si="261"/>
        <v>Low Loan</v>
      </c>
      <c r="R2769">
        <f t="shared" si="262"/>
        <v>19100000</v>
      </c>
      <c r="S2769" t="str">
        <f t="shared" si="263"/>
        <v>Strong</v>
      </c>
    </row>
    <row r="2770" spans="1:19" x14ac:dyDescent="0.25">
      <c r="A2770">
        <v>2769</v>
      </c>
      <c r="B2770">
        <v>4</v>
      </c>
      <c r="C2770" t="s">
        <v>31</v>
      </c>
      <c r="D2770" t="s">
        <v>33</v>
      </c>
      <c r="E2770">
        <v>7700000</v>
      </c>
      <c r="F2770">
        <v>23400000</v>
      </c>
      <c r="G2770">
        <v>6</v>
      </c>
      <c r="H2770">
        <v>400</v>
      </c>
      <c r="I2770">
        <v>3900000</v>
      </c>
      <c r="J2770">
        <v>3400000</v>
      </c>
      <c r="K2770">
        <v>20800000</v>
      </c>
      <c r="L2770">
        <v>10700000</v>
      </c>
      <c r="M2770" t="s">
        <v>35</v>
      </c>
      <c r="N2770">
        <f t="shared" si="259"/>
        <v>0</v>
      </c>
      <c r="O2770" t="str">
        <f t="shared" si="258"/>
        <v>Low</v>
      </c>
      <c r="P2770" t="str">
        <f t="shared" si="260"/>
        <v>High</v>
      </c>
      <c r="Q2770" t="str">
        <f t="shared" si="261"/>
        <v>High Loan</v>
      </c>
      <c r="R2770">
        <f t="shared" si="262"/>
        <v>38800000</v>
      </c>
      <c r="S2770" t="str">
        <f t="shared" si="263"/>
        <v>Strong</v>
      </c>
    </row>
    <row r="2771" spans="1:19" x14ac:dyDescent="0.25">
      <c r="A2771">
        <v>2770</v>
      </c>
      <c r="B2771">
        <v>0</v>
      </c>
      <c r="C2771" t="s">
        <v>30</v>
      </c>
      <c r="D2771" t="s">
        <v>33</v>
      </c>
      <c r="E2771">
        <v>7400000</v>
      </c>
      <c r="F2771">
        <v>16300000</v>
      </c>
      <c r="G2771">
        <v>16</v>
      </c>
      <c r="H2771">
        <v>630</v>
      </c>
      <c r="I2771">
        <v>11200000</v>
      </c>
      <c r="J2771">
        <v>13200000</v>
      </c>
      <c r="K2771">
        <v>28400000</v>
      </c>
      <c r="L2771">
        <v>5300000</v>
      </c>
      <c r="M2771" t="s">
        <v>34</v>
      </c>
      <c r="N2771">
        <f t="shared" si="259"/>
        <v>1</v>
      </c>
      <c r="O2771" t="str">
        <f t="shared" si="258"/>
        <v>Low</v>
      </c>
      <c r="P2771" t="str">
        <f t="shared" si="260"/>
        <v>High</v>
      </c>
      <c r="Q2771" t="str">
        <f t="shared" si="261"/>
        <v>Low Loan</v>
      </c>
      <c r="R2771">
        <f t="shared" si="262"/>
        <v>58100000</v>
      </c>
      <c r="S2771" t="str">
        <f t="shared" si="263"/>
        <v>Strong</v>
      </c>
    </row>
    <row r="2772" spans="1:19" x14ac:dyDescent="0.25">
      <c r="A2772">
        <v>2771</v>
      </c>
      <c r="B2772">
        <v>3</v>
      </c>
      <c r="C2772" t="s">
        <v>30</v>
      </c>
      <c r="D2772" t="s">
        <v>33</v>
      </c>
      <c r="E2772">
        <v>7300000</v>
      </c>
      <c r="F2772">
        <v>21600000</v>
      </c>
      <c r="G2772">
        <v>20</v>
      </c>
      <c r="H2772">
        <v>557</v>
      </c>
      <c r="I2772">
        <v>1900000</v>
      </c>
      <c r="J2772">
        <v>3800000</v>
      </c>
      <c r="K2772">
        <v>26400000</v>
      </c>
      <c r="L2772">
        <v>9300000</v>
      </c>
      <c r="M2772" t="s">
        <v>34</v>
      </c>
      <c r="N2772">
        <f t="shared" si="259"/>
        <v>1</v>
      </c>
      <c r="O2772" t="str">
        <f t="shared" si="258"/>
        <v>Low</v>
      </c>
      <c r="P2772" t="str">
        <f t="shared" si="260"/>
        <v>High</v>
      </c>
      <c r="Q2772" t="str">
        <f t="shared" si="261"/>
        <v>High Loan</v>
      </c>
      <c r="R2772">
        <f t="shared" si="262"/>
        <v>41400000</v>
      </c>
      <c r="S2772" t="str">
        <f t="shared" si="263"/>
        <v>Strong</v>
      </c>
    </row>
    <row r="2773" spans="1:19" x14ac:dyDescent="0.25">
      <c r="A2773">
        <v>2772</v>
      </c>
      <c r="B2773">
        <v>1</v>
      </c>
      <c r="C2773" t="s">
        <v>30</v>
      </c>
      <c r="D2773" t="s">
        <v>32</v>
      </c>
      <c r="E2773">
        <v>2900000</v>
      </c>
      <c r="F2773">
        <v>7600000</v>
      </c>
      <c r="G2773">
        <v>2</v>
      </c>
      <c r="H2773">
        <v>358</v>
      </c>
      <c r="I2773">
        <v>800000</v>
      </c>
      <c r="J2773">
        <v>700000</v>
      </c>
      <c r="K2773">
        <v>10100000</v>
      </c>
      <c r="L2773">
        <v>2100000</v>
      </c>
      <c r="M2773" t="s">
        <v>35</v>
      </c>
      <c r="N2773">
        <f t="shared" si="259"/>
        <v>0</v>
      </c>
      <c r="O2773" t="str">
        <f t="shared" si="258"/>
        <v>Low</v>
      </c>
      <c r="P2773" t="str">
        <f t="shared" si="260"/>
        <v>High</v>
      </c>
      <c r="Q2773" t="str">
        <f t="shared" si="261"/>
        <v>Low Loan</v>
      </c>
      <c r="R2773">
        <f t="shared" si="262"/>
        <v>13700000</v>
      </c>
      <c r="S2773" t="str">
        <f t="shared" si="263"/>
        <v>Strong</v>
      </c>
    </row>
    <row r="2774" spans="1:19" x14ac:dyDescent="0.25">
      <c r="A2774">
        <v>2773</v>
      </c>
      <c r="B2774">
        <v>3</v>
      </c>
      <c r="C2774" t="s">
        <v>30</v>
      </c>
      <c r="D2774" t="s">
        <v>33</v>
      </c>
      <c r="E2774">
        <v>6600000</v>
      </c>
      <c r="F2774">
        <v>16000000</v>
      </c>
      <c r="G2774">
        <v>10</v>
      </c>
      <c r="H2774">
        <v>510</v>
      </c>
      <c r="I2774">
        <v>1200000</v>
      </c>
      <c r="J2774">
        <v>4800000</v>
      </c>
      <c r="K2774">
        <v>13300000</v>
      </c>
      <c r="L2774">
        <v>6300000</v>
      </c>
      <c r="M2774" t="s">
        <v>35</v>
      </c>
      <c r="N2774">
        <f t="shared" si="259"/>
        <v>0</v>
      </c>
      <c r="O2774" t="str">
        <f t="shared" si="258"/>
        <v>Low</v>
      </c>
      <c r="P2774" t="str">
        <f t="shared" si="260"/>
        <v>High</v>
      </c>
      <c r="Q2774" t="str">
        <f t="shared" si="261"/>
        <v>Low Loan</v>
      </c>
      <c r="R2774">
        <f t="shared" si="262"/>
        <v>25600000</v>
      </c>
      <c r="S2774" t="str">
        <f t="shared" si="263"/>
        <v>Strong</v>
      </c>
    </row>
    <row r="2775" spans="1:19" x14ac:dyDescent="0.25">
      <c r="A2775">
        <v>2774</v>
      </c>
      <c r="B2775">
        <v>2</v>
      </c>
      <c r="C2775" t="s">
        <v>30</v>
      </c>
      <c r="D2775" t="s">
        <v>33</v>
      </c>
      <c r="E2775">
        <v>2700000</v>
      </c>
      <c r="F2775">
        <v>9600000</v>
      </c>
      <c r="G2775">
        <v>14</v>
      </c>
      <c r="H2775">
        <v>554</v>
      </c>
      <c r="I2775">
        <v>5800000</v>
      </c>
      <c r="J2775">
        <v>200000</v>
      </c>
      <c r="K2775">
        <v>10200000</v>
      </c>
      <c r="L2775">
        <v>1900000</v>
      </c>
      <c r="M2775" t="s">
        <v>34</v>
      </c>
      <c r="N2775">
        <f t="shared" si="259"/>
        <v>1</v>
      </c>
      <c r="O2775" t="str">
        <f t="shared" si="258"/>
        <v>Low</v>
      </c>
      <c r="P2775" t="str">
        <f t="shared" si="260"/>
        <v>High</v>
      </c>
      <c r="Q2775" t="str">
        <f t="shared" si="261"/>
        <v>Low Loan</v>
      </c>
      <c r="R2775">
        <f t="shared" si="262"/>
        <v>18100000</v>
      </c>
      <c r="S2775" t="str">
        <f t="shared" si="263"/>
        <v>Strong</v>
      </c>
    </row>
    <row r="2776" spans="1:19" x14ac:dyDescent="0.25">
      <c r="A2776">
        <v>2775</v>
      </c>
      <c r="B2776">
        <v>3</v>
      </c>
      <c r="C2776" t="s">
        <v>30</v>
      </c>
      <c r="D2776" t="s">
        <v>33</v>
      </c>
      <c r="E2776">
        <v>8300000</v>
      </c>
      <c r="F2776">
        <v>27700000</v>
      </c>
      <c r="G2776">
        <v>4</v>
      </c>
      <c r="H2776">
        <v>596</v>
      </c>
      <c r="I2776">
        <v>20500000</v>
      </c>
      <c r="J2776">
        <v>15400000</v>
      </c>
      <c r="K2776">
        <v>21400000</v>
      </c>
      <c r="L2776">
        <v>7400000</v>
      </c>
      <c r="M2776" t="s">
        <v>34</v>
      </c>
      <c r="N2776">
        <f t="shared" si="259"/>
        <v>1</v>
      </c>
      <c r="O2776" t="str">
        <f t="shared" si="258"/>
        <v>Low</v>
      </c>
      <c r="P2776" t="str">
        <f t="shared" si="260"/>
        <v>High</v>
      </c>
      <c r="Q2776" t="str">
        <f t="shared" si="261"/>
        <v>High Loan</v>
      </c>
      <c r="R2776">
        <f t="shared" si="262"/>
        <v>64700000</v>
      </c>
      <c r="S2776" t="str">
        <f t="shared" si="263"/>
        <v>Strong</v>
      </c>
    </row>
    <row r="2777" spans="1:19" x14ac:dyDescent="0.25">
      <c r="A2777">
        <v>2776</v>
      </c>
      <c r="B2777">
        <v>0</v>
      </c>
      <c r="C2777" t="s">
        <v>30</v>
      </c>
      <c r="D2777" t="s">
        <v>32</v>
      </c>
      <c r="E2777">
        <v>4900000</v>
      </c>
      <c r="F2777">
        <v>18500000</v>
      </c>
      <c r="G2777">
        <v>8</v>
      </c>
      <c r="H2777">
        <v>659</v>
      </c>
      <c r="I2777">
        <v>8800000</v>
      </c>
      <c r="J2777">
        <v>1700000</v>
      </c>
      <c r="K2777">
        <v>14700000</v>
      </c>
      <c r="L2777">
        <v>4900000</v>
      </c>
      <c r="M2777" t="s">
        <v>34</v>
      </c>
      <c r="N2777">
        <f t="shared" si="259"/>
        <v>1</v>
      </c>
      <c r="O2777" t="str">
        <f t="shared" si="258"/>
        <v>Medium</v>
      </c>
      <c r="P2777" t="str">
        <f t="shared" si="260"/>
        <v>High</v>
      </c>
      <c r="Q2777" t="str">
        <f t="shared" si="261"/>
        <v>Low Loan</v>
      </c>
      <c r="R2777">
        <f t="shared" si="262"/>
        <v>30100000</v>
      </c>
      <c r="S2777" t="str">
        <f t="shared" si="263"/>
        <v>Strong</v>
      </c>
    </row>
    <row r="2778" spans="1:19" x14ac:dyDescent="0.25">
      <c r="A2778">
        <v>2777</v>
      </c>
      <c r="B2778">
        <v>4</v>
      </c>
      <c r="C2778" t="s">
        <v>30</v>
      </c>
      <c r="D2778" t="s">
        <v>33</v>
      </c>
      <c r="E2778">
        <v>7900000</v>
      </c>
      <c r="F2778">
        <v>30700000</v>
      </c>
      <c r="G2778">
        <v>10</v>
      </c>
      <c r="H2778">
        <v>322</v>
      </c>
      <c r="I2778">
        <v>10600000</v>
      </c>
      <c r="J2778">
        <v>13200000</v>
      </c>
      <c r="K2778">
        <v>30300000</v>
      </c>
      <c r="L2778">
        <v>6300000</v>
      </c>
      <c r="M2778" t="s">
        <v>35</v>
      </c>
      <c r="N2778">
        <f t="shared" si="259"/>
        <v>0</v>
      </c>
      <c r="O2778" t="str">
        <f t="shared" si="258"/>
        <v>Low</v>
      </c>
      <c r="P2778" t="str">
        <f t="shared" si="260"/>
        <v>High</v>
      </c>
      <c r="Q2778" t="str">
        <f t="shared" si="261"/>
        <v>High Loan</v>
      </c>
      <c r="R2778">
        <f t="shared" si="262"/>
        <v>60400000</v>
      </c>
      <c r="S2778" t="str">
        <f t="shared" si="263"/>
        <v>Strong</v>
      </c>
    </row>
    <row r="2779" spans="1:19" x14ac:dyDescent="0.25">
      <c r="A2779">
        <v>2778</v>
      </c>
      <c r="B2779">
        <v>5</v>
      </c>
      <c r="C2779" t="s">
        <v>30</v>
      </c>
      <c r="D2779" t="s">
        <v>33</v>
      </c>
      <c r="E2779">
        <v>8800000</v>
      </c>
      <c r="F2779">
        <v>21300000</v>
      </c>
      <c r="G2779">
        <v>14</v>
      </c>
      <c r="H2779">
        <v>852</v>
      </c>
      <c r="I2779">
        <v>8000000</v>
      </c>
      <c r="J2779">
        <v>6400000</v>
      </c>
      <c r="K2779">
        <v>28500000</v>
      </c>
      <c r="L2779">
        <v>9900000</v>
      </c>
      <c r="M2779" t="s">
        <v>34</v>
      </c>
      <c r="N2779">
        <f t="shared" si="259"/>
        <v>1</v>
      </c>
      <c r="O2779" t="str">
        <f t="shared" si="258"/>
        <v>Excellent</v>
      </c>
      <c r="P2779" t="str">
        <f t="shared" si="260"/>
        <v>High</v>
      </c>
      <c r="Q2779" t="str">
        <f t="shared" si="261"/>
        <v>High Loan</v>
      </c>
      <c r="R2779">
        <f t="shared" si="262"/>
        <v>52800000</v>
      </c>
      <c r="S2779" t="str">
        <f t="shared" si="263"/>
        <v>Strong</v>
      </c>
    </row>
    <row r="2780" spans="1:19" x14ac:dyDescent="0.25">
      <c r="A2780">
        <v>2779</v>
      </c>
      <c r="B2780">
        <v>5</v>
      </c>
      <c r="C2780" t="s">
        <v>31</v>
      </c>
      <c r="D2780" t="s">
        <v>32</v>
      </c>
      <c r="E2780">
        <v>4000000</v>
      </c>
      <c r="F2780">
        <v>14100000</v>
      </c>
      <c r="G2780">
        <v>18</v>
      </c>
      <c r="H2780">
        <v>653</v>
      </c>
      <c r="I2780">
        <v>5800000</v>
      </c>
      <c r="J2780">
        <v>4100000</v>
      </c>
      <c r="K2780">
        <v>9400000</v>
      </c>
      <c r="L2780">
        <v>5400000</v>
      </c>
      <c r="M2780" t="s">
        <v>34</v>
      </c>
      <c r="N2780">
        <f t="shared" si="259"/>
        <v>1</v>
      </c>
      <c r="O2780" t="str">
        <f t="shared" si="258"/>
        <v>Medium</v>
      </c>
      <c r="P2780" t="str">
        <f t="shared" si="260"/>
        <v>High</v>
      </c>
      <c r="Q2780" t="str">
        <f t="shared" si="261"/>
        <v>Low Loan</v>
      </c>
      <c r="R2780">
        <f t="shared" si="262"/>
        <v>24700000</v>
      </c>
      <c r="S2780" t="str">
        <f t="shared" si="263"/>
        <v>Strong</v>
      </c>
    </row>
    <row r="2781" spans="1:19" x14ac:dyDescent="0.25">
      <c r="A2781">
        <v>2780</v>
      </c>
      <c r="B2781">
        <v>4</v>
      </c>
      <c r="C2781" t="s">
        <v>30</v>
      </c>
      <c r="D2781" t="s">
        <v>33</v>
      </c>
      <c r="E2781">
        <v>3900000</v>
      </c>
      <c r="F2781">
        <v>9200000</v>
      </c>
      <c r="G2781">
        <v>12</v>
      </c>
      <c r="H2781">
        <v>737</v>
      </c>
      <c r="I2781">
        <v>2800000</v>
      </c>
      <c r="J2781">
        <v>2300000</v>
      </c>
      <c r="K2781">
        <v>12300000</v>
      </c>
      <c r="L2781">
        <v>5200000</v>
      </c>
      <c r="M2781" t="s">
        <v>34</v>
      </c>
      <c r="N2781">
        <f t="shared" si="259"/>
        <v>1</v>
      </c>
      <c r="O2781" t="str">
        <f t="shared" si="258"/>
        <v>Good</v>
      </c>
      <c r="P2781" t="str">
        <f t="shared" si="260"/>
        <v>High</v>
      </c>
      <c r="Q2781" t="str">
        <f t="shared" si="261"/>
        <v>Low Loan</v>
      </c>
      <c r="R2781">
        <f t="shared" si="262"/>
        <v>22600000</v>
      </c>
      <c r="S2781" t="str">
        <f t="shared" si="263"/>
        <v>Strong</v>
      </c>
    </row>
    <row r="2782" spans="1:19" x14ac:dyDescent="0.25">
      <c r="A2782">
        <v>2781</v>
      </c>
      <c r="B2782">
        <v>3</v>
      </c>
      <c r="C2782" t="s">
        <v>30</v>
      </c>
      <c r="D2782" t="s">
        <v>33</v>
      </c>
      <c r="E2782">
        <v>7700000</v>
      </c>
      <c r="F2782">
        <v>18900000</v>
      </c>
      <c r="G2782">
        <v>2</v>
      </c>
      <c r="H2782">
        <v>583</v>
      </c>
      <c r="I2782">
        <v>9300000</v>
      </c>
      <c r="J2782">
        <v>3000000</v>
      </c>
      <c r="K2782">
        <v>16700000</v>
      </c>
      <c r="L2782">
        <v>9300000</v>
      </c>
      <c r="M2782" t="s">
        <v>34</v>
      </c>
      <c r="N2782">
        <f t="shared" si="259"/>
        <v>1</v>
      </c>
      <c r="O2782" t="str">
        <f t="shared" si="258"/>
        <v>Low</v>
      </c>
      <c r="P2782" t="str">
        <f t="shared" si="260"/>
        <v>High</v>
      </c>
      <c r="Q2782" t="str">
        <f t="shared" si="261"/>
        <v>Low Loan</v>
      </c>
      <c r="R2782">
        <f t="shared" si="262"/>
        <v>38300000</v>
      </c>
      <c r="S2782" t="str">
        <f t="shared" si="263"/>
        <v>Strong</v>
      </c>
    </row>
    <row r="2783" spans="1:19" x14ac:dyDescent="0.25">
      <c r="A2783">
        <v>2782</v>
      </c>
      <c r="B2783">
        <v>1</v>
      </c>
      <c r="C2783" t="s">
        <v>30</v>
      </c>
      <c r="D2783" t="s">
        <v>33</v>
      </c>
      <c r="E2783">
        <v>3800000</v>
      </c>
      <c r="F2783">
        <v>10000000</v>
      </c>
      <c r="G2783">
        <v>16</v>
      </c>
      <c r="H2783">
        <v>873</v>
      </c>
      <c r="I2783">
        <v>5100000</v>
      </c>
      <c r="J2783">
        <v>2800000</v>
      </c>
      <c r="K2783">
        <v>10300000</v>
      </c>
      <c r="L2783">
        <v>4000000</v>
      </c>
      <c r="M2783" t="s">
        <v>34</v>
      </c>
      <c r="N2783">
        <f t="shared" si="259"/>
        <v>1</v>
      </c>
      <c r="O2783" t="str">
        <f t="shared" si="258"/>
        <v>Excellent</v>
      </c>
      <c r="P2783" t="str">
        <f t="shared" si="260"/>
        <v>High</v>
      </c>
      <c r="Q2783" t="str">
        <f t="shared" si="261"/>
        <v>Low Loan</v>
      </c>
      <c r="R2783">
        <f t="shared" si="262"/>
        <v>22200000</v>
      </c>
      <c r="S2783" t="str">
        <f t="shared" si="263"/>
        <v>Strong</v>
      </c>
    </row>
    <row r="2784" spans="1:19" x14ac:dyDescent="0.25">
      <c r="A2784">
        <v>2783</v>
      </c>
      <c r="B2784">
        <v>5</v>
      </c>
      <c r="C2784" t="s">
        <v>30</v>
      </c>
      <c r="D2784" t="s">
        <v>32</v>
      </c>
      <c r="E2784">
        <v>8000000</v>
      </c>
      <c r="F2784">
        <v>27000000</v>
      </c>
      <c r="G2784">
        <v>20</v>
      </c>
      <c r="H2784">
        <v>595</v>
      </c>
      <c r="I2784">
        <v>4500000</v>
      </c>
      <c r="J2784">
        <v>5200000</v>
      </c>
      <c r="K2784">
        <v>24800000</v>
      </c>
      <c r="L2784">
        <v>10400000</v>
      </c>
      <c r="M2784" t="s">
        <v>34</v>
      </c>
      <c r="N2784">
        <f t="shared" si="259"/>
        <v>1</v>
      </c>
      <c r="O2784" t="str">
        <f t="shared" si="258"/>
        <v>Low</v>
      </c>
      <c r="P2784" t="str">
        <f t="shared" si="260"/>
        <v>High</v>
      </c>
      <c r="Q2784" t="str">
        <f t="shared" si="261"/>
        <v>High Loan</v>
      </c>
      <c r="R2784">
        <f t="shared" si="262"/>
        <v>44900000</v>
      </c>
      <c r="S2784" t="str">
        <f t="shared" si="263"/>
        <v>Strong</v>
      </c>
    </row>
    <row r="2785" spans="1:19" x14ac:dyDescent="0.25">
      <c r="A2785">
        <v>2784</v>
      </c>
      <c r="B2785">
        <v>5</v>
      </c>
      <c r="C2785" t="s">
        <v>30</v>
      </c>
      <c r="D2785" t="s">
        <v>33</v>
      </c>
      <c r="E2785">
        <v>3400000</v>
      </c>
      <c r="F2785">
        <v>11300000</v>
      </c>
      <c r="G2785">
        <v>20</v>
      </c>
      <c r="H2785">
        <v>871</v>
      </c>
      <c r="I2785">
        <v>6500000</v>
      </c>
      <c r="J2785">
        <v>3900000</v>
      </c>
      <c r="K2785">
        <v>9700000</v>
      </c>
      <c r="L2785">
        <v>2400000</v>
      </c>
      <c r="M2785" t="s">
        <v>34</v>
      </c>
      <c r="N2785">
        <f t="shared" si="259"/>
        <v>1</v>
      </c>
      <c r="O2785" t="str">
        <f t="shared" si="258"/>
        <v>Excellent</v>
      </c>
      <c r="P2785" t="str">
        <f t="shared" si="260"/>
        <v>High</v>
      </c>
      <c r="Q2785" t="str">
        <f t="shared" si="261"/>
        <v>Low Loan</v>
      </c>
      <c r="R2785">
        <f t="shared" si="262"/>
        <v>22500000</v>
      </c>
      <c r="S2785" t="str">
        <f t="shared" si="263"/>
        <v>Strong</v>
      </c>
    </row>
    <row r="2786" spans="1:19" x14ac:dyDescent="0.25">
      <c r="A2786">
        <v>2785</v>
      </c>
      <c r="B2786">
        <v>5</v>
      </c>
      <c r="C2786" t="s">
        <v>30</v>
      </c>
      <c r="D2786" t="s">
        <v>33</v>
      </c>
      <c r="E2786">
        <v>5500000</v>
      </c>
      <c r="F2786">
        <v>18800000</v>
      </c>
      <c r="G2786">
        <v>12</v>
      </c>
      <c r="H2786">
        <v>603</v>
      </c>
      <c r="I2786">
        <v>3300000</v>
      </c>
      <c r="J2786">
        <v>700000</v>
      </c>
      <c r="K2786">
        <v>21000000</v>
      </c>
      <c r="L2786">
        <v>5000000</v>
      </c>
      <c r="M2786" t="s">
        <v>34</v>
      </c>
      <c r="N2786">
        <f t="shared" si="259"/>
        <v>1</v>
      </c>
      <c r="O2786" t="str">
        <f t="shared" si="258"/>
        <v>Low</v>
      </c>
      <c r="P2786" t="str">
        <f t="shared" si="260"/>
        <v>High</v>
      </c>
      <c r="Q2786" t="str">
        <f t="shared" si="261"/>
        <v>Low Loan</v>
      </c>
      <c r="R2786">
        <f t="shared" si="262"/>
        <v>30000000</v>
      </c>
      <c r="S2786" t="str">
        <f t="shared" si="263"/>
        <v>Strong</v>
      </c>
    </row>
    <row r="2787" spans="1:19" x14ac:dyDescent="0.25">
      <c r="A2787">
        <v>2786</v>
      </c>
      <c r="B2787">
        <v>0</v>
      </c>
      <c r="C2787" t="s">
        <v>31</v>
      </c>
      <c r="D2787" t="s">
        <v>32</v>
      </c>
      <c r="E2787">
        <v>7700000</v>
      </c>
      <c r="F2787">
        <v>29300000</v>
      </c>
      <c r="G2787">
        <v>14</v>
      </c>
      <c r="H2787">
        <v>801</v>
      </c>
      <c r="I2787">
        <v>6200000</v>
      </c>
      <c r="J2787">
        <v>11800000</v>
      </c>
      <c r="K2787">
        <v>23400000</v>
      </c>
      <c r="L2787">
        <v>4700000</v>
      </c>
      <c r="M2787" t="s">
        <v>34</v>
      </c>
      <c r="N2787">
        <f t="shared" si="259"/>
        <v>1</v>
      </c>
      <c r="O2787" t="str">
        <f t="shared" si="258"/>
        <v>Excellent</v>
      </c>
      <c r="P2787" t="str">
        <f t="shared" si="260"/>
        <v>High</v>
      </c>
      <c r="Q2787" t="str">
        <f t="shared" si="261"/>
        <v>High Loan</v>
      </c>
      <c r="R2787">
        <f t="shared" si="262"/>
        <v>46100000</v>
      </c>
      <c r="S2787" t="str">
        <f t="shared" si="263"/>
        <v>Strong</v>
      </c>
    </row>
    <row r="2788" spans="1:19" x14ac:dyDescent="0.25">
      <c r="A2788">
        <v>2787</v>
      </c>
      <c r="B2788">
        <v>5</v>
      </c>
      <c r="C2788" t="s">
        <v>30</v>
      </c>
      <c r="D2788" t="s">
        <v>32</v>
      </c>
      <c r="E2788">
        <v>4000000</v>
      </c>
      <c r="F2788">
        <v>9400000</v>
      </c>
      <c r="G2788">
        <v>4</v>
      </c>
      <c r="H2788">
        <v>723</v>
      </c>
      <c r="I2788">
        <v>200000</v>
      </c>
      <c r="J2788">
        <v>0</v>
      </c>
      <c r="K2788">
        <v>12100000</v>
      </c>
      <c r="L2788">
        <v>2000000</v>
      </c>
      <c r="M2788" t="s">
        <v>34</v>
      </c>
      <c r="N2788">
        <f t="shared" si="259"/>
        <v>1</v>
      </c>
      <c r="O2788" t="str">
        <f t="shared" si="258"/>
        <v>Good</v>
      </c>
      <c r="P2788" t="str">
        <f t="shared" si="260"/>
        <v>High</v>
      </c>
      <c r="Q2788" t="str">
        <f t="shared" si="261"/>
        <v>Low Loan</v>
      </c>
      <c r="R2788">
        <f t="shared" si="262"/>
        <v>14300000</v>
      </c>
      <c r="S2788" t="str">
        <f t="shared" si="263"/>
        <v>Strong</v>
      </c>
    </row>
    <row r="2789" spans="1:19" x14ac:dyDescent="0.25">
      <c r="A2789">
        <v>2788</v>
      </c>
      <c r="B2789">
        <v>5</v>
      </c>
      <c r="C2789" t="s">
        <v>31</v>
      </c>
      <c r="D2789" t="s">
        <v>33</v>
      </c>
      <c r="E2789">
        <v>5900000</v>
      </c>
      <c r="F2789">
        <v>22600000</v>
      </c>
      <c r="G2789">
        <v>18</v>
      </c>
      <c r="H2789">
        <v>630</v>
      </c>
      <c r="I2789">
        <v>2300000</v>
      </c>
      <c r="J2789">
        <v>4200000</v>
      </c>
      <c r="K2789">
        <v>16500000</v>
      </c>
      <c r="L2789">
        <v>6800000</v>
      </c>
      <c r="M2789" t="s">
        <v>34</v>
      </c>
      <c r="N2789">
        <f t="shared" si="259"/>
        <v>1</v>
      </c>
      <c r="O2789" t="str">
        <f t="shared" si="258"/>
        <v>Low</v>
      </c>
      <c r="P2789" t="str">
        <f t="shared" si="260"/>
        <v>High</v>
      </c>
      <c r="Q2789" t="str">
        <f t="shared" si="261"/>
        <v>High Loan</v>
      </c>
      <c r="R2789">
        <f t="shared" si="262"/>
        <v>29800000</v>
      </c>
      <c r="S2789" t="str">
        <f t="shared" si="263"/>
        <v>Strong</v>
      </c>
    </row>
    <row r="2790" spans="1:19" x14ac:dyDescent="0.25">
      <c r="A2790">
        <v>2789</v>
      </c>
      <c r="B2790">
        <v>0</v>
      </c>
      <c r="C2790" t="s">
        <v>31</v>
      </c>
      <c r="D2790" t="s">
        <v>33</v>
      </c>
      <c r="E2790">
        <v>2600000</v>
      </c>
      <c r="F2790">
        <v>9900000</v>
      </c>
      <c r="G2790">
        <v>20</v>
      </c>
      <c r="H2790">
        <v>368</v>
      </c>
      <c r="I2790">
        <v>3600000</v>
      </c>
      <c r="J2790">
        <v>1500000</v>
      </c>
      <c r="K2790">
        <v>5200000</v>
      </c>
      <c r="L2790">
        <v>2000000</v>
      </c>
      <c r="M2790" t="s">
        <v>35</v>
      </c>
      <c r="N2790">
        <f t="shared" si="259"/>
        <v>0</v>
      </c>
      <c r="O2790" t="str">
        <f t="shared" si="258"/>
        <v>Low</v>
      </c>
      <c r="P2790" t="str">
        <f t="shared" si="260"/>
        <v>High</v>
      </c>
      <c r="Q2790" t="str">
        <f t="shared" si="261"/>
        <v>Low Loan</v>
      </c>
      <c r="R2790">
        <f t="shared" si="262"/>
        <v>12300000</v>
      </c>
      <c r="S2790" t="str">
        <f t="shared" si="263"/>
        <v>Strong</v>
      </c>
    </row>
    <row r="2791" spans="1:19" x14ac:dyDescent="0.25">
      <c r="A2791">
        <v>2790</v>
      </c>
      <c r="B2791">
        <v>3</v>
      </c>
      <c r="C2791" t="s">
        <v>30</v>
      </c>
      <c r="D2791" t="s">
        <v>32</v>
      </c>
      <c r="E2791">
        <v>6600000</v>
      </c>
      <c r="F2791">
        <v>22200000</v>
      </c>
      <c r="G2791">
        <v>12</v>
      </c>
      <c r="H2791">
        <v>759</v>
      </c>
      <c r="I2791">
        <v>8900000</v>
      </c>
      <c r="J2791">
        <v>2200000</v>
      </c>
      <c r="K2791">
        <v>18700000</v>
      </c>
      <c r="L2791">
        <v>8500000</v>
      </c>
      <c r="M2791" t="s">
        <v>34</v>
      </c>
      <c r="N2791">
        <f t="shared" si="259"/>
        <v>1</v>
      </c>
      <c r="O2791" t="str">
        <f t="shared" si="258"/>
        <v>Excellent</v>
      </c>
      <c r="P2791" t="str">
        <f t="shared" si="260"/>
        <v>High</v>
      </c>
      <c r="Q2791" t="str">
        <f t="shared" si="261"/>
        <v>High Loan</v>
      </c>
      <c r="R2791">
        <f t="shared" si="262"/>
        <v>38300000</v>
      </c>
      <c r="S2791" t="str">
        <f t="shared" si="263"/>
        <v>Strong</v>
      </c>
    </row>
    <row r="2792" spans="1:19" x14ac:dyDescent="0.25">
      <c r="A2792">
        <v>2791</v>
      </c>
      <c r="B2792">
        <v>0</v>
      </c>
      <c r="C2792" t="s">
        <v>31</v>
      </c>
      <c r="D2792" t="s">
        <v>33</v>
      </c>
      <c r="E2792">
        <v>1000000</v>
      </c>
      <c r="F2792">
        <v>3000000</v>
      </c>
      <c r="G2792">
        <v>18</v>
      </c>
      <c r="H2792">
        <v>382</v>
      </c>
      <c r="I2792">
        <v>2200000</v>
      </c>
      <c r="J2792">
        <v>700000</v>
      </c>
      <c r="K2792">
        <v>3500000</v>
      </c>
      <c r="L2792">
        <v>900000</v>
      </c>
      <c r="M2792" t="s">
        <v>35</v>
      </c>
      <c r="N2792">
        <f t="shared" si="259"/>
        <v>0</v>
      </c>
      <c r="O2792" t="str">
        <f t="shared" si="258"/>
        <v>Low</v>
      </c>
      <c r="P2792" t="str">
        <f t="shared" si="260"/>
        <v>High</v>
      </c>
      <c r="Q2792" t="str">
        <f t="shared" si="261"/>
        <v>Low Loan</v>
      </c>
      <c r="R2792">
        <f t="shared" si="262"/>
        <v>7300000</v>
      </c>
      <c r="S2792" t="str">
        <f t="shared" si="263"/>
        <v>Moderate</v>
      </c>
    </row>
    <row r="2793" spans="1:19" x14ac:dyDescent="0.25">
      <c r="A2793">
        <v>2792</v>
      </c>
      <c r="B2793">
        <v>4</v>
      </c>
      <c r="C2793" t="s">
        <v>31</v>
      </c>
      <c r="D2793" t="s">
        <v>33</v>
      </c>
      <c r="E2793">
        <v>800000</v>
      </c>
      <c r="F2793">
        <v>2800000</v>
      </c>
      <c r="G2793">
        <v>16</v>
      </c>
      <c r="H2793">
        <v>645</v>
      </c>
      <c r="I2793">
        <v>900000</v>
      </c>
      <c r="J2793">
        <v>1400000</v>
      </c>
      <c r="K2793">
        <v>2300000</v>
      </c>
      <c r="L2793">
        <v>600000</v>
      </c>
      <c r="M2793" t="s">
        <v>34</v>
      </c>
      <c r="N2793">
        <f t="shared" si="259"/>
        <v>1</v>
      </c>
      <c r="O2793" t="str">
        <f t="shared" si="258"/>
        <v>Low</v>
      </c>
      <c r="P2793" t="str">
        <f t="shared" si="260"/>
        <v>High</v>
      </c>
      <c r="Q2793" t="str">
        <f t="shared" si="261"/>
        <v>Low Loan</v>
      </c>
      <c r="R2793">
        <f t="shared" si="262"/>
        <v>5200000</v>
      </c>
      <c r="S2793" t="str">
        <f t="shared" si="263"/>
        <v>Moderate</v>
      </c>
    </row>
    <row r="2794" spans="1:19" x14ac:dyDescent="0.25">
      <c r="A2794">
        <v>2793</v>
      </c>
      <c r="B2794">
        <v>0</v>
      </c>
      <c r="C2794" t="s">
        <v>30</v>
      </c>
      <c r="D2794" t="s">
        <v>32</v>
      </c>
      <c r="E2794">
        <v>3200000</v>
      </c>
      <c r="F2794">
        <v>6300000</v>
      </c>
      <c r="G2794">
        <v>6</v>
      </c>
      <c r="H2794">
        <v>878</v>
      </c>
      <c r="I2794">
        <v>6700000</v>
      </c>
      <c r="J2794">
        <v>5200000</v>
      </c>
      <c r="K2794">
        <v>8100000</v>
      </c>
      <c r="L2794">
        <v>3600000</v>
      </c>
      <c r="M2794" t="s">
        <v>34</v>
      </c>
      <c r="N2794">
        <f t="shared" si="259"/>
        <v>1</v>
      </c>
      <c r="O2794" t="str">
        <f t="shared" si="258"/>
        <v>Excellent</v>
      </c>
      <c r="P2794" t="str">
        <f t="shared" si="260"/>
        <v>High</v>
      </c>
      <c r="Q2794" t="str">
        <f t="shared" si="261"/>
        <v>Low Loan</v>
      </c>
      <c r="R2794">
        <f t="shared" si="262"/>
        <v>23600000</v>
      </c>
      <c r="S2794" t="str">
        <f t="shared" si="263"/>
        <v>Strong</v>
      </c>
    </row>
    <row r="2795" spans="1:19" x14ac:dyDescent="0.25">
      <c r="A2795">
        <v>2794</v>
      </c>
      <c r="B2795">
        <v>4</v>
      </c>
      <c r="C2795" t="s">
        <v>30</v>
      </c>
      <c r="D2795" t="s">
        <v>32</v>
      </c>
      <c r="E2795">
        <v>8400000</v>
      </c>
      <c r="F2795">
        <v>23400000</v>
      </c>
      <c r="G2795">
        <v>12</v>
      </c>
      <c r="H2795">
        <v>350</v>
      </c>
      <c r="I2795">
        <v>18700000</v>
      </c>
      <c r="J2795">
        <v>9100000</v>
      </c>
      <c r="K2795">
        <v>27500000</v>
      </c>
      <c r="L2795">
        <v>6700000</v>
      </c>
      <c r="M2795" t="s">
        <v>35</v>
      </c>
      <c r="N2795">
        <f t="shared" si="259"/>
        <v>0</v>
      </c>
      <c r="O2795" t="str">
        <f t="shared" si="258"/>
        <v>Low</v>
      </c>
      <c r="P2795" t="str">
        <f t="shared" si="260"/>
        <v>High</v>
      </c>
      <c r="Q2795" t="str">
        <f t="shared" si="261"/>
        <v>High Loan</v>
      </c>
      <c r="R2795">
        <f t="shared" si="262"/>
        <v>62000000</v>
      </c>
      <c r="S2795" t="str">
        <f t="shared" si="263"/>
        <v>Strong</v>
      </c>
    </row>
    <row r="2796" spans="1:19" x14ac:dyDescent="0.25">
      <c r="A2796">
        <v>2795</v>
      </c>
      <c r="B2796">
        <v>3</v>
      </c>
      <c r="C2796" t="s">
        <v>30</v>
      </c>
      <c r="D2796" t="s">
        <v>33</v>
      </c>
      <c r="E2796">
        <v>5800000</v>
      </c>
      <c r="F2796">
        <v>17600000</v>
      </c>
      <c r="G2796">
        <v>6</v>
      </c>
      <c r="H2796">
        <v>720</v>
      </c>
      <c r="I2796">
        <v>4900000</v>
      </c>
      <c r="J2796">
        <v>4200000</v>
      </c>
      <c r="K2796">
        <v>18800000</v>
      </c>
      <c r="L2796">
        <v>6600000</v>
      </c>
      <c r="M2796" t="s">
        <v>34</v>
      </c>
      <c r="N2796">
        <f t="shared" si="259"/>
        <v>1</v>
      </c>
      <c r="O2796" t="str">
        <f t="shared" si="258"/>
        <v>Good</v>
      </c>
      <c r="P2796" t="str">
        <f t="shared" si="260"/>
        <v>High</v>
      </c>
      <c r="Q2796" t="str">
        <f t="shared" si="261"/>
        <v>Low Loan</v>
      </c>
      <c r="R2796">
        <f t="shared" si="262"/>
        <v>34500000</v>
      </c>
      <c r="S2796" t="str">
        <f t="shared" si="263"/>
        <v>Strong</v>
      </c>
    </row>
    <row r="2797" spans="1:19" x14ac:dyDescent="0.25">
      <c r="A2797">
        <v>2796</v>
      </c>
      <c r="B2797">
        <v>0</v>
      </c>
      <c r="C2797" t="s">
        <v>31</v>
      </c>
      <c r="D2797" t="s">
        <v>33</v>
      </c>
      <c r="E2797">
        <v>7300000</v>
      </c>
      <c r="F2797">
        <v>28100000</v>
      </c>
      <c r="G2797">
        <v>10</v>
      </c>
      <c r="H2797">
        <v>673</v>
      </c>
      <c r="I2797">
        <v>13700000</v>
      </c>
      <c r="J2797">
        <v>1200000</v>
      </c>
      <c r="K2797">
        <v>16300000</v>
      </c>
      <c r="L2797">
        <v>8900000</v>
      </c>
      <c r="M2797" t="s">
        <v>34</v>
      </c>
      <c r="N2797">
        <f t="shared" si="259"/>
        <v>1</v>
      </c>
      <c r="O2797" t="str">
        <f t="shared" si="258"/>
        <v>Medium</v>
      </c>
      <c r="P2797" t="str">
        <f t="shared" si="260"/>
        <v>High</v>
      </c>
      <c r="Q2797" t="str">
        <f t="shared" si="261"/>
        <v>High Loan</v>
      </c>
      <c r="R2797">
        <f t="shared" si="262"/>
        <v>40100000</v>
      </c>
      <c r="S2797" t="str">
        <f t="shared" si="263"/>
        <v>Strong</v>
      </c>
    </row>
    <row r="2798" spans="1:19" x14ac:dyDescent="0.25">
      <c r="A2798">
        <v>2797</v>
      </c>
      <c r="B2798">
        <v>1</v>
      </c>
      <c r="C2798" t="s">
        <v>30</v>
      </c>
      <c r="D2798" t="s">
        <v>32</v>
      </c>
      <c r="E2798">
        <v>3900000</v>
      </c>
      <c r="F2798">
        <v>8000000</v>
      </c>
      <c r="G2798">
        <v>6</v>
      </c>
      <c r="H2798">
        <v>448</v>
      </c>
      <c r="I2798">
        <v>100000</v>
      </c>
      <c r="J2798">
        <v>1900000</v>
      </c>
      <c r="K2798">
        <v>9800000</v>
      </c>
      <c r="L2798">
        <v>4000000</v>
      </c>
      <c r="M2798" t="s">
        <v>35</v>
      </c>
      <c r="N2798">
        <f t="shared" si="259"/>
        <v>0</v>
      </c>
      <c r="O2798" t="str">
        <f t="shared" si="258"/>
        <v>Low</v>
      </c>
      <c r="P2798" t="str">
        <f t="shared" si="260"/>
        <v>High</v>
      </c>
      <c r="Q2798" t="str">
        <f t="shared" si="261"/>
        <v>Low Loan</v>
      </c>
      <c r="R2798">
        <f t="shared" si="262"/>
        <v>15800000</v>
      </c>
      <c r="S2798" t="str">
        <f t="shared" si="263"/>
        <v>Strong</v>
      </c>
    </row>
    <row r="2799" spans="1:19" x14ac:dyDescent="0.25">
      <c r="A2799">
        <v>2798</v>
      </c>
      <c r="B2799">
        <v>2</v>
      </c>
      <c r="C2799" t="s">
        <v>31</v>
      </c>
      <c r="D2799" t="s">
        <v>33</v>
      </c>
      <c r="E2799">
        <v>4600000</v>
      </c>
      <c r="F2799">
        <v>16000000</v>
      </c>
      <c r="G2799">
        <v>4</v>
      </c>
      <c r="H2799">
        <v>720</v>
      </c>
      <c r="I2799">
        <v>0</v>
      </c>
      <c r="J2799">
        <v>4000000</v>
      </c>
      <c r="K2799">
        <v>12300000</v>
      </c>
      <c r="L2799">
        <v>4200000</v>
      </c>
      <c r="M2799" t="s">
        <v>34</v>
      </c>
      <c r="N2799">
        <f t="shared" si="259"/>
        <v>1</v>
      </c>
      <c r="O2799" t="str">
        <f t="shared" si="258"/>
        <v>Good</v>
      </c>
      <c r="P2799" t="str">
        <f t="shared" si="260"/>
        <v>High</v>
      </c>
      <c r="Q2799" t="str">
        <f t="shared" si="261"/>
        <v>Low Loan</v>
      </c>
      <c r="R2799">
        <f t="shared" si="262"/>
        <v>20500000</v>
      </c>
      <c r="S2799" t="str">
        <f t="shared" si="263"/>
        <v>Strong</v>
      </c>
    </row>
    <row r="2800" spans="1:19" x14ac:dyDescent="0.25">
      <c r="A2800">
        <v>2799</v>
      </c>
      <c r="B2800">
        <v>0</v>
      </c>
      <c r="C2800" t="s">
        <v>30</v>
      </c>
      <c r="D2800" t="s">
        <v>32</v>
      </c>
      <c r="E2800">
        <v>3600000</v>
      </c>
      <c r="F2800">
        <v>12300000</v>
      </c>
      <c r="G2800">
        <v>2</v>
      </c>
      <c r="H2800">
        <v>300</v>
      </c>
      <c r="I2800">
        <v>5200000</v>
      </c>
      <c r="J2800">
        <v>3000000</v>
      </c>
      <c r="K2800">
        <v>14300000</v>
      </c>
      <c r="L2800">
        <v>5400000</v>
      </c>
      <c r="M2800" t="s">
        <v>34</v>
      </c>
      <c r="N2800">
        <f t="shared" si="259"/>
        <v>1</v>
      </c>
      <c r="O2800" t="str">
        <f t="shared" si="258"/>
        <v>Low</v>
      </c>
      <c r="P2800" t="str">
        <f t="shared" si="260"/>
        <v>High</v>
      </c>
      <c r="Q2800" t="str">
        <f t="shared" si="261"/>
        <v>Low Loan</v>
      </c>
      <c r="R2800">
        <f t="shared" si="262"/>
        <v>27900000</v>
      </c>
      <c r="S2800" t="str">
        <f t="shared" si="263"/>
        <v>Strong</v>
      </c>
    </row>
    <row r="2801" spans="1:19" x14ac:dyDescent="0.25">
      <c r="A2801">
        <v>2800</v>
      </c>
      <c r="B2801">
        <v>4</v>
      </c>
      <c r="C2801" t="s">
        <v>30</v>
      </c>
      <c r="D2801" t="s">
        <v>32</v>
      </c>
      <c r="E2801">
        <v>7500000</v>
      </c>
      <c r="F2801">
        <v>28700000</v>
      </c>
      <c r="G2801">
        <v>20</v>
      </c>
      <c r="H2801">
        <v>520</v>
      </c>
      <c r="I2801">
        <v>4600000</v>
      </c>
      <c r="J2801">
        <v>3500000</v>
      </c>
      <c r="K2801">
        <v>15200000</v>
      </c>
      <c r="L2801">
        <v>5700000</v>
      </c>
      <c r="M2801" t="s">
        <v>35</v>
      </c>
      <c r="N2801">
        <f t="shared" si="259"/>
        <v>0</v>
      </c>
      <c r="O2801" t="str">
        <f t="shared" si="258"/>
        <v>Low</v>
      </c>
      <c r="P2801" t="str">
        <f t="shared" si="260"/>
        <v>High</v>
      </c>
      <c r="Q2801" t="str">
        <f t="shared" si="261"/>
        <v>High Loan</v>
      </c>
      <c r="R2801">
        <f t="shared" si="262"/>
        <v>29000000</v>
      </c>
      <c r="S2801" t="str">
        <f t="shared" si="263"/>
        <v>Strong</v>
      </c>
    </row>
    <row r="2802" spans="1:19" x14ac:dyDescent="0.25">
      <c r="A2802">
        <v>2801</v>
      </c>
      <c r="B2802">
        <v>1</v>
      </c>
      <c r="C2802" t="s">
        <v>30</v>
      </c>
      <c r="D2802" t="s">
        <v>32</v>
      </c>
      <c r="E2802">
        <v>5200000</v>
      </c>
      <c r="F2802">
        <v>15000000</v>
      </c>
      <c r="G2802">
        <v>12</v>
      </c>
      <c r="H2802">
        <v>794</v>
      </c>
      <c r="I2802">
        <v>3200000</v>
      </c>
      <c r="J2802">
        <v>7200000</v>
      </c>
      <c r="K2802">
        <v>16500000</v>
      </c>
      <c r="L2802">
        <v>5100000</v>
      </c>
      <c r="M2802" t="s">
        <v>34</v>
      </c>
      <c r="N2802">
        <f t="shared" si="259"/>
        <v>1</v>
      </c>
      <c r="O2802" t="str">
        <f t="shared" si="258"/>
        <v>Excellent</v>
      </c>
      <c r="P2802" t="str">
        <f t="shared" si="260"/>
        <v>High</v>
      </c>
      <c r="Q2802" t="str">
        <f t="shared" si="261"/>
        <v>Low Loan</v>
      </c>
      <c r="R2802">
        <f t="shared" si="262"/>
        <v>32000000</v>
      </c>
      <c r="S2802" t="str">
        <f t="shared" si="263"/>
        <v>Strong</v>
      </c>
    </row>
    <row r="2803" spans="1:19" x14ac:dyDescent="0.25">
      <c r="A2803">
        <v>2802</v>
      </c>
      <c r="B2803">
        <v>3</v>
      </c>
      <c r="C2803" t="s">
        <v>30</v>
      </c>
      <c r="D2803" t="s">
        <v>33</v>
      </c>
      <c r="E2803">
        <v>4400000</v>
      </c>
      <c r="F2803">
        <v>10000000</v>
      </c>
      <c r="G2803">
        <v>8</v>
      </c>
      <c r="H2803">
        <v>875</v>
      </c>
      <c r="I2803">
        <v>5900000</v>
      </c>
      <c r="J2803">
        <v>5200000</v>
      </c>
      <c r="K2803">
        <v>11700000</v>
      </c>
      <c r="L2803">
        <v>4100000</v>
      </c>
      <c r="M2803" t="s">
        <v>34</v>
      </c>
      <c r="N2803">
        <f t="shared" si="259"/>
        <v>1</v>
      </c>
      <c r="O2803" t="str">
        <f t="shared" si="258"/>
        <v>Excellent</v>
      </c>
      <c r="P2803" t="str">
        <f t="shared" si="260"/>
        <v>High</v>
      </c>
      <c r="Q2803" t="str">
        <f t="shared" si="261"/>
        <v>Low Loan</v>
      </c>
      <c r="R2803">
        <f t="shared" si="262"/>
        <v>26900000</v>
      </c>
      <c r="S2803" t="str">
        <f t="shared" si="263"/>
        <v>Strong</v>
      </c>
    </row>
    <row r="2804" spans="1:19" x14ac:dyDescent="0.25">
      <c r="A2804">
        <v>2803</v>
      </c>
      <c r="B2804">
        <v>1</v>
      </c>
      <c r="C2804" t="s">
        <v>31</v>
      </c>
      <c r="D2804" t="s">
        <v>33</v>
      </c>
      <c r="E2804">
        <v>5100000</v>
      </c>
      <c r="F2804">
        <v>12900000</v>
      </c>
      <c r="G2804">
        <v>14</v>
      </c>
      <c r="H2804">
        <v>533</v>
      </c>
      <c r="I2804">
        <v>6700000</v>
      </c>
      <c r="J2804">
        <v>6700000</v>
      </c>
      <c r="K2804">
        <v>14400000</v>
      </c>
      <c r="L2804">
        <v>3900000</v>
      </c>
      <c r="M2804" t="s">
        <v>35</v>
      </c>
      <c r="N2804">
        <f t="shared" si="259"/>
        <v>0</v>
      </c>
      <c r="O2804" t="str">
        <f t="shared" si="258"/>
        <v>Low</v>
      </c>
      <c r="P2804" t="str">
        <f t="shared" si="260"/>
        <v>High</v>
      </c>
      <c r="Q2804" t="str">
        <f t="shared" si="261"/>
        <v>Low Loan</v>
      </c>
      <c r="R2804">
        <f t="shared" si="262"/>
        <v>31700000</v>
      </c>
      <c r="S2804" t="str">
        <f t="shared" si="263"/>
        <v>Strong</v>
      </c>
    </row>
    <row r="2805" spans="1:19" x14ac:dyDescent="0.25">
      <c r="A2805">
        <v>2804</v>
      </c>
      <c r="B2805">
        <v>0</v>
      </c>
      <c r="C2805" t="s">
        <v>30</v>
      </c>
      <c r="D2805" t="s">
        <v>32</v>
      </c>
      <c r="E2805">
        <v>6000000</v>
      </c>
      <c r="F2805">
        <v>23600000</v>
      </c>
      <c r="G2805">
        <v>6</v>
      </c>
      <c r="H2805">
        <v>776</v>
      </c>
      <c r="I2805">
        <v>13800000</v>
      </c>
      <c r="J2805">
        <v>2700000</v>
      </c>
      <c r="K2805">
        <v>23400000</v>
      </c>
      <c r="L2805">
        <v>8800000</v>
      </c>
      <c r="M2805" t="s">
        <v>34</v>
      </c>
      <c r="N2805">
        <f t="shared" si="259"/>
        <v>1</v>
      </c>
      <c r="O2805" t="str">
        <f t="shared" si="258"/>
        <v>Excellent</v>
      </c>
      <c r="P2805" t="str">
        <f t="shared" si="260"/>
        <v>High</v>
      </c>
      <c r="Q2805" t="str">
        <f t="shared" si="261"/>
        <v>High Loan</v>
      </c>
      <c r="R2805">
        <f t="shared" si="262"/>
        <v>48700000</v>
      </c>
      <c r="S2805" t="str">
        <f t="shared" si="263"/>
        <v>Strong</v>
      </c>
    </row>
    <row r="2806" spans="1:19" x14ac:dyDescent="0.25">
      <c r="A2806">
        <v>2805</v>
      </c>
      <c r="B2806">
        <v>2</v>
      </c>
      <c r="C2806" t="s">
        <v>30</v>
      </c>
      <c r="D2806" t="s">
        <v>32</v>
      </c>
      <c r="E2806">
        <v>3800000</v>
      </c>
      <c r="F2806">
        <v>11400000</v>
      </c>
      <c r="G2806">
        <v>6</v>
      </c>
      <c r="H2806">
        <v>706</v>
      </c>
      <c r="I2806">
        <v>1000000</v>
      </c>
      <c r="J2806">
        <v>4000000</v>
      </c>
      <c r="K2806">
        <v>12100000</v>
      </c>
      <c r="L2806">
        <v>2800000</v>
      </c>
      <c r="M2806" t="s">
        <v>34</v>
      </c>
      <c r="N2806">
        <f t="shared" si="259"/>
        <v>1</v>
      </c>
      <c r="O2806" t="str">
        <f t="shared" si="258"/>
        <v>Good</v>
      </c>
      <c r="P2806" t="str">
        <f t="shared" si="260"/>
        <v>High</v>
      </c>
      <c r="Q2806" t="str">
        <f t="shared" si="261"/>
        <v>Low Loan</v>
      </c>
      <c r="R2806">
        <f t="shared" si="262"/>
        <v>19900000</v>
      </c>
      <c r="S2806" t="str">
        <f t="shared" si="263"/>
        <v>Strong</v>
      </c>
    </row>
    <row r="2807" spans="1:19" x14ac:dyDescent="0.25">
      <c r="A2807">
        <v>2806</v>
      </c>
      <c r="B2807">
        <v>3</v>
      </c>
      <c r="C2807" t="s">
        <v>30</v>
      </c>
      <c r="D2807" t="s">
        <v>32</v>
      </c>
      <c r="E2807">
        <v>2800000</v>
      </c>
      <c r="F2807">
        <v>10900000</v>
      </c>
      <c r="G2807">
        <v>2</v>
      </c>
      <c r="H2807">
        <v>710</v>
      </c>
      <c r="I2807">
        <v>600000</v>
      </c>
      <c r="J2807">
        <v>2400000</v>
      </c>
      <c r="K2807">
        <v>5600000</v>
      </c>
      <c r="L2807">
        <v>3600000</v>
      </c>
      <c r="M2807" t="s">
        <v>34</v>
      </c>
      <c r="N2807">
        <f t="shared" si="259"/>
        <v>1</v>
      </c>
      <c r="O2807" t="str">
        <f t="shared" si="258"/>
        <v>Good</v>
      </c>
      <c r="P2807" t="str">
        <f t="shared" si="260"/>
        <v>High</v>
      </c>
      <c r="Q2807" t="str">
        <f t="shared" si="261"/>
        <v>Low Loan</v>
      </c>
      <c r="R2807">
        <f t="shared" si="262"/>
        <v>12200000</v>
      </c>
      <c r="S2807" t="str">
        <f t="shared" si="263"/>
        <v>Strong</v>
      </c>
    </row>
    <row r="2808" spans="1:19" x14ac:dyDescent="0.25">
      <c r="A2808">
        <v>2807</v>
      </c>
      <c r="B2808">
        <v>5</v>
      </c>
      <c r="C2808" t="s">
        <v>30</v>
      </c>
      <c r="D2808" t="s">
        <v>33</v>
      </c>
      <c r="E2808">
        <v>6500000</v>
      </c>
      <c r="F2808">
        <v>18300000</v>
      </c>
      <c r="G2808">
        <v>4</v>
      </c>
      <c r="H2808">
        <v>333</v>
      </c>
      <c r="I2808">
        <v>8100000</v>
      </c>
      <c r="J2808">
        <v>400000</v>
      </c>
      <c r="K2808">
        <v>21700000</v>
      </c>
      <c r="L2808">
        <v>7000000</v>
      </c>
      <c r="M2808" t="s">
        <v>35</v>
      </c>
      <c r="N2808">
        <f t="shared" si="259"/>
        <v>0</v>
      </c>
      <c r="O2808" t="str">
        <f t="shared" si="258"/>
        <v>Low</v>
      </c>
      <c r="P2808" t="str">
        <f t="shared" si="260"/>
        <v>High</v>
      </c>
      <c r="Q2808" t="str">
        <f t="shared" si="261"/>
        <v>Low Loan</v>
      </c>
      <c r="R2808">
        <f t="shared" si="262"/>
        <v>37200000</v>
      </c>
      <c r="S2808" t="str">
        <f t="shared" si="263"/>
        <v>Strong</v>
      </c>
    </row>
    <row r="2809" spans="1:19" x14ac:dyDescent="0.25">
      <c r="A2809">
        <v>2808</v>
      </c>
      <c r="B2809">
        <v>2</v>
      </c>
      <c r="C2809" t="s">
        <v>31</v>
      </c>
      <c r="D2809" t="s">
        <v>33</v>
      </c>
      <c r="E2809">
        <v>1600000</v>
      </c>
      <c r="F2809">
        <v>6400000</v>
      </c>
      <c r="G2809">
        <v>4</v>
      </c>
      <c r="H2809">
        <v>787</v>
      </c>
      <c r="I2809">
        <v>1000000</v>
      </c>
      <c r="J2809">
        <v>300000</v>
      </c>
      <c r="K2809">
        <v>5500000</v>
      </c>
      <c r="L2809">
        <v>1100000</v>
      </c>
      <c r="M2809" t="s">
        <v>34</v>
      </c>
      <c r="N2809">
        <f t="shared" si="259"/>
        <v>1</v>
      </c>
      <c r="O2809" t="str">
        <f t="shared" si="258"/>
        <v>Excellent</v>
      </c>
      <c r="P2809" t="str">
        <f t="shared" si="260"/>
        <v>High</v>
      </c>
      <c r="Q2809" t="str">
        <f t="shared" si="261"/>
        <v>Low Loan</v>
      </c>
      <c r="R2809">
        <f t="shared" si="262"/>
        <v>7900000</v>
      </c>
      <c r="S2809" t="str">
        <f t="shared" si="263"/>
        <v>Moderate</v>
      </c>
    </row>
    <row r="2810" spans="1:19" x14ac:dyDescent="0.25">
      <c r="A2810">
        <v>2809</v>
      </c>
      <c r="B2810">
        <v>4</v>
      </c>
      <c r="C2810" t="s">
        <v>30</v>
      </c>
      <c r="D2810" t="s">
        <v>32</v>
      </c>
      <c r="E2810">
        <v>5500000</v>
      </c>
      <c r="F2810">
        <v>18600000</v>
      </c>
      <c r="G2810">
        <v>12</v>
      </c>
      <c r="H2810">
        <v>569</v>
      </c>
      <c r="I2810">
        <v>13500000</v>
      </c>
      <c r="J2810">
        <v>6200000</v>
      </c>
      <c r="K2810">
        <v>19700000</v>
      </c>
      <c r="L2810">
        <v>7300000</v>
      </c>
      <c r="M2810" t="s">
        <v>34</v>
      </c>
      <c r="N2810">
        <f t="shared" si="259"/>
        <v>1</v>
      </c>
      <c r="O2810" t="str">
        <f t="shared" si="258"/>
        <v>Low</v>
      </c>
      <c r="P2810" t="str">
        <f t="shared" si="260"/>
        <v>High</v>
      </c>
      <c r="Q2810" t="str">
        <f t="shared" si="261"/>
        <v>Low Loan</v>
      </c>
      <c r="R2810">
        <f t="shared" si="262"/>
        <v>46700000</v>
      </c>
      <c r="S2810" t="str">
        <f t="shared" si="263"/>
        <v>Strong</v>
      </c>
    </row>
    <row r="2811" spans="1:19" x14ac:dyDescent="0.25">
      <c r="A2811">
        <v>2810</v>
      </c>
      <c r="B2811">
        <v>0</v>
      </c>
      <c r="C2811" t="s">
        <v>30</v>
      </c>
      <c r="D2811" t="s">
        <v>33</v>
      </c>
      <c r="E2811">
        <v>9600000</v>
      </c>
      <c r="F2811">
        <v>20100000</v>
      </c>
      <c r="G2811">
        <v>16</v>
      </c>
      <c r="H2811">
        <v>427</v>
      </c>
      <c r="I2811">
        <v>7200000</v>
      </c>
      <c r="J2811">
        <v>2300000</v>
      </c>
      <c r="K2811">
        <v>34500000</v>
      </c>
      <c r="L2811">
        <v>7400000</v>
      </c>
      <c r="M2811" t="s">
        <v>35</v>
      </c>
      <c r="N2811">
        <f t="shared" si="259"/>
        <v>0</v>
      </c>
      <c r="O2811" t="str">
        <f t="shared" si="258"/>
        <v>Low</v>
      </c>
      <c r="P2811" t="str">
        <f t="shared" si="260"/>
        <v>High</v>
      </c>
      <c r="Q2811" t="str">
        <f t="shared" si="261"/>
        <v>High Loan</v>
      </c>
      <c r="R2811">
        <f t="shared" si="262"/>
        <v>51400000</v>
      </c>
      <c r="S2811" t="str">
        <f t="shared" si="263"/>
        <v>Strong</v>
      </c>
    </row>
    <row r="2812" spans="1:19" x14ac:dyDescent="0.25">
      <c r="A2812">
        <v>2811</v>
      </c>
      <c r="B2812">
        <v>0</v>
      </c>
      <c r="C2812" t="s">
        <v>30</v>
      </c>
      <c r="D2812" t="s">
        <v>32</v>
      </c>
      <c r="E2812">
        <v>7000000</v>
      </c>
      <c r="F2812">
        <v>27800000</v>
      </c>
      <c r="G2812">
        <v>16</v>
      </c>
      <c r="H2812">
        <v>640</v>
      </c>
      <c r="I2812">
        <v>11500000</v>
      </c>
      <c r="J2812">
        <v>3700000</v>
      </c>
      <c r="K2812">
        <v>16000000</v>
      </c>
      <c r="L2812">
        <v>8200000</v>
      </c>
      <c r="M2812" t="s">
        <v>34</v>
      </c>
      <c r="N2812">
        <f t="shared" si="259"/>
        <v>1</v>
      </c>
      <c r="O2812" t="str">
        <f t="shared" si="258"/>
        <v>Low</v>
      </c>
      <c r="P2812" t="str">
        <f t="shared" si="260"/>
        <v>High</v>
      </c>
      <c r="Q2812" t="str">
        <f t="shared" si="261"/>
        <v>High Loan</v>
      </c>
      <c r="R2812">
        <f t="shared" si="262"/>
        <v>39400000</v>
      </c>
      <c r="S2812" t="str">
        <f t="shared" si="263"/>
        <v>Strong</v>
      </c>
    </row>
    <row r="2813" spans="1:19" x14ac:dyDescent="0.25">
      <c r="A2813">
        <v>2812</v>
      </c>
      <c r="B2813">
        <v>2</v>
      </c>
      <c r="C2813" t="s">
        <v>31</v>
      </c>
      <c r="D2813" t="s">
        <v>32</v>
      </c>
      <c r="E2813">
        <v>4000000</v>
      </c>
      <c r="F2813">
        <v>8100000</v>
      </c>
      <c r="G2813">
        <v>16</v>
      </c>
      <c r="H2813">
        <v>312</v>
      </c>
      <c r="I2813">
        <v>3500000</v>
      </c>
      <c r="J2813">
        <v>2100000</v>
      </c>
      <c r="K2813">
        <v>15100000</v>
      </c>
      <c r="L2813">
        <v>3100000</v>
      </c>
      <c r="M2813" t="s">
        <v>35</v>
      </c>
      <c r="N2813">
        <f t="shared" si="259"/>
        <v>0</v>
      </c>
      <c r="O2813" t="str">
        <f t="shared" si="258"/>
        <v>Low</v>
      </c>
      <c r="P2813" t="str">
        <f t="shared" si="260"/>
        <v>High</v>
      </c>
      <c r="Q2813" t="str">
        <f t="shared" si="261"/>
        <v>Low Loan</v>
      </c>
      <c r="R2813">
        <f t="shared" si="262"/>
        <v>23800000</v>
      </c>
      <c r="S2813" t="str">
        <f t="shared" si="263"/>
        <v>Strong</v>
      </c>
    </row>
    <row r="2814" spans="1:19" x14ac:dyDescent="0.25">
      <c r="A2814">
        <v>2813</v>
      </c>
      <c r="B2814">
        <v>1</v>
      </c>
      <c r="C2814" t="s">
        <v>31</v>
      </c>
      <c r="D2814" t="s">
        <v>33</v>
      </c>
      <c r="E2814">
        <v>8100000</v>
      </c>
      <c r="F2814">
        <v>30900000</v>
      </c>
      <c r="G2814">
        <v>12</v>
      </c>
      <c r="H2814">
        <v>464</v>
      </c>
      <c r="I2814">
        <v>13600000</v>
      </c>
      <c r="J2814">
        <v>9800000</v>
      </c>
      <c r="K2814">
        <v>17900000</v>
      </c>
      <c r="L2814">
        <v>7500000</v>
      </c>
      <c r="M2814" t="s">
        <v>35</v>
      </c>
      <c r="N2814">
        <f t="shared" si="259"/>
        <v>0</v>
      </c>
      <c r="O2814" t="str">
        <f t="shared" si="258"/>
        <v>Low</v>
      </c>
      <c r="P2814" t="str">
        <f t="shared" si="260"/>
        <v>High</v>
      </c>
      <c r="Q2814" t="str">
        <f t="shared" si="261"/>
        <v>High Loan</v>
      </c>
      <c r="R2814">
        <f t="shared" si="262"/>
        <v>48800000</v>
      </c>
      <c r="S2814" t="str">
        <f t="shared" si="263"/>
        <v>Strong</v>
      </c>
    </row>
    <row r="2815" spans="1:19" x14ac:dyDescent="0.25">
      <c r="A2815">
        <v>2814</v>
      </c>
      <c r="B2815">
        <v>2</v>
      </c>
      <c r="C2815" t="s">
        <v>31</v>
      </c>
      <c r="D2815" t="s">
        <v>33</v>
      </c>
      <c r="E2815">
        <v>6600000</v>
      </c>
      <c r="F2815">
        <v>22800000</v>
      </c>
      <c r="G2815">
        <v>8</v>
      </c>
      <c r="H2815">
        <v>490</v>
      </c>
      <c r="I2815">
        <v>6100000</v>
      </c>
      <c r="J2815">
        <v>10000000</v>
      </c>
      <c r="K2815">
        <v>18000000</v>
      </c>
      <c r="L2815">
        <v>6400000</v>
      </c>
      <c r="M2815" t="s">
        <v>35</v>
      </c>
      <c r="N2815">
        <f t="shared" si="259"/>
        <v>0</v>
      </c>
      <c r="O2815" t="str">
        <f t="shared" si="258"/>
        <v>Low</v>
      </c>
      <c r="P2815" t="str">
        <f t="shared" si="260"/>
        <v>High</v>
      </c>
      <c r="Q2815" t="str">
        <f t="shared" si="261"/>
        <v>High Loan</v>
      </c>
      <c r="R2815">
        <f t="shared" si="262"/>
        <v>40500000</v>
      </c>
      <c r="S2815" t="str">
        <f t="shared" si="263"/>
        <v>Strong</v>
      </c>
    </row>
    <row r="2816" spans="1:19" x14ac:dyDescent="0.25">
      <c r="A2816">
        <v>2815</v>
      </c>
      <c r="B2816">
        <v>5</v>
      </c>
      <c r="C2816" t="s">
        <v>30</v>
      </c>
      <c r="D2816" t="s">
        <v>32</v>
      </c>
      <c r="E2816">
        <v>4100000</v>
      </c>
      <c r="F2816">
        <v>10200000</v>
      </c>
      <c r="G2816">
        <v>12</v>
      </c>
      <c r="H2816">
        <v>431</v>
      </c>
      <c r="I2816">
        <v>6200000</v>
      </c>
      <c r="J2816">
        <v>2200000</v>
      </c>
      <c r="K2816">
        <v>13700000</v>
      </c>
      <c r="L2816">
        <v>4300000</v>
      </c>
      <c r="M2816" t="s">
        <v>35</v>
      </c>
      <c r="N2816">
        <f t="shared" si="259"/>
        <v>0</v>
      </c>
      <c r="O2816" t="str">
        <f t="shared" si="258"/>
        <v>Low</v>
      </c>
      <c r="P2816" t="str">
        <f t="shared" si="260"/>
        <v>High</v>
      </c>
      <c r="Q2816" t="str">
        <f t="shared" si="261"/>
        <v>Low Loan</v>
      </c>
      <c r="R2816">
        <f t="shared" si="262"/>
        <v>26400000</v>
      </c>
      <c r="S2816" t="str">
        <f t="shared" si="263"/>
        <v>Strong</v>
      </c>
    </row>
    <row r="2817" spans="1:19" x14ac:dyDescent="0.25">
      <c r="A2817">
        <v>2816</v>
      </c>
      <c r="B2817">
        <v>1</v>
      </c>
      <c r="C2817" t="s">
        <v>30</v>
      </c>
      <c r="D2817" t="s">
        <v>32</v>
      </c>
      <c r="E2817">
        <v>6600000</v>
      </c>
      <c r="F2817">
        <v>24800000</v>
      </c>
      <c r="G2817">
        <v>4</v>
      </c>
      <c r="H2817">
        <v>500</v>
      </c>
      <c r="I2817">
        <v>8600000</v>
      </c>
      <c r="J2817">
        <v>4100000</v>
      </c>
      <c r="K2817">
        <v>16700000</v>
      </c>
      <c r="L2817">
        <v>6100000</v>
      </c>
      <c r="M2817" t="s">
        <v>34</v>
      </c>
      <c r="N2817">
        <f t="shared" si="259"/>
        <v>1</v>
      </c>
      <c r="O2817" t="str">
        <f t="shared" si="258"/>
        <v>Low</v>
      </c>
      <c r="P2817" t="str">
        <f t="shared" si="260"/>
        <v>High</v>
      </c>
      <c r="Q2817" t="str">
        <f t="shared" si="261"/>
        <v>High Loan</v>
      </c>
      <c r="R2817">
        <f t="shared" si="262"/>
        <v>35500000</v>
      </c>
      <c r="S2817" t="str">
        <f t="shared" si="263"/>
        <v>Strong</v>
      </c>
    </row>
    <row r="2818" spans="1:19" x14ac:dyDescent="0.25">
      <c r="A2818">
        <v>2817</v>
      </c>
      <c r="B2818">
        <v>4</v>
      </c>
      <c r="C2818" t="s">
        <v>30</v>
      </c>
      <c r="D2818" t="s">
        <v>32</v>
      </c>
      <c r="E2818">
        <v>5100000</v>
      </c>
      <c r="F2818">
        <v>12200000</v>
      </c>
      <c r="G2818">
        <v>14</v>
      </c>
      <c r="H2818">
        <v>511</v>
      </c>
      <c r="I2818">
        <v>2700000</v>
      </c>
      <c r="J2818">
        <v>6000000</v>
      </c>
      <c r="K2818">
        <v>18300000</v>
      </c>
      <c r="L2818">
        <v>3400000</v>
      </c>
      <c r="M2818" t="s">
        <v>35</v>
      </c>
      <c r="N2818">
        <f t="shared" si="259"/>
        <v>0</v>
      </c>
      <c r="O2818" t="str">
        <f t="shared" ref="O2818:O2881" si="264">IF(H2818&lt;650,"Low",
 IF(H2818&lt;700,"Medium",
 IF(H2818&lt;750,"Good","Excellent")))</f>
        <v>Low</v>
      </c>
      <c r="P2818" t="str">
        <f t="shared" si="260"/>
        <v>High</v>
      </c>
      <c r="Q2818" t="str">
        <f t="shared" si="261"/>
        <v>Low Loan</v>
      </c>
      <c r="R2818">
        <f t="shared" si="262"/>
        <v>30400000</v>
      </c>
      <c r="S2818" t="str">
        <f t="shared" si="263"/>
        <v>Strong</v>
      </c>
    </row>
    <row r="2819" spans="1:19" x14ac:dyDescent="0.25">
      <c r="A2819">
        <v>2818</v>
      </c>
      <c r="B2819">
        <v>4</v>
      </c>
      <c r="C2819" t="s">
        <v>30</v>
      </c>
      <c r="D2819" t="s">
        <v>32</v>
      </c>
      <c r="E2819">
        <v>8200000</v>
      </c>
      <c r="F2819">
        <v>25200000</v>
      </c>
      <c r="G2819">
        <v>18</v>
      </c>
      <c r="H2819">
        <v>691</v>
      </c>
      <c r="I2819">
        <v>5800000</v>
      </c>
      <c r="J2819">
        <v>8900000</v>
      </c>
      <c r="K2819">
        <v>28500000</v>
      </c>
      <c r="L2819">
        <v>10500000</v>
      </c>
      <c r="M2819" t="s">
        <v>34</v>
      </c>
      <c r="N2819">
        <f t="shared" ref="N2819:N2882" si="265">IF(TRIM(CLEAN(M2819))="Approved",1,0)</f>
        <v>1</v>
      </c>
      <c r="O2819" t="str">
        <f t="shared" si="264"/>
        <v>Medium</v>
      </c>
      <c r="P2819" t="str">
        <f t="shared" ref="P2819:P2882" si="266">IF(E2819&lt;300000,"Low",
 IF(E2819&lt;700000,"Middle","High"))</f>
        <v>High</v>
      </c>
      <c r="Q2819" t="str">
        <f t="shared" ref="Q2819:Q2882" si="267">IF(F2819&lt;20000000,"Low Loan","High Loan")</f>
        <v>High Loan</v>
      </c>
      <c r="R2819">
        <f t="shared" ref="R2819:R2882" si="268">I2819+J2819+K2819+L2819</f>
        <v>53700000</v>
      </c>
      <c r="S2819" t="str">
        <f t="shared" ref="S2819:S2882" si="269">IF(R2819&lt;5000000,"Weak",
 IF(R2819&lt;10000000,"Moderate","Strong"))</f>
        <v>Strong</v>
      </c>
    </row>
    <row r="2820" spans="1:19" x14ac:dyDescent="0.25">
      <c r="A2820">
        <v>2819</v>
      </c>
      <c r="B2820">
        <v>1</v>
      </c>
      <c r="C2820" t="s">
        <v>31</v>
      </c>
      <c r="D2820" t="s">
        <v>33</v>
      </c>
      <c r="E2820">
        <v>9500000</v>
      </c>
      <c r="F2820">
        <v>24400000</v>
      </c>
      <c r="G2820">
        <v>14</v>
      </c>
      <c r="H2820">
        <v>696</v>
      </c>
      <c r="I2820">
        <v>25500000</v>
      </c>
      <c r="J2820">
        <v>6700000</v>
      </c>
      <c r="K2820">
        <v>29500000</v>
      </c>
      <c r="L2820">
        <v>6300000</v>
      </c>
      <c r="M2820" t="s">
        <v>34</v>
      </c>
      <c r="N2820">
        <f t="shared" si="265"/>
        <v>1</v>
      </c>
      <c r="O2820" t="str">
        <f t="shared" si="264"/>
        <v>Medium</v>
      </c>
      <c r="P2820" t="str">
        <f t="shared" si="266"/>
        <v>High</v>
      </c>
      <c r="Q2820" t="str">
        <f t="shared" si="267"/>
        <v>High Loan</v>
      </c>
      <c r="R2820">
        <f t="shared" si="268"/>
        <v>68000000</v>
      </c>
      <c r="S2820" t="str">
        <f t="shared" si="269"/>
        <v>Strong</v>
      </c>
    </row>
    <row r="2821" spans="1:19" x14ac:dyDescent="0.25">
      <c r="A2821">
        <v>2820</v>
      </c>
      <c r="B2821">
        <v>0</v>
      </c>
      <c r="C2821" t="s">
        <v>31</v>
      </c>
      <c r="D2821" t="s">
        <v>33</v>
      </c>
      <c r="E2821">
        <v>7600000</v>
      </c>
      <c r="F2821">
        <v>27600000</v>
      </c>
      <c r="G2821">
        <v>2</v>
      </c>
      <c r="H2821">
        <v>437</v>
      </c>
      <c r="I2821">
        <v>10000000</v>
      </c>
      <c r="J2821">
        <v>11200000</v>
      </c>
      <c r="K2821">
        <v>27600000</v>
      </c>
      <c r="L2821">
        <v>6800000</v>
      </c>
      <c r="M2821" t="s">
        <v>34</v>
      </c>
      <c r="N2821">
        <f t="shared" si="265"/>
        <v>1</v>
      </c>
      <c r="O2821" t="str">
        <f t="shared" si="264"/>
        <v>Low</v>
      </c>
      <c r="P2821" t="str">
        <f t="shared" si="266"/>
        <v>High</v>
      </c>
      <c r="Q2821" t="str">
        <f t="shared" si="267"/>
        <v>High Loan</v>
      </c>
      <c r="R2821">
        <f t="shared" si="268"/>
        <v>55600000</v>
      </c>
      <c r="S2821" t="str">
        <f t="shared" si="269"/>
        <v>Strong</v>
      </c>
    </row>
    <row r="2822" spans="1:19" x14ac:dyDescent="0.25">
      <c r="A2822">
        <v>2821</v>
      </c>
      <c r="B2822">
        <v>2</v>
      </c>
      <c r="C2822" t="s">
        <v>31</v>
      </c>
      <c r="D2822" t="s">
        <v>33</v>
      </c>
      <c r="E2822">
        <v>8400000</v>
      </c>
      <c r="F2822">
        <v>20800000</v>
      </c>
      <c r="G2822">
        <v>12</v>
      </c>
      <c r="H2822">
        <v>335</v>
      </c>
      <c r="I2822">
        <v>6700000</v>
      </c>
      <c r="J2822">
        <v>12300000</v>
      </c>
      <c r="K2822">
        <v>18500000</v>
      </c>
      <c r="L2822">
        <v>10100000</v>
      </c>
      <c r="M2822" t="s">
        <v>35</v>
      </c>
      <c r="N2822">
        <f t="shared" si="265"/>
        <v>0</v>
      </c>
      <c r="O2822" t="str">
        <f t="shared" si="264"/>
        <v>Low</v>
      </c>
      <c r="P2822" t="str">
        <f t="shared" si="266"/>
        <v>High</v>
      </c>
      <c r="Q2822" t="str">
        <f t="shared" si="267"/>
        <v>High Loan</v>
      </c>
      <c r="R2822">
        <f t="shared" si="268"/>
        <v>47600000</v>
      </c>
      <c r="S2822" t="str">
        <f t="shared" si="269"/>
        <v>Strong</v>
      </c>
    </row>
    <row r="2823" spans="1:19" x14ac:dyDescent="0.25">
      <c r="A2823">
        <v>2822</v>
      </c>
      <c r="B2823">
        <v>4</v>
      </c>
      <c r="C2823" t="s">
        <v>30</v>
      </c>
      <c r="D2823" t="s">
        <v>32</v>
      </c>
      <c r="E2823">
        <v>7600000</v>
      </c>
      <c r="F2823">
        <v>25100000</v>
      </c>
      <c r="G2823">
        <v>4</v>
      </c>
      <c r="H2823">
        <v>671</v>
      </c>
      <c r="I2823">
        <v>4600000</v>
      </c>
      <c r="J2823">
        <v>13200000</v>
      </c>
      <c r="K2823">
        <v>27400000</v>
      </c>
      <c r="L2823">
        <v>4300000</v>
      </c>
      <c r="M2823" t="s">
        <v>34</v>
      </c>
      <c r="N2823">
        <f t="shared" si="265"/>
        <v>1</v>
      </c>
      <c r="O2823" t="str">
        <f t="shared" si="264"/>
        <v>Medium</v>
      </c>
      <c r="P2823" t="str">
        <f t="shared" si="266"/>
        <v>High</v>
      </c>
      <c r="Q2823" t="str">
        <f t="shared" si="267"/>
        <v>High Loan</v>
      </c>
      <c r="R2823">
        <f t="shared" si="268"/>
        <v>49500000</v>
      </c>
      <c r="S2823" t="str">
        <f t="shared" si="269"/>
        <v>Strong</v>
      </c>
    </row>
    <row r="2824" spans="1:19" x14ac:dyDescent="0.25">
      <c r="A2824">
        <v>2823</v>
      </c>
      <c r="B2824">
        <v>4</v>
      </c>
      <c r="C2824" t="s">
        <v>31</v>
      </c>
      <c r="D2824" t="s">
        <v>33</v>
      </c>
      <c r="E2824">
        <v>1400000</v>
      </c>
      <c r="F2824">
        <v>3700000</v>
      </c>
      <c r="G2824">
        <v>12</v>
      </c>
      <c r="H2824">
        <v>621</v>
      </c>
      <c r="I2824">
        <v>3100000</v>
      </c>
      <c r="J2824">
        <v>900000</v>
      </c>
      <c r="K2824">
        <v>5100000</v>
      </c>
      <c r="L2824">
        <v>1800000</v>
      </c>
      <c r="M2824" t="s">
        <v>34</v>
      </c>
      <c r="N2824">
        <f t="shared" si="265"/>
        <v>1</v>
      </c>
      <c r="O2824" t="str">
        <f t="shared" si="264"/>
        <v>Low</v>
      </c>
      <c r="P2824" t="str">
        <f t="shared" si="266"/>
        <v>High</v>
      </c>
      <c r="Q2824" t="str">
        <f t="shared" si="267"/>
        <v>Low Loan</v>
      </c>
      <c r="R2824">
        <f t="shared" si="268"/>
        <v>10900000</v>
      </c>
      <c r="S2824" t="str">
        <f t="shared" si="269"/>
        <v>Strong</v>
      </c>
    </row>
    <row r="2825" spans="1:19" x14ac:dyDescent="0.25">
      <c r="A2825">
        <v>2824</v>
      </c>
      <c r="B2825">
        <v>4</v>
      </c>
      <c r="C2825" t="s">
        <v>31</v>
      </c>
      <c r="D2825" t="s">
        <v>33</v>
      </c>
      <c r="E2825">
        <v>2700000</v>
      </c>
      <c r="F2825">
        <v>6800000</v>
      </c>
      <c r="G2825">
        <v>10</v>
      </c>
      <c r="H2825">
        <v>455</v>
      </c>
      <c r="I2825">
        <v>4700000</v>
      </c>
      <c r="J2825">
        <v>2600000</v>
      </c>
      <c r="K2825">
        <v>7400000</v>
      </c>
      <c r="L2825">
        <v>2700000</v>
      </c>
      <c r="M2825" t="s">
        <v>35</v>
      </c>
      <c r="N2825">
        <f t="shared" si="265"/>
        <v>0</v>
      </c>
      <c r="O2825" t="str">
        <f t="shared" si="264"/>
        <v>Low</v>
      </c>
      <c r="P2825" t="str">
        <f t="shared" si="266"/>
        <v>High</v>
      </c>
      <c r="Q2825" t="str">
        <f t="shared" si="267"/>
        <v>Low Loan</v>
      </c>
      <c r="R2825">
        <f t="shared" si="268"/>
        <v>17400000</v>
      </c>
      <c r="S2825" t="str">
        <f t="shared" si="269"/>
        <v>Strong</v>
      </c>
    </row>
    <row r="2826" spans="1:19" x14ac:dyDescent="0.25">
      <c r="A2826">
        <v>2825</v>
      </c>
      <c r="B2826">
        <v>1</v>
      </c>
      <c r="C2826" t="s">
        <v>30</v>
      </c>
      <c r="D2826" t="s">
        <v>33</v>
      </c>
      <c r="E2826">
        <v>200000</v>
      </c>
      <c r="F2826">
        <v>500000</v>
      </c>
      <c r="G2826">
        <v>10</v>
      </c>
      <c r="H2826">
        <v>856</v>
      </c>
      <c r="I2826">
        <v>500000</v>
      </c>
      <c r="J2826">
        <v>200000</v>
      </c>
      <c r="K2826">
        <v>500000</v>
      </c>
      <c r="L2826">
        <v>200000</v>
      </c>
      <c r="M2826" t="s">
        <v>34</v>
      </c>
      <c r="N2826">
        <f t="shared" si="265"/>
        <v>1</v>
      </c>
      <c r="O2826" t="str">
        <f t="shared" si="264"/>
        <v>Excellent</v>
      </c>
      <c r="P2826" t="str">
        <f t="shared" si="266"/>
        <v>Low</v>
      </c>
      <c r="Q2826" t="str">
        <f t="shared" si="267"/>
        <v>Low Loan</v>
      </c>
      <c r="R2826">
        <f t="shared" si="268"/>
        <v>1400000</v>
      </c>
      <c r="S2826" t="str">
        <f t="shared" si="269"/>
        <v>Weak</v>
      </c>
    </row>
    <row r="2827" spans="1:19" x14ac:dyDescent="0.25">
      <c r="A2827">
        <v>2826</v>
      </c>
      <c r="B2827">
        <v>3</v>
      </c>
      <c r="C2827" t="s">
        <v>30</v>
      </c>
      <c r="D2827" t="s">
        <v>32</v>
      </c>
      <c r="E2827">
        <v>600000</v>
      </c>
      <c r="F2827">
        <v>2100000</v>
      </c>
      <c r="G2827">
        <v>16</v>
      </c>
      <c r="H2827">
        <v>892</v>
      </c>
      <c r="I2827">
        <v>700000</v>
      </c>
      <c r="J2827">
        <v>400000</v>
      </c>
      <c r="K2827">
        <v>2400000</v>
      </c>
      <c r="L2827">
        <v>500000</v>
      </c>
      <c r="M2827" t="s">
        <v>34</v>
      </c>
      <c r="N2827">
        <f t="shared" si="265"/>
        <v>1</v>
      </c>
      <c r="O2827" t="str">
        <f t="shared" si="264"/>
        <v>Excellent</v>
      </c>
      <c r="P2827" t="str">
        <f t="shared" si="266"/>
        <v>Middle</v>
      </c>
      <c r="Q2827" t="str">
        <f t="shared" si="267"/>
        <v>Low Loan</v>
      </c>
      <c r="R2827">
        <f t="shared" si="268"/>
        <v>4000000</v>
      </c>
      <c r="S2827" t="str">
        <f t="shared" si="269"/>
        <v>Weak</v>
      </c>
    </row>
    <row r="2828" spans="1:19" x14ac:dyDescent="0.25">
      <c r="A2828">
        <v>2827</v>
      </c>
      <c r="B2828">
        <v>4</v>
      </c>
      <c r="C2828" t="s">
        <v>30</v>
      </c>
      <c r="D2828" t="s">
        <v>32</v>
      </c>
      <c r="E2828">
        <v>5200000</v>
      </c>
      <c r="F2828">
        <v>12900000</v>
      </c>
      <c r="G2828">
        <v>16</v>
      </c>
      <c r="H2828">
        <v>819</v>
      </c>
      <c r="I2828">
        <v>3400000</v>
      </c>
      <c r="J2828">
        <v>4100000</v>
      </c>
      <c r="K2828">
        <v>16800000</v>
      </c>
      <c r="L2828">
        <v>7500000</v>
      </c>
      <c r="M2828" t="s">
        <v>34</v>
      </c>
      <c r="N2828">
        <f t="shared" si="265"/>
        <v>1</v>
      </c>
      <c r="O2828" t="str">
        <f t="shared" si="264"/>
        <v>Excellent</v>
      </c>
      <c r="P2828" t="str">
        <f t="shared" si="266"/>
        <v>High</v>
      </c>
      <c r="Q2828" t="str">
        <f t="shared" si="267"/>
        <v>Low Loan</v>
      </c>
      <c r="R2828">
        <f t="shared" si="268"/>
        <v>31800000</v>
      </c>
      <c r="S2828" t="str">
        <f t="shared" si="269"/>
        <v>Strong</v>
      </c>
    </row>
    <row r="2829" spans="1:19" x14ac:dyDescent="0.25">
      <c r="A2829">
        <v>2828</v>
      </c>
      <c r="B2829">
        <v>0</v>
      </c>
      <c r="C2829" t="s">
        <v>31</v>
      </c>
      <c r="D2829" t="s">
        <v>33</v>
      </c>
      <c r="E2829">
        <v>5100000</v>
      </c>
      <c r="F2829">
        <v>11600000</v>
      </c>
      <c r="G2829">
        <v>10</v>
      </c>
      <c r="H2829">
        <v>308</v>
      </c>
      <c r="I2829">
        <v>8700000</v>
      </c>
      <c r="J2829">
        <v>1300000</v>
      </c>
      <c r="K2829">
        <v>10700000</v>
      </c>
      <c r="L2829">
        <v>7000000</v>
      </c>
      <c r="M2829" t="s">
        <v>35</v>
      </c>
      <c r="N2829">
        <f t="shared" si="265"/>
        <v>0</v>
      </c>
      <c r="O2829" t="str">
        <f t="shared" si="264"/>
        <v>Low</v>
      </c>
      <c r="P2829" t="str">
        <f t="shared" si="266"/>
        <v>High</v>
      </c>
      <c r="Q2829" t="str">
        <f t="shared" si="267"/>
        <v>Low Loan</v>
      </c>
      <c r="R2829">
        <f t="shared" si="268"/>
        <v>27700000</v>
      </c>
      <c r="S2829" t="str">
        <f t="shared" si="269"/>
        <v>Strong</v>
      </c>
    </row>
    <row r="2830" spans="1:19" x14ac:dyDescent="0.25">
      <c r="A2830">
        <v>2829</v>
      </c>
      <c r="B2830">
        <v>4</v>
      </c>
      <c r="C2830" t="s">
        <v>30</v>
      </c>
      <c r="D2830" t="s">
        <v>33</v>
      </c>
      <c r="E2830">
        <v>9200000</v>
      </c>
      <c r="F2830">
        <v>18600000</v>
      </c>
      <c r="G2830">
        <v>2</v>
      </c>
      <c r="H2830">
        <v>889</v>
      </c>
      <c r="I2830">
        <v>26900000</v>
      </c>
      <c r="J2830">
        <v>4200000</v>
      </c>
      <c r="K2830">
        <v>33300000</v>
      </c>
      <c r="L2830">
        <v>9700000</v>
      </c>
      <c r="M2830" t="s">
        <v>34</v>
      </c>
      <c r="N2830">
        <f t="shared" si="265"/>
        <v>1</v>
      </c>
      <c r="O2830" t="str">
        <f t="shared" si="264"/>
        <v>Excellent</v>
      </c>
      <c r="P2830" t="str">
        <f t="shared" si="266"/>
        <v>High</v>
      </c>
      <c r="Q2830" t="str">
        <f t="shared" si="267"/>
        <v>Low Loan</v>
      </c>
      <c r="R2830">
        <f t="shared" si="268"/>
        <v>74100000</v>
      </c>
      <c r="S2830" t="str">
        <f t="shared" si="269"/>
        <v>Strong</v>
      </c>
    </row>
    <row r="2831" spans="1:19" x14ac:dyDescent="0.25">
      <c r="A2831">
        <v>2830</v>
      </c>
      <c r="B2831">
        <v>5</v>
      </c>
      <c r="C2831" t="s">
        <v>31</v>
      </c>
      <c r="D2831" t="s">
        <v>32</v>
      </c>
      <c r="E2831">
        <v>6500000</v>
      </c>
      <c r="F2831">
        <v>23200000</v>
      </c>
      <c r="G2831">
        <v>18</v>
      </c>
      <c r="H2831">
        <v>713</v>
      </c>
      <c r="I2831">
        <v>6700000</v>
      </c>
      <c r="J2831">
        <v>1400000</v>
      </c>
      <c r="K2831">
        <v>13400000</v>
      </c>
      <c r="L2831">
        <v>7200000</v>
      </c>
      <c r="M2831" t="s">
        <v>34</v>
      </c>
      <c r="N2831">
        <f t="shared" si="265"/>
        <v>1</v>
      </c>
      <c r="O2831" t="str">
        <f t="shared" si="264"/>
        <v>Good</v>
      </c>
      <c r="P2831" t="str">
        <f t="shared" si="266"/>
        <v>High</v>
      </c>
      <c r="Q2831" t="str">
        <f t="shared" si="267"/>
        <v>High Loan</v>
      </c>
      <c r="R2831">
        <f t="shared" si="268"/>
        <v>28700000</v>
      </c>
      <c r="S2831" t="str">
        <f t="shared" si="269"/>
        <v>Strong</v>
      </c>
    </row>
    <row r="2832" spans="1:19" x14ac:dyDescent="0.25">
      <c r="A2832">
        <v>2831</v>
      </c>
      <c r="B2832">
        <v>0</v>
      </c>
      <c r="C2832" t="s">
        <v>30</v>
      </c>
      <c r="D2832" t="s">
        <v>32</v>
      </c>
      <c r="E2832">
        <v>8500000</v>
      </c>
      <c r="F2832">
        <v>21000000</v>
      </c>
      <c r="G2832">
        <v>6</v>
      </c>
      <c r="H2832">
        <v>665</v>
      </c>
      <c r="I2832">
        <v>3600000</v>
      </c>
      <c r="J2832">
        <v>9600000</v>
      </c>
      <c r="K2832">
        <v>27500000</v>
      </c>
      <c r="L2832">
        <v>11300000</v>
      </c>
      <c r="M2832" t="s">
        <v>34</v>
      </c>
      <c r="N2832">
        <f t="shared" si="265"/>
        <v>1</v>
      </c>
      <c r="O2832" t="str">
        <f t="shared" si="264"/>
        <v>Medium</v>
      </c>
      <c r="P2832" t="str">
        <f t="shared" si="266"/>
        <v>High</v>
      </c>
      <c r="Q2832" t="str">
        <f t="shared" si="267"/>
        <v>High Loan</v>
      </c>
      <c r="R2832">
        <f t="shared" si="268"/>
        <v>52000000</v>
      </c>
      <c r="S2832" t="str">
        <f t="shared" si="269"/>
        <v>Strong</v>
      </c>
    </row>
    <row r="2833" spans="1:19" x14ac:dyDescent="0.25">
      <c r="A2833">
        <v>2832</v>
      </c>
      <c r="B2833">
        <v>4</v>
      </c>
      <c r="C2833" t="s">
        <v>31</v>
      </c>
      <c r="D2833" t="s">
        <v>32</v>
      </c>
      <c r="E2833">
        <v>2000000</v>
      </c>
      <c r="F2833">
        <v>6000000</v>
      </c>
      <c r="G2833">
        <v>12</v>
      </c>
      <c r="H2833">
        <v>837</v>
      </c>
      <c r="I2833">
        <v>1300000</v>
      </c>
      <c r="J2833">
        <v>1900000</v>
      </c>
      <c r="K2833">
        <v>6300000</v>
      </c>
      <c r="L2833">
        <v>2300000</v>
      </c>
      <c r="M2833" t="s">
        <v>34</v>
      </c>
      <c r="N2833">
        <f t="shared" si="265"/>
        <v>1</v>
      </c>
      <c r="O2833" t="str">
        <f t="shared" si="264"/>
        <v>Excellent</v>
      </c>
      <c r="P2833" t="str">
        <f t="shared" si="266"/>
        <v>High</v>
      </c>
      <c r="Q2833" t="str">
        <f t="shared" si="267"/>
        <v>Low Loan</v>
      </c>
      <c r="R2833">
        <f t="shared" si="268"/>
        <v>11800000</v>
      </c>
      <c r="S2833" t="str">
        <f t="shared" si="269"/>
        <v>Strong</v>
      </c>
    </row>
    <row r="2834" spans="1:19" x14ac:dyDescent="0.25">
      <c r="A2834">
        <v>2833</v>
      </c>
      <c r="B2834">
        <v>4</v>
      </c>
      <c r="C2834" t="s">
        <v>31</v>
      </c>
      <c r="D2834" t="s">
        <v>33</v>
      </c>
      <c r="E2834">
        <v>7500000</v>
      </c>
      <c r="F2834">
        <v>18000000</v>
      </c>
      <c r="G2834">
        <v>20</v>
      </c>
      <c r="H2834">
        <v>395</v>
      </c>
      <c r="I2834">
        <v>200000</v>
      </c>
      <c r="J2834">
        <v>12800000</v>
      </c>
      <c r="K2834">
        <v>23500000</v>
      </c>
      <c r="L2834">
        <v>9700000</v>
      </c>
      <c r="M2834" t="s">
        <v>35</v>
      </c>
      <c r="N2834">
        <f t="shared" si="265"/>
        <v>0</v>
      </c>
      <c r="O2834" t="str">
        <f t="shared" si="264"/>
        <v>Low</v>
      </c>
      <c r="P2834" t="str">
        <f t="shared" si="266"/>
        <v>High</v>
      </c>
      <c r="Q2834" t="str">
        <f t="shared" si="267"/>
        <v>Low Loan</v>
      </c>
      <c r="R2834">
        <f t="shared" si="268"/>
        <v>46200000</v>
      </c>
      <c r="S2834" t="str">
        <f t="shared" si="269"/>
        <v>Strong</v>
      </c>
    </row>
    <row r="2835" spans="1:19" x14ac:dyDescent="0.25">
      <c r="A2835">
        <v>2834</v>
      </c>
      <c r="B2835">
        <v>0</v>
      </c>
      <c r="C2835" t="s">
        <v>30</v>
      </c>
      <c r="D2835" t="s">
        <v>33</v>
      </c>
      <c r="E2835">
        <v>7500000</v>
      </c>
      <c r="F2835">
        <v>28900000</v>
      </c>
      <c r="G2835">
        <v>10</v>
      </c>
      <c r="H2835">
        <v>632</v>
      </c>
      <c r="I2835">
        <v>21700000</v>
      </c>
      <c r="J2835">
        <v>10700000</v>
      </c>
      <c r="K2835">
        <v>24700000</v>
      </c>
      <c r="L2835">
        <v>9900000</v>
      </c>
      <c r="M2835" t="s">
        <v>34</v>
      </c>
      <c r="N2835">
        <f t="shared" si="265"/>
        <v>1</v>
      </c>
      <c r="O2835" t="str">
        <f t="shared" si="264"/>
        <v>Low</v>
      </c>
      <c r="P2835" t="str">
        <f t="shared" si="266"/>
        <v>High</v>
      </c>
      <c r="Q2835" t="str">
        <f t="shared" si="267"/>
        <v>High Loan</v>
      </c>
      <c r="R2835">
        <f t="shared" si="268"/>
        <v>67000000</v>
      </c>
      <c r="S2835" t="str">
        <f t="shared" si="269"/>
        <v>Strong</v>
      </c>
    </row>
    <row r="2836" spans="1:19" x14ac:dyDescent="0.25">
      <c r="A2836">
        <v>2835</v>
      </c>
      <c r="B2836">
        <v>2</v>
      </c>
      <c r="C2836" t="s">
        <v>31</v>
      </c>
      <c r="D2836" t="s">
        <v>32</v>
      </c>
      <c r="E2836">
        <v>2000000</v>
      </c>
      <c r="F2836">
        <v>4300000</v>
      </c>
      <c r="G2836">
        <v>16</v>
      </c>
      <c r="H2836">
        <v>497</v>
      </c>
      <c r="I2836">
        <v>5100000</v>
      </c>
      <c r="J2836">
        <v>200000</v>
      </c>
      <c r="K2836">
        <v>5700000</v>
      </c>
      <c r="L2836">
        <v>2800000</v>
      </c>
      <c r="M2836" t="s">
        <v>35</v>
      </c>
      <c r="N2836">
        <f t="shared" si="265"/>
        <v>0</v>
      </c>
      <c r="O2836" t="str">
        <f t="shared" si="264"/>
        <v>Low</v>
      </c>
      <c r="P2836" t="str">
        <f t="shared" si="266"/>
        <v>High</v>
      </c>
      <c r="Q2836" t="str">
        <f t="shared" si="267"/>
        <v>Low Loan</v>
      </c>
      <c r="R2836">
        <f t="shared" si="268"/>
        <v>13800000</v>
      </c>
      <c r="S2836" t="str">
        <f t="shared" si="269"/>
        <v>Strong</v>
      </c>
    </row>
    <row r="2837" spans="1:19" x14ac:dyDescent="0.25">
      <c r="A2837">
        <v>2836</v>
      </c>
      <c r="B2837">
        <v>3</v>
      </c>
      <c r="C2837" t="s">
        <v>30</v>
      </c>
      <c r="D2837" t="s">
        <v>33</v>
      </c>
      <c r="E2837">
        <v>1400000</v>
      </c>
      <c r="F2837">
        <v>2700000</v>
      </c>
      <c r="G2837">
        <v>14</v>
      </c>
      <c r="H2837">
        <v>694</v>
      </c>
      <c r="I2837">
        <v>3800000</v>
      </c>
      <c r="J2837">
        <v>200000</v>
      </c>
      <c r="K2837">
        <v>3600000</v>
      </c>
      <c r="L2837">
        <v>1700000</v>
      </c>
      <c r="M2837" t="s">
        <v>34</v>
      </c>
      <c r="N2837">
        <f t="shared" si="265"/>
        <v>1</v>
      </c>
      <c r="O2837" t="str">
        <f t="shared" si="264"/>
        <v>Medium</v>
      </c>
      <c r="P2837" t="str">
        <f t="shared" si="266"/>
        <v>High</v>
      </c>
      <c r="Q2837" t="str">
        <f t="shared" si="267"/>
        <v>Low Loan</v>
      </c>
      <c r="R2837">
        <f t="shared" si="268"/>
        <v>9300000</v>
      </c>
      <c r="S2837" t="str">
        <f t="shared" si="269"/>
        <v>Moderate</v>
      </c>
    </row>
    <row r="2838" spans="1:19" x14ac:dyDescent="0.25">
      <c r="A2838">
        <v>2837</v>
      </c>
      <c r="B2838">
        <v>1</v>
      </c>
      <c r="C2838" t="s">
        <v>31</v>
      </c>
      <c r="D2838" t="s">
        <v>33</v>
      </c>
      <c r="E2838">
        <v>1700000</v>
      </c>
      <c r="F2838">
        <v>5600000</v>
      </c>
      <c r="G2838">
        <v>2</v>
      </c>
      <c r="H2838">
        <v>882</v>
      </c>
      <c r="I2838">
        <v>3100000</v>
      </c>
      <c r="J2838">
        <v>2600000</v>
      </c>
      <c r="K2838">
        <v>6700000</v>
      </c>
      <c r="L2838">
        <v>1600000</v>
      </c>
      <c r="M2838" t="s">
        <v>34</v>
      </c>
      <c r="N2838">
        <f t="shared" si="265"/>
        <v>1</v>
      </c>
      <c r="O2838" t="str">
        <f t="shared" si="264"/>
        <v>Excellent</v>
      </c>
      <c r="P2838" t="str">
        <f t="shared" si="266"/>
        <v>High</v>
      </c>
      <c r="Q2838" t="str">
        <f t="shared" si="267"/>
        <v>Low Loan</v>
      </c>
      <c r="R2838">
        <f t="shared" si="268"/>
        <v>14000000</v>
      </c>
      <c r="S2838" t="str">
        <f t="shared" si="269"/>
        <v>Strong</v>
      </c>
    </row>
    <row r="2839" spans="1:19" x14ac:dyDescent="0.25">
      <c r="A2839">
        <v>2838</v>
      </c>
      <c r="B2839">
        <v>2</v>
      </c>
      <c r="C2839" t="s">
        <v>30</v>
      </c>
      <c r="D2839" t="s">
        <v>33</v>
      </c>
      <c r="E2839">
        <v>5300000</v>
      </c>
      <c r="F2839">
        <v>14900000</v>
      </c>
      <c r="G2839">
        <v>6</v>
      </c>
      <c r="H2839">
        <v>504</v>
      </c>
      <c r="I2839">
        <v>10600000</v>
      </c>
      <c r="J2839">
        <v>2100000</v>
      </c>
      <c r="K2839">
        <v>17000000</v>
      </c>
      <c r="L2839">
        <v>3200000</v>
      </c>
      <c r="M2839" t="s">
        <v>35</v>
      </c>
      <c r="N2839">
        <f t="shared" si="265"/>
        <v>0</v>
      </c>
      <c r="O2839" t="str">
        <f t="shared" si="264"/>
        <v>Low</v>
      </c>
      <c r="P2839" t="str">
        <f t="shared" si="266"/>
        <v>High</v>
      </c>
      <c r="Q2839" t="str">
        <f t="shared" si="267"/>
        <v>Low Loan</v>
      </c>
      <c r="R2839">
        <f t="shared" si="268"/>
        <v>32900000</v>
      </c>
      <c r="S2839" t="str">
        <f t="shared" si="269"/>
        <v>Strong</v>
      </c>
    </row>
    <row r="2840" spans="1:19" x14ac:dyDescent="0.25">
      <c r="A2840">
        <v>2839</v>
      </c>
      <c r="B2840">
        <v>4</v>
      </c>
      <c r="C2840" t="s">
        <v>31</v>
      </c>
      <c r="D2840" t="s">
        <v>32</v>
      </c>
      <c r="E2840">
        <v>8900000</v>
      </c>
      <c r="F2840">
        <v>30100000</v>
      </c>
      <c r="G2840">
        <v>2</v>
      </c>
      <c r="H2840">
        <v>747</v>
      </c>
      <c r="I2840">
        <v>20600000</v>
      </c>
      <c r="J2840">
        <v>12900000</v>
      </c>
      <c r="K2840">
        <v>20700000</v>
      </c>
      <c r="L2840">
        <v>10300000</v>
      </c>
      <c r="M2840" t="s">
        <v>34</v>
      </c>
      <c r="N2840">
        <f t="shared" si="265"/>
        <v>1</v>
      </c>
      <c r="O2840" t="str">
        <f t="shared" si="264"/>
        <v>Good</v>
      </c>
      <c r="P2840" t="str">
        <f t="shared" si="266"/>
        <v>High</v>
      </c>
      <c r="Q2840" t="str">
        <f t="shared" si="267"/>
        <v>High Loan</v>
      </c>
      <c r="R2840">
        <f t="shared" si="268"/>
        <v>64500000</v>
      </c>
      <c r="S2840" t="str">
        <f t="shared" si="269"/>
        <v>Strong</v>
      </c>
    </row>
    <row r="2841" spans="1:19" x14ac:dyDescent="0.25">
      <c r="A2841">
        <v>2840</v>
      </c>
      <c r="B2841">
        <v>3</v>
      </c>
      <c r="C2841" t="s">
        <v>30</v>
      </c>
      <c r="D2841" t="s">
        <v>32</v>
      </c>
      <c r="E2841">
        <v>9700000</v>
      </c>
      <c r="F2841">
        <v>35300000</v>
      </c>
      <c r="G2841">
        <v>4</v>
      </c>
      <c r="H2841">
        <v>462</v>
      </c>
      <c r="I2841">
        <v>11500000</v>
      </c>
      <c r="J2841">
        <v>9500000</v>
      </c>
      <c r="K2841">
        <v>33700000</v>
      </c>
      <c r="L2841">
        <v>7200000</v>
      </c>
      <c r="M2841" t="s">
        <v>34</v>
      </c>
      <c r="N2841">
        <f t="shared" si="265"/>
        <v>1</v>
      </c>
      <c r="O2841" t="str">
        <f t="shared" si="264"/>
        <v>Low</v>
      </c>
      <c r="P2841" t="str">
        <f t="shared" si="266"/>
        <v>High</v>
      </c>
      <c r="Q2841" t="str">
        <f t="shared" si="267"/>
        <v>High Loan</v>
      </c>
      <c r="R2841">
        <f t="shared" si="268"/>
        <v>61900000</v>
      </c>
      <c r="S2841" t="str">
        <f t="shared" si="269"/>
        <v>Strong</v>
      </c>
    </row>
    <row r="2842" spans="1:19" x14ac:dyDescent="0.25">
      <c r="A2842">
        <v>2841</v>
      </c>
      <c r="B2842">
        <v>5</v>
      </c>
      <c r="C2842" t="s">
        <v>30</v>
      </c>
      <c r="D2842" t="s">
        <v>32</v>
      </c>
      <c r="E2842">
        <v>9000000</v>
      </c>
      <c r="F2842">
        <v>25900000</v>
      </c>
      <c r="G2842">
        <v>4</v>
      </c>
      <c r="H2842">
        <v>538</v>
      </c>
      <c r="I2842">
        <v>11100000</v>
      </c>
      <c r="J2842">
        <v>11100000</v>
      </c>
      <c r="K2842">
        <v>31300000</v>
      </c>
      <c r="L2842">
        <v>8100000</v>
      </c>
      <c r="M2842" t="s">
        <v>35</v>
      </c>
      <c r="N2842">
        <f t="shared" si="265"/>
        <v>0</v>
      </c>
      <c r="O2842" t="str">
        <f t="shared" si="264"/>
        <v>Low</v>
      </c>
      <c r="P2842" t="str">
        <f t="shared" si="266"/>
        <v>High</v>
      </c>
      <c r="Q2842" t="str">
        <f t="shared" si="267"/>
        <v>High Loan</v>
      </c>
      <c r="R2842">
        <f t="shared" si="268"/>
        <v>61600000</v>
      </c>
      <c r="S2842" t="str">
        <f t="shared" si="269"/>
        <v>Strong</v>
      </c>
    </row>
    <row r="2843" spans="1:19" x14ac:dyDescent="0.25">
      <c r="A2843">
        <v>2842</v>
      </c>
      <c r="B2843">
        <v>2</v>
      </c>
      <c r="C2843" t="s">
        <v>31</v>
      </c>
      <c r="D2843" t="s">
        <v>33</v>
      </c>
      <c r="E2843">
        <v>8500000</v>
      </c>
      <c r="F2843">
        <v>30900000</v>
      </c>
      <c r="G2843">
        <v>6</v>
      </c>
      <c r="H2843">
        <v>664</v>
      </c>
      <c r="I2843">
        <v>5700000</v>
      </c>
      <c r="J2843">
        <v>9900000</v>
      </c>
      <c r="K2843">
        <v>19800000</v>
      </c>
      <c r="L2843">
        <v>7400000</v>
      </c>
      <c r="M2843" t="s">
        <v>34</v>
      </c>
      <c r="N2843">
        <f t="shared" si="265"/>
        <v>1</v>
      </c>
      <c r="O2843" t="str">
        <f t="shared" si="264"/>
        <v>Medium</v>
      </c>
      <c r="P2843" t="str">
        <f t="shared" si="266"/>
        <v>High</v>
      </c>
      <c r="Q2843" t="str">
        <f t="shared" si="267"/>
        <v>High Loan</v>
      </c>
      <c r="R2843">
        <f t="shared" si="268"/>
        <v>42800000</v>
      </c>
      <c r="S2843" t="str">
        <f t="shared" si="269"/>
        <v>Strong</v>
      </c>
    </row>
    <row r="2844" spans="1:19" x14ac:dyDescent="0.25">
      <c r="A2844">
        <v>2843</v>
      </c>
      <c r="B2844">
        <v>1</v>
      </c>
      <c r="C2844" t="s">
        <v>31</v>
      </c>
      <c r="D2844" t="s">
        <v>32</v>
      </c>
      <c r="E2844">
        <v>3500000</v>
      </c>
      <c r="F2844">
        <v>10900000</v>
      </c>
      <c r="G2844">
        <v>4</v>
      </c>
      <c r="H2844">
        <v>524</v>
      </c>
      <c r="I2844">
        <v>8800000</v>
      </c>
      <c r="J2844">
        <v>6200000</v>
      </c>
      <c r="K2844">
        <v>13600000</v>
      </c>
      <c r="L2844">
        <v>2800000</v>
      </c>
      <c r="M2844" t="s">
        <v>34</v>
      </c>
      <c r="N2844">
        <f t="shared" si="265"/>
        <v>1</v>
      </c>
      <c r="O2844" t="str">
        <f t="shared" si="264"/>
        <v>Low</v>
      </c>
      <c r="P2844" t="str">
        <f t="shared" si="266"/>
        <v>High</v>
      </c>
      <c r="Q2844" t="str">
        <f t="shared" si="267"/>
        <v>Low Loan</v>
      </c>
      <c r="R2844">
        <f t="shared" si="268"/>
        <v>31400000</v>
      </c>
      <c r="S2844" t="str">
        <f t="shared" si="269"/>
        <v>Strong</v>
      </c>
    </row>
    <row r="2845" spans="1:19" x14ac:dyDescent="0.25">
      <c r="A2845">
        <v>2844</v>
      </c>
      <c r="B2845">
        <v>1</v>
      </c>
      <c r="C2845" t="s">
        <v>31</v>
      </c>
      <c r="D2845" t="s">
        <v>32</v>
      </c>
      <c r="E2845">
        <v>500000</v>
      </c>
      <c r="F2845">
        <v>1400000</v>
      </c>
      <c r="G2845">
        <v>6</v>
      </c>
      <c r="H2845">
        <v>464</v>
      </c>
      <c r="I2845">
        <v>1100000</v>
      </c>
      <c r="J2845">
        <v>0</v>
      </c>
      <c r="K2845">
        <v>1900000</v>
      </c>
      <c r="L2845">
        <v>500000</v>
      </c>
      <c r="M2845" t="s">
        <v>35</v>
      </c>
      <c r="N2845">
        <f t="shared" si="265"/>
        <v>0</v>
      </c>
      <c r="O2845" t="str">
        <f t="shared" si="264"/>
        <v>Low</v>
      </c>
      <c r="P2845" t="str">
        <f t="shared" si="266"/>
        <v>Middle</v>
      </c>
      <c r="Q2845" t="str">
        <f t="shared" si="267"/>
        <v>Low Loan</v>
      </c>
      <c r="R2845">
        <f t="shared" si="268"/>
        <v>3500000</v>
      </c>
      <c r="S2845" t="str">
        <f t="shared" si="269"/>
        <v>Weak</v>
      </c>
    </row>
    <row r="2846" spans="1:19" x14ac:dyDescent="0.25">
      <c r="A2846">
        <v>2845</v>
      </c>
      <c r="B2846">
        <v>3</v>
      </c>
      <c r="C2846" t="s">
        <v>30</v>
      </c>
      <c r="D2846" t="s">
        <v>32</v>
      </c>
      <c r="E2846">
        <v>8900000</v>
      </c>
      <c r="F2846">
        <v>19100000</v>
      </c>
      <c r="G2846">
        <v>6</v>
      </c>
      <c r="H2846">
        <v>807</v>
      </c>
      <c r="I2846">
        <v>2300000</v>
      </c>
      <c r="J2846">
        <v>16500000</v>
      </c>
      <c r="K2846">
        <v>29900000</v>
      </c>
      <c r="L2846">
        <v>10400000</v>
      </c>
      <c r="M2846" t="s">
        <v>34</v>
      </c>
      <c r="N2846">
        <f t="shared" si="265"/>
        <v>1</v>
      </c>
      <c r="O2846" t="str">
        <f t="shared" si="264"/>
        <v>Excellent</v>
      </c>
      <c r="P2846" t="str">
        <f t="shared" si="266"/>
        <v>High</v>
      </c>
      <c r="Q2846" t="str">
        <f t="shared" si="267"/>
        <v>Low Loan</v>
      </c>
      <c r="R2846">
        <f t="shared" si="268"/>
        <v>59100000</v>
      </c>
      <c r="S2846" t="str">
        <f t="shared" si="269"/>
        <v>Strong</v>
      </c>
    </row>
    <row r="2847" spans="1:19" x14ac:dyDescent="0.25">
      <c r="A2847">
        <v>2846</v>
      </c>
      <c r="B2847">
        <v>2</v>
      </c>
      <c r="C2847" t="s">
        <v>31</v>
      </c>
      <c r="D2847" t="s">
        <v>33</v>
      </c>
      <c r="E2847">
        <v>7800000</v>
      </c>
      <c r="F2847">
        <v>27200000</v>
      </c>
      <c r="G2847">
        <v>18</v>
      </c>
      <c r="H2847">
        <v>622</v>
      </c>
      <c r="I2847">
        <v>6000000</v>
      </c>
      <c r="J2847">
        <v>6000000</v>
      </c>
      <c r="K2847">
        <v>26400000</v>
      </c>
      <c r="L2847">
        <v>4300000</v>
      </c>
      <c r="M2847" t="s">
        <v>34</v>
      </c>
      <c r="N2847">
        <f t="shared" si="265"/>
        <v>1</v>
      </c>
      <c r="O2847" t="str">
        <f t="shared" si="264"/>
        <v>Low</v>
      </c>
      <c r="P2847" t="str">
        <f t="shared" si="266"/>
        <v>High</v>
      </c>
      <c r="Q2847" t="str">
        <f t="shared" si="267"/>
        <v>High Loan</v>
      </c>
      <c r="R2847">
        <f t="shared" si="268"/>
        <v>42700000</v>
      </c>
      <c r="S2847" t="str">
        <f t="shared" si="269"/>
        <v>Strong</v>
      </c>
    </row>
    <row r="2848" spans="1:19" x14ac:dyDescent="0.25">
      <c r="A2848">
        <v>2847</v>
      </c>
      <c r="B2848">
        <v>5</v>
      </c>
      <c r="C2848" t="s">
        <v>31</v>
      </c>
      <c r="D2848" t="s">
        <v>33</v>
      </c>
      <c r="E2848">
        <v>9800000</v>
      </c>
      <c r="F2848">
        <v>27800000</v>
      </c>
      <c r="G2848">
        <v>6</v>
      </c>
      <c r="H2848">
        <v>827</v>
      </c>
      <c r="I2848">
        <v>2400000</v>
      </c>
      <c r="J2848">
        <v>14900000</v>
      </c>
      <c r="K2848">
        <v>32800000</v>
      </c>
      <c r="L2848">
        <v>9500000</v>
      </c>
      <c r="M2848" t="s">
        <v>34</v>
      </c>
      <c r="N2848">
        <f t="shared" si="265"/>
        <v>1</v>
      </c>
      <c r="O2848" t="str">
        <f t="shared" si="264"/>
        <v>Excellent</v>
      </c>
      <c r="P2848" t="str">
        <f t="shared" si="266"/>
        <v>High</v>
      </c>
      <c r="Q2848" t="str">
        <f t="shared" si="267"/>
        <v>High Loan</v>
      </c>
      <c r="R2848">
        <f t="shared" si="268"/>
        <v>59600000</v>
      </c>
      <c r="S2848" t="str">
        <f t="shared" si="269"/>
        <v>Strong</v>
      </c>
    </row>
    <row r="2849" spans="1:19" x14ac:dyDescent="0.25">
      <c r="A2849">
        <v>2848</v>
      </c>
      <c r="B2849">
        <v>0</v>
      </c>
      <c r="C2849" t="s">
        <v>30</v>
      </c>
      <c r="D2849" t="s">
        <v>32</v>
      </c>
      <c r="E2849">
        <v>5200000</v>
      </c>
      <c r="F2849">
        <v>19000000</v>
      </c>
      <c r="G2849">
        <v>14</v>
      </c>
      <c r="H2849">
        <v>687</v>
      </c>
      <c r="I2849">
        <v>11900000</v>
      </c>
      <c r="J2849">
        <v>500000</v>
      </c>
      <c r="K2849">
        <v>19400000</v>
      </c>
      <c r="L2849">
        <v>4400000</v>
      </c>
      <c r="M2849" t="s">
        <v>34</v>
      </c>
      <c r="N2849">
        <f t="shared" si="265"/>
        <v>1</v>
      </c>
      <c r="O2849" t="str">
        <f t="shared" si="264"/>
        <v>Medium</v>
      </c>
      <c r="P2849" t="str">
        <f t="shared" si="266"/>
        <v>High</v>
      </c>
      <c r="Q2849" t="str">
        <f t="shared" si="267"/>
        <v>Low Loan</v>
      </c>
      <c r="R2849">
        <f t="shared" si="268"/>
        <v>36200000</v>
      </c>
      <c r="S2849" t="str">
        <f t="shared" si="269"/>
        <v>Strong</v>
      </c>
    </row>
    <row r="2850" spans="1:19" x14ac:dyDescent="0.25">
      <c r="A2850">
        <v>2849</v>
      </c>
      <c r="B2850">
        <v>4</v>
      </c>
      <c r="C2850" t="s">
        <v>30</v>
      </c>
      <c r="D2850" t="s">
        <v>32</v>
      </c>
      <c r="E2850">
        <v>7400000</v>
      </c>
      <c r="F2850">
        <v>19400000</v>
      </c>
      <c r="G2850">
        <v>16</v>
      </c>
      <c r="H2850">
        <v>835</v>
      </c>
      <c r="I2850">
        <v>16400000</v>
      </c>
      <c r="J2850">
        <v>14200000</v>
      </c>
      <c r="K2850">
        <v>23500000</v>
      </c>
      <c r="L2850">
        <v>6500000</v>
      </c>
      <c r="M2850" t="s">
        <v>34</v>
      </c>
      <c r="N2850">
        <f t="shared" si="265"/>
        <v>1</v>
      </c>
      <c r="O2850" t="str">
        <f t="shared" si="264"/>
        <v>Excellent</v>
      </c>
      <c r="P2850" t="str">
        <f t="shared" si="266"/>
        <v>High</v>
      </c>
      <c r="Q2850" t="str">
        <f t="shared" si="267"/>
        <v>Low Loan</v>
      </c>
      <c r="R2850">
        <f t="shared" si="268"/>
        <v>60600000</v>
      </c>
      <c r="S2850" t="str">
        <f t="shared" si="269"/>
        <v>Strong</v>
      </c>
    </row>
    <row r="2851" spans="1:19" x14ac:dyDescent="0.25">
      <c r="A2851">
        <v>2850</v>
      </c>
      <c r="B2851">
        <v>3</v>
      </c>
      <c r="C2851" t="s">
        <v>30</v>
      </c>
      <c r="D2851" t="s">
        <v>33</v>
      </c>
      <c r="E2851">
        <v>1200000</v>
      </c>
      <c r="F2851">
        <v>3300000</v>
      </c>
      <c r="G2851">
        <v>6</v>
      </c>
      <c r="H2851">
        <v>772</v>
      </c>
      <c r="I2851">
        <v>700000</v>
      </c>
      <c r="J2851">
        <v>900000</v>
      </c>
      <c r="K2851">
        <v>2900000</v>
      </c>
      <c r="L2851">
        <v>1400000</v>
      </c>
      <c r="M2851" t="s">
        <v>34</v>
      </c>
      <c r="N2851">
        <f t="shared" si="265"/>
        <v>1</v>
      </c>
      <c r="O2851" t="str">
        <f t="shared" si="264"/>
        <v>Excellent</v>
      </c>
      <c r="P2851" t="str">
        <f t="shared" si="266"/>
        <v>High</v>
      </c>
      <c r="Q2851" t="str">
        <f t="shared" si="267"/>
        <v>Low Loan</v>
      </c>
      <c r="R2851">
        <f t="shared" si="268"/>
        <v>5900000</v>
      </c>
      <c r="S2851" t="str">
        <f t="shared" si="269"/>
        <v>Moderate</v>
      </c>
    </row>
    <row r="2852" spans="1:19" x14ac:dyDescent="0.25">
      <c r="A2852">
        <v>2851</v>
      </c>
      <c r="B2852">
        <v>1</v>
      </c>
      <c r="C2852" t="s">
        <v>31</v>
      </c>
      <c r="D2852" t="s">
        <v>33</v>
      </c>
      <c r="E2852">
        <v>1000000</v>
      </c>
      <c r="F2852">
        <v>3200000</v>
      </c>
      <c r="G2852">
        <v>2</v>
      </c>
      <c r="H2852">
        <v>710</v>
      </c>
      <c r="I2852">
        <v>100000</v>
      </c>
      <c r="J2852">
        <v>200000</v>
      </c>
      <c r="K2852">
        <v>3300000</v>
      </c>
      <c r="L2852">
        <v>900000</v>
      </c>
      <c r="M2852" t="s">
        <v>34</v>
      </c>
      <c r="N2852">
        <f t="shared" si="265"/>
        <v>1</v>
      </c>
      <c r="O2852" t="str">
        <f t="shared" si="264"/>
        <v>Good</v>
      </c>
      <c r="P2852" t="str">
        <f t="shared" si="266"/>
        <v>High</v>
      </c>
      <c r="Q2852" t="str">
        <f t="shared" si="267"/>
        <v>Low Loan</v>
      </c>
      <c r="R2852">
        <f t="shared" si="268"/>
        <v>4500000</v>
      </c>
      <c r="S2852" t="str">
        <f t="shared" si="269"/>
        <v>Weak</v>
      </c>
    </row>
    <row r="2853" spans="1:19" x14ac:dyDescent="0.25">
      <c r="A2853">
        <v>2852</v>
      </c>
      <c r="B2853">
        <v>3</v>
      </c>
      <c r="C2853" t="s">
        <v>30</v>
      </c>
      <c r="D2853" t="s">
        <v>33</v>
      </c>
      <c r="E2853">
        <v>9500000</v>
      </c>
      <c r="F2853">
        <v>32500000</v>
      </c>
      <c r="G2853">
        <v>14</v>
      </c>
      <c r="H2853">
        <v>581</v>
      </c>
      <c r="I2853">
        <v>2800000</v>
      </c>
      <c r="J2853">
        <v>14300000</v>
      </c>
      <c r="K2853">
        <v>36000000</v>
      </c>
      <c r="L2853">
        <v>4700000</v>
      </c>
      <c r="M2853" t="s">
        <v>34</v>
      </c>
      <c r="N2853">
        <f t="shared" si="265"/>
        <v>1</v>
      </c>
      <c r="O2853" t="str">
        <f t="shared" si="264"/>
        <v>Low</v>
      </c>
      <c r="P2853" t="str">
        <f t="shared" si="266"/>
        <v>High</v>
      </c>
      <c r="Q2853" t="str">
        <f t="shared" si="267"/>
        <v>High Loan</v>
      </c>
      <c r="R2853">
        <f t="shared" si="268"/>
        <v>57800000</v>
      </c>
      <c r="S2853" t="str">
        <f t="shared" si="269"/>
        <v>Strong</v>
      </c>
    </row>
    <row r="2854" spans="1:19" x14ac:dyDescent="0.25">
      <c r="A2854">
        <v>2853</v>
      </c>
      <c r="B2854">
        <v>3</v>
      </c>
      <c r="C2854" t="s">
        <v>31</v>
      </c>
      <c r="D2854" t="s">
        <v>32</v>
      </c>
      <c r="E2854">
        <v>4500000</v>
      </c>
      <c r="F2854">
        <v>11700000</v>
      </c>
      <c r="G2854">
        <v>18</v>
      </c>
      <c r="H2854">
        <v>775</v>
      </c>
      <c r="I2854">
        <v>8700000</v>
      </c>
      <c r="J2854">
        <v>2800000</v>
      </c>
      <c r="K2854">
        <v>12700000</v>
      </c>
      <c r="L2854">
        <v>4500000</v>
      </c>
      <c r="M2854" t="s">
        <v>34</v>
      </c>
      <c r="N2854">
        <f t="shared" si="265"/>
        <v>1</v>
      </c>
      <c r="O2854" t="str">
        <f t="shared" si="264"/>
        <v>Excellent</v>
      </c>
      <c r="P2854" t="str">
        <f t="shared" si="266"/>
        <v>High</v>
      </c>
      <c r="Q2854" t="str">
        <f t="shared" si="267"/>
        <v>Low Loan</v>
      </c>
      <c r="R2854">
        <f t="shared" si="268"/>
        <v>28700000</v>
      </c>
      <c r="S2854" t="str">
        <f t="shared" si="269"/>
        <v>Strong</v>
      </c>
    </row>
    <row r="2855" spans="1:19" x14ac:dyDescent="0.25">
      <c r="A2855">
        <v>2854</v>
      </c>
      <c r="B2855">
        <v>2</v>
      </c>
      <c r="C2855" t="s">
        <v>30</v>
      </c>
      <c r="D2855" t="s">
        <v>32</v>
      </c>
      <c r="E2855">
        <v>4900000</v>
      </c>
      <c r="F2855">
        <v>16000000</v>
      </c>
      <c r="G2855">
        <v>12</v>
      </c>
      <c r="H2855">
        <v>710</v>
      </c>
      <c r="I2855">
        <v>8700000</v>
      </c>
      <c r="J2855">
        <v>7100000</v>
      </c>
      <c r="K2855">
        <v>10000000</v>
      </c>
      <c r="L2855">
        <v>5700000</v>
      </c>
      <c r="M2855" t="s">
        <v>34</v>
      </c>
      <c r="N2855">
        <f t="shared" si="265"/>
        <v>1</v>
      </c>
      <c r="O2855" t="str">
        <f t="shared" si="264"/>
        <v>Good</v>
      </c>
      <c r="P2855" t="str">
        <f t="shared" si="266"/>
        <v>High</v>
      </c>
      <c r="Q2855" t="str">
        <f t="shared" si="267"/>
        <v>Low Loan</v>
      </c>
      <c r="R2855">
        <f t="shared" si="268"/>
        <v>31500000</v>
      </c>
      <c r="S2855" t="str">
        <f t="shared" si="269"/>
        <v>Strong</v>
      </c>
    </row>
    <row r="2856" spans="1:19" x14ac:dyDescent="0.25">
      <c r="A2856">
        <v>2855</v>
      </c>
      <c r="B2856">
        <v>3</v>
      </c>
      <c r="C2856" t="s">
        <v>31</v>
      </c>
      <c r="D2856" t="s">
        <v>33</v>
      </c>
      <c r="E2856">
        <v>700000</v>
      </c>
      <c r="F2856">
        <v>2500000</v>
      </c>
      <c r="G2856">
        <v>8</v>
      </c>
      <c r="H2856">
        <v>321</v>
      </c>
      <c r="I2856">
        <v>1900000</v>
      </c>
      <c r="J2856">
        <v>1200000</v>
      </c>
      <c r="K2856">
        <v>1700000</v>
      </c>
      <c r="L2856">
        <v>400000</v>
      </c>
      <c r="M2856" t="s">
        <v>35</v>
      </c>
      <c r="N2856">
        <f t="shared" si="265"/>
        <v>0</v>
      </c>
      <c r="O2856" t="str">
        <f t="shared" si="264"/>
        <v>Low</v>
      </c>
      <c r="P2856" t="str">
        <f t="shared" si="266"/>
        <v>High</v>
      </c>
      <c r="Q2856" t="str">
        <f t="shared" si="267"/>
        <v>Low Loan</v>
      </c>
      <c r="R2856">
        <f t="shared" si="268"/>
        <v>5200000</v>
      </c>
      <c r="S2856" t="str">
        <f t="shared" si="269"/>
        <v>Moderate</v>
      </c>
    </row>
    <row r="2857" spans="1:19" x14ac:dyDescent="0.25">
      <c r="A2857">
        <v>2856</v>
      </c>
      <c r="B2857">
        <v>0</v>
      </c>
      <c r="C2857" t="s">
        <v>30</v>
      </c>
      <c r="D2857" t="s">
        <v>32</v>
      </c>
      <c r="E2857">
        <v>9400000</v>
      </c>
      <c r="F2857">
        <v>28300000</v>
      </c>
      <c r="G2857">
        <v>20</v>
      </c>
      <c r="H2857">
        <v>761</v>
      </c>
      <c r="I2857">
        <v>22500000</v>
      </c>
      <c r="J2857">
        <v>14800000</v>
      </c>
      <c r="K2857">
        <v>30800000</v>
      </c>
      <c r="L2857">
        <v>10100000</v>
      </c>
      <c r="M2857" t="s">
        <v>34</v>
      </c>
      <c r="N2857">
        <f t="shared" si="265"/>
        <v>1</v>
      </c>
      <c r="O2857" t="str">
        <f t="shared" si="264"/>
        <v>Excellent</v>
      </c>
      <c r="P2857" t="str">
        <f t="shared" si="266"/>
        <v>High</v>
      </c>
      <c r="Q2857" t="str">
        <f t="shared" si="267"/>
        <v>High Loan</v>
      </c>
      <c r="R2857">
        <f t="shared" si="268"/>
        <v>78200000</v>
      </c>
      <c r="S2857" t="str">
        <f t="shared" si="269"/>
        <v>Strong</v>
      </c>
    </row>
    <row r="2858" spans="1:19" x14ac:dyDescent="0.25">
      <c r="A2858">
        <v>2857</v>
      </c>
      <c r="B2858">
        <v>3</v>
      </c>
      <c r="C2858" t="s">
        <v>31</v>
      </c>
      <c r="D2858" t="s">
        <v>33</v>
      </c>
      <c r="E2858">
        <v>8300000</v>
      </c>
      <c r="F2858">
        <v>31400000</v>
      </c>
      <c r="G2858">
        <v>6</v>
      </c>
      <c r="H2858">
        <v>674</v>
      </c>
      <c r="I2858">
        <v>1000000</v>
      </c>
      <c r="J2858">
        <v>1600000</v>
      </c>
      <c r="K2858">
        <v>17200000</v>
      </c>
      <c r="L2858">
        <v>6100000</v>
      </c>
      <c r="M2858" t="s">
        <v>35</v>
      </c>
      <c r="N2858">
        <f t="shared" si="265"/>
        <v>0</v>
      </c>
      <c r="O2858" t="str">
        <f t="shared" si="264"/>
        <v>Medium</v>
      </c>
      <c r="P2858" t="str">
        <f t="shared" si="266"/>
        <v>High</v>
      </c>
      <c r="Q2858" t="str">
        <f t="shared" si="267"/>
        <v>High Loan</v>
      </c>
      <c r="R2858">
        <f t="shared" si="268"/>
        <v>25900000</v>
      </c>
      <c r="S2858" t="str">
        <f t="shared" si="269"/>
        <v>Strong</v>
      </c>
    </row>
    <row r="2859" spans="1:19" x14ac:dyDescent="0.25">
      <c r="A2859">
        <v>2858</v>
      </c>
      <c r="B2859">
        <v>4</v>
      </c>
      <c r="C2859" t="s">
        <v>30</v>
      </c>
      <c r="D2859" t="s">
        <v>33</v>
      </c>
      <c r="E2859">
        <v>5600000</v>
      </c>
      <c r="F2859">
        <v>13000000</v>
      </c>
      <c r="G2859">
        <v>4</v>
      </c>
      <c r="H2859">
        <v>899</v>
      </c>
      <c r="I2859">
        <v>10500000</v>
      </c>
      <c r="J2859">
        <v>9100000</v>
      </c>
      <c r="K2859">
        <v>11400000</v>
      </c>
      <c r="L2859">
        <v>6400000</v>
      </c>
      <c r="M2859" t="s">
        <v>34</v>
      </c>
      <c r="N2859">
        <f t="shared" si="265"/>
        <v>1</v>
      </c>
      <c r="O2859" t="str">
        <f t="shared" si="264"/>
        <v>Excellent</v>
      </c>
      <c r="P2859" t="str">
        <f t="shared" si="266"/>
        <v>High</v>
      </c>
      <c r="Q2859" t="str">
        <f t="shared" si="267"/>
        <v>Low Loan</v>
      </c>
      <c r="R2859">
        <f t="shared" si="268"/>
        <v>37400000</v>
      </c>
      <c r="S2859" t="str">
        <f t="shared" si="269"/>
        <v>Strong</v>
      </c>
    </row>
    <row r="2860" spans="1:19" x14ac:dyDescent="0.25">
      <c r="A2860">
        <v>2859</v>
      </c>
      <c r="B2860">
        <v>5</v>
      </c>
      <c r="C2860" t="s">
        <v>31</v>
      </c>
      <c r="D2860" t="s">
        <v>33</v>
      </c>
      <c r="E2860">
        <v>4400000</v>
      </c>
      <c r="F2860">
        <v>12300000</v>
      </c>
      <c r="G2860">
        <v>8</v>
      </c>
      <c r="H2860">
        <v>567</v>
      </c>
      <c r="I2860">
        <v>2400000</v>
      </c>
      <c r="J2860">
        <v>500000</v>
      </c>
      <c r="K2860">
        <v>12900000</v>
      </c>
      <c r="L2860">
        <v>6300000</v>
      </c>
      <c r="M2860" t="s">
        <v>34</v>
      </c>
      <c r="N2860">
        <f t="shared" si="265"/>
        <v>1</v>
      </c>
      <c r="O2860" t="str">
        <f t="shared" si="264"/>
        <v>Low</v>
      </c>
      <c r="P2860" t="str">
        <f t="shared" si="266"/>
        <v>High</v>
      </c>
      <c r="Q2860" t="str">
        <f t="shared" si="267"/>
        <v>Low Loan</v>
      </c>
      <c r="R2860">
        <f t="shared" si="268"/>
        <v>22100000</v>
      </c>
      <c r="S2860" t="str">
        <f t="shared" si="269"/>
        <v>Strong</v>
      </c>
    </row>
    <row r="2861" spans="1:19" x14ac:dyDescent="0.25">
      <c r="A2861">
        <v>2860</v>
      </c>
      <c r="B2861">
        <v>3</v>
      </c>
      <c r="C2861" t="s">
        <v>30</v>
      </c>
      <c r="D2861" t="s">
        <v>32</v>
      </c>
      <c r="E2861">
        <v>2100000</v>
      </c>
      <c r="F2861">
        <v>5400000</v>
      </c>
      <c r="G2861">
        <v>8</v>
      </c>
      <c r="H2861">
        <v>771</v>
      </c>
      <c r="I2861">
        <v>5200000</v>
      </c>
      <c r="J2861">
        <v>3700000</v>
      </c>
      <c r="K2861">
        <v>6200000</v>
      </c>
      <c r="L2861">
        <v>1000000</v>
      </c>
      <c r="M2861" t="s">
        <v>34</v>
      </c>
      <c r="N2861">
        <f t="shared" si="265"/>
        <v>1</v>
      </c>
      <c r="O2861" t="str">
        <f t="shared" si="264"/>
        <v>Excellent</v>
      </c>
      <c r="P2861" t="str">
        <f t="shared" si="266"/>
        <v>High</v>
      </c>
      <c r="Q2861" t="str">
        <f t="shared" si="267"/>
        <v>Low Loan</v>
      </c>
      <c r="R2861">
        <f t="shared" si="268"/>
        <v>16100000</v>
      </c>
      <c r="S2861" t="str">
        <f t="shared" si="269"/>
        <v>Strong</v>
      </c>
    </row>
    <row r="2862" spans="1:19" x14ac:dyDescent="0.25">
      <c r="A2862">
        <v>2861</v>
      </c>
      <c r="B2862">
        <v>1</v>
      </c>
      <c r="C2862" t="s">
        <v>31</v>
      </c>
      <c r="D2862" t="s">
        <v>33</v>
      </c>
      <c r="E2862">
        <v>4400000</v>
      </c>
      <c r="F2862">
        <v>10600000</v>
      </c>
      <c r="G2862">
        <v>4</v>
      </c>
      <c r="H2862">
        <v>360</v>
      </c>
      <c r="I2862">
        <v>6600000</v>
      </c>
      <c r="J2862">
        <v>7700000</v>
      </c>
      <c r="K2862">
        <v>15100000</v>
      </c>
      <c r="L2862">
        <v>5000000</v>
      </c>
      <c r="M2862" t="s">
        <v>35</v>
      </c>
      <c r="N2862">
        <f t="shared" si="265"/>
        <v>0</v>
      </c>
      <c r="O2862" t="str">
        <f t="shared" si="264"/>
        <v>Low</v>
      </c>
      <c r="P2862" t="str">
        <f t="shared" si="266"/>
        <v>High</v>
      </c>
      <c r="Q2862" t="str">
        <f t="shared" si="267"/>
        <v>Low Loan</v>
      </c>
      <c r="R2862">
        <f t="shared" si="268"/>
        <v>34400000</v>
      </c>
      <c r="S2862" t="str">
        <f t="shared" si="269"/>
        <v>Strong</v>
      </c>
    </row>
    <row r="2863" spans="1:19" x14ac:dyDescent="0.25">
      <c r="A2863">
        <v>2862</v>
      </c>
      <c r="B2863">
        <v>0</v>
      </c>
      <c r="C2863" t="s">
        <v>31</v>
      </c>
      <c r="D2863" t="s">
        <v>32</v>
      </c>
      <c r="E2863">
        <v>6300000</v>
      </c>
      <c r="F2863">
        <v>19600000</v>
      </c>
      <c r="G2863">
        <v>6</v>
      </c>
      <c r="H2863">
        <v>425</v>
      </c>
      <c r="I2863">
        <v>15900000</v>
      </c>
      <c r="J2863">
        <v>10400000</v>
      </c>
      <c r="K2863">
        <v>13300000</v>
      </c>
      <c r="L2863">
        <v>5900000</v>
      </c>
      <c r="M2863" t="s">
        <v>35</v>
      </c>
      <c r="N2863">
        <f t="shared" si="265"/>
        <v>0</v>
      </c>
      <c r="O2863" t="str">
        <f t="shared" si="264"/>
        <v>Low</v>
      </c>
      <c r="P2863" t="str">
        <f t="shared" si="266"/>
        <v>High</v>
      </c>
      <c r="Q2863" t="str">
        <f t="shared" si="267"/>
        <v>Low Loan</v>
      </c>
      <c r="R2863">
        <f t="shared" si="268"/>
        <v>45500000</v>
      </c>
      <c r="S2863" t="str">
        <f t="shared" si="269"/>
        <v>Strong</v>
      </c>
    </row>
    <row r="2864" spans="1:19" x14ac:dyDescent="0.25">
      <c r="A2864">
        <v>2863</v>
      </c>
      <c r="B2864">
        <v>4</v>
      </c>
      <c r="C2864" t="s">
        <v>30</v>
      </c>
      <c r="D2864" t="s">
        <v>32</v>
      </c>
      <c r="E2864">
        <v>9900000</v>
      </c>
      <c r="F2864">
        <v>30000000</v>
      </c>
      <c r="G2864">
        <v>18</v>
      </c>
      <c r="H2864">
        <v>496</v>
      </c>
      <c r="I2864">
        <v>10400000</v>
      </c>
      <c r="J2864">
        <v>8000000</v>
      </c>
      <c r="K2864">
        <v>29300000</v>
      </c>
      <c r="L2864">
        <v>13800000</v>
      </c>
      <c r="M2864" t="s">
        <v>35</v>
      </c>
      <c r="N2864">
        <f t="shared" si="265"/>
        <v>0</v>
      </c>
      <c r="O2864" t="str">
        <f t="shared" si="264"/>
        <v>Low</v>
      </c>
      <c r="P2864" t="str">
        <f t="shared" si="266"/>
        <v>High</v>
      </c>
      <c r="Q2864" t="str">
        <f t="shared" si="267"/>
        <v>High Loan</v>
      </c>
      <c r="R2864">
        <f t="shared" si="268"/>
        <v>61500000</v>
      </c>
      <c r="S2864" t="str">
        <f t="shared" si="269"/>
        <v>Strong</v>
      </c>
    </row>
    <row r="2865" spans="1:19" x14ac:dyDescent="0.25">
      <c r="A2865">
        <v>2864</v>
      </c>
      <c r="B2865">
        <v>3</v>
      </c>
      <c r="C2865" t="s">
        <v>31</v>
      </c>
      <c r="D2865" t="s">
        <v>32</v>
      </c>
      <c r="E2865">
        <v>700000</v>
      </c>
      <c r="F2865">
        <v>1600000</v>
      </c>
      <c r="G2865">
        <v>20</v>
      </c>
      <c r="H2865">
        <v>705</v>
      </c>
      <c r="I2865">
        <v>600000</v>
      </c>
      <c r="J2865">
        <v>900000</v>
      </c>
      <c r="K2865">
        <v>2300000</v>
      </c>
      <c r="L2865">
        <v>700000</v>
      </c>
      <c r="M2865" t="s">
        <v>34</v>
      </c>
      <c r="N2865">
        <f t="shared" si="265"/>
        <v>1</v>
      </c>
      <c r="O2865" t="str">
        <f t="shared" si="264"/>
        <v>Good</v>
      </c>
      <c r="P2865" t="str">
        <f t="shared" si="266"/>
        <v>High</v>
      </c>
      <c r="Q2865" t="str">
        <f t="shared" si="267"/>
        <v>Low Loan</v>
      </c>
      <c r="R2865">
        <f t="shared" si="268"/>
        <v>4500000</v>
      </c>
      <c r="S2865" t="str">
        <f t="shared" si="269"/>
        <v>Weak</v>
      </c>
    </row>
    <row r="2866" spans="1:19" x14ac:dyDescent="0.25">
      <c r="A2866">
        <v>2865</v>
      </c>
      <c r="B2866">
        <v>4</v>
      </c>
      <c r="C2866" t="s">
        <v>31</v>
      </c>
      <c r="D2866" t="s">
        <v>32</v>
      </c>
      <c r="E2866">
        <v>3600000</v>
      </c>
      <c r="F2866">
        <v>12400000</v>
      </c>
      <c r="G2866">
        <v>14</v>
      </c>
      <c r="H2866">
        <v>427</v>
      </c>
      <c r="I2866">
        <v>10400000</v>
      </c>
      <c r="J2866">
        <v>2400000</v>
      </c>
      <c r="K2866">
        <v>9100000</v>
      </c>
      <c r="L2866">
        <v>2600000</v>
      </c>
      <c r="M2866" t="s">
        <v>35</v>
      </c>
      <c r="N2866">
        <f t="shared" si="265"/>
        <v>0</v>
      </c>
      <c r="O2866" t="str">
        <f t="shared" si="264"/>
        <v>Low</v>
      </c>
      <c r="P2866" t="str">
        <f t="shared" si="266"/>
        <v>High</v>
      </c>
      <c r="Q2866" t="str">
        <f t="shared" si="267"/>
        <v>Low Loan</v>
      </c>
      <c r="R2866">
        <f t="shared" si="268"/>
        <v>24500000</v>
      </c>
      <c r="S2866" t="str">
        <f t="shared" si="269"/>
        <v>Strong</v>
      </c>
    </row>
    <row r="2867" spans="1:19" x14ac:dyDescent="0.25">
      <c r="A2867">
        <v>2866</v>
      </c>
      <c r="B2867">
        <v>1</v>
      </c>
      <c r="C2867" t="s">
        <v>31</v>
      </c>
      <c r="D2867" t="s">
        <v>33</v>
      </c>
      <c r="E2867">
        <v>5600000</v>
      </c>
      <c r="F2867">
        <v>21000000</v>
      </c>
      <c r="G2867">
        <v>2</v>
      </c>
      <c r="H2867">
        <v>552</v>
      </c>
      <c r="I2867">
        <v>3200000</v>
      </c>
      <c r="J2867">
        <v>6300000</v>
      </c>
      <c r="K2867">
        <v>22100000</v>
      </c>
      <c r="L2867">
        <v>6100000</v>
      </c>
      <c r="M2867" t="s">
        <v>34</v>
      </c>
      <c r="N2867">
        <f t="shared" si="265"/>
        <v>1</v>
      </c>
      <c r="O2867" t="str">
        <f t="shared" si="264"/>
        <v>Low</v>
      </c>
      <c r="P2867" t="str">
        <f t="shared" si="266"/>
        <v>High</v>
      </c>
      <c r="Q2867" t="str">
        <f t="shared" si="267"/>
        <v>High Loan</v>
      </c>
      <c r="R2867">
        <f t="shared" si="268"/>
        <v>37700000</v>
      </c>
      <c r="S2867" t="str">
        <f t="shared" si="269"/>
        <v>Strong</v>
      </c>
    </row>
    <row r="2868" spans="1:19" x14ac:dyDescent="0.25">
      <c r="A2868">
        <v>2867</v>
      </c>
      <c r="B2868">
        <v>3</v>
      </c>
      <c r="C2868" t="s">
        <v>31</v>
      </c>
      <c r="D2868" t="s">
        <v>33</v>
      </c>
      <c r="E2868">
        <v>1000000</v>
      </c>
      <c r="F2868">
        <v>3700000</v>
      </c>
      <c r="G2868">
        <v>8</v>
      </c>
      <c r="H2868">
        <v>725</v>
      </c>
      <c r="I2868">
        <v>3000000</v>
      </c>
      <c r="J2868">
        <v>1300000</v>
      </c>
      <c r="K2868">
        <v>4000000</v>
      </c>
      <c r="L2868">
        <v>1300000</v>
      </c>
      <c r="M2868" t="s">
        <v>34</v>
      </c>
      <c r="N2868">
        <f t="shared" si="265"/>
        <v>1</v>
      </c>
      <c r="O2868" t="str">
        <f t="shared" si="264"/>
        <v>Good</v>
      </c>
      <c r="P2868" t="str">
        <f t="shared" si="266"/>
        <v>High</v>
      </c>
      <c r="Q2868" t="str">
        <f t="shared" si="267"/>
        <v>Low Loan</v>
      </c>
      <c r="R2868">
        <f t="shared" si="268"/>
        <v>9600000</v>
      </c>
      <c r="S2868" t="str">
        <f t="shared" si="269"/>
        <v>Moderate</v>
      </c>
    </row>
    <row r="2869" spans="1:19" x14ac:dyDescent="0.25">
      <c r="A2869">
        <v>2868</v>
      </c>
      <c r="B2869">
        <v>5</v>
      </c>
      <c r="C2869" t="s">
        <v>30</v>
      </c>
      <c r="D2869" t="s">
        <v>33</v>
      </c>
      <c r="E2869">
        <v>6400000</v>
      </c>
      <c r="F2869">
        <v>15600000</v>
      </c>
      <c r="G2869">
        <v>8</v>
      </c>
      <c r="H2869">
        <v>553</v>
      </c>
      <c r="I2869">
        <v>14200000</v>
      </c>
      <c r="J2869">
        <v>2900000</v>
      </c>
      <c r="K2869">
        <v>20400000</v>
      </c>
      <c r="L2869">
        <v>8000000</v>
      </c>
      <c r="M2869" t="s">
        <v>34</v>
      </c>
      <c r="N2869">
        <f t="shared" si="265"/>
        <v>1</v>
      </c>
      <c r="O2869" t="str">
        <f t="shared" si="264"/>
        <v>Low</v>
      </c>
      <c r="P2869" t="str">
        <f t="shared" si="266"/>
        <v>High</v>
      </c>
      <c r="Q2869" t="str">
        <f t="shared" si="267"/>
        <v>Low Loan</v>
      </c>
      <c r="R2869">
        <f t="shared" si="268"/>
        <v>45500000</v>
      </c>
      <c r="S2869" t="str">
        <f t="shared" si="269"/>
        <v>Strong</v>
      </c>
    </row>
    <row r="2870" spans="1:19" x14ac:dyDescent="0.25">
      <c r="A2870">
        <v>2869</v>
      </c>
      <c r="B2870">
        <v>0</v>
      </c>
      <c r="C2870" t="s">
        <v>31</v>
      </c>
      <c r="D2870" t="s">
        <v>32</v>
      </c>
      <c r="E2870">
        <v>8900000</v>
      </c>
      <c r="F2870">
        <v>19100000</v>
      </c>
      <c r="G2870">
        <v>2</v>
      </c>
      <c r="H2870">
        <v>725</v>
      </c>
      <c r="I2870">
        <v>8300000</v>
      </c>
      <c r="J2870">
        <v>15000000</v>
      </c>
      <c r="K2870">
        <v>19000000</v>
      </c>
      <c r="L2870">
        <v>8800000</v>
      </c>
      <c r="M2870" t="s">
        <v>34</v>
      </c>
      <c r="N2870">
        <f t="shared" si="265"/>
        <v>1</v>
      </c>
      <c r="O2870" t="str">
        <f t="shared" si="264"/>
        <v>Good</v>
      </c>
      <c r="P2870" t="str">
        <f t="shared" si="266"/>
        <v>High</v>
      </c>
      <c r="Q2870" t="str">
        <f t="shared" si="267"/>
        <v>Low Loan</v>
      </c>
      <c r="R2870">
        <f t="shared" si="268"/>
        <v>51100000</v>
      </c>
      <c r="S2870" t="str">
        <f t="shared" si="269"/>
        <v>Strong</v>
      </c>
    </row>
    <row r="2871" spans="1:19" x14ac:dyDescent="0.25">
      <c r="A2871">
        <v>2870</v>
      </c>
      <c r="B2871">
        <v>4</v>
      </c>
      <c r="C2871" t="s">
        <v>30</v>
      </c>
      <c r="D2871" t="s">
        <v>32</v>
      </c>
      <c r="E2871">
        <v>9900000</v>
      </c>
      <c r="F2871">
        <v>26100000</v>
      </c>
      <c r="G2871">
        <v>2</v>
      </c>
      <c r="H2871">
        <v>481</v>
      </c>
      <c r="I2871">
        <v>14500000</v>
      </c>
      <c r="J2871">
        <v>5000000</v>
      </c>
      <c r="K2871">
        <v>23600000</v>
      </c>
      <c r="L2871">
        <v>9300000</v>
      </c>
      <c r="M2871" t="s">
        <v>35</v>
      </c>
      <c r="N2871">
        <f t="shared" si="265"/>
        <v>0</v>
      </c>
      <c r="O2871" t="str">
        <f t="shared" si="264"/>
        <v>Low</v>
      </c>
      <c r="P2871" t="str">
        <f t="shared" si="266"/>
        <v>High</v>
      </c>
      <c r="Q2871" t="str">
        <f t="shared" si="267"/>
        <v>High Loan</v>
      </c>
      <c r="R2871">
        <f t="shared" si="268"/>
        <v>52400000</v>
      </c>
      <c r="S2871" t="str">
        <f t="shared" si="269"/>
        <v>Strong</v>
      </c>
    </row>
    <row r="2872" spans="1:19" x14ac:dyDescent="0.25">
      <c r="A2872">
        <v>2871</v>
      </c>
      <c r="B2872">
        <v>2</v>
      </c>
      <c r="C2872" t="s">
        <v>30</v>
      </c>
      <c r="D2872" t="s">
        <v>33</v>
      </c>
      <c r="E2872">
        <v>4000000</v>
      </c>
      <c r="F2872">
        <v>8600000</v>
      </c>
      <c r="G2872">
        <v>4</v>
      </c>
      <c r="H2872">
        <v>847</v>
      </c>
      <c r="I2872">
        <v>10200000</v>
      </c>
      <c r="J2872">
        <v>2700000</v>
      </c>
      <c r="K2872">
        <v>14300000</v>
      </c>
      <c r="L2872">
        <v>2400000</v>
      </c>
      <c r="M2872" t="s">
        <v>34</v>
      </c>
      <c r="N2872">
        <f t="shared" si="265"/>
        <v>1</v>
      </c>
      <c r="O2872" t="str">
        <f t="shared" si="264"/>
        <v>Excellent</v>
      </c>
      <c r="P2872" t="str">
        <f t="shared" si="266"/>
        <v>High</v>
      </c>
      <c r="Q2872" t="str">
        <f t="shared" si="267"/>
        <v>Low Loan</v>
      </c>
      <c r="R2872">
        <f t="shared" si="268"/>
        <v>29600000</v>
      </c>
      <c r="S2872" t="str">
        <f t="shared" si="269"/>
        <v>Strong</v>
      </c>
    </row>
    <row r="2873" spans="1:19" x14ac:dyDescent="0.25">
      <c r="A2873">
        <v>2872</v>
      </c>
      <c r="B2873">
        <v>0</v>
      </c>
      <c r="C2873" t="s">
        <v>31</v>
      </c>
      <c r="D2873" t="s">
        <v>33</v>
      </c>
      <c r="E2873">
        <v>7300000</v>
      </c>
      <c r="F2873">
        <v>25700000</v>
      </c>
      <c r="G2873">
        <v>10</v>
      </c>
      <c r="H2873">
        <v>666</v>
      </c>
      <c r="I2873">
        <v>14000000</v>
      </c>
      <c r="J2873">
        <v>3100000</v>
      </c>
      <c r="K2873">
        <v>29000000</v>
      </c>
      <c r="L2873">
        <v>6000000</v>
      </c>
      <c r="M2873" t="s">
        <v>34</v>
      </c>
      <c r="N2873">
        <f t="shared" si="265"/>
        <v>1</v>
      </c>
      <c r="O2873" t="str">
        <f t="shared" si="264"/>
        <v>Medium</v>
      </c>
      <c r="P2873" t="str">
        <f t="shared" si="266"/>
        <v>High</v>
      </c>
      <c r="Q2873" t="str">
        <f t="shared" si="267"/>
        <v>High Loan</v>
      </c>
      <c r="R2873">
        <f t="shared" si="268"/>
        <v>52100000</v>
      </c>
      <c r="S2873" t="str">
        <f t="shared" si="269"/>
        <v>Strong</v>
      </c>
    </row>
    <row r="2874" spans="1:19" x14ac:dyDescent="0.25">
      <c r="A2874">
        <v>2873</v>
      </c>
      <c r="B2874">
        <v>1</v>
      </c>
      <c r="C2874" t="s">
        <v>31</v>
      </c>
      <c r="D2874" t="s">
        <v>32</v>
      </c>
      <c r="E2874">
        <v>8100000</v>
      </c>
      <c r="F2874">
        <v>25400000</v>
      </c>
      <c r="G2874">
        <v>6</v>
      </c>
      <c r="H2874">
        <v>477</v>
      </c>
      <c r="I2874">
        <v>4500000</v>
      </c>
      <c r="J2874">
        <v>13200000</v>
      </c>
      <c r="K2874">
        <v>23200000</v>
      </c>
      <c r="L2874">
        <v>4400000</v>
      </c>
      <c r="M2874" t="s">
        <v>35</v>
      </c>
      <c r="N2874">
        <f t="shared" si="265"/>
        <v>0</v>
      </c>
      <c r="O2874" t="str">
        <f t="shared" si="264"/>
        <v>Low</v>
      </c>
      <c r="P2874" t="str">
        <f t="shared" si="266"/>
        <v>High</v>
      </c>
      <c r="Q2874" t="str">
        <f t="shared" si="267"/>
        <v>High Loan</v>
      </c>
      <c r="R2874">
        <f t="shared" si="268"/>
        <v>45300000</v>
      </c>
      <c r="S2874" t="str">
        <f t="shared" si="269"/>
        <v>Strong</v>
      </c>
    </row>
    <row r="2875" spans="1:19" x14ac:dyDescent="0.25">
      <c r="A2875">
        <v>2874</v>
      </c>
      <c r="B2875">
        <v>4</v>
      </c>
      <c r="C2875" t="s">
        <v>30</v>
      </c>
      <c r="D2875" t="s">
        <v>33</v>
      </c>
      <c r="E2875">
        <v>6800000</v>
      </c>
      <c r="F2875">
        <v>22100000</v>
      </c>
      <c r="G2875">
        <v>4</v>
      </c>
      <c r="H2875">
        <v>446</v>
      </c>
      <c r="I2875">
        <v>3700000</v>
      </c>
      <c r="J2875">
        <v>4600000</v>
      </c>
      <c r="K2875">
        <v>18900000</v>
      </c>
      <c r="L2875">
        <v>9200000</v>
      </c>
      <c r="M2875" t="s">
        <v>34</v>
      </c>
      <c r="N2875">
        <f t="shared" si="265"/>
        <v>1</v>
      </c>
      <c r="O2875" t="str">
        <f t="shared" si="264"/>
        <v>Low</v>
      </c>
      <c r="P2875" t="str">
        <f t="shared" si="266"/>
        <v>High</v>
      </c>
      <c r="Q2875" t="str">
        <f t="shared" si="267"/>
        <v>High Loan</v>
      </c>
      <c r="R2875">
        <f t="shared" si="268"/>
        <v>36400000</v>
      </c>
      <c r="S2875" t="str">
        <f t="shared" si="269"/>
        <v>Strong</v>
      </c>
    </row>
    <row r="2876" spans="1:19" x14ac:dyDescent="0.25">
      <c r="A2876">
        <v>2875</v>
      </c>
      <c r="B2876">
        <v>0</v>
      </c>
      <c r="C2876" t="s">
        <v>31</v>
      </c>
      <c r="D2876" t="s">
        <v>33</v>
      </c>
      <c r="E2876">
        <v>2600000</v>
      </c>
      <c r="F2876">
        <v>8200000</v>
      </c>
      <c r="G2876">
        <v>8</v>
      </c>
      <c r="H2876">
        <v>630</v>
      </c>
      <c r="I2876">
        <v>6000000</v>
      </c>
      <c r="J2876">
        <v>4900000</v>
      </c>
      <c r="K2876">
        <v>7500000</v>
      </c>
      <c r="L2876">
        <v>2000000</v>
      </c>
      <c r="M2876" t="s">
        <v>34</v>
      </c>
      <c r="N2876">
        <f t="shared" si="265"/>
        <v>1</v>
      </c>
      <c r="O2876" t="str">
        <f t="shared" si="264"/>
        <v>Low</v>
      </c>
      <c r="P2876" t="str">
        <f t="shared" si="266"/>
        <v>High</v>
      </c>
      <c r="Q2876" t="str">
        <f t="shared" si="267"/>
        <v>Low Loan</v>
      </c>
      <c r="R2876">
        <f t="shared" si="268"/>
        <v>20400000</v>
      </c>
      <c r="S2876" t="str">
        <f t="shared" si="269"/>
        <v>Strong</v>
      </c>
    </row>
    <row r="2877" spans="1:19" x14ac:dyDescent="0.25">
      <c r="A2877">
        <v>2876</v>
      </c>
      <c r="B2877">
        <v>5</v>
      </c>
      <c r="C2877" t="s">
        <v>31</v>
      </c>
      <c r="D2877" t="s">
        <v>33</v>
      </c>
      <c r="E2877">
        <v>300000</v>
      </c>
      <c r="F2877">
        <v>1100000</v>
      </c>
      <c r="G2877">
        <v>20</v>
      </c>
      <c r="H2877">
        <v>613</v>
      </c>
      <c r="I2877">
        <v>600000</v>
      </c>
      <c r="J2877">
        <v>400000</v>
      </c>
      <c r="K2877">
        <v>700000</v>
      </c>
      <c r="L2877">
        <v>200000</v>
      </c>
      <c r="M2877" t="s">
        <v>34</v>
      </c>
      <c r="N2877">
        <f t="shared" si="265"/>
        <v>1</v>
      </c>
      <c r="O2877" t="str">
        <f t="shared" si="264"/>
        <v>Low</v>
      </c>
      <c r="P2877" t="str">
        <f t="shared" si="266"/>
        <v>Middle</v>
      </c>
      <c r="Q2877" t="str">
        <f t="shared" si="267"/>
        <v>Low Loan</v>
      </c>
      <c r="R2877">
        <f t="shared" si="268"/>
        <v>1900000</v>
      </c>
      <c r="S2877" t="str">
        <f t="shared" si="269"/>
        <v>Weak</v>
      </c>
    </row>
    <row r="2878" spans="1:19" x14ac:dyDescent="0.25">
      <c r="A2878">
        <v>2877</v>
      </c>
      <c r="B2878">
        <v>2</v>
      </c>
      <c r="C2878" t="s">
        <v>30</v>
      </c>
      <c r="D2878" t="s">
        <v>33</v>
      </c>
      <c r="E2878">
        <v>2400000</v>
      </c>
      <c r="F2878">
        <v>7500000</v>
      </c>
      <c r="G2878">
        <v>4</v>
      </c>
      <c r="H2878">
        <v>851</v>
      </c>
      <c r="I2878">
        <v>3100000</v>
      </c>
      <c r="J2878">
        <v>700000</v>
      </c>
      <c r="K2878">
        <v>5600000</v>
      </c>
      <c r="L2878">
        <v>2400000</v>
      </c>
      <c r="M2878" t="s">
        <v>34</v>
      </c>
      <c r="N2878">
        <f t="shared" si="265"/>
        <v>1</v>
      </c>
      <c r="O2878" t="str">
        <f t="shared" si="264"/>
        <v>Excellent</v>
      </c>
      <c r="P2878" t="str">
        <f t="shared" si="266"/>
        <v>High</v>
      </c>
      <c r="Q2878" t="str">
        <f t="shared" si="267"/>
        <v>Low Loan</v>
      </c>
      <c r="R2878">
        <f t="shared" si="268"/>
        <v>11800000</v>
      </c>
      <c r="S2878" t="str">
        <f t="shared" si="269"/>
        <v>Strong</v>
      </c>
    </row>
    <row r="2879" spans="1:19" x14ac:dyDescent="0.25">
      <c r="A2879">
        <v>2878</v>
      </c>
      <c r="B2879">
        <v>0</v>
      </c>
      <c r="C2879" t="s">
        <v>31</v>
      </c>
      <c r="D2879" t="s">
        <v>32</v>
      </c>
      <c r="E2879">
        <v>6000000</v>
      </c>
      <c r="F2879">
        <v>20600000</v>
      </c>
      <c r="G2879">
        <v>12</v>
      </c>
      <c r="H2879">
        <v>339</v>
      </c>
      <c r="I2879">
        <v>3400000</v>
      </c>
      <c r="J2879">
        <v>10700000</v>
      </c>
      <c r="K2879">
        <v>17200000</v>
      </c>
      <c r="L2879">
        <v>8200000</v>
      </c>
      <c r="M2879" t="s">
        <v>35</v>
      </c>
      <c r="N2879">
        <f t="shared" si="265"/>
        <v>0</v>
      </c>
      <c r="O2879" t="str">
        <f t="shared" si="264"/>
        <v>Low</v>
      </c>
      <c r="P2879" t="str">
        <f t="shared" si="266"/>
        <v>High</v>
      </c>
      <c r="Q2879" t="str">
        <f t="shared" si="267"/>
        <v>High Loan</v>
      </c>
      <c r="R2879">
        <f t="shared" si="268"/>
        <v>39500000</v>
      </c>
      <c r="S2879" t="str">
        <f t="shared" si="269"/>
        <v>Strong</v>
      </c>
    </row>
    <row r="2880" spans="1:19" x14ac:dyDescent="0.25">
      <c r="A2880">
        <v>2879</v>
      </c>
      <c r="B2880">
        <v>4</v>
      </c>
      <c r="C2880" t="s">
        <v>30</v>
      </c>
      <c r="D2880" t="s">
        <v>33</v>
      </c>
      <c r="E2880">
        <v>3800000</v>
      </c>
      <c r="F2880">
        <v>11100000</v>
      </c>
      <c r="G2880">
        <v>16</v>
      </c>
      <c r="H2880">
        <v>857</v>
      </c>
      <c r="I2880">
        <v>11300000</v>
      </c>
      <c r="J2880">
        <v>7400000</v>
      </c>
      <c r="K2880">
        <v>11700000</v>
      </c>
      <c r="L2880">
        <v>4700000</v>
      </c>
      <c r="M2880" t="s">
        <v>34</v>
      </c>
      <c r="N2880">
        <f t="shared" si="265"/>
        <v>1</v>
      </c>
      <c r="O2880" t="str">
        <f t="shared" si="264"/>
        <v>Excellent</v>
      </c>
      <c r="P2880" t="str">
        <f t="shared" si="266"/>
        <v>High</v>
      </c>
      <c r="Q2880" t="str">
        <f t="shared" si="267"/>
        <v>Low Loan</v>
      </c>
      <c r="R2880">
        <f t="shared" si="268"/>
        <v>35100000</v>
      </c>
      <c r="S2880" t="str">
        <f t="shared" si="269"/>
        <v>Strong</v>
      </c>
    </row>
    <row r="2881" spans="1:19" x14ac:dyDescent="0.25">
      <c r="A2881">
        <v>2880</v>
      </c>
      <c r="B2881">
        <v>0</v>
      </c>
      <c r="C2881" t="s">
        <v>30</v>
      </c>
      <c r="D2881" t="s">
        <v>33</v>
      </c>
      <c r="E2881">
        <v>7000000</v>
      </c>
      <c r="F2881">
        <v>22100000</v>
      </c>
      <c r="G2881">
        <v>14</v>
      </c>
      <c r="H2881">
        <v>467</v>
      </c>
      <c r="I2881">
        <v>10000000</v>
      </c>
      <c r="J2881">
        <v>6400000</v>
      </c>
      <c r="K2881">
        <v>26100000</v>
      </c>
      <c r="L2881">
        <v>5800000</v>
      </c>
      <c r="M2881" t="s">
        <v>35</v>
      </c>
      <c r="N2881">
        <f t="shared" si="265"/>
        <v>0</v>
      </c>
      <c r="O2881" t="str">
        <f t="shared" si="264"/>
        <v>Low</v>
      </c>
      <c r="P2881" t="str">
        <f t="shared" si="266"/>
        <v>High</v>
      </c>
      <c r="Q2881" t="str">
        <f t="shared" si="267"/>
        <v>High Loan</v>
      </c>
      <c r="R2881">
        <f t="shared" si="268"/>
        <v>48300000</v>
      </c>
      <c r="S2881" t="str">
        <f t="shared" si="269"/>
        <v>Strong</v>
      </c>
    </row>
    <row r="2882" spans="1:19" x14ac:dyDescent="0.25">
      <c r="A2882">
        <v>2881</v>
      </c>
      <c r="B2882">
        <v>0</v>
      </c>
      <c r="C2882" t="s">
        <v>30</v>
      </c>
      <c r="D2882" t="s">
        <v>33</v>
      </c>
      <c r="E2882">
        <v>5400000</v>
      </c>
      <c r="F2882">
        <v>12900000</v>
      </c>
      <c r="G2882">
        <v>16</v>
      </c>
      <c r="H2882">
        <v>355</v>
      </c>
      <c r="I2882">
        <v>11200000</v>
      </c>
      <c r="J2882">
        <v>3100000</v>
      </c>
      <c r="K2882">
        <v>18200000</v>
      </c>
      <c r="L2882">
        <v>7400000</v>
      </c>
      <c r="M2882" t="s">
        <v>35</v>
      </c>
      <c r="N2882">
        <f t="shared" si="265"/>
        <v>0</v>
      </c>
      <c r="O2882" t="str">
        <f t="shared" ref="O2882:O2945" si="270">IF(H2882&lt;650,"Low",
 IF(H2882&lt;700,"Medium",
 IF(H2882&lt;750,"Good","Excellent")))</f>
        <v>Low</v>
      </c>
      <c r="P2882" t="str">
        <f t="shared" si="266"/>
        <v>High</v>
      </c>
      <c r="Q2882" t="str">
        <f t="shared" si="267"/>
        <v>Low Loan</v>
      </c>
      <c r="R2882">
        <f t="shared" si="268"/>
        <v>39900000</v>
      </c>
      <c r="S2882" t="str">
        <f t="shared" si="269"/>
        <v>Strong</v>
      </c>
    </row>
    <row r="2883" spans="1:19" x14ac:dyDescent="0.25">
      <c r="A2883">
        <v>2882</v>
      </c>
      <c r="B2883">
        <v>1</v>
      </c>
      <c r="C2883" t="s">
        <v>31</v>
      </c>
      <c r="D2883" t="s">
        <v>32</v>
      </c>
      <c r="E2883">
        <v>6400000</v>
      </c>
      <c r="F2883">
        <v>16400000</v>
      </c>
      <c r="G2883">
        <v>6</v>
      </c>
      <c r="H2883">
        <v>428</v>
      </c>
      <c r="I2883">
        <v>12400000</v>
      </c>
      <c r="J2883">
        <v>10900000</v>
      </c>
      <c r="K2883">
        <v>23900000</v>
      </c>
      <c r="L2883">
        <v>8900000</v>
      </c>
      <c r="M2883" t="s">
        <v>35</v>
      </c>
      <c r="N2883">
        <f t="shared" ref="N2883:N2946" si="271">IF(TRIM(CLEAN(M2883))="Approved",1,0)</f>
        <v>0</v>
      </c>
      <c r="O2883" t="str">
        <f t="shared" si="270"/>
        <v>Low</v>
      </c>
      <c r="P2883" t="str">
        <f t="shared" ref="P2883:P2946" si="272">IF(E2883&lt;300000,"Low",
 IF(E2883&lt;700000,"Middle","High"))</f>
        <v>High</v>
      </c>
      <c r="Q2883" t="str">
        <f t="shared" ref="Q2883:Q2946" si="273">IF(F2883&lt;20000000,"Low Loan","High Loan")</f>
        <v>Low Loan</v>
      </c>
      <c r="R2883">
        <f t="shared" ref="R2883:R2946" si="274">I2883+J2883+K2883+L2883</f>
        <v>56100000</v>
      </c>
      <c r="S2883" t="str">
        <f t="shared" ref="S2883:S2946" si="275">IF(R2883&lt;5000000,"Weak",
 IF(R2883&lt;10000000,"Moderate","Strong"))</f>
        <v>Strong</v>
      </c>
    </row>
    <row r="2884" spans="1:19" x14ac:dyDescent="0.25">
      <c r="A2884">
        <v>2883</v>
      </c>
      <c r="B2884">
        <v>5</v>
      </c>
      <c r="C2884" t="s">
        <v>31</v>
      </c>
      <c r="D2884" t="s">
        <v>33</v>
      </c>
      <c r="E2884">
        <v>7000000</v>
      </c>
      <c r="F2884">
        <v>24000000</v>
      </c>
      <c r="G2884">
        <v>14</v>
      </c>
      <c r="H2884">
        <v>450</v>
      </c>
      <c r="I2884">
        <v>10300000</v>
      </c>
      <c r="J2884">
        <v>5700000</v>
      </c>
      <c r="K2884">
        <v>21100000</v>
      </c>
      <c r="L2884">
        <v>4700000</v>
      </c>
      <c r="M2884" t="s">
        <v>35</v>
      </c>
      <c r="N2884">
        <f t="shared" si="271"/>
        <v>0</v>
      </c>
      <c r="O2884" t="str">
        <f t="shared" si="270"/>
        <v>Low</v>
      </c>
      <c r="P2884" t="str">
        <f t="shared" si="272"/>
        <v>High</v>
      </c>
      <c r="Q2884" t="str">
        <f t="shared" si="273"/>
        <v>High Loan</v>
      </c>
      <c r="R2884">
        <f t="shared" si="274"/>
        <v>41800000</v>
      </c>
      <c r="S2884" t="str">
        <f t="shared" si="275"/>
        <v>Strong</v>
      </c>
    </row>
    <row r="2885" spans="1:19" x14ac:dyDescent="0.25">
      <c r="A2885">
        <v>2884</v>
      </c>
      <c r="B2885">
        <v>2</v>
      </c>
      <c r="C2885" t="s">
        <v>31</v>
      </c>
      <c r="D2885" t="s">
        <v>33</v>
      </c>
      <c r="E2885">
        <v>2100000</v>
      </c>
      <c r="F2885">
        <v>4600000</v>
      </c>
      <c r="G2885">
        <v>4</v>
      </c>
      <c r="H2885">
        <v>348</v>
      </c>
      <c r="I2885">
        <v>5400000</v>
      </c>
      <c r="J2885">
        <v>0</v>
      </c>
      <c r="K2885">
        <v>7400000</v>
      </c>
      <c r="L2885">
        <v>1400000</v>
      </c>
      <c r="M2885" t="s">
        <v>35</v>
      </c>
      <c r="N2885">
        <f t="shared" si="271"/>
        <v>0</v>
      </c>
      <c r="O2885" t="str">
        <f t="shared" si="270"/>
        <v>Low</v>
      </c>
      <c r="P2885" t="str">
        <f t="shared" si="272"/>
        <v>High</v>
      </c>
      <c r="Q2885" t="str">
        <f t="shared" si="273"/>
        <v>Low Loan</v>
      </c>
      <c r="R2885">
        <f t="shared" si="274"/>
        <v>14200000</v>
      </c>
      <c r="S2885" t="str">
        <f t="shared" si="275"/>
        <v>Strong</v>
      </c>
    </row>
    <row r="2886" spans="1:19" x14ac:dyDescent="0.25">
      <c r="A2886">
        <v>2885</v>
      </c>
      <c r="B2886">
        <v>4</v>
      </c>
      <c r="C2886" t="s">
        <v>31</v>
      </c>
      <c r="D2886" t="s">
        <v>33</v>
      </c>
      <c r="E2886">
        <v>4400000</v>
      </c>
      <c r="F2886">
        <v>15000000</v>
      </c>
      <c r="G2886">
        <v>12</v>
      </c>
      <c r="H2886">
        <v>459</v>
      </c>
      <c r="I2886">
        <v>5700000</v>
      </c>
      <c r="J2886">
        <v>800000</v>
      </c>
      <c r="K2886">
        <v>11400000</v>
      </c>
      <c r="L2886">
        <v>2400000</v>
      </c>
      <c r="M2886" t="s">
        <v>35</v>
      </c>
      <c r="N2886">
        <f t="shared" si="271"/>
        <v>0</v>
      </c>
      <c r="O2886" t="str">
        <f t="shared" si="270"/>
        <v>Low</v>
      </c>
      <c r="P2886" t="str">
        <f t="shared" si="272"/>
        <v>High</v>
      </c>
      <c r="Q2886" t="str">
        <f t="shared" si="273"/>
        <v>Low Loan</v>
      </c>
      <c r="R2886">
        <f t="shared" si="274"/>
        <v>20300000</v>
      </c>
      <c r="S2886" t="str">
        <f t="shared" si="275"/>
        <v>Strong</v>
      </c>
    </row>
    <row r="2887" spans="1:19" x14ac:dyDescent="0.25">
      <c r="A2887">
        <v>2886</v>
      </c>
      <c r="B2887">
        <v>0</v>
      </c>
      <c r="C2887" t="s">
        <v>31</v>
      </c>
      <c r="D2887" t="s">
        <v>32</v>
      </c>
      <c r="E2887">
        <v>8000000</v>
      </c>
      <c r="F2887">
        <v>31000000</v>
      </c>
      <c r="G2887">
        <v>8</v>
      </c>
      <c r="H2887">
        <v>847</v>
      </c>
      <c r="I2887">
        <v>4900000</v>
      </c>
      <c r="J2887">
        <v>9500000</v>
      </c>
      <c r="K2887">
        <v>29600000</v>
      </c>
      <c r="L2887">
        <v>5700000</v>
      </c>
      <c r="M2887" t="s">
        <v>34</v>
      </c>
      <c r="N2887">
        <f t="shared" si="271"/>
        <v>1</v>
      </c>
      <c r="O2887" t="str">
        <f t="shared" si="270"/>
        <v>Excellent</v>
      </c>
      <c r="P2887" t="str">
        <f t="shared" si="272"/>
        <v>High</v>
      </c>
      <c r="Q2887" t="str">
        <f t="shared" si="273"/>
        <v>High Loan</v>
      </c>
      <c r="R2887">
        <f t="shared" si="274"/>
        <v>49700000</v>
      </c>
      <c r="S2887" t="str">
        <f t="shared" si="275"/>
        <v>Strong</v>
      </c>
    </row>
    <row r="2888" spans="1:19" x14ac:dyDescent="0.25">
      <c r="A2888">
        <v>2887</v>
      </c>
      <c r="B2888">
        <v>2</v>
      </c>
      <c r="C2888" t="s">
        <v>31</v>
      </c>
      <c r="D2888" t="s">
        <v>33</v>
      </c>
      <c r="E2888">
        <v>3900000</v>
      </c>
      <c r="F2888">
        <v>8300000</v>
      </c>
      <c r="G2888">
        <v>18</v>
      </c>
      <c r="H2888">
        <v>523</v>
      </c>
      <c r="I2888">
        <v>800000</v>
      </c>
      <c r="J2888">
        <v>300000</v>
      </c>
      <c r="K2888">
        <v>9900000</v>
      </c>
      <c r="L2888">
        <v>2300000</v>
      </c>
      <c r="M2888" t="s">
        <v>35</v>
      </c>
      <c r="N2888">
        <f t="shared" si="271"/>
        <v>0</v>
      </c>
      <c r="O2888" t="str">
        <f t="shared" si="270"/>
        <v>Low</v>
      </c>
      <c r="P2888" t="str">
        <f t="shared" si="272"/>
        <v>High</v>
      </c>
      <c r="Q2888" t="str">
        <f t="shared" si="273"/>
        <v>Low Loan</v>
      </c>
      <c r="R2888">
        <f t="shared" si="274"/>
        <v>13300000</v>
      </c>
      <c r="S2888" t="str">
        <f t="shared" si="275"/>
        <v>Strong</v>
      </c>
    </row>
    <row r="2889" spans="1:19" x14ac:dyDescent="0.25">
      <c r="A2889">
        <v>2888</v>
      </c>
      <c r="B2889">
        <v>0</v>
      </c>
      <c r="C2889" t="s">
        <v>30</v>
      </c>
      <c r="D2889" t="s">
        <v>32</v>
      </c>
      <c r="E2889">
        <v>4700000</v>
      </c>
      <c r="F2889">
        <v>15200000</v>
      </c>
      <c r="G2889">
        <v>10</v>
      </c>
      <c r="H2889">
        <v>786</v>
      </c>
      <c r="I2889">
        <v>11100000</v>
      </c>
      <c r="J2889">
        <v>8000000</v>
      </c>
      <c r="K2889">
        <v>9600000</v>
      </c>
      <c r="L2889">
        <v>3200000</v>
      </c>
      <c r="M2889" t="s">
        <v>34</v>
      </c>
      <c r="N2889">
        <f t="shared" si="271"/>
        <v>1</v>
      </c>
      <c r="O2889" t="str">
        <f t="shared" si="270"/>
        <v>Excellent</v>
      </c>
      <c r="P2889" t="str">
        <f t="shared" si="272"/>
        <v>High</v>
      </c>
      <c r="Q2889" t="str">
        <f t="shared" si="273"/>
        <v>Low Loan</v>
      </c>
      <c r="R2889">
        <f t="shared" si="274"/>
        <v>31900000</v>
      </c>
      <c r="S2889" t="str">
        <f t="shared" si="275"/>
        <v>Strong</v>
      </c>
    </row>
    <row r="2890" spans="1:19" x14ac:dyDescent="0.25">
      <c r="A2890">
        <v>2889</v>
      </c>
      <c r="B2890">
        <v>0</v>
      </c>
      <c r="C2890" t="s">
        <v>30</v>
      </c>
      <c r="D2890" t="s">
        <v>32</v>
      </c>
      <c r="E2890">
        <v>6800000</v>
      </c>
      <c r="F2890">
        <v>21200000</v>
      </c>
      <c r="G2890">
        <v>14</v>
      </c>
      <c r="H2890">
        <v>300</v>
      </c>
      <c r="I2890">
        <v>0</v>
      </c>
      <c r="J2890">
        <v>8700000</v>
      </c>
      <c r="K2890">
        <v>16500000</v>
      </c>
      <c r="L2890">
        <v>10000000</v>
      </c>
      <c r="M2890" t="s">
        <v>35</v>
      </c>
      <c r="N2890">
        <f t="shared" si="271"/>
        <v>0</v>
      </c>
      <c r="O2890" t="str">
        <f t="shared" si="270"/>
        <v>Low</v>
      </c>
      <c r="P2890" t="str">
        <f t="shared" si="272"/>
        <v>High</v>
      </c>
      <c r="Q2890" t="str">
        <f t="shared" si="273"/>
        <v>High Loan</v>
      </c>
      <c r="R2890">
        <f t="shared" si="274"/>
        <v>35200000</v>
      </c>
      <c r="S2890" t="str">
        <f t="shared" si="275"/>
        <v>Strong</v>
      </c>
    </row>
    <row r="2891" spans="1:19" x14ac:dyDescent="0.25">
      <c r="A2891">
        <v>2890</v>
      </c>
      <c r="B2891">
        <v>0</v>
      </c>
      <c r="C2891" t="s">
        <v>31</v>
      </c>
      <c r="D2891" t="s">
        <v>33</v>
      </c>
      <c r="E2891">
        <v>1800000</v>
      </c>
      <c r="F2891">
        <v>6500000</v>
      </c>
      <c r="G2891">
        <v>12</v>
      </c>
      <c r="H2891">
        <v>728</v>
      </c>
      <c r="I2891">
        <v>3500000</v>
      </c>
      <c r="J2891">
        <v>0</v>
      </c>
      <c r="K2891">
        <v>6100000</v>
      </c>
      <c r="L2891">
        <v>1900000</v>
      </c>
      <c r="M2891" t="s">
        <v>34</v>
      </c>
      <c r="N2891">
        <f t="shared" si="271"/>
        <v>1</v>
      </c>
      <c r="O2891" t="str">
        <f t="shared" si="270"/>
        <v>Good</v>
      </c>
      <c r="P2891" t="str">
        <f t="shared" si="272"/>
        <v>High</v>
      </c>
      <c r="Q2891" t="str">
        <f t="shared" si="273"/>
        <v>Low Loan</v>
      </c>
      <c r="R2891">
        <f t="shared" si="274"/>
        <v>11500000</v>
      </c>
      <c r="S2891" t="str">
        <f t="shared" si="275"/>
        <v>Strong</v>
      </c>
    </row>
    <row r="2892" spans="1:19" x14ac:dyDescent="0.25">
      <c r="A2892">
        <v>2891</v>
      </c>
      <c r="B2892">
        <v>3</v>
      </c>
      <c r="C2892" t="s">
        <v>31</v>
      </c>
      <c r="D2892" t="s">
        <v>33</v>
      </c>
      <c r="E2892">
        <v>8600000</v>
      </c>
      <c r="F2892">
        <v>32000000</v>
      </c>
      <c r="G2892">
        <v>4</v>
      </c>
      <c r="H2892">
        <v>497</v>
      </c>
      <c r="I2892">
        <v>11400000</v>
      </c>
      <c r="J2892">
        <v>3300000</v>
      </c>
      <c r="K2892">
        <v>18600000</v>
      </c>
      <c r="L2892">
        <v>4900000</v>
      </c>
      <c r="M2892" t="s">
        <v>34</v>
      </c>
      <c r="N2892">
        <f t="shared" si="271"/>
        <v>1</v>
      </c>
      <c r="O2892" t="str">
        <f t="shared" si="270"/>
        <v>Low</v>
      </c>
      <c r="P2892" t="str">
        <f t="shared" si="272"/>
        <v>High</v>
      </c>
      <c r="Q2892" t="str">
        <f t="shared" si="273"/>
        <v>High Loan</v>
      </c>
      <c r="R2892">
        <f t="shared" si="274"/>
        <v>38200000</v>
      </c>
      <c r="S2892" t="str">
        <f t="shared" si="275"/>
        <v>Strong</v>
      </c>
    </row>
    <row r="2893" spans="1:19" x14ac:dyDescent="0.25">
      <c r="A2893">
        <v>2892</v>
      </c>
      <c r="B2893">
        <v>1</v>
      </c>
      <c r="C2893" t="s">
        <v>31</v>
      </c>
      <c r="D2893" t="s">
        <v>33</v>
      </c>
      <c r="E2893">
        <v>3600000</v>
      </c>
      <c r="F2893">
        <v>13700000</v>
      </c>
      <c r="G2893">
        <v>10</v>
      </c>
      <c r="H2893">
        <v>548</v>
      </c>
      <c r="I2893">
        <v>9900000</v>
      </c>
      <c r="J2893">
        <v>2400000</v>
      </c>
      <c r="K2893">
        <v>8900000</v>
      </c>
      <c r="L2893">
        <v>4100000</v>
      </c>
      <c r="M2893" t="s">
        <v>35</v>
      </c>
      <c r="N2893">
        <f t="shared" si="271"/>
        <v>0</v>
      </c>
      <c r="O2893" t="str">
        <f t="shared" si="270"/>
        <v>Low</v>
      </c>
      <c r="P2893" t="str">
        <f t="shared" si="272"/>
        <v>High</v>
      </c>
      <c r="Q2893" t="str">
        <f t="shared" si="273"/>
        <v>Low Loan</v>
      </c>
      <c r="R2893">
        <f t="shared" si="274"/>
        <v>25300000</v>
      </c>
      <c r="S2893" t="str">
        <f t="shared" si="275"/>
        <v>Strong</v>
      </c>
    </row>
    <row r="2894" spans="1:19" x14ac:dyDescent="0.25">
      <c r="A2894">
        <v>2893</v>
      </c>
      <c r="B2894">
        <v>1</v>
      </c>
      <c r="C2894" t="s">
        <v>30</v>
      </c>
      <c r="D2894" t="s">
        <v>33</v>
      </c>
      <c r="E2894">
        <v>6800000</v>
      </c>
      <c r="F2894">
        <v>22900000</v>
      </c>
      <c r="G2894">
        <v>6</v>
      </c>
      <c r="H2894">
        <v>576</v>
      </c>
      <c r="I2894">
        <v>500000</v>
      </c>
      <c r="J2894">
        <v>11100000</v>
      </c>
      <c r="K2894">
        <v>13800000</v>
      </c>
      <c r="L2894">
        <v>5600000</v>
      </c>
      <c r="M2894" t="s">
        <v>34</v>
      </c>
      <c r="N2894">
        <f t="shared" si="271"/>
        <v>1</v>
      </c>
      <c r="O2894" t="str">
        <f t="shared" si="270"/>
        <v>Low</v>
      </c>
      <c r="P2894" t="str">
        <f t="shared" si="272"/>
        <v>High</v>
      </c>
      <c r="Q2894" t="str">
        <f t="shared" si="273"/>
        <v>High Loan</v>
      </c>
      <c r="R2894">
        <f t="shared" si="274"/>
        <v>31000000</v>
      </c>
      <c r="S2894" t="str">
        <f t="shared" si="275"/>
        <v>Strong</v>
      </c>
    </row>
    <row r="2895" spans="1:19" x14ac:dyDescent="0.25">
      <c r="A2895">
        <v>2894</v>
      </c>
      <c r="B2895">
        <v>3</v>
      </c>
      <c r="C2895" t="s">
        <v>30</v>
      </c>
      <c r="D2895" t="s">
        <v>33</v>
      </c>
      <c r="E2895">
        <v>1100000</v>
      </c>
      <c r="F2895">
        <v>4100000</v>
      </c>
      <c r="G2895">
        <v>20</v>
      </c>
      <c r="H2895">
        <v>863</v>
      </c>
      <c r="I2895">
        <v>800000</v>
      </c>
      <c r="J2895">
        <v>1100000</v>
      </c>
      <c r="K2895">
        <v>3700000</v>
      </c>
      <c r="L2895">
        <v>600000</v>
      </c>
      <c r="M2895" t="s">
        <v>34</v>
      </c>
      <c r="N2895">
        <f t="shared" si="271"/>
        <v>1</v>
      </c>
      <c r="O2895" t="str">
        <f t="shared" si="270"/>
        <v>Excellent</v>
      </c>
      <c r="P2895" t="str">
        <f t="shared" si="272"/>
        <v>High</v>
      </c>
      <c r="Q2895" t="str">
        <f t="shared" si="273"/>
        <v>Low Loan</v>
      </c>
      <c r="R2895">
        <f t="shared" si="274"/>
        <v>6200000</v>
      </c>
      <c r="S2895" t="str">
        <f t="shared" si="275"/>
        <v>Moderate</v>
      </c>
    </row>
    <row r="2896" spans="1:19" x14ac:dyDescent="0.25">
      <c r="A2896">
        <v>2895</v>
      </c>
      <c r="B2896">
        <v>4</v>
      </c>
      <c r="C2896" t="s">
        <v>30</v>
      </c>
      <c r="D2896" t="s">
        <v>33</v>
      </c>
      <c r="E2896">
        <v>4000000</v>
      </c>
      <c r="F2896">
        <v>8400000</v>
      </c>
      <c r="G2896">
        <v>8</v>
      </c>
      <c r="H2896">
        <v>717</v>
      </c>
      <c r="I2896">
        <v>7400000</v>
      </c>
      <c r="J2896">
        <v>4900000</v>
      </c>
      <c r="K2896">
        <v>11900000</v>
      </c>
      <c r="L2896">
        <v>4000000</v>
      </c>
      <c r="M2896" t="s">
        <v>34</v>
      </c>
      <c r="N2896">
        <f t="shared" si="271"/>
        <v>1</v>
      </c>
      <c r="O2896" t="str">
        <f t="shared" si="270"/>
        <v>Good</v>
      </c>
      <c r="P2896" t="str">
        <f t="shared" si="272"/>
        <v>High</v>
      </c>
      <c r="Q2896" t="str">
        <f t="shared" si="273"/>
        <v>Low Loan</v>
      </c>
      <c r="R2896">
        <f t="shared" si="274"/>
        <v>28200000</v>
      </c>
      <c r="S2896" t="str">
        <f t="shared" si="275"/>
        <v>Strong</v>
      </c>
    </row>
    <row r="2897" spans="1:19" x14ac:dyDescent="0.25">
      <c r="A2897">
        <v>2896</v>
      </c>
      <c r="B2897">
        <v>1</v>
      </c>
      <c r="C2897" t="s">
        <v>30</v>
      </c>
      <c r="D2897" t="s">
        <v>32</v>
      </c>
      <c r="E2897">
        <v>2500000</v>
      </c>
      <c r="F2897">
        <v>5900000</v>
      </c>
      <c r="G2897">
        <v>12</v>
      </c>
      <c r="H2897">
        <v>668</v>
      </c>
      <c r="I2897">
        <v>7400000</v>
      </c>
      <c r="J2897">
        <v>600000</v>
      </c>
      <c r="K2897">
        <v>6300000</v>
      </c>
      <c r="L2897">
        <v>3700000</v>
      </c>
      <c r="M2897" t="s">
        <v>34</v>
      </c>
      <c r="N2897">
        <f t="shared" si="271"/>
        <v>1</v>
      </c>
      <c r="O2897" t="str">
        <f t="shared" si="270"/>
        <v>Medium</v>
      </c>
      <c r="P2897" t="str">
        <f t="shared" si="272"/>
        <v>High</v>
      </c>
      <c r="Q2897" t="str">
        <f t="shared" si="273"/>
        <v>Low Loan</v>
      </c>
      <c r="R2897">
        <f t="shared" si="274"/>
        <v>18000000</v>
      </c>
      <c r="S2897" t="str">
        <f t="shared" si="275"/>
        <v>Strong</v>
      </c>
    </row>
    <row r="2898" spans="1:19" x14ac:dyDescent="0.25">
      <c r="A2898">
        <v>2897</v>
      </c>
      <c r="B2898">
        <v>2</v>
      </c>
      <c r="C2898" t="s">
        <v>30</v>
      </c>
      <c r="D2898" t="s">
        <v>32</v>
      </c>
      <c r="E2898">
        <v>5400000</v>
      </c>
      <c r="F2898">
        <v>17400000</v>
      </c>
      <c r="G2898">
        <v>10</v>
      </c>
      <c r="H2898">
        <v>335</v>
      </c>
      <c r="I2898">
        <v>5900000</v>
      </c>
      <c r="J2898">
        <v>1400000</v>
      </c>
      <c r="K2898">
        <v>18100000</v>
      </c>
      <c r="L2898">
        <v>4300000</v>
      </c>
      <c r="M2898" t="s">
        <v>35</v>
      </c>
      <c r="N2898">
        <f t="shared" si="271"/>
        <v>0</v>
      </c>
      <c r="O2898" t="str">
        <f t="shared" si="270"/>
        <v>Low</v>
      </c>
      <c r="P2898" t="str">
        <f t="shared" si="272"/>
        <v>High</v>
      </c>
      <c r="Q2898" t="str">
        <f t="shared" si="273"/>
        <v>Low Loan</v>
      </c>
      <c r="R2898">
        <f t="shared" si="274"/>
        <v>29700000</v>
      </c>
      <c r="S2898" t="str">
        <f t="shared" si="275"/>
        <v>Strong</v>
      </c>
    </row>
    <row r="2899" spans="1:19" x14ac:dyDescent="0.25">
      <c r="A2899">
        <v>2898</v>
      </c>
      <c r="B2899">
        <v>5</v>
      </c>
      <c r="C2899" t="s">
        <v>31</v>
      </c>
      <c r="D2899" t="s">
        <v>32</v>
      </c>
      <c r="E2899">
        <v>6600000</v>
      </c>
      <c r="F2899">
        <v>13600000</v>
      </c>
      <c r="G2899">
        <v>4</v>
      </c>
      <c r="H2899">
        <v>861</v>
      </c>
      <c r="I2899">
        <v>11700000</v>
      </c>
      <c r="J2899">
        <v>8400000</v>
      </c>
      <c r="K2899">
        <v>14600000</v>
      </c>
      <c r="L2899">
        <v>5400000</v>
      </c>
      <c r="M2899" t="s">
        <v>34</v>
      </c>
      <c r="N2899">
        <f t="shared" si="271"/>
        <v>1</v>
      </c>
      <c r="O2899" t="str">
        <f t="shared" si="270"/>
        <v>Excellent</v>
      </c>
      <c r="P2899" t="str">
        <f t="shared" si="272"/>
        <v>High</v>
      </c>
      <c r="Q2899" t="str">
        <f t="shared" si="273"/>
        <v>Low Loan</v>
      </c>
      <c r="R2899">
        <f t="shared" si="274"/>
        <v>40100000</v>
      </c>
      <c r="S2899" t="str">
        <f t="shared" si="275"/>
        <v>Strong</v>
      </c>
    </row>
    <row r="2900" spans="1:19" x14ac:dyDescent="0.25">
      <c r="A2900">
        <v>2899</v>
      </c>
      <c r="B2900">
        <v>4</v>
      </c>
      <c r="C2900" t="s">
        <v>31</v>
      </c>
      <c r="D2900" t="s">
        <v>32</v>
      </c>
      <c r="E2900">
        <v>6000000</v>
      </c>
      <c r="F2900">
        <v>14900000</v>
      </c>
      <c r="G2900">
        <v>2</v>
      </c>
      <c r="H2900">
        <v>321</v>
      </c>
      <c r="I2900">
        <v>6900000</v>
      </c>
      <c r="J2900">
        <v>7700000</v>
      </c>
      <c r="K2900">
        <v>18000000</v>
      </c>
      <c r="L2900">
        <v>6500000</v>
      </c>
      <c r="M2900" t="s">
        <v>35</v>
      </c>
      <c r="N2900">
        <f t="shared" si="271"/>
        <v>0</v>
      </c>
      <c r="O2900" t="str">
        <f t="shared" si="270"/>
        <v>Low</v>
      </c>
      <c r="P2900" t="str">
        <f t="shared" si="272"/>
        <v>High</v>
      </c>
      <c r="Q2900" t="str">
        <f t="shared" si="273"/>
        <v>Low Loan</v>
      </c>
      <c r="R2900">
        <f t="shared" si="274"/>
        <v>39100000</v>
      </c>
      <c r="S2900" t="str">
        <f t="shared" si="275"/>
        <v>Strong</v>
      </c>
    </row>
    <row r="2901" spans="1:19" x14ac:dyDescent="0.25">
      <c r="A2901">
        <v>2900</v>
      </c>
      <c r="B2901">
        <v>0</v>
      </c>
      <c r="C2901" t="s">
        <v>30</v>
      </c>
      <c r="D2901" t="s">
        <v>33</v>
      </c>
      <c r="E2901">
        <v>2200000</v>
      </c>
      <c r="F2901">
        <v>8300000</v>
      </c>
      <c r="G2901">
        <v>10</v>
      </c>
      <c r="H2901">
        <v>585</v>
      </c>
      <c r="I2901">
        <v>3600000</v>
      </c>
      <c r="J2901">
        <v>1700000</v>
      </c>
      <c r="K2901">
        <v>4300000</v>
      </c>
      <c r="L2901">
        <v>1900000</v>
      </c>
      <c r="M2901" t="s">
        <v>34</v>
      </c>
      <c r="N2901">
        <f t="shared" si="271"/>
        <v>1</v>
      </c>
      <c r="O2901" t="str">
        <f t="shared" si="270"/>
        <v>Low</v>
      </c>
      <c r="P2901" t="str">
        <f t="shared" si="272"/>
        <v>High</v>
      </c>
      <c r="Q2901" t="str">
        <f t="shared" si="273"/>
        <v>Low Loan</v>
      </c>
      <c r="R2901">
        <f t="shared" si="274"/>
        <v>11500000</v>
      </c>
      <c r="S2901" t="str">
        <f t="shared" si="275"/>
        <v>Strong</v>
      </c>
    </row>
    <row r="2902" spans="1:19" x14ac:dyDescent="0.25">
      <c r="A2902">
        <v>2901</v>
      </c>
      <c r="B2902">
        <v>1</v>
      </c>
      <c r="C2902" t="s">
        <v>30</v>
      </c>
      <c r="D2902" t="s">
        <v>32</v>
      </c>
      <c r="E2902">
        <v>8800000</v>
      </c>
      <c r="F2902">
        <v>18500000</v>
      </c>
      <c r="G2902">
        <v>10</v>
      </c>
      <c r="H2902">
        <v>704</v>
      </c>
      <c r="I2902">
        <v>14400000</v>
      </c>
      <c r="J2902">
        <v>3200000</v>
      </c>
      <c r="K2902">
        <v>26600000</v>
      </c>
      <c r="L2902">
        <v>11300000</v>
      </c>
      <c r="M2902" t="s">
        <v>34</v>
      </c>
      <c r="N2902">
        <f t="shared" si="271"/>
        <v>1</v>
      </c>
      <c r="O2902" t="str">
        <f t="shared" si="270"/>
        <v>Good</v>
      </c>
      <c r="P2902" t="str">
        <f t="shared" si="272"/>
        <v>High</v>
      </c>
      <c r="Q2902" t="str">
        <f t="shared" si="273"/>
        <v>Low Loan</v>
      </c>
      <c r="R2902">
        <f t="shared" si="274"/>
        <v>55500000</v>
      </c>
      <c r="S2902" t="str">
        <f t="shared" si="275"/>
        <v>Strong</v>
      </c>
    </row>
    <row r="2903" spans="1:19" x14ac:dyDescent="0.25">
      <c r="A2903">
        <v>2902</v>
      </c>
      <c r="B2903">
        <v>0</v>
      </c>
      <c r="C2903" t="s">
        <v>31</v>
      </c>
      <c r="D2903" t="s">
        <v>33</v>
      </c>
      <c r="E2903">
        <v>4000000</v>
      </c>
      <c r="F2903">
        <v>10300000</v>
      </c>
      <c r="G2903">
        <v>4</v>
      </c>
      <c r="H2903">
        <v>819</v>
      </c>
      <c r="I2903">
        <v>11100000</v>
      </c>
      <c r="J2903">
        <v>1200000</v>
      </c>
      <c r="K2903">
        <v>15200000</v>
      </c>
      <c r="L2903">
        <v>2600000</v>
      </c>
      <c r="M2903" t="s">
        <v>34</v>
      </c>
      <c r="N2903">
        <f t="shared" si="271"/>
        <v>1</v>
      </c>
      <c r="O2903" t="str">
        <f t="shared" si="270"/>
        <v>Excellent</v>
      </c>
      <c r="P2903" t="str">
        <f t="shared" si="272"/>
        <v>High</v>
      </c>
      <c r="Q2903" t="str">
        <f t="shared" si="273"/>
        <v>Low Loan</v>
      </c>
      <c r="R2903">
        <f t="shared" si="274"/>
        <v>30100000</v>
      </c>
      <c r="S2903" t="str">
        <f t="shared" si="275"/>
        <v>Strong</v>
      </c>
    </row>
    <row r="2904" spans="1:19" x14ac:dyDescent="0.25">
      <c r="A2904">
        <v>2903</v>
      </c>
      <c r="B2904">
        <v>4</v>
      </c>
      <c r="C2904" t="s">
        <v>31</v>
      </c>
      <c r="D2904" t="s">
        <v>33</v>
      </c>
      <c r="E2904">
        <v>3600000</v>
      </c>
      <c r="F2904">
        <v>12400000</v>
      </c>
      <c r="G2904">
        <v>18</v>
      </c>
      <c r="H2904">
        <v>494</v>
      </c>
      <c r="I2904">
        <v>5300000</v>
      </c>
      <c r="J2904">
        <v>100000</v>
      </c>
      <c r="K2904">
        <v>10200000</v>
      </c>
      <c r="L2904">
        <v>1900000</v>
      </c>
      <c r="M2904" t="s">
        <v>35</v>
      </c>
      <c r="N2904">
        <f t="shared" si="271"/>
        <v>0</v>
      </c>
      <c r="O2904" t="str">
        <f t="shared" si="270"/>
        <v>Low</v>
      </c>
      <c r="P2904" t="str">
        <f t="shared" si="272"/>
        <v>High</v>
      </c>
      <c r="Q2904" t="str">
        <f t="shared" si="273"/>
        <v>Low Loan</v>
      </c>
      <c r="R2904">
        <f t="shared" si="274"/>
        <v>17500000</v>
      </c>
      <c r="S2904" t="str">
        <f t="shared" si="275"/>
        <v>Strong</v>
      </c>
    </row>
    <row r="2905" spans="1:19" x14ac:dyDescent="0.25">
      <c r="A2905">
        <v>2904</v>
      </c>
      <c r="B2905">
        <v>5</v>
      </c>
      <c r="C2905" t="s">
        <v>30</v>
      </c>
      <c r="D2905" t="s">
        <v>33</v>
      </c>
      <c r="E2905">
        <v>8100000</v>
      </c>
      <c r="F2905">
        <v>22500000</v>
      </c>
      <c r="G2905">
        <v>2</v>
      </c>
      <c r="H2905">
        <v>808</v>
      </c>
      <c r="I2905">
        <v>4800000</v>
      </c>
      <c r="J2905">
        <v>6100000</v>
      </c>
      <c r="K2905">
        <v>16900000</v>
      </c>
      <c r="L2905">
        <v>6000000</v>
      </c>
      <c r="M2905" t="s">
        <v>34</v>
      </c>
      <c r="N2905">
        <f t="shared" si="271"/>
        <v>1</v>
      </c>
      <c r="O2905" t="str">
        <f t="shared" si="270"/>
        <v>Excellent</v>
      </c>
      <c r="P2905" t="str">
        <f t="shared" si="272"/>
        <v>High</v>
      </c>
      <c r="Q2905" t="str">
        <f t="shared" si="273"/>
        <v>High Loan</v>
      </c>
      <c r="R2905">
        <f t="shared" si="274"/>
        <v>33800000</v>
      </c>
      <c r="S2905" t="str">
        <f t="shared" si="275"/>
        <v>Strong</v>
      </c>
    </row>
    <row r="2906" spans="1:19" x14ac:dyDescent="0.25">
      <c r="A2906">
        <v>2905</v>
      </c>
      <c r="B2906">
        <v>3</v>
      </c>
      <c r="C2906" t="s">
        <v>31</v>
      </c>
      <c r="D2906" t="s">
        <v>33</v>
      </c>
      <c r="E2906">
        <v>5200000</v>
      </c>
      <c r="F2906">
        <v>11000000</v>
      </c>
      <c r="G2906">
        <v>12</v>
      </c>
      <c r="H2906">
        <v>830</v>
      </c>
      <c r="I2906">
        <v>8900000</v>
      </c>
      <c r="J2906">
        <v>5100000</v>
      </c>
      <c r="K2906">
        <v>16000000</v>
      </c>
      <c r="L2906">
        <v>7600000</v>
      </c>
      <c r="M2906" t="s">
        <v>34</v>
      </c>
      <c r="N2906">
        <f t="shared" si="271"/>
        <v>1</v>
      </c>
      <c r="O2906" t="str">
        <f t="shared" si="270"/>
        <v>Excellent</v>
      </c>
      <c r="P2906" t="str">
        <f t="shared" si="272"/>
        <v>High</v>
      </c>
      <c r="Q2906" t="str">
        <f t="shared" si="273"/>
        <v>Low Loan</v>
      </c>
      <c r="R2906">
        <f t="shared" si="274"/>
        <v>37600000</v>
      </c>
      <c r="S2906" t="str">
        <f t="shared" si="275"/>
        <v>Strong</v>
      </c>
    </row>
    <row r="2907" spans="1:19" x14ac:dyDescent="0.25">
      <c r="A2907">
        <v>2906</v>
      </c>
      <c r="B2907">
        <v>5</v>
      </c>
      <c r="C2907" t="s">
        <v>30</v>
      </c>
      <c r="D2907" t="s">
        <v>32</v>
      </c>
      <c r="E2907">
        <v>1100000</v>
      </c>
      <c r="F2907">
        <v>2800000</v>
      </c>
      <c r="G2907">
        <v>14</v>
      </c>
      <c r="H2907">
        <v>473</v>
      </c>
      <c r="I2907">
        <v>100000</v>
      </c>
      <c r="J2907">
        <v>500000</v>
      </c>
      <c r="K2907">
        <v>4200000</v>
      </c>
      <c r="L2907">
        <v>700000</v>
      </c>
      <c r="M2907" t="s">
        <v>35</v>
      </c>
      <c r="N2907">
        <f t="shared" si="271"/>
        <v>0</v>
      </c>
      <c r="O2907" t="str">
        <f t="shared" si="270"/>
        <v>Low</v>
      </c>
      <c r="P2907" t="str">
        <f t="shared" si="272"/>
        <v>High</v>
      </c>
      <c r="Q2907" t="str">
        <f t="shared" si="273"/>
        <v>Low Loan</v>
      </c>
      <c r="R2907">
        <f t="shared" si="274"/>
        <v>5500000</v>
      </c>
      <c r="S2907" t="str">
        <f t="shared" si="275"/>
        <v>Moderate</v>
      </c>
    </row>
    <row r="2908" spans="1:19" x14ac:dyDescent="0.25">
      <c r="A2908">
        <v>2907</v>
      </c>
      <c r="B2908">
        <v>2</v>
      </c>
      <c r="C2908" t="s">
        <v>30</v>
      </c>
      <c r="D2908" t="s">
        <v>32</v>
      </c>
      <c r="E2908">
        <v>7500000</v>
      </c>
      <c r="F2908">
        <v>29800000</v>
      </c>
      <c r="G2908">
        <v>4</v>
      </c>
      <c r="H2908">
        <v>392</v>
      </c>
      <c r="I2908">
        <v>5500000</v>
      </c>
      <c r="J2908">
        <v>2200000</v>
      </c>
      <c r="K2908">
        <v>20800000</v>
      </c>
      <c r="L2908">
        <v>4000000</v>
      </c>
      <c r="M2908" t="s">
        <v>34</v>
      </c>
      <c r="N2908">
        <f t="shared" si="271"/>
        <v>1</v>
      </c>
      <c r="O2908" t="str">
        <f t="shared" si="270"/>
        <v>Low</v>
      </c>
      <c r="P2908" t="str">
        <f t="shared" si="272"/>
        <v>High</v>
      </c>
      <c r="Q2908" t="str">
        <f t="shared" si="273"/>
        <v>High Loan</v>
      </c>
      <c r="R2908">
        <f t="shared" si="274"/>
        <v>32500000</v>
      </c>
      <c r="S2908" t="str">
        <f t="shared" si="275"/>
        <v>Strong</v>
      </c>
    </row>
    <row r="2909" spans="1:19" x14ac:dyDescent="0.25">
      <c r="A2909">
        <v>2908</v>
      </c>
      <c r="B2909">
        <v>5</v>
      </c>
      <c r="C2909" t="s">
        <v>31</v>
      </c>
      <c r="D2909" t="s">
        <v>32</v>
      </c>
      <c r="E2909">
        <v>7700000</v>
      </c>
      <c r="F2909">
        <v>20300000</v>
      </c>
      <c r="G2909">
        <v>12</v>
      </c>
      <c r="H2909">
        <v>806</v>
      </c>
      <c r="I2909">
        <v>21300000</v>
      </c>
      <c r="J2909">
        <v>13300000</v>
      </c>
      <c r="K2909">
        <v>18900000</v>
      </c>
      <c r="L2909">
        <v>9600000</v>
      </c>
      <c r="M2909" t="s">
        <v>34</v>
      </c>
      <c r="N2909">
        <f t="shared" si="271"/>
        <v>1</v>
      </c>
      <c r="O2909" t="str">
        <f t="shared" si="270"/>
        <v>Excellent</v>
      </c>
      <c r="P2909" t="str">
        <f t="shared" si="272"/>
        <v>High</v>
      </c>
      <c r="Q2909" t="str">
        <f t="shared" si="273"/>
        <v>High Loan</v>
      </c>
      <c r="R2909">
        <f t="shared" si="274"/>
        <v>63100000</v>
      </c>
      <c r="S2909" t="str">
        <f t="shared" si="275"/>
        <v>Strong</v>
      </c>
    </row>
    <row r="2910" spans="1:19" x14ac:dyDescent="0.25">
      <c r="A2910">
        <v>2909</v>
      </c>
      <c r="B2910">
        <v>0</v>
      </c>
      <c r="C2910" t="s">
        <v>31</v>
      </c>
      <c r="D2910" t="s">
        <v>32</v>
      </c>
      <c r="E2910">
        <v>5700000</v>
      </c>
      <c r="F2910">
        <v>21400000</v>
      </c>
      <c r="G2910">
        <v>8</v>
      </c>
      <c r="H2910">
        <v>340</v>
      </c>
      <c r="I2910">
        <v>3200000</v>
      </c>
      <c r="J2910">
        <v>1900000</v>
      </c>
      <c r="K2910">
        <v>17200000</v>
      </c>
      <c r="L2910">
        <v>3800000</v>
      </c>
      <c r="M2910" t="s">
        <v>35</v>
      </c>
      <c r="N2910">
        <f t="shared" si="271"/>
        <v>0</v>
      </c>
      <c r="O2910" t="str">
        <f t="shared" si="270"/>
        <v>Low</v>
      </c>
      <c r="P2910" t="str">
        <f t="shared" si="272"/>
        <v>High</v>
      </c>
      <c r="Q2910" t="str">
        <f t="shared" si="273"/>
        <v>High Loan</v>
      </c>
      <c r="R2910">
        <f t="shared" si="274"/>
        <v>26100000</v>
      </c>
      <c r="S2910" t="str">
        <f t="shared" si="275"/>
        <v>Strong</v>
      </c>
    </row>
    <row r="2911" spans="1:19" x14ac:dyDescent="0.25">
      <c r="A2911">
        <v>2910</v>
      </c>
      <c r="B2911">
        <v>3</v>
      </c>
      <c r="C2911" t="s">
        <v>30</v>
      </c>
      <c r="D2911" t="s">
        <v>33</v>
      </c>
      <c r="E2911">
        <v>5000000</v>
      </c>
      <c r="F2911">
        <v>13900000</v>
      </c>
      <c r="G2911">
        <v>8</v>
      </c>
      <c r="H2911">
        <v>555</v>
      </c>
      <c r="I2911">
        <v>12300000</v>
      </c>
      <c r="J2911">
        <v>6700000</v>
      </c>
      <c r="K2911">
        <v>18100000</v>
      </c>
      <c r="L2911">
        <v>4800000</v>
      </c>
      <c r="M2911" t="s">
        <v>34</v>
      </c>
      <c r="N2911">
        <f t="shared" si="271"/>
        <v>1</v>
      </c>
      <c r="O2911" t="str">
        <f t="shared" si="270"/>
        <v>Low</v>
      </c>
      <c r="P2911" t="str">
        <f t="shared" si="272"/>
        <v>High</v>
      </c>
      <c r="Q2911" t="str">
        <f t="shared" si="273"/>
        <v>Low Loan</v>
      </c>
      <c r="R2911">
        <f t="shared" si="274"/>
        <v>41900000</v>
      </c>
      <c r="S2911" t="str">
        <f t="shared" si="275"/>
        <v>Strong</v>
      </c>
    </row>
    <row r="2912" spans="1:19" x14ac:dyDescent="0.25">
      <c r="A2912">
        <v>2911</v>
      </c>
      <c r="B2912">
        <v>5</v>
      </c>
      <c r="C2912" t="s">
        <v>31</v>
      </c>
      <c r="D2912" t="s">
        <v>32</v>
      </c>
      <c r="E2912">
        <v>500000</v>
      </c>
      <c r="F2912">
        <v>1200000</v>
      </c>
      <c r="G2912">
        <v>16</v>
      </c>
      <c r="H2912">
        <v>499</v>
      </c>
      <c r="I2912">
        <v>600000</v>
      </c>
      <c r="J2912">
        <v>600000</v>
      </c>
      <c r="K2912">
        <v>1500000</v>
      </c>
      <c r="L2912">
        <v>200000</v>
      </c>
      <c r="M2912" t="s">
        <v>35</v>
      </c>
      <c r="N2912">
        <f t="shared" si="271"/>
        <v>0</v>
      </c>
      <c r="O2912" t="str">
        <f t="shared" si="270"/>
        <v>Low</v>
      </c>
      <c r="P2912" t="str">
        <f t="shared" si="272"/>
        <v>Middle</v>
      </c>
      <c r="Q2912" t="str">
        <f t="shared" si="273"/>
        <v>Low Loan</v>
      </c>
      <c r="R2912">
        <f t="shared" si="274"/>
        <v>2900000</v>
      </c>
      <c r="S2912" t="str">
        <f t="shared" si="275"/>
        <v>Weak</v>
      </c>
    </row>
    <row r="2913" spans="1:19" x14ac:dyDescent="0.25">
      <c r="A2913">
        <v>2912</v>
      </c>
      <c r="B2913">
        <v>3</v>
      </c>
      <c r="C2913" t="s">
        <v>30</v>
      </c>
      <c r="D2913" t="s">
        <v>32</v>
      </c>
      <c r="E2913">
        <v>8900000</v>
      </c>
      <c r="F2913">
        <v>21300000</v>
      </c>
      <c r="G2913">
        <v>10</v>
      </c>
      <c r="H2913">
        <v>467</v>
      </c>
      <c r="I2913">
        <v>18700000</v>
      </c>
      <c r="J2913">
        <v>2600000</v>
      </c>
      <c r="K2913">
        <v>31800000</v>
      </c>
      <c r="L2913">
        <v>8800000</v>
      </c>
      <c r="M2913" t="s">
        <v>35</v>
      </c>
      <c r="N2913">
        <f t="shared" si="271"/>
        <v>0</v>
      </c>
      <c r="O2913" t="str">
        <f t="shared" si="270"/>
        <v>Low</v>
      </c>
      <c r="P2913" t="str">
        <f t="shared" si="272"/>
        <v>High</v>
      </c>
      <c r="Q2913" t="str">
        <f t="shared" si="273"/>
        <v>High Loan</v>
      </c>
      <c r="R2913">
        <f t="shared" si="274"/>
        <v>61900000</v>
      </c>
      <c r="S2913" t="str">
        <f t="shared" si="275"/>
        <v>Strong</v>
      </c>
    </row>
    <row r="2914" spans="1:19" x14ac:dyDescent="0.25">
      <c r="A2914">
        <v>2913</v>
      </c>
      <c r="B2914">
        <v>1</v>
      </c>
      <c r="C2914" t="s">
        <v>31</v>
      </c>
      <c r="D2914" t="s">
        <v>32</v>
      </c>
      <c r="E2914">
        <v>1700000</v>
      </c>
      <c r="F2914">
        <v>6600000</v>
      </c>
      <c r="G2914">
        <v>4</v>
      </c>
      <c r="H2914">
        <v>797</v>
      </c>
      <c r="I2914">
        <v>2800000</v>
      </c>
      <c r="J2914">
        <v>1900000</v>
      </c>
      <c r="K2914">
        <v>6100000</v>
      </c>
      <c r="L2914">
        <v>1300000</v>
      </c>
      <c r="M2914" t="s">
        <v>34</v>
      </c>
      <c r="N2914">
        <f t="shared" si="271"/>
        <v>1</v>
      </c>
      <c r="O2914" t="str">
        <f t="shared" si="270"/>
        <v>Excellent</v>
      </c>
      <c r="P2914" t="str">
        <f t="shared" si="272"/>
        <v>High</v>
      </c>
      <c r="Q2914" t="str">
        <f t="shared" si="273"/>
        <v>Low Loan</v>
      </c>
      <c r="R2914">
        <f t="shared" si="274"/>
        <v>12100000</v>
      </c>
      <c r="S2914" t="str">
        <f t="shared" si="275"/>
        <v>Strong</v>
      </c>
    </row>
    <row r="2915" spans="1:19" x14ac:dyDescent="0.25">
      <c r="A2915">
        <v>2914</v>
      </c>
      <c r="B2915">
        <v>4</v>
      </c>
      <c r="C2915" t="s">
        <v>31</v>
      </c>
      <c r="D2915" t="s">
        <v>33</v>
      </c>
      <c r="E2915">
        <v>500000</v>
      </c>
      <c r="F2915">
        <v>1300000</v>
      </c>
      <c r="G2915">
        <v>18</v>
      </c>
      <c r="H2915">
        <v>762</v>
      </c>
      <c r="I2915">
        <v>1400000</v>
      </c>
      <c r="J2915">
        <v>0</v>
      </c>
      <c r="K2915">
        <v>1600000</v>
      </c>
      <c r="L2915">
        <v>300000</v>
      </c>
      <c r="M2915" t="s">
        <v>34</v>
      </c>
      <c r="N2915">
        <f t="shared" si="271"/>
        <v>1</v>
      </c>
      <c r="O2915" t="str">
        <f t="shared" si="270"/>
        <v>Excellent</v>
      </c>
      <c r="P2915" t="str">
        <f t="shared" si="272"/>
        <v>Middle</v>
      </c>
      <c r="Q2915" t="str">
        <f t="shared" si="273"/>
        <v>Low Loan</v>
      </c>
      <c r="R2915">
        <f t="shared" si="274"/>
        <v>3300000</v>
      </c>
      <c r="S2915" t="str">
        <f t="shared" si="275"/>
        <v>Weak</v>
      </c>
    </row>
    <row r="2916" spans="1:19" x14ac:dyDescent="0.25">
      <c r="A2916">
        <v>2915</v>
      </c>
      <c r="B2916">
        <v>3</v>
      </c>
      <c r="C2916" t="s">
        <v>31</v>
      </c>
      <c r="D2916" t="s">
        <v>33</v>
      </c>
      <c r="E2916">
        <v>9900000</v>
      </c>
      <c r="F2916">
        <v>36500000</v>
      </c>
      <c r="G2916">
        <v>16</v>
      </c>
      <c r="H2916">
        <v>562</v>
      </c>
      <c r="I2916">
        <v>17300000</v>
      </c>
      <c r="J2916">
        <v>18500000</v>
      </c>
      <c r="K2916">
        <v>22300000</v>
      </c>
      <c r="L2916">
        <v>9800000</v>
      </c>
      <c r="M2916" t="s">
        <v>34</v>
      </c>
      <c r="N2916">
        <f t="shared" si="271"/>
        <v>1</v>
      </c>
      <c r="O2916" t="str">
        <f t="shared" si="270"/>
        <v>Low</v>
      </c>
      <c r="P2916" t="str">
        <f t="shared" si="272"/>
        <v>High</v>
      </c>
      <c r="Q2916" t="str">
        <f t="shared" si="273"/>
        <v>High Loan</v>
      </c>
      <c r="R2916">
        <f t="shared" si="274"/>
        <v>67900000</v>
      </c>
      <c r="S2916" t="str">
        <f t="shared" si="275"/>
        <v>Strong</v>
      </c>
    </row>
    <row r="2917" spans="1:19" x14ac:dyDescent="0.25">
      <c r="A2917">
        <v>2916</v>
      </c>
      <c r="B2917">
        <v>1</v>
      </c>
      <c r="C2917" t="s">
        <v>30</v>
      </c>
      <c r="D2917" t="s">
        <v>32</v>
      </c>
      <c r="E2917">
        <v>8400000</v>
      </c>
      <c r="F2917">
        <v>21800000</v>
      </c>
      <c r="G2917">
        <v>2</v>
      </c>
      <c r="H2917">
        <v>492</v>
      </c>
      <c r="I2917">
        <v>4000000</v>
      </c>
      <c r="J2917">
        <v>11000000</v>
      </c>
      <c r="K2917">
        <v>18200000</v>
      </c>
      <c r="L2917">
        <v>6600000</v>
      </c>
      <c r="M2917" t="s">
        <v>35</v>
      </c>
      <c r="N2917">
        <f t="shared" si="271"/>
        <v>0</v>
      </c>
      <c r="O2917" t="str">
        <f t="shared" si="270"/>
        <v>Low</v>
      </c>
      <c r="P2917" t="str">
        <f t="shared" si="272"/>
        <v>High</v>
      </c>
      <c r="Q2917" t="str">
        <f t="shared" si="273"/>
        <v>High Loan</v>
      </c>
      <c r="R2917">
        <f t="shared" si="274"/>
        <v>39800000</v>
      </c>
      <c r="S2917" t="str">
        <f t="shared" si="275"/>
        <v>Strong</v>
      </c>
    </row>
    <row r="2918" spans="1:19" x14ac:dyDescent="0.25">
      <c r="A2918">
        <v>2917</v>
      </c>
      <c r="B2918">
        <v>3</v>
      </c>
      <c r="C2918" t="s">
        <v>31</v>
      </c>
      <c r="D2918" t="s">
        <v>33</v>
      </c>
      <c r="E2918">
        <v>500000</v>
      </c>
      <c r="F2918">
        <v>1700000</v>
      </c>
      <c r="G2918">
        <v>4</v>
      </c>
      <c r="H2918">
        <v>824</v>
      </c>
      <c r="I2918">
        <v>500000</v>
      </c>
      <c r="J2918">
        <v>600000</v>
      </c>
      <c r="K2918">
        <v>1400000</v>
      </c>
      <c r="L2918">
        <v>400000</v>
      </c>
      <c r="M2918" t="s">
        <v>34</v>
      </c>
      <c r="N2918">
        <f t="shared" si="271"/>
        <v>1</v>
      </c>
      <c r="O2918" t="str">
        <f t="shared" si="270"/>
        <v>Excellent</v>
      </c>
      <c r="P2918" t="str">
        <f t="shared" si="272"/>
        <v>Middle</v>
      </c>
      <c r="Q2918" t="str">
        <f t="shared" si="273"/>
        <v>Low Loan</v>
      </c>
      <c r="R2918">
        <f t="shared" si="274"/>
        <v>2900000</v>
      </c>
      <c r="S2918" t="str">
        <f t="shared" si="275"/>
        <v>Weak</v>
      </c>
    </row>
    <row r="2919" spans="1:19" x14ac:dyDescent="0.25">
      <c r="A2919">
        <v>2918</v>
      </c>
      <c r="B2919">
        <v>2</v>
      </c>
      <c r="C2919" t="s">
        <v>30</v>
      </c>
      <c r="D2919" t="s">
        <v>32</v>
      </c>
      <c r="E2919">
        <v>1700000</v>
      </c>
      <c r="F2919">
        <v>5700000</v>
      </c>
      <c r="G2919">
        <v>10</v>
      </c>
      <c r="H2919">
        <v>602</v>
      </c>
      <c r="I2919">
        <v>4900000</v>
      </c>
      <c r="J2919">
        <v>2700000</v>
      </c>
      <c r="K2919">
        <v>4500000</v>
      </c>
      <c r="L2919">
        <v>1800000</v>
      </c>
      <c r="M2919" t="s">
        <v>34</v>
      </c>
      <c r="N2919">
        <f t="shared" si="271"/>
        <v>1</v>
      </c>
      <c r="O2919" t="str">
        <f t="shared" si="270"/>
        <v>Low</v>
      </c>
      <c r="P2919" t="str">
        <f t="shared" si="272"/>
        <v>High</v>
      </c>
      <c r="Q2919" t="str">
        <f t="shared" si="273"/>
        <v>Low Loan</v>
      </c>
      <c r="R2919">
        <f t="shared" si="274"/>
        <v>13900000</v>
      </c>
      <c r="S2919" t="str">
        <f t="shared" si="275"/>
        <v>Strong</v>
      </c>
    </row>
    <row r="2920" spans="1:19" x14ac:dyDescent="0.25">
      <c r="A2920">
        <v>2919</v>
      </c>
      <c r="B2920">
        <v>1</v>
      </c>
      <c r="C2920" t="s">
        <v>31</v>
      </c>
      <c r="D2920" t="s">
        <v>33</v>
      </c>
      <c r="E2920">
        <v>6500000</v>
      </c>
      <c r="F2920">
        <v>18300000</v>
      </c>
      <c r="G2920">
        <v>10</v>
      </c>
      <c r="H2920">
        <v>722</v>
      </c>
      <c r="I2920">
        <v>11900000</v>
      </c>
      <c r="J2920">
        <v>8600000</v>
      </c>
      <c r="K2920">
        <v>19200000</v>
      </c>
      <c r="L2920">
        <v>4500000</v>
      </c>
      <c r="M2920" t="s">
        <v>34</v>
      </c>
      <c r="N2920">
        <f t="shared" si="271"/>
        <v>1</v>
      </c>
      <c r="O2920" t="str">
        <f t="shared" si="270"/>
        <v>Good</v>
      </c>
      <c r="P2920" t="str">
        <f t="shared" si="272"/>
        <v>High</v>
      </c>
      <c r="Q2920" t="str">
        <f t="shared" si="273"/>
        <v>Low Loan</v>
      </c>
      <c r="R2920">
        <f t="shared" si="274"/>
        <v>44200000</v>
      </c>
      <c r="S2920" t="str">
        <f t="shared" si="275"/>
        <v>Strong</v>
      </c>
    </row>
    <row r="2921" spans="1:19" x14ac:dyDescent="0.25">
      <c r="A2921">
        <v>2920</v>
      </c>
      <c r="B2921">
        <v>1</v>
      </c>
      <c r="C2921" t="s">
        <v>31</v>
      </c>
      <c r="D2921" t="s">
        <v>32</v>
      </c>
      <c r="E2921">
        <v>8900000</v>
      </c>
      <c r="F2921">
        <v>28400000</v>
      </c>
      <c r="G2921">
        <v>6</v>
      </c>
      <c r="H2921">
        <v>709</v>
      </c>
      <c r="I2921">
        <v>21600000</v>
      </c>
      <c r="J2921">
        <v>5500000</v>
      </c>
      <c r="K2921">
        <v>26200000</v>
      </c>
      <c r="L2921">
        <v>7900000</v>
      </c>
      <c r="M2921" t="s">
        <v>34</v>
      </c>
      <c r="N2921">
        <f t="shared" si="271"/>
        <v>1</v>
      </c>
      <c r="O2921" t="str">
        <f t="shared" si="270"/>
        <v>Good</v>
      </c>
      <c r="P2921" t="str">
        <f t="shared" si="272"/>
        <v>High</v>
      </c>
      <c r="Q2921" t="str">
        <f t="shared" si="273"/>
        <v>High Loan</v>
      </c>
      <c r="R2921">
        <f t="shared" si="274"/>
        <v>61200000</v>
      </c>
      <c r="S2921" t="str">
        <f t="shared" si="275"/>
        <v>Strong</v>
      </c>
    </row>
    <row r="2922" spans="1:19" x14ac:dyDescent="0.25">
      <c r="A2922">
        <v>2921</v>
      </c>
      <c r="B2922">
        <v>1</v>
      </c>
      <c r="C2922" t="s">
        <v>31</v>
      </c>
      <c r="D2922" t="s">
        <v>32</v>
      </c>
      <c r="E2922">
        <v>400000</v>
      </c>
      <c r="F2922">
        <v>1400000</v>
      </c>
      <c r="G2922">
        <v>4</v>
      </c>
      <c r="H2922">
        <v>302</v>
      </c>
      <c r="I2922">
        <v>200000</v>
      </c>
      <c r="J2922">
        <v>100000</v>
      </c>
      <c r="K2922">
        <v>1500000</v>
      </c>
      <c r="L2922">
        <v>500000</v>
      </c>
      <c r="M2922" t="s">
        <v>34</v>
      </c>
      <c r="N2922">
        <f t="shared" si="271"/>
        <v>1</v>
      </c>
      <c r="O2922" t="str">
        <f t="shared" si="270"/>
        <v>Low</v>
      </c>
      <c r="P2922" t="str">
        <f t="shared" si="272"/>
        <v>Middle</v>
      </c>
      <c r="Q2922" t="str">
        <f t="shared" si="273"/>
        <v>Low Loan</v>
      </c>
      <c r="R2922">
        <f t="shared" si="274"/>
        <v>2300000</v>
      </c>
      <c r="S2922" t="str">
        <f t="shared" si="275"/>
        <v>Weak</v>
      </c>
    </row>
    <row r="2923" spans="1:19" x14ac:dyDescent="0.25">
      <c r="A2923">
        <v>2922</v>
      </c>
      <c r="B2923">
        <v>3</v>
      </c>
      <c r="C2923" t="s">
        <v>31</v>
      </c>
      <c r="D2923" t="s">
        <v>32</v>
      </c>
      <c r="E2923">
        <v>5700000</v>
      </c>
      <c r="F2923">
        <v>12300000</v>
      </c>
      <c r="G2923">
        <v>6</v>
      </c>
      <c r="H2923">
        <v>364</v>
      </c>
      <c r="I2923">
        <v>7900000</v>
      </c>
      <c r="J2923">
        <v>11000000</v>
      </c>
      <c r="K2923">
        <v>20000000</v>
      </c>
      <c r="L2923">
        <v>5500000</v>
      </c>
      <c r="M2923" t="s">
        <v>35</v>
      </c>
      <c r="N2923">
        <f t="shared" si="271"/>
        <v>0</v>
      </c>
      <c r="O2923" t="str">
        <f t="shared" si="270"/>
        <v>Low</v>
      </c>
      <c r="P2923" t="str">
        <f t="shared" si="272"/>
        <v>High</v>
      </c>
      <c r="Q2923" t="str">
        <f t="shared" si="273"/>
        <v>Low Loan</v>
      </c>
      <c r="R2923">
        <f t="shared" si="274"/>
        <v>44400000</v>
      </c>
      <c r="S2923" t="str">
        <f t="shared" si="275"/>
        <v>Strong</v>
      </c>
    </row>
    <row r="2924" spans="1:19" x14ac:dyDescent="0.25">
      <c r="A2924">
        <v>2923</v>
      </c>
      <c r="B2924">
        <v>0</v>
      </c>
      <c r="C2924" t="s">
        <v>31</v>
      </c>
      <c r="D2924" t="s">
        <v>33</v>
      </c>
      <c r="E2924">
        <v>9600000</v>
      </c>
      <c r="F2924">
        <v>23800000</v>
      </c>
      <c r="G2924">
        <v>12</v>
      </c>
      <c r="H2924">
        <v>389</v>
      </c>
      <c r="I2924">
        <v>25200000</v>
      </c>
      <c r="J2924">
        <v>15800000</v>
      </c>
      <c r="K2924">
        <v>27000000</v>
      </c>
      <c r="L2924">
        <v>8300000</v>
      </c>
      <c r="M2924" t="s">
        <v>35</v>
      </c>
      <c r="N2924">
        <f t="shared" si="271"/>
        <v>0</v>
      </c>
      <c r="O2924" t="str">
        <f t="shared" si="270"/>
        <v>Low</v>
      </c>
      <c r="P2924" t="str">
        <f t="shared" si="272"/>
        <v>High</v>
      </c>
      <c r="Q2924" t="str">
        <f t="shared" si="273"/>
        <v>High Loan</v>
      </c>
      <c r="R2924">
        <f t="shared" si="274"/>
        <v>76300000</v>
      </c>
      <c r="S2924" t="str">
        <f t="shared" si="275"/>
        <v>Strong</v>
      </c>
    </row>
    <row r="2925" spans="1:19" x14ac:dyDescent="0.25">
      <c r="A2925">
        <v>2924</v>
      </c>
      <c r="B2925">
        <v>0</v>
      </c>
      <c r="C2925" t="s">
        <v>30</v>
      </c>
      <c r="D2925" t="s">
        <v>33</v>
      </c>
      <c r="E2925">
        <v>8500000</v>
      </c>
      <c r="F2925">
        <v>20000000</v>
      </c>
      <c r="G2925">
        <v>16</v>
      </c>
      <c r="H2925">
        <v>786</v>
      </c>
      <c r="I2925">
        <v>13300000</v>
      </c>
      <c r="J2925">
        <v>7400000</v>
      </c>
      <c r="K2925">
        <v>17700000</v>
      </c>
      <c r="L2925">
        <v>8900000</v>
      </c>
      <c r="M2925" t="s">
        <v>34</v>
      </c>
      <c r="N2925">
        <f t="shared" si="271"/>
        <v>1</v>
      </c>
      <c r="O2925" t="str">
        <f t="shared" si="270"/>
        <v>Excellent</v>
      </c>
      <c r="P2925" t="str">
        <f t="shared" si="272"/>
        <v>High</v>
      </c>
      <c r="Q2925" t="str">
        <f t="shared" si="273"/>
        <v>High Loan</v>
      </c>
      <c r="R2925">
        <f t="shared" si="274"/>
        <v>47300000</v>
      </c>
      <c r="S2925" t="str">
        <f t="shared" si="275"/>
        <v>Strong</v>
      </c>
    </row>
    <row r="2926" spans="1:19" x14ac:dyDescent="0.25">
      <c r="A2926">
        <v>2925</v>
      </c>
      <c r="B2926">
        <v>0</v>
      </c>
      <c r="C2926" t="s">
        <v>30</v>
      </c>
      <c r="D2926" t="s">
        <v>32</v>
      </c>
      <c r="E2926">
        <v>4000000</v>
      </c>
      <c r="F2926">
        <v>11500000</v>
      </c>
      <c r="G2926">
        <v>8</v>
      </c>
      <c r="H2926">
        <v>434</v>
      </c>
      <c r="I2926">
        <v>4500000</v>
      </c>
      <c r="J2926">
        <v>2800000</v>
      </c>
      <c r="K2926">
        <v>8400000</v>
      </c>
      <c r="L2926">
        <v>5900000</v>
      </c>
      <c r="M2926" t="s">
        <v>35</v>
      </c>
      <c r="N2926">
        <f t="shared" si="271"/>
        <v>0</v>
      </c>
      <c r="O2926" t="str">
        <f t="shared" si="270"/>
        <v>Low</v>
      </c>
      <c r="P2926" t="str">
        <f t="shared" si="272"/>
        <v>High</v>
      </c>
      <c r="Q2926" t="str">
        <f t="shared" si="273"/>
        <v>Low Loan</v>
      </c>
      <c r="R2926">
        <f t="shared" si="274"/>
        <v>21600000</v>
      </c>
      <c r="S2926" t="str">
        <f t="shared" si="275"/>
        <v>Strong</v>
      </c>
    </row>
    <row r="2927" spans="1:19" x14ac:dyDescent="0.25">
      <c r="A2927">
        <v>2926</v>
      </c>
      <c r="B2927">
        <v>2</v>
      </c>
      <c r="C2927" t="s">
        <v>31</v>
      </c>
      <c r="D2927" t="s">
        <v>33</v>
      </c>
      <c r="E2927">
        <v>6300000</v>
      </c>
      <c r="F2927">
        <v>18100000</v>
      </c>
      <c r="G2927">
        <v>6</v>
      </c>
      <c r="H2927">
        <v>671</v>
      </c>
      <c r="I2927">
        <v>7900000</v>
      </c>
      <c r="J2927">
        <v>8200000</v>
      </c>
      <c r="K2927">
        <v>13200000</v>
      </c>
      <c r="L2927">
        <v>5400000</v>
      </c>
      <c r="M2927" t="s">
        <v>34</v>
      </c>
      <c r="N2927">
        <f t="shared" si="271"/>
        <v>1</v>
      </c>
      <c r="O2927" t="str">
        <f t="shared" si="270"/>
        <v>Medium</v>
      </c>
      <c r="P2927" t="str">
        <f t="shared" si="272"/>
        <v>High</v>
      </c>
      <c r="Q2927" t="str">
        <f t="shared" si="273"/>
        <v>Low Loan</v>
      </c>
      <c r="R2927">
        <f t="shared" si="274"/>
        <v>34700000</v>
      </c>
      <c r="S2927" t="str">
        <f t="shared" si="275"/>
        <v>Strong</v>
      </c>
    </row>
    <row r="2928" spans="1:19" x14ac:dyDescent="0.25">
      <c r="A2928">
        <v>2927</v>
      </c>
      <c r="B2928">
        <v>3</v>
      </c>
      <c r="C2928" t="s">
        <v>30</v>
      </c>
      <c r="D2928" t="s">
        <v>33</v>
      </c>
      <c r="E2928">
        <v>4000000</v>
      </c>
      <c r="F2928">
        <v>14700000</v>
      </c>
      <c r="G2928">
        <v>8</v>
      </c>
      <c r="H2928">
        <v>376</v>
      </c>
      <c r="I2928">
        <v>3000000</v>
      </c>
      <c r="J2928">
        <v>6200000</v>
      </c>
      <c r="K2928">
        <v>8900000</v>
      </c>
      <c r="L2928">
        <v>4200000</v>
      </c>
      <c r="M2928" t="s">
        <v>35</v>
      </c>
      <c r="N2928">
        <f t="shared" si="271"/>
        <v>0</v>
      </c>
      <c r="O2928" t="str">
        <f t="shared" si="270"/>
        <v>Low</v>
      </c>
      <c r="P2928" t="str">
        <f t="shared" si="272"/>
        <v>High</v>
      </c>
      <c r="Q2928" t="str">
        <f t="shared" si="273"/>
        <v>Low Loan</v>
      </c>
      <c r="R2928">
        <f t="shared" si="274"/>
        <v>22300000</v>
      </c>
      <c r="S2928" t="str">
        <f t="shared" si="275"/>
        <v>Strong</v>
      </c>
    </row>
    <row r="2929" spans="1:19" x14ac:dyDescent="0.25">
      <c r="A2929">
        <v>2928</v>
      </c>
      <c r="B2929">
        <v>4</v>
      </c>
      <c r="C2929" t="s">
        <v>30</v>
      </c>
      <c r="D2929" t="s">
        <v>32</v>
      </c>
      <c r="E2929">
        <v>9400000</v>
      </c>
      <c r="F2929">
        <v>32200000</v>
      </c>
      <c r="G2929">
        <v>6</v>
      </c>
      <c r="H2929">
        <v>898</v>
      </c>
      <c r="I2929">
        <v>27600000</v>
      </c>
      <c r="J2929">
        <v>11800000</v>
      </c>
      <c r="K2929">
        <v>19500000</v>
      </c>
      <c r="L2929">
        <v>8600000</v>
      </c>
      <c r="M2929" t="s">
        <v>34</v>
      </c>
      <c r="N2929">
        <f t="shared" si="271"/>
        <v>1</v>
      </c>
      <c r="O2929" t="str">
        <f t="shared" si="270"/>
        <v>Excellent</v>
      </c>
      <c r="P2929" t="str">
        <f t="shared" si="272"/>
        <v>High</v>
      </c>
      <c r="Q2929" t="str">
        <f t="shared" si="273"/>
        <v>High Loan</v>
      </c>
      <c r="R2929">
        <f t="shared" si="274"/>
        <v>67500000</v>
      </c>
      <c r="S2929" t="str">
        <f t="shared" si="275"/>
        <v>Strong</v>
      </c>
    </row>
    <row r="2930" spans="1:19" x14ac:dyDescent="0.25">
      <c r="A2930">
        <v>2929</v>
      </c>
      <c r="B2930">
        <v>5</v>
      </c>
      <c r="C2930" t="s">
        <v>30</v>
      </c>
      <c r="D2930" t="s">
        <v>33</v>
      </c>
      <c r="E2930">
        <v>4100000</v>
      </c>
      <c r="F2930">
        <v>15500000</v>
      </c>
      <c r="G2930">
        <v>10</v>
      </c>
      <c r="H2930">
        <v>836</v>
      </c>
      <c r="I2930">
        <v>10500000</v>
      </c>
      <c r="J2930">
        <v>1100000</v>
      </c>
      <c r="K2930">
        <v>15200000</v>
      </c>
      <c r="L2930">
        <v>3600000</v>
      </c>
      <c r="M2930" t="s">
        <v>34</v>
      </c>
      <c r="N2930">
        <f t="shared" si="271"/>
        <v>1</v>
      </c>
      <c r="O2930" t="str">
        <f t="shared" si="270"/>
        <v>Excellent</v>
      </c>
      <c r="P2930" t="str">
        <f t="shared" si="272"/>
        <v>High</v>
      </c>
      <c r="Q2930" t="str">
        <f t="shared" si="273"/>
        <v>Low Loan</v>
      </c>
      <c r="R2930">
        <f t="shared" si="274"/>
        <v>30400000</v>
      </c>
      <c r="S2930" t="str">
        <f t="shared" si="275"/>
        <v>Strong</v>
      </c>
    </row>
    <row r="2931" spans="1:19" x14ac:dyDescent="0.25">
      <c r="A2931">
        <v>2930</v>
      </c>
      <c r="B2931">
        <v>4</v>
      </c>
      <c r="C2931" t="s">
        <v>30</v>
      </c>
      <c r="D2931" t="s">
        <v>33</v>
      </c>
      <c r="E2931">
        <v>1100000</v>
      </c>
      <c r="F2931">
        <v>4400000</v>
      </c>
      <c r="G2931">
        <v>6</v>
      </c>
      <c r="H2931">
        <v>515</v>
      </c>
      <c r="I2931">
        <v>1000000</v>
      </c>
      <c r="J2931">
        <v>700000</v>
      </c>
      <c r="K2931">
        <v>4300000</v>
      </c>
      <c r="L2931">
        <v>1500000</v>
      </c>
      <c r="M2931" t="s">
        <v>35</v>
      </c>
      <c r="N2931">
        <f t="shared" si="271"/>
        <v>0</v>
      </c>
      <c r="O2931" t="str">
        <f t="shared" si="270"/>
        <v>Low</v>
      </c>
      <c r="P2931" t="str">
        <f t="shared" si="272"/>
        <v>High</v>
      </c>
      <c r="Q2931" t="str">
        <f t="shared" si="273"/>
        <v>Low Loan</v>
      </c>
      <c r="R2931">
        <f t="shared" si="274"/>
        <v>7500000</v>
      </c>
      <c r="S2931" t="str">
        <f t="shared" si="275"/>
        <v>Moderate</v>
      </c>
    </row>
    <row r="2932" spans="1:19" x14ac:dyDescent="0.25">
      <c r="A2932">
        <v>2931</v>
      </c>
      <c r="B2932">
        <v>3</v>
      </c>
      <c r="C2932" t="s">
        <v>31</v>
      </c>
      <c r="D2932" t="s">
        <v>32</v>
      </c>
      <c r="E2932">
        <v>8700000</v>
      </c>
      <c r="F2932">
        <v>24800000</v>
      </c>
      <c r="G2932">
        <v>20</v>
      </c>
      <c r="H2932">
        <v>360</v>
      </c>
      <c r="I2932">
        <v>25300000</v>
      </c>
      <c r="J2932">
        <v>8700000</v>
      </c>
      <c r="K2932">
        <v>31100000</v>
      </c>
      <c r="L2932">
        <v>4300000</v>
      </c>
      <c r="M2932" t="s">
        <v>35</v>
      </c>
      <c r="N2932">
        <f t="shared" si="271"/>
        <v>0</v>
      </c>
      <c r="O2932" t="str">
        <f t="shared" si="270"/>
        <v>Low</v>
      </c>
      <c r="P2932" t="str">
        <f t="shared" si="272"/>
        <v>High</v>
      </c>
      <c r="Q2932" t="str">
        <f t="shared" si="273"/>
        <v>High Loan</v>
      </c>
      <c r="R2932">
        <f t="shared" si="274"/>
        <v>69400000</v>
      </c>
      <c r="S2932" t="str">
        <f t="shared" si="275"/>
        <v>Strong</v>
      </c>
    </row>
    <row r="2933" spans="1:19" x14ac:dyDescent="0.25">
      <c r="A2933">
        <v>2932</v>
      </c>
      <c r="B2933">
        <v>4</v>
      </c>
      <c r="C2933" t="s">
        <v>30</v>
      </c>
      <c r="D2933" t="s">
        <v>33</v>
      </c>
      <c r="E2933">
        <v>4900000</v>
      </c>
      <c r="F2933">
        <v>12800000</v>
      </c>
      <c r="G2933">
        <v>2</v>
      </c>
      <c r="H2933">
        <v>691</v>
      </c>
      <c r="I2933">
        <v>200000</v>
      </c>
      <c r="J2933">
        <v>4900000</v>
      </c>
      <c r="K2933">
        <v>14700000</v>
      </c>
      <c r="L2933">
        <v>7000000</v>
      </c>
      <c r="M2933" t="s">
        <v>34</v>
      </c>
      <c r="N2933">
        <f t="shared" si="271"/>
        <v>1</v>
      </c>
      <c r="O2933" t="str">
        <f t="shared" si="270"/>
        <v>Medium</v>
      </c>
      <c r="P2933" t="str">
        <f t="shared" si="272"/>
        <v>High</v>
      </c>
      <c r="Q2933" t="str">
        <f t="shared" si="273"/>
        <v>Low Loan</v>
      </c>
      <c r="R2933">
        <f t="shared" si="274"/>
        <v>26800000</v>
      </c>
      <c r="S2933" t="str">
        <f t="shared" si="275"/>
        <v>Strong</v>
      </c>
    </row>
    <row r="2934" spans="1:19" x14ac:dyDescent="0.25">
      <c r="A2934">
        <v>2933</v>
      </c>
      <c r="B2934">
        <v>1</v>
      </c>
      <c r="C2934" t="s">
        <v>31</v>
      </c>
      <c r="D2934" t="s">
        <v>33</v>
      </c>
      <c r="E2934">
        <v>2800000</v>
      </c>
      <c r="F2934">
        <v>9100000</v>
      </c>
      <c r="G2934">
        <v>14</v>
      </c>
      <c r="H2934">
        <v>510</v>
      </c>
      <c r="I2934">
        <v>2400000</v>
      </c>
      <c r="J2934">
        <v>4200000</v>
      </c>
      <c r="K2934">
        <v>10400000</v>
      </c>
      <c r="L2934">
        <v>3000000</v>
      </c>
      <c r="M2934" t="s">
        <v>35</v>
      </c>
      <c r="N2934">
        <f t="shared" si="271"/>
        <v>0</v>
      </c>
      <c r="O2934" t="str">
        <f t="shared" si="270"/>
        <v>Low</v>
      </c>
      <c r="P2934" t="str">
        <f t="shared" si="272"/>
        <v>High</v>
      </c>
      <c r="Q2934" t="str">
        <f t="shared" si="273"/>
        <v>Low Loan</v>
      </c>
      <c r="R2934">
        <f t="shared" si="274"/>
        <v>20000000</v>
      </c>
      <c r="S2934" t="str">
        <f t="shared" si="275"/>
        <v>Strong</v>
      </c>
    </row>
    <row r="2935" spans="1:19" x14ac:dyDescent="0.25">
      <c r="A2935">
        <v>2934</v>
      </c>
      <c r="B2935">
        <v>0</v>
      </c>
      <c r="C2935" t="s">
        <v>30</v>
      </c>
      <c r="D2935" t="s">
        <v>32</v>
      </c>
      <c r="E2935">
        <v>9600000</v>
      </c>
      <c r="F2935">
        <v>23200000</v>
      </c>
      <c r="G2935">
        <v>18</v>
      </c>
      <c r="H2935">
        <v>389</v>
      </c>
      <c r="I2935">
        <v>1000000</v>
      </c>
      <c r="J2935">
        <v>17600000</v>
      </c>
      <c r="K2935">
        <v>22200000</v>
      </c>
      <c r="L2935">
        <v>8800000</v>
      </c>
      <c r="M2935" t="s">
        <v>35</v>
      </c>
      <c r="N2935">
        <f t="shared" si="271"/>
        <v>0</v>
      </c>
      <c r="O2935" t="str">
        <f t="shared" si="270"/>
        <v>Low</v>
      </c>
      <c r="P2935" t="str">
        <f t="shared" si="272"/>
        <v>High</v>
      </c>
      <c r="Q2935" t="str">
        <f t="shared" si="273"/>
        <v>High Loan</v>
      </c>
      <c r="R2935">
        <f t="shared" si="274"/>
        <v>49600000</v>
      </c>
      <c r="S2935" t="str">
        <f t="shared" si="275"/>
        <v>Strong</v>
      </c>
    </row>
    <row r="2936" spans="1:19" x14ac:dyDescent="0.25">
      <c r="A2936">
        <v>2935</v>
      </c>
      <c r="B2936">
        <v>3</v>
      </c>
      <c r="C2936" t="s">
        <v>30</v>
      </c>
      <c r="D2936" t="s">
        <v>33</v>
      </c>
      <c r="E2936">
        <v>6900000</v>
      </c>
      <c r="F2936">
        <v>19000000</v>
      </c>
      <c r="G2936">
        <v>14</v>
      </c>
      <c r="H2936">
        <v>348</v>
      </c>
      <c r="I2936">
        <v>4200000</v>
      </c>
      <c r="J2936">
        <v>3700000</v>
      </c>
      <c r="K2936">
        <v>19400000</v>
      </c>
      <c r="L2936">
        <v>4900000</v>
      </c>
      <c r="M2936" t="s">
        <v>35</v>
      </c>
      <c r="N2936">
        <f t="shared" si="271"/>
        <v>0</v>
      </c>
      <c r="O2936" t="str">
        <f t="shared" si="270"/>
        <v>Low</v>
      </c>
      <c r="P2936" t="str">
        <f t="shared" si="272"/>
        <v>High</v>
      </c>
      <c r="Q2936" t="str">
        <f t="shared" si="273"/>
        <v>Low Loan</v>
      </c>
      <c r="R2936">
        <f t="shared" si="274"/>
        <v>32200000</v>
      </c>
      <c r="S2936" t="str">
        <f t="shared" si="275"/>
        <v>Strong</v>
      </c>
    </row>
    <row r="2937" spans="1:19" x14ac:dyDescent="0.25">
      <c r="A2937">
        <v>2936</v>
      </c>
      <c r="B2937">
        <v>2</v>
      </c>
      <c r="C2937" t="s">
        <v>31</v>
      </c>
      <c r="D2937" t="s">
        <v>33</v>
      </c>
      <c r="E2937">
        <v>2300000</v>
      </c>
      <c r="F2937">
        <v>8100000</v>
      </c>
      <c r="G2937">
        <v>2</v>
      </c>
      <c r="H2937">
        <v>504</v>
      </c>
      <c r="I2937">
        <v>1800000</v>
      </c>
      <c r="J2937">
        <v>3100000</v>
      </c>
      <c r="K2937">
        <v>4600000</v>
      </c>
      <c r="L2937">
        <v>3100000</v>
      </c>
      <c r="M2937" t="s">
        <v>34</v>
      </c>
      <c r="N2937">
        <f t="shared" si="271"/>
        <v>1</v>
      </c>
      <c r="O2937" t="str">
        <f t="shared" si="270"/>
        <v>Low</v>
      </c>
      <c r="P2937" t="str">
        <f t="shared" si="272"/>
        <v>High</v>
      </c>
      <c r="Q2937" t="str">
        <f t="shared" si="273"/>
        <v>Low Loan</v>
      </c>
      <c r="R2937">
        <f t="shared" si="274"/>
        <v>12600000</v>
      </c>
      <c r="S2937" t="str">
        <f t="shared" si="275"/>
        <v>Strong</v>
      </c>
    </row>
    <row r="2938" spans="1:19" x14ac:dyDescent="0.25">
      <c r="A2938">
        <v>2937</v>
      </c>
      <c r="B2938">
        <v>2</v>
      </c>
      <c r="C2938" t="s">
        <v>31</v>
      </c>
      <c r="D2938" t="s">
        <v>32</v>
      </c>
      <c r="E2938">
        <v>6800000</v>
      </c>
      <c r="F2938">
        <v>21300000</v>
      </c>
      <c r="G2938">
        <v>20</v>
      </c>
      <c r="H2938">
        <v>658</v>
      </c>
      <c r="I2938">
        <v>7800000</v>
      </c>
      <c r="J2938">
        <v>7000000</v>
      </c>
      <c r="K2938">
        <v>25900000</v>
      </c>
      <c r="L2938">
        <v>9600000</v>
      </c>
      <c r="M2938" t="s">
        <v>34</v>
      </c>
      <c r="N2938">
        <f t="shared" si="271"/>
        <v>1</v>
      </c>
      <c r="O2938" t="str">
        <f t="shared" si="270"/>
        <v>Medium</v>
      </c>
      <c r="P2938" t="str">
        <f t="shared" si="272"/>
        <v>High</v>
      </c>
      <c r="Q2938" t="str">
        <f t="shared" si="273"/>
        <v>High Loan</v>
      </c>
      <c r="R2938">
        <f t="shared" si="274"/>
        <v>50300000</v>
      </c>
      <c r="S2938" t="str">
        <f t="shared" si="275"/>
        <v>Strong</v>
      </c>
    </row>
    <row r="2939" spans="1:19" x14ac:dyDescent="0.25">
      <c r="A2939">
        <v>2938</v>
      </c>
      <c r="B2939">
        <v>1</v>
      </c>
      <c r="C2939" t="s">
        <v>31</v>
      </c>
      <c r="D2939" t="s">
        <v>33</v>
      </c>
      <c r="E2939">
        <v>2200000</v>
      </c>
      <c r="F2939">
        <v>5400000</v>
      </c>
      <c r="G2939">
        <v>16</v>
      </c>
      <c r="H2939">
        <v>641</v>
      </c>
      <c r="I2939">
        <v>5900000</v>
      </c>
      <c r="J2939">
        <v>0</v>
      </c>
      <c r="K2939">
        <v>4800000</v>
      </c>
      <c r="L2939">
        <v>1200000</v>
      </c>
      <c r="M2939" t="s">
        <v>34</v>
      </c>
      <c r="N2939">
        <f t="shared" si="271"/>
        <v>1</v>
      </c>
      <c r="O2939" t="str">
        <f t="shared" si="270"/>
        <v>Low</v>
      </c>
      <c r="P2939" t="str">
        <f t="shared" si="272"/>
        <v>High</v>
      </c>
      <c r="Q2939" t="str">
        <f t="shared" si="273"/>
        <v>Low Loan</v>
      </c>
      <c r="R2939">
        <f t="shared" si="274"/>
        <v>11900000</v>
      </c>
      <c r="S2939" t="str">
        <f t="shared" si="275"/>
        <v>Strong</v>
      </c>
    </row>
    <row r="2940" spans="1:19" x14ac:dyDescent="0.25">
      <c r="A2940">
        <v>2939</v>
      </c>
      <c r="B2940">
        <v>2</v>
      </c>
      <c r="C2940" t="s">
        <v>31</v>
      </c>
      <c r="D2940" t="s">
        <v>32</v>
      </c>
      <c r="E2940">
        <v>5900000</v>
      </c>
      <c r="F2940">
        <v>19800000</v>
      </c>
      <c r="G2940">
        <v>20</v>
      </c>
      <c r="H2940">
        <v>327</v>
      </c>
      <c r="I2940">
        <v>7800000</v>
      </c>
      <c r="J2940">
        <v>1500000</v>
      </c>
      <c r="K2940">
        <v>19700000</v>
      </c>
      <c r="L2940">
        <v>8500000</v>
      </c>
      <c r="M2940" t="s">
        <v>35</v>
      </c>
      <c r="N2940">
        <f t="shared" si="271"/>
        <v>0</v>
      </c>
      <c r="O2940" t="str">
        <f t="shared" si="270"/>
        <v>Low</v>
      </c>
      <c r="P2940" t="str">
        <f t="shared" si="272"/>
        <v>High</v>
      </c>
      <c r="Q2940" t="str">
        <f t="shared" si="273"/>
        <v>Low Loan</v>
      </c>
      <c r="R2940">
        <f t="shared" si="274"/>
        <v>37500000</v>
      </c>
      <c r="S2940" t="str">
        <f t="shared" si="275"/>
        <v>Strong</v>
      </c>
    </row>
    <row r="2941" spans="1:19" x14ac:dyDescent="0.25">
      <c r="A2941">
        <v>2940</v>
      </c>
      <c r="B2941">
        <v>1</v>
      </c>
      <c r="C2941" t="s">
        <v>30</v>
      </c>
      <c r="D2941" t="s">
        <v>33</v>
      </c>
      <c r="E2941">
        <v>7000000</v>
      </c>
      <c r="F2941">
        <v>20300000</v>
      </c>
      <c r="G2941">
        <v>18</v>
      </c>
      <c r="H2941">
        <v>726</v>
      </c>
      <c r="I2941">
        <v>11600000</v>
      </c>
      <c r="J2941">
        <v>13100000</v>
      </c>
      <c r="K2941">
        <v>17100000</v>
      </c>
      <c r="L2941">
        <v>9000000</v>
      </c>
      <c r="M2941" t="s">
        <v>34</v>
      </c>
      <c r="N2941">
        <f t="shared" si="271"/>
        <v>1</v>
      </c>
      <c r="O2941" t="str">
        <f t="shared" si="270"/>
        <v>Good</v>
      </c>
      <c r="P2941" t="str">
        <f t="shared" si="272"/>
        <v>High</v>
      </c>
      <c r="Q2941" t="str">
        <f t="shared" si="273"/>
        <v>High Loan</v>
      </c>
      <c r="R2941">
        <f t="shared" si="274"/>
        <v>50800000</v>
      </c>
      <c r="S2941" t="str">
        <f t="shared" si="275"/>
        <v>Strong</v>
      </c>
    </row>
    <row r="2942" spans="1:19" x14ac:dyDescent="0.25">
      <c r="A2942">
        <v>2941</v>
      </c>
      <c r="B2942">
        <v>1</v>
      </c>
      <c r="C2942" t="s">
        <v>30</v>
      </c>
      <c r="D2942" t="s">
        <v>33</v>
      </c>
      <c r="E2942">
        <v>9600000</v>
      </c>
      <c r="F2942">
        <v>34100000</v>
      </c>
      <c r="G2942">
        <v>20</v>
      </c>
      <c r="H2942">
        <v>828</v>
      </c>
      <c r="I2942">
        <v>26100000</v>
      </c>
      <c r="J2942">
        <v>19000000</v>
      </c>
      <c r="K2942">
        <v>20800000</v>
      </c>
      <c r="L2942">
        <v>12400000</v>
      </c>
      <c r="M2942" t="s">
        <v>34</v>
      </c>
      <c r="N2942">
        <f t="shared" si="271"/>
        <v>1</v>
      </c>
      <c r="O2942" t="str">
        <f t="shared" si="270"/>
        <v>Excellent</v>
      </c>
      <c r="P2942" t="str">
        <f t="shared" si="272"/>
        <v>High</v>
      </c>
      <c r="Q2942" t="str">
        <f t="shared" si="273"/>
        <v>High Loan</v>
      </c>
      <c r="R2942">
        <f t="shared" si="274"/>
        <v>78300000</v>
      </c>
      <c r="S2942" t="str">
        <f t="shared" si="275"/>
        <v>Strong</v>
      </c>
    </row>
    <row r="2943" spans="1:19" x14ac:dyDescent="0.25">
      <c r="A2943">
        <v>2942</v>
      </c>
      <c r="B2943">
        <v>0</v>
      </c>
      <c r="C2943" t="s">
        <v>30</v>
      </c>
      <c r="D2943" t="s">
        <v>32</v>
      </c>
      <c r="E2943">
        <v>6500000</v>
      </c>
      <c r="F2943">
        <v>14500000</v>
      </c>
      <c r="G2943">
        <v>12</v>
      </c>
      <c r="H2943">
        <v>755</v>
      </c>
      <c r="I2943">
        <v>9000000</v>
      </c>
      <c r="J2943">
        <v>11900000</v>
      </c>
      <c r="K2943">
        <v>20800000</v>
      </c>
      <c r="L2943">
        <v>3400000</v>
      </c>
      <c r="M2943" t="s">
        <v>34</v>
      </c>
      <c r="N2943">
        <f t="shared" si="271"/>
        <v>1</v>
      </c>
      <c r="O2943" t="str">
        <f t="shared" si="270"/>
        <v>Excellent</v>
      </c>
      <c r="P2943" t="str">
        <f t="shared" si="272"/>
        <v>High</v>
      </c>
      <c r="Q2943" t="str">
        <f t="shared" si="273"/>
        <v>Low Loan</v>
      </c>
      <c r="R2943">
        <f t="shared" si="274"/>
        <v>45100000</v>
      </c>
      <c r="S2943" t="str">
        <f t="shared" si="275"/>
        <v>Strong</v>
      </c>
    </row>
    <row r="2944" spans="1:19" x14ac:dyDescent="0.25">
      <c r="A2944">
        <v>2943</v>
      </c>
      <c r="B2944">
        <v>2</v>
      </c>
      <c r="C2944" t="s">
        <v>31</v>
      </c>
      <c r="D2944" t="s">
        <v>33</v>
      </c>
      <c r="E2944">
        <v>3800000</v>
      </c>
      <c r="F2944">
        <v>7600000</v>
      </c>
      <c r="G2944">
        <v>20</v>
      </c>
      <c r="H2944">
        <v>788</v>
      </c>
      <c r="I2944">
        <v>1700000</v>
      </c>
      <c r="J2944">
        <v>5200000</v>
      </c>
      <c r="K2944">
        <v>9200000</v>
      </c>
      <c r="L2944">
        <v>5600000</v>
      </c>
      <c r="M2944" t="s">
        <v>34</v>
      </c>
      <c r="N2944">
        <f t="shared" si="271"/>
        <v>1</v>
      </c>
      <c r="O2944" t="str">
        <f t="shared" si="270"/>
        <v>Excellent</v>
      </c>
      <c r="P2944" t="str">
        <f t="shared" si="272"/>
        <v>High</v>
      </c>
      <c r="Q2944" t="str">
        <f t="shared" si="273"/>
        <v>Low Loan</v>
      </c>
      <c r="R2944">
        <f t="shared" si="274"/>
        <v>21700000</v>
      </c>
      <c r="S2944" t="str">
        <f t="shared" si="275"/>
        <v>Strong</v>
      </c>
    </row>
    <row r="2945" spans="1:19" x14ac:dyDescent="0.25">
      <c r="A2945">
        <v>2944</v>
      </c>
      <c r="B2945">
        <v>2</v>
      </c>
      <c r="C2945" t="s">
        <v>30</v>
      </c>
      <c r="D2945" t="s">
        <v>32</v>
      </c>
      <c r="E2945">
        <v>9400000</v>
      </c>
      <c r="F2945">
        <v>25100000</v>
      </c>
      <c r="G2945">
        <v>20</v>
      </c>
      <c r="H2945">
        <v>832</v>
      </c>
      <c r="I2945">
        <v>19400000</v>
      </c>
      <c r="J2945">
        <v>2100000</v>
      </c>
      <c r="K2945">
        <v>22300000</v>
      </c>
      <c r="L2945">
        <v>5900000</v>
      </c>
      <c r="M2945" t="s">
        <v>34</v>
      </c>
      <c r="N2945">
        <f t="shared" si="271"/>
        <v>1</v>
      </c>
      <c r="O2945" t="str">
        <f t="shared" si="270"/>
        <v>Excellent</v>
      </c>
      <c r="P2945" t="str">
        <f t="shared" si="272"/>
        <v>High</v>
      </c>
      <c r="Q2945" t="str">
        <f t="shared" si="273"/>
        <v>High Loan</v>
      </c>
      <c r="R2945">
        <f t="shared" si="274"/>
        <v>49700000</v>
      </c>
      <c r="S2945" t="str">
        <f t="shared" si="275"/>
        <v>Strong</v>
      </c>
    </row>
    <row r="2946" spans="1:19" x14ac:dyDescent="0.25">
      <c r="A2946">
        <v>2945</v>
      </c>
      <c r="B2946">
        <v>0</v>
      </c>
      <c r="C2946" t="s">
        <v>31</v>
      </c>
      <c r="D2946" t="s">
        <v>32</v>
      </c>
      <c r="E2946">
        <v>2100000</v>
      </c>
      <c r="F2946">
        <v>8200000</v>
      </c>
      <c r="G2946">
        <v>4</v>
      </c>
      <c r="H2946">
        <v>554</v>
      </c>
      <c r="I2946">
        <v>3900000</v>
      </c>
      <c r="J2946">
        <v>3800000</v>
      </c>
      <c r="K2946">
        <v>5900000</v>
      </c>
      <c r="L2946">
        <v>1700000</v>
      </c>
      <c r="M2946" t="s">
        <v>34</v>
      </c>
      <c r="N2946">
        <f t="shared" si="271"/>
        <v>1</v>
      </c>
      <c r="O2946" t="str">
        <f t="shared" ref="O2946:O3009" si="276">IF(H2946&lt;650,"Low",
 IF(H2946&lt;700,"Medium",
 IF(H2946&lt;750,"Good","Excellent")))</f>
        <v>Low</v>
      </c>
      <c r="P2946" t="str">
        <f t="shared" si="272"/>
        <v>High</v>
      </c>
      <c r="Q2946" t="str">
        <f t="shared" si="273"/>
        <v>Low Loan</v>
      </c>
      <c r="R2946">
        <f t="shared" si="274"/>
        <v>15300000</v>
      </c>
      <c r="S2946" t="str">
        <f t="shared" si="275"/>
        <v>Strong</v>
      </c>
    </row>
    <row r="2947" spans="1:19" x14ac:dyDescent="0.25">
      <c r="A2947">
        <v>2946</v>
      </c>
      <c r="B2947">
        <v>1</v>
      </c>
      <c r="C2947" t="s">
        <v>31</v>
      </c>
      <c r="D2947" t="s">
        <v>33</v>
      </c>
      <c r="E2947">
        <v>8500000</v>
      </c>
      <c r="F2947">
        <v>26200000</v>
      </c>
      <c r="G2947">
        <v>8</v>
      </c>
      <c r="H2947">
        <v>811</v>
      </c>
      <c r="I2947">
        <v>22800000</v>
      </c>
      <c r="J2947">
        <v>6400000</v>
      </c>
      <c r="K2947">
        <v>32500000</v>
      </c>
      <c r="L2947">
        <v>12700000</v>
      </c>
      <c r="M2947" t="s">
        <v>34</v>
      </c>
      <c r="N2947">
        <f t="shared" ref="N2947:N3010" si="277">IF(TRIM(CLEAN(M2947))="Approved",1,0)</f>
        <v>1</v>
      </c>
      <c r="O2947" t="str">
        <f t="shared" si="276"/>
        <v>Excellent</v>
      </c>
      <c r="P2947" t="str">
        <f t="shared" ref="P2947:P3010" si="278">IF(E2947&lt;300000,"Low",
 IF(E2947&lt;700000,"Middle","High"))</f>
        <v>High</v>
      </c>
      <c r="Q2947" t="str">
        <f t="shared" ref="Q2947:Q3010" si="279">IF(F2947&lt;20000000,"Low Loan","High Loan")</f>
        <v>High Loan</v>
      </c>
      <c r="R2947">
        <f t="shared" ref="R2947:R3010" si="280">I2947+J2947+K2947+L2947</f>
        <v>74400000</v>
      </c>
      <c r="S2947" t="str">
        <f t="shared" ref="S2947:S3010" si="281">IF(R2947&lt;5000000,"Weak",
 IF(R2947&lt;10000000,"Moderate","Strong"))</f>
        <v>Strong</v>
      </c>
    </row>
    <row r="2948" spans="1:19" x14ac:dyDescent="0.25">
      <c r="A2948">
        <v>2947</v>
      </c>
      <c r="B2948">
        <v>5</v>
      </c>
      <c r="C2948" t="s">
        <v>30</v>
      </c>
      <c r="D2948" t="s">
        <v>33</v>
      </c>
      <c r="E2948">
        <v>3800000</v>
      </c>
      <c r="F2948">
        <v>12000000</v>
      </c>
      <c r="G2948">
        <v>2</v>
      </c>
      <c r="H2948">
        <v>649</v>
      </c>
      <c r="I2948">
        <v>6200000</v>
      </c>
      <c r="J2948">
        <v>5300000</v>
      </c>
      <c r="K2948">
        <v>10300000</v>
      </c>
      <c r="L2948">
        <v>4200000</v>
      </c>
      <c r="M2948" t="s">
        <v>34</v>
      </c>
      <c r="N2948">
        <f t="shared" si="277"/>
        <v>1</v>
      </c>
      <c r="O2948" t="str">
        <f t="shared" si="276"/>
        <v>Low</v>
      </c>
      <c r="P2948" t="str">
        <f t="shared" si="278"/>
        <v>High</v>
      </c>
      <c r="Q2948" t="str">
        <f t="shared" si="279"/>
        <v>Low Loan</v>
      </c>
      <c r="R2948">
        <f t="shared" si="280"/>
        <v>26000000</v>
      </c>
      <c r="S2948" t="str">
        <f t="shared" si="281"/>
        <v>Strong</v>
      </c>
    </row>
    <row r="2949" spans="1:19" x14ac:dyDescent="0.25">
      <c r="A2949">
        <v>2948</v>
      </c>
      <c r="B2949">
        <v>1</v>
      </c>
      <c r="C2949" t="s">
        <v>31</v>
      </c>
      <c r="D2949" t="s">
        <v>33</v>
      </c>
      <c r="E2949">
        <v>3400000</v>
      </c>
      <c r="F2949">
        <v>9700000</v>
      </c>
      <c r="G2949">
        <v>20</v>
      </c>
      <c r="H2949">
        <v>830</v>
      </c>
      <c r="I2949">
        <v>3500000</v>
      </c>
      <c r="J2949">
        <v>6400000</v>
      </c>
      <c r="K2949">
        <v>10300000</v>
      </c>
      <c r="L2949">
        <v>4800000</v>
      </c>
      <c r="M2949" t="s">
        <v>34</v>
      </c>
      <c r="N2949">
        <f t="shared" si="277"/>
        <v>1</v>
      </c>
      <c r="O2949" t="str">
        <f t="shared" si="276"/>
        <v>Excellent</v>
      </c>
      <c r="P2949" t="str">
        <f t="shared" si="278"/>
        <v>High</v>
      </c>
      <c r="Q2949" t="str">
        <f t="shared" si="279"/>
        <v>Low Loan</v>
      </c>
      <c r="R2949">
        <f t="shared" si="280"/>
        <v>25000000</v>
      </c>
      <c r="S2949" t="str">
        <f t="shared" si="281"/>
        <v>Strong</v>
      </c>
    </row>
    <row r="2950" spans="1:19" x14ac:dyDescent="0.25">
      <c r="A2950">
        <v>2949</v>
      </c>
      <c r="B2950">
        <v>1</v>
      </c>
      <c r="C2950" t="s">
        <v>30</v>
      </c>
      <c r="D2950" t="s">
        <v>33</v>
      </c>
      <c r="E2950">
        <v>5600000</v>
      </c>
      <c r="F2950">
        <v>11700000</v>
      </c>
      <c r="G2950">
        <v>6</v>
      </c>
      <c r="H2950">
        <v>707</v>
      </c>
      <c r="I2950">
        <v>4500000</v>
      </c>
      <c r="J2950">
        <v>800000</v>
      </c>
      <c r="K2950">
        <v>19000000</v>
      </c>
      <c r="L2950">
        <v>3900000</v>
      </c>
      <c r="M2950" t="s">
        <v>34</v>
      </c>
      <c r="N2950">
        <f t="shared" si="277"/>
        <v>1</v>
      </c>
      <c r="O2950" t="str">
        <f t="shared" si="276"/>
        <v>Good</v>
      </c>
      <c r="P2950" t="str">
        <f t="shared" si="278"/>
        <v>High</v>
      </c>
      <c r="Q2950" t="str">
        <f t="shared" si="279"/>
        <v>Low Loan</v>
      </c>
      <c r="R2950">
        <f t="shared" si="280"/>
        <v>28200000</v>
      </c>
      <c r="S2950" t="str">
        <f t="shared" si="281"/>
        <v>Strong</v>
      </c>
    </row>
    <row r="2951" spans="1:19" x14ac:dyDescent="0.25">
      <c r="A2951">
        <v>2950</v>
      </c>
      <c r="B2951">
        <v>0</v>
      </c>
      <c r="C2951" t="s">
        <v>30</v>
      </c>
      <c r="D2951" t="s">
        <v>33</v>
      </c>
      <c r="E2951">
        <v>8500000</v>
      </c>
      <c r="F2951">
        <v>33700000</v>
      </c>
      <c r="G2951">
        <v>10</v>
      </c>
      <c r="H2951">
        <v>483</v>
      </c>
      <c r="I2951">
        <v>18800000</v>
      </c>
      <c r="J2951">
        <v>8900000</v>
      </c>
      <c r="K2951">
        <v>29000000</v>
      </c>
      <c r="L2951">
        <v>12200000</v>
      </c>
      <c r="M2951" t="s">
        <v>35</v>
      </c>
      <c r="N2951">
        <f t="shared" si="277"/>
        <v>0</v>
      </c>
      <c r="O2951" t="str">
        <f t="shared" si="276"/>
        <v>Low</v>
      </c>
      <c r="P2951" t="str">
        <f t="shared" si="278"/>
        <v>High</v>
      </c>
      <c r="Q2951" t="str">
        <f t="shared" si="279"/>
        <v>High Loan</v>
      </c>
      <c r="R2951">
        <f t="shared" si="280"/>
        <v>68900000</v>
      </c>
      <c r="S2951" t="str">
        <f t="shared" si="281"/>
        <v>Strong</v>
      </c>
    </row>
    <row r="2952" spans="1:19" x14ac:dyDescent="0.25">
      <c r="A2952">
        <v>2951</v>
      </c>
      <c r="B2952">
        <v>4</v>
      </c>
      <c r="C2952" t="s">
        <v>31</v>
      </c>
      <c r="D2952" t="s">
        <v>33</v>
      </c>
      <c r="E2952">
        <v>2100000</v>
      </c>
      <c r="F2952">
        <v>5500000</v>
      </c>
      <c r="G2952">
        <v>18</v>
      </c>
      <c r="H2952">
        <v>349</v>
      </c>
      <c r="I2952">
        <v>100000</v>
      </c>
      <c r="J2952">
        <v>0</v>
      </c>
      <c r="K2952">
        <v>6600000</v>
      </c>
      <c r="L2952">
        <v>2000000</v>
      </c>
      <c r="M2952" t="s">
        <v>35</v>
      </c>
      <c r="N2952">
        <f t="shared" si="277"/>
        <v>0</v>
      </c>
      <c r="O2952" t="str">
        <f t="shared" si="276"/>
        <v>Low</v>
      </c>
      <c r="P2952" t="str">
        <f t="shared" si="278"/>
        <v>High</v>
      </c>
      <c r="Q2952" t="str">
        <f t="shared" si="279"/>
        <v>Low Loan</v>
      </c>
      <c r="R2952">
        <f t="shared" si="280"/>
        <v>8700000</v>
      </c>
      <c r="S2952" t="str">
        <f t="shared" si="281"/>
        <v>Moderate</v>
      </c>
    </row>
    <row r="2953" spans="1:19" x14ac:dyDescent="0.25">
      <c r="A2953">
        <v>2952</v>
      </c>
      <c r="B2953">
        <v>4</v>
      </c>
      <c r="C2953" t="s">
        <v>30</v>
      </c>
      <c r="D2953" t="s">
        <v>32</v>
      </c>
      <c r="E2953">
        <v>400000</v>
      </c>
      <c r="F2953">
        <v>1500000</v>
      </c>
      <c r="G2953">
        <v>4</v>
      </c>
      <c r="H2953">
        <v>846</v>
      </c>
      <c r="I2953">
        <v>300000</v>
      </c>
      <c r="J2953">
        <v>0</v>
      </c>
      <c r="K2953">
        <v>1600000</v>
      </c>
      <c r="L2953">
        <v>600000</v>
      </c>
      <c r="M2953" t="s">
        <v>34</v>
      </c>
      <c r="N2953">
        <f t="shared" si="277"/>
        <v>1</v>
      </c>
      <c r="O2953" t="str">
        <f t="shared" si="276"/>
        <v>Excellent</v>
      </c>
      <c r="P2953" t="str">
        <f t="shared" si="278"/>
        <v>Middle</v>
      </c>
      <c r="Q2953" t="str">
        <f t="shared" si="279"/>
        <v>Low Loan</v>
      </c>
      <c r="R2953">
        <f t="shared" si="280"/>
        <v>2500000</v>
      </c>
      <c r="S2953" t="str">
        <f t="shared" si="281"/>
        <v>Weak</v>
      </c>
    </row>
    <row r="2954" spans="1:19" x14ac:dyDescent="0.25">
      <c r="A2954">
        <v>2953</v>
      </c>
      <c r="B2954">
        <v>4</v>
      </c>
      <c r="C2954" t="s">
        <v>31</v>
      </c>
      <c r="D2954" t="s">
        <v>32</v>
      </c>
      <c r="E2954">
        <v>7900000</v>
      </c>
      <c r="F2954">
        <v>31500000</v>
      </c>
      <c r="G2954">
        <v>20</v>
      </c>
      <c r="H2954">
        <v>386</v>
      </c>
      <c r="I2954">
        <v>14300000</v>
      </c>
      <c r="J2954">
        <v>3800000</v>
      </c>
      <c r="K2954">
        <v>23800000</v>
      </c>
      <c r="L2954">
        <v>7500000</v>
      </c>
      <c r="M2954" t="s">
        <v>35</v>
      </c>
      <c r="N2954">
        <f t="shared" si="277"/>
        <v>0</v>
      </c>
      <c r="O2954" t="str">
        <f t="shared" si="276"/>
        <v>Low</v>
      </c>
      <c r="P2954" t="str">
        <f t="shared" si="278"/>
        <v>High</v>
      </c>
      <c r="Q2954" t="str">
        <f t="shared" si="279"/>
        <v>High Loan</v>
      </c>
      <c r="R2954">
        <f t="shared" si="280"/>
        <v>49400000</v>
      </c>
      <c r="S2954" t="str">
        <f t="shared" si="281"/>
        <v>Strong</v>
      </c>
    </row>
    <row r="2955" spans="1:19" x14ac:dyDescent="0.25">
      <c r="A2955">
        <v>2954</v>
      </c>
      <c r="B2955">
        <v>5</v>
      </c>
      <c r="C2955" t="s">
        <v>31</v>
      </c>
      <c r="D2955" t="s">
        <v>32</v>
      </c>
      <c r="E2955">
        <v>6900000</v>
      </c>
      <c r="F2955">
        <v>19200000</v>
      </c>
      <c r="G2955">
        <v>12</v>
      </c>
      <c r="H2955">
        <v>408</v>
      </c>
      <c r="I2955">
        <v>10000000</v>
      </c>
      <c r="J2955">
        <v>5000000</v>
      </c>
      <c r="K2955">
        <v>24900000</v>
      </c>
      <c r="L2955">
        <v>9000000</v>
      </c>
      <c r="M2955" t="s">
        <v>35</v>
      </c>
      <c r="N2955">
        <f t="shared" si="277"/>
        <v>0</v>
      </c>
      <c r="O2955" t="str">
        <f t="shared" si="276"/>
        <v>Low</v>
      </c>
      <c r="P2955" t="str">
        <f t="shared" si="278"/>
        <v>High</v>
      </c>
      <c r="Q2955" t="str">
        <f t="shared" si="279"/>
        <v>Low Loan</v>
      </c>
      <c r="R2955">
        <f t="shared" si="280"/>
        <v>48900000</v>
      </c>
      <c r="S2955" t="str">
        <f t="shared" si="281"/>
        <v>Strong</v>
      </c>
    </row>
    <row r="2956" spans="1:19" x14ac:dyDescent="0.25">
      <c r="A2956">
        <v>2955</v>
      </c>
      <c r="B2956">
        <v>0</v>
      </c>
      <c r="C2956" t="s">
        <v>31</v>
      </c>
      <c r="D2956" t="s">
        <v>33</v>
      </c>
      <c r="E2956">
        <v>1800000</v>
      </c>
      <c r="F2956">
        <v>3900000</v>
      </c>
      <c r="G2956">
        <v>2</v>
      </c>
      <c r="H2956">
        <v>764</v>
      </c>
      <c r="I2956">
        <v>2200000</v>
      </c>
      <c r="J2956">
        <v>700000</v>
      </c>
      <c r="K2956">
        <v>3500000</v>
      </c>
      <c r="L2956">
        <v>1200000</v>
      </c>
      <c r="M2956" t="s">
        <v>34</v>
      </c>
      <c r="N2956">
        <f t="shared" si="277"/>
        <v>1</v>
      </c>
      <c r="O2956" t="str">
        <f t="shared" si="276"/>
        <v>Excellent</v>
      </c>
      <c r="P2956" t="str">
        <f t="shared" si="278"/>
        <v>High</v>
      </c>
      <c r="Q2956" t="str">
        <f t="shared" si="279"/>
        <v>Low Loan</v>
      </c>
      <c r="R2956">
        <f t="shared" si="280"/>
        <v>7600000</v>
      </c>
      <c r="S2956" t="str">
        <f t="shared" si="281"/>
        <v>Moderate</v>
      </c>
    </row>
    <row r="2957" spans="1:19" x14ac:dyDescent="0.25">
      <c r="A2957">
        <v>2956</v>
      </c>
      <c r="B2957">
        <v>0</v>
      </c>
      <c r="C2957" t="s">
        <v>30</v>
      </c>
      <c r="D2957" t="s">
        <v>33</v>
      </c>
      <c r="E2957">
        <v>1200000</v>
      </c>
      <c r="F2957">
        <v>3200000</v>
      </c>
      <c r="G2957">
        <v>18</v>
      </c>
      <c r="H2957">
        <v>473</v>
      </c>
      <c r="I2957">
        <v>2100000</v>
      </c>
      <c r="J2957">
        <v>600000</v>
      </c>
      <c r="K2957">
        <v>2400000</v>
      </c>
      <c r="L2957">
        <v>1200000</v>
      </c>
      <c r="M2957" t="s">
        <v>35</v>
      </c>
      <c r="N2957">
        <f t="shared" si="277"/>
        <v>0</v>
      </c>
      <c r="O2957" t="str">
        <f t="shared" si="276"/>
        <v>Low</v>
      </c>
      <c r="P2957" t="str">
        <f t="shared" si="278"/>
        <v>High</v>
      </c>
      <c r="Q2957" t="str">
        <f t="shared" si="279"/>
        <v>Low Loan</v>
      </c>
      <c r="R2957">
        <f t="shared" si="280"/>
        <v>6300000</v>
      </c>
      <c r="S2957" t="str">
        <f t="shared" si="281"/>
        <v>Moderate</v>
      </c>
    </row>
    <row r="2958" spans="1:19" x14ac:dyDescent="0.25">
      <c r="A2958">
        <v>2957</v>
      </c>
      <c r="B2958">
        <v>3</v>
      </c>
      <c r="C2958" t="s">
        <v>31</v>
      </c>
      <c r="D2958" t="s">
        <v>32</v>
      </c>
      <c r="E2958">
        <v>3600000</v>
      </c>
      <c r="F2958">
        <v>9800000</v>
      </c>
      <c r="G2958">
        <v>12</v>
      </c>
      <c r="H2958">
        <v>654</v>
      </c>
      <c r="I2958">
        <v>600000</v>
      </c>
      <c r="J2958">
        <v>1300000</v>
      </c>
      <c r="K2958">
        <v>7500000</v>
      </c>
      <c r="L2958">
        <v>2200000</v>
      </c>
      <c r="M2958" t="s">
        <v>34</v>
      </c>
      <c r="N2958">
        <f t="shared" si="277"/>
        <v>1</v>
      </c>
      <c r="O2958" t="str">
        <f t="shared" si="276"/>
        <v>Medium</v>
      </c>
      <c r="P2958" t="str">
        <f t="shared" si="278"/>
        <v>High</v>
      </c>
      <c r="Q2958" t="str">
        <f t="shared" si="279"/>
        <v>Low Loan</v>
      </c>
      <c r="R2958">
        <f t="shared" si="280"/>
        <v>11600000</v>
      </c>
      <c r="S2958" t="str">
        <f t="shared" si="281"/>
        <v>Strong</v>
      </c>
    </row>
    <row r="2959" spans="1:19" x14ac:dyDescent="0.25">
      <c r="A2959">
        <v>2958</v>
      </c>
      <c r="B2959">
        <v>1</v>
      </c>
      <c r="C2959" t="s">
        <v>30</v>
      </c>
      <c r="D2959" t="s">
        <v>32</v>
      </c>
      <c r="E2959">
        <v>7200000</v>
      </c>
      <c r="F2959">
        <v>22800000</v>
      </c>
      <c r="G2959">
        <v>2</v>
      </c>
      <c r="H2959">
        <v>551</v>
      </c>
      <c r="I2959">
        <v>15000000</v>
      </c>
      <c r="J2959">
        <v>8700000</v>
      </c>
      <c r="K2959">
        <v>21300000</v>
      </c>
      <c r="L2959">
        <v>9500000</v>
      </c>
      <c r="M2959" t="s">
        <v>34</v>
      </c>
      <c r="N2959">
        <f t="shared" si="277"/>
        <v>1</v>
      </c>
      <c r="O2959" t="str">
        <f t="shared" si="276"/>
        <v>Low</v>
      </c>
      <c r="P2959" t="str">
        <f t="shared" si="278"/>
        <v>High</v>
      </c>
      <c r="Q2959" t="str">
        <f t="shared" si="279"/>
        <v>High Loan</v>
      </c>
      <c r="R2959">
        <f t="shared" si="280"/>
        <v>54500000</v>
      </c>
      <c r="S2959" t="str">
        <f t="shared" si="281"/>
        <v>Strong</v>
      </c>
    </row>
    <row r="2960" spans="1:19" x14ac:dyDescent="0.25">
      <c r="A2960">
        <v>2959</v>
      </c>
      <c r="B2960">
        <v>5</v>
      </c>
      <c r="C2960" t="s">
        <v>30</v>
      </c>
      <c r="D2960" t="s">
        <v>32</v>
      </c>
      <c r="E2960">
        <v>9400000</v>
      </c>
      <c r="F2960">
        <v>21800000</v>
      </c>
      <c r="G2960">
        <v>6</v>
      </c>
      <c r="H2960">
        <v>850</v>
      </c>
      <c r="I2960">
        <v>13300000</v>
      </c>
      <c r="J2960">
        <v>11700000</v>
      </c>
      <c r="K2960">
        <v>24800000</v>
      </c>
      <c r="L2960">
        <v>6800000</v>
      </c>
      <c r="M2960" t="s">
        <v>34</v>
      </c>
      <c r="N2960">
        <f t="shared" si="277"/>
        <v>1</v>
      </c>
      <c r="O2960" t="str">
        <f t="shared" si="276"/>
        <v>Excellent</v>
      </c>
      <c r="P2960" t="str">
        <f t="shared" si="278"/>
        <v>High</v>
      </c>
      <c r="Q2960" t="str">
        <f t="shared" si="279"/>
        <v>High Loan</v>
      </c>
      <c r="R2960">
        <f t="shared" si="280"/>
        <v>56600000</v>
      </c>
      <c r="S2960" t="str">
        <f t="shared" si="281"/>
        <v>Strong</v>
      </c>
    </row>
    <row r="2961" spans="1:19" x14ac:dyDescent="0.25">
      <c r="A2961">
        <v>2960</v>
      </c>
      <c r="B2961">
        <v>5</v>
      </c>
      <c r="C2961" t="s">
        <v>30</v>
      </c>
      <c r="D2961" t="s">
        <v>32</v>
      </c>
      <c r="E2961">
        <v>9000000</v>
      </c>
      <c r="F2961">
        <v>24200000</v>
      </c>
      <c r="G2961">
        <v>4</v>
      </c>
      <c r="H2961">
        <v>646</v>
      </c>
      <c r="I2961">
        <v>12400000</v>
      </c>
      <c r="J2961">
        <v>5500000</v>
      </c>
      <c r="K2961">
        <v>18100000</v>
      </c>
      <c r="L2961">
        <v>11900000</v>
      </c>
      <c r="M2961" t="s">
        <v>34</v>
      </c>
      <c r="N2961">
        <f t="shared" si="277"/>
        <v>1</v>
      </c>
      <c r="O2961" t="str">
        <f t="shared" si="276"/>
        <v>Low</v>
      </c>
      <c r="P2961" t="str">
        <f t="shared" si="278"/>
        <v>High</v>
      </c>
      <c r="Q2961" t="str">
        <f t="shared" si="279"/>
        <v>High Loan</v>
      </c>
      <c r="R2961">
        <f t="shared" si="280"/>
        <v>47900000</v>
      </c>
      <c r="S2961" t="str">
        <f t="shared" si="281"/>
        <v>Strong</v>
      </c>
    </row>
    <row r="2962" spans="1:19" x14ac:dyDescent="0.25">
      <c r="A2962">
        <v>2961</v>
      </c>
      <c r="B2962">
        <v>1</v>
      </c>
      <c r="C2962" t="s">
        <v>31</v>
      </c>
      <c r="D2962" t="s">
        <v>33</v>
      </c>
      <c r="E2962">
        <v>1000000</v>
      </c>
      <c r="F2962">
        <v>2100000</v>
      </c>
      <c r="G2962">
        <v>8</v>
      </c>
      <c r="H2962">
        <v>793</v>
      </c>
      <c r="I2962">
        <v>2900000</v>
      </c>
      <c r="J2962">
        <v>1300000</v>
      </c>
      <c r="K2962">
        <v>2200000</v>
      </c>
      <c r="L2962">
        <v>1400000</v>
      </c>
      <c r="M2962" t="s">
        <v>34</v>
      </c>
      <c r="N2962">
        <f t="shared" si="277"/>
        <v>1</v>
      </c>
      <c r="O2962" t="str">
        <f t="shared" si="276"/>
        <v>Excellent</v>
      </c>
      <c r="P2962" t="str">
        <f t="shared" si="278"/>
        <v>High</v>
      </c>
      <c r="Q2962" t="str">
        <f t="shared" si="279"/>
        <v>Low Loan</v>
      </c>
      <c r="R2962">
        <f t="shared" si="280"/>
        <v>7800000</v>
      </c>
      <c r="S2962" t="str">
        <f t="shared" si="281"/>
        <v>Moderate</v>
      </c>
    </row>
    <row r="2963" spans="1:19" x14ac:dyDescent="0.25">
      <c r="A2963">
        <v>2962</v>
      </c>
      <c r="B2963">
        <v>3</v>
      </c>
      <c r="C2963" t="s">
        <v>31</v>
      </c>
      <c r="D2963" t="s">
        <v>32</v>
      </c>
      <c r="E2963">
        <v>5600000</v>
      </c>
      <c r="F2963">
        <v>19900000</v>
      </c>
      <c r="G2963">
        <v>16</v>
      </c>
      <c r="H2963">
        <v>551</v>
      </c>
      <c r="I2963">
        <v>14000000</v>
      </c>
      <c r="J2963">
        <v>4200000</v>
      </c>
      <c r="K2963">
        <v>16100000</v>
      </c>
      <c r="L2963">
        <v>4500000</v>
      </c>
      <c r="M2963" t="s">
        <v>34</v>
      </c>
      <c r="N2963">
        <f t="shared" si="277"/>
        <v>1</v>
      </c>
      <c r="O2963" t="str">
        <f t="shared" si="276"/>
        <v>Low</v>
      </c>
      <c r="P2963" t="str">
        <f t="shared" si="278"/>
        <v>High</v>
      </c>
      <c r="Q2963" t="str">
        <f t="shared" si="279"/>
        <v>Low Loan</v>
      </c>
      <c r="R2963">
        <f t="shared" si="280"/>
        <v>38800000</v>
      </c>
      <c r="S2963" t="str">
        <f t="shared" si="281"/>
        <v>Strong</v>
      </c>
    </row>
    <row r="2964" spans="1:19" x14ac:dyDescent="0.25">
      <c r="A2964">
        <v>2963</v>
      </c>
      <c r="B2964">
        <v>1</v>
      </c>
      <c r="C2964" t="s">
        <v>30</v>
      </c>
      <c r="D2964" t="s">
        <v>32</v>
      </c>
      <c r="E2964">
        <v>900000</v>
      </c>
      <c r="F2964">
        <v>2600000</v>
      </c>
      <c r="G2964">
        <v>4</v>
      </c>
      <c r="H2964">
        <v>346</v>
      </c>
      <c r="I2964">
        <v>400000</v>
      </c>
      <c r="J2964">
        <v>700000</v>
      </c>
      <c r="K2964">
        <v>2900000</v>
      </c>
      <c r="L2964">
        <v>900000</v>
      </c>
      <c r="M2964" t="s">
        <v>35</v>
      </c>
      <c r="N2964">
        <f t="shared" si="277"/>
        <v>0</v>
      </c>
      <c r="O2964" t="str">
        <f t="shared" si="276"/>
        <v>Low</v>
      </c>
      <c r="P2964" t="str">
        <f t="shared" si="278"/>
        <v>High</v>
      </c>
      <c r="Q2964" t="str">
        <f t="shared" si="279"/>
        <v>Low Loan</v>
      </c>
      <c r="R2964">
        <f t="shared" si="280"/>
        <v>4900000</v>
      </c>
      <c r="S2964" t="str">
        <f t="shared" si="281"/>
        <v>Weak</v>
      </c>
    </row>
    <row r="2965" spans="1:19" x14ac:dyDescent="0.25">
      <c r="A2965">
        <v>2964</v>
      </c>
      <c r="B2965">
        <v>5</v>
      </c>
      <c r="C2965" t="s">
        <v>31</v>
      </c>
      <c r="D2965" t="s">
        <v>33</v>
      </c>
      <c r="E2965">
        <v>9000000</v>
      </c>
      <c r="F2965">
        <v>19100000</v>
      </c>
      <c r="G2965">
        <v>14</v>
      </c>
      <c r="H2965">
        <v>540</v>
      </c>
      <c r="I2965">
        <v>11300000</v>
      </c>
      <c r="J2965">
        <v>800000</v>
      </c>
      <c r="K2965">
        <v>18300000</v>
      </c>
      <c r="L2965">
        <v>4900000</v>
      </c>
      <c r="M2965" t="s">
        <v>35</v>
      </c>
      <c r="N2965">
        <f t="shared" si="277"/>
        <v>0</v>
      </c>
      <c r="O2965" t="str">
        <f t="shared" si="276"/>
        <v>Low</v>
      </c>
      <c r="P2965" t="str">
        <f t="shared" si="278"/>
        <v>High</v>
      </c>
      <c r="Q2965" t="str">
        <f t="shared" si="279"/>
        <v>Low Loan</v>
      </c>
      <c r="R2965">
        <f t="shared" si="280"/>
        <v>35300000</v>
      </c>
      <c r="S2965" t="str">
        <f t="shared" si="281"/>
        <v>Strong</v>
      </c>
    </row>
    <row r="2966" spans="1:19" x14ac:dyDescent="0.25">
      <c r="A2966">
        <v>2965</v>
      </c>
      <c r="B2966">
        <v>2</v>
      </c>
      <c r="C2966" t="s">
        <v>31</v>
      </c>
      <c r="D2966" t="s">
        <v>32</v>
      </c>
      <c r="E2966">
        <v>3100000</v>
      </c>
      <c r="F2966">
        <v>9000000</v>
      </c>
      <c r="G2966">
        <v>20</v>
      </c>
      <c r="H2966">
        <v>892</v>
      </c>
      <c r="I2966">
        <v>5000000</v>
      </c>
      <c r="J2966">
        <v>5600000</v>
      </c>
      <c r="K2966">
        <v>7100000</v>
      </c>
      <c r="L2966">
        <v>4000000</v>
      </c>
      <c r="M2966" t="s">
        <v>34</v>
      </c>
      <c r="N2966">
        <f t="shared" si="277"/>
        <v>1</v>
      </c>
      <c r="O2966" t="str">
        <f t="shared" si="276"/>
        <v>Excellent</v>
      </c>
      <c r="P2966" t="str">
        <f t="shared" si="278"/>
        <v>High</v>
      </c>
      <c r="Q2966" t="str">
        <f t="shared" si="279"/>
        <v>Low Loan</v>
      </c>
      <c r="R2966">
        <f t="shared" si="280"/>
        <v>21700000</v>
      </c>
      <c r="S2966" t="str">
        <f t="shared" si="281"/>
        <v>Strong</v>
      </c>
    </row>
    <row r="2967" spans="1:19" x14ac:dyDescent="0.25">
      <c r="A2967">
        <v>2966</v>
      </c>
      <c r="B2967">
        <v>1</v>
      </c>
      <c r="C2967" t="s">
        <v>31</v>
      </c>
      <c r="D2967" t="s">
        <v>33</v>
      </c>
      <c r="E2967">
        <v>8000000</v>
      </c>
      <c r="F2967">
        <v>20700000</v>
      </c>
      <c r="G2967">
        <v>6</v>
      </c>
      <c r="H2967">
        <v>570</v>
      </c>
      <c r="I2967">
        <v>1000000</v>
      </c>
      <c r="J2967">
        <v>11700000</v>
      </c>
      <c r="K2967">
        <v>23200000</v>
      </c>
      <c r="L2967">
        <v>11300000</v>
      </c>
      <c r="M2967" t="s">
        <v>34</v>
      </c>
      <c r="N2967">
        <f t="shared" si="277"/>
        <v>1</v>
      </c>
      <c r="O2967" t="str">
        <f t="shared" si="276"/>
        <v>Low</v>
      </c>
      <c r="P2967" t="str">
        <f t="shared" si="278"/>
        <v>High</v>
      </c>
      <c r="Q2967" t="str">
        <f t="shared" si="279"/>
        <v>High Loan</v>
      </c>
      <c r="R2967">
        <f t="shared" si="280"/>
        <v>47200000</v>
      </c>
      <c r="S2967" t="str">
        <f t="shared" si="281"/>
        <v>Strong</v>
      </c>
    </row>
    <row r="2968" spans="1:19" x14ac:dyDescent="0.25">
      <c r="A2968">
        <v>2967</v>
      </c>
      <c r="B2968">
        <v>4</v>
      </c>
      <c r="C2968" t="s">
        <v>31</v>
      </c>
      <c r="D2968" t="s">
        <v>33</v>
      </c>
      <c r="E2968">
        <v>3500000</v>
      </c>
      <c r="F2968">
        <v>11300000</v>
      </c>
      <c r="G2968">
        <v>16</v>
      </c>
      <c r="H2968">
        <v>874</v>
      </c>
      <c r="I2968">
        <v>1400000</v>
      </c>
      <c r="J2968">
        <v>3800000</v>
      </c>
      <c r="K2968">
        <v>10100000</v>
      </c>
      <c r="L2968">
        <v>3700000</v>
      </c>
      <c r="M2968" t="s">
        <v>34</v>
      </c>
      <c r="N2968">
        <f t="shared" si="277"/>
        <v>1</v>
      </c>
      <c r="O2968" t="str">
        <f t="shared" si="276"/>
        <v>Excellent</v>
      </c>
      <c r="P2968" t="str">
        <f t="shared" si="278"/>
        <v>High</v>
      </c>
      <c r="Q2968" t="str">
        <f t="shared" si="279"/>
        <v>Low Loan</v>
      </c>
      <c r="R2968">
        <f t="shared" si="280"/>
        <v>19000000</v>
      </c>
      <c r="S2968" t="str">
        <f t="shared" si="281"/>
        <v>Strong</v>
      </c>
    </row>
    <row r="2969" spans="1:19" x14ac:dyDescent="0.25">
      <c r="A2969">
        <v>2968</v>
      </c>
      <c r="B2969">
        <v>4</v>
      </c>
      <c r="C2969" t="s">
        <v>30</v>
      </c>
      <c r="D2969" t="s">
        <v>32</v>
      </c>
      <c r="E2969">
        <v>3900000</v>
      </c>
      <c r="F2969">
        <v>12600000</v>
      </c>
      <c r="G2969">
        <v>8</v>
      </c>
      <c r="H2969">
        <v>553</v>
      </c>
      <c r="I2969">
        <v>8200000</v>
      </c>
      <c r="J2969">
        <v>2500000</v>
      </c>
      <c r="K2969">
        <v>12300000</v>
      </c>
      <c r="L2969">
        <v>4500000</v>
      </c>
      <c r="M2969" t="s">
        <v>34</v>
      </c>
      <c r="N2969">
        <f t="shared" si="277"/>
        <v>1</v>
      </c>
      <c r="O2969" t="str">
        <f t="shared" si="276"/>
        <v>Low</v>
      </c>
      <c r="P2969" t="str">
        <f t="shared" si="278"/>
        <v>High</v>
      </c>
      <c r="Q2969" t="str">
        <f t="shared" si="279"/>
        <v>Low Loan</v>
      </c>
      <c r="R2969">
        <f t="shared" si="280"/>
        <v>27500000</v>
      </c>
      <c r="S2969" t="str">
        <f t="shared" si="281"/>
        <v>Strong</v>
      </c>
    </row>
    <row r="2970" spans="1:19" x14ac:dyDescent="0.25">
      <c r="A2970">
        <v>2969</v>
      </c>
      <c r="B2970">
        <v>2</v>
      </c>
      <c r="C2970" t="s">
        <v>30</v>
      </c>
      <c r="D2970" t="s">
        <v>32</v>
      </c>
      <c r="E2970">
        <v>9700000</v>
      </c>
      <c r="F2970">
        <v>34500000</v>
      </c>
      <c r="G2970">
        <v>10</v>
      </c>
      <c r="H2970">
        <v>649</v>
      </c>
      <c r="I2970">
        <v>10600000</v>
      </c>
      <c r="J2970">
        <v>7600000</v>
      </c>
      <c r="K2970">
        <v>24800000</v>
      </c>
      <c r="L2970">
        <v>5900000</v>
      </c>
      <c r="M2970" t="s">
        <v>34</v>
      </c>
      <c r="N2970">
        <f t="shared" si="277"/>
        <v>1</v>
      </c>
      <c r="O2970" t="str">
        <f t="shared" si="276"/>
        <v>Low</v>
      </c>
      <c r="P2970" t="str">
        <f t="shared" si="278"/>
        <v>High</v>
      </c>
      <c r="Q2970" t="str">
        <f t="shared" si="279"/>
        <v>High Loan</v>
      </c>
      <c r="R2970">
        <f t="shared" si="280"/>
        <v>48900000</v>
      </c>
      <c r="S2970" t="str">
        <f t="shared" si="281"/>
        <v>Strong</v>
      </c>
    </row>
    <row r="2971" spans="1:19" x14ac:dyDescent="0.25">
      <c r="A2971">
        <v>2970</v>
      </c>
      <c r="B2971">
        <v>4</v>
      </c>
      <c r="C2971" t="s">
        <v>30</v>
      </c>
      <c r="D2971" t="s">
        <v>32</v>
      </c>
      <c r="E2971">
        <v>4500000</v>
      </c>
      <c r="F2971">
        <v>15800000</v>
      </c>
      <c r="G2971">
        <v>14</v>
      </c>
      <c r="H2971">
        <v>439</v>
      </c>
      <c r="I2971">
        <v>8900000</v>
      </c>
      <c r="J2971">
        <v>6900000</v>
      </c>
      <c r="K2971">
        <v>15200000</v>
      </c>
      <c r="L2971">
        <v>4400000</v>
      </c>
      <c r="M2971" t="s">
        <v>35</v>
      </c>
      <c r="N2971">
        <f t="shared" si="277"/>
        <v>0</v>
      </c>
      <c r="O2971" t="str">
        <f t="shared" si="276"/>
        <v>Low</v>
      </c>
      <c r="P2971" t="str">
        <f t="shared" si="278"/>
        <v>High</v>
      </c>
      <c r="Q2971" t="str">
        <f t="shared" si="279"/>
        <v>Low Loan</v>
      </c>
      <c r="R2971">
        <f t="shared" si="280"/>
        <v>35400000</v>
      </c>
      <c r="S2971" t="str">
        <f t="shared" si="281"/>
        <v>Strong</v>
      </c>
    </row>
    <row r="2972" spans="1:19" x14ac:dyDescent="0.25">
      <c r="A2972">
        <v>2971</v>
      </c>
      <c r="B2972">
        <v>5</v>
      </c>
      <c r="C2972" t="s">
        <v>31</v>
      </c>
      <c r="D2972" t="s">
        <v>32</v>
      </c>
      <c r="E2972">
        <v>6800000</v>
      </c>
      <c r="F2972">
        <v>24800000</v>
      </c>
      <c r="G2972">
        <v>8</v>
      </c>
      <c r="H2972">
        <v>621</v>
      </c>
      <c r="I2972">
        <v>13000000</v>
      </c>
      <c r="J2972">
        <v>13500000</v>
      </c>
      <c r="K2972">
        <v>23300000</v>
      </c>
      <c r="L2972">
        <v>4800000</v>
      </c>
      <c r="M2972" t="s">
        <v>34</v>
      </c>
      <c r="N2972">
        <f t="shared" si="277"/>
        <v>1</v>
      </c>
      <c r="O2972" t="str">
        <f t="shared" si="276"/>
        <v>Low</v>
      </c>
      <c r="P2972" t="str">
        <f t="shared" si="278"/>
        <v>High</v>
      </c>
      <c r="Q2972" t="str">
        <f t="shared" si="279"/>
        <v>High Loan</v>
      </c>
      <c r="R2972">
        <f t="shared" si="280"/>
        <v>54600000</v>
      </c>
      <c r="S2972" t="str">
        <f t="shared" si="281"/>
        <v>Strong</v>
      </c>
    </row>
    <row r="2973" spans="1:19" x14ac:dyDescent="0.25">
      <c r="A2973">
        <v>2972</v>
      </c>
      <c r="B2973">
        <v>2</v>
      </c>
      <c r="C2973" t="s">
        <v>31</v>
      </c>
      <c r="D2973" t="s">
        <v>32</v>
      </c>
      <c r="E2973">
        <v>6300000</v>
      </c>
      <c r="F2973">
        <v>18600000</v>
      </c>
      <c r="G2973">
        <v>14</v>
      </c>
      <c r="H2973">
        <v>872</v>
      </c>
      <c r="I2973">
        <v>9900000</v>
      </c>
      <c r="J2973">
        <v>11900000</v>
      </c>
      <c r="K2973">
        <v>16100000</v>
      </c>
      <c r="L2973">
        <v>7500000</v>
      </c>
      <c r="M2973" t="s">
        <v>34</v>
      </c>
      <c r="N2973">
        <f t="shared" si="277"/>
        <v>1</v>
      </c>
      <c r="O2973" t="str">
        <f t="shared" si="276"/>
        <v>Excellent</v>
      </c>
      <c r="P2973" t="str">
        <f t="shared" si="278"/>
        <v>High</v>
      </c>
      <c r="Q2973" t="str">
        <f t="shared" si="279"/>
        <v>Low Loan</v>
      </c>
      <c r="R2973">
        <f t="shared" si="280"/>
        <v>45400000</v>
      </c>
      <c r="S2973" t="str">
        <f t="shared" si="281"/>
        <v>Strong</v>
      </c>
    </row>
    <row r="2974" spans="1:19" x14ac:dyDescent="0.25">
      <c r="A2974">
        <v>2973</v>
      </c>
      <c r="B2974">
        <v>2</v>
      </c>
      <c r="C2974" t="s">
        <v>30</v>
      </c>
      <c r="D2974" t="s">
        <v>32</v>
      </c>
      <c r="E2974">
        <v>4900000</v>
      </c>
      <c r="F2974">
        <v>18500000</v>
      </c>
      <c r="G2974">
        <v>8</v>
      </c>
      <c r="H2974">
        <v>492</v>
      </c>
      <c r="I2974">
        <v>12900000</v>
      </c>
      <c r="J2974">
        <v>5000000</v>
      </c>
      <c r="K2974">
        <v>10200000</v>
      </c>
      <c r="L2974">
        <v>5800000</v>
      </c>
      <c r="M2974" t="s">
        <v>35</v>
      </c>
      <c r="N2974">
        <f t="shared" si="277"/>
        <v>0</v>
      </c>
      <c r="O2974" t="str">
        <f t="shared" si="276"/>
        <v>Low</v>
      </c>
      <c r="P2974" t="str">
        <f t="shared" si="278"/>
        <v>High</v>
      </c>
      <c r="Q2974" t="str">
        <f t="shared" si="279"/>
        <v>Low Loan</v>
      </c>
      <c r="R2974">
        <f t="shared" si="280"/>
        <v>33900000</v>
      </c>
      <c r="S2974" t="str">
        <f t="shared" si="281"/>
        <v>Strong</v>
      </c>
    </row>
    <row r="2975" spans="1:19" x14ac:dyDescent="0.25">
      <c r="A2975">
        <v>2974</v>
      </c>
      <c r="B2975">
        <v>0</v>
      </c>
      <c r="C2975" t="s">
        <v>30</v>
      </c>
      <c r="D2975" t="s">
        <v>32</v>
      </c>
      <c r="E2975">
        <v>4800000</v>
      </c>
      <c r="F2975">
        <v>18600000</v>
      </c>
      <c r="G2975">
        <v>6</v>
      </c>
      <c r="H2975">
        <v>618</v>
      </c>
      <c r="I2975">
        <v>12300000</v>
      </c>
      <c r="J2975">
        <v>5900000</v>
      </c>
      <c r="K2975">
        <v>16800000</v>
      </c>
      <c r="L2975">
        <v>4000000</v>
      </c>
      <c r="M2975" t="s">
        <v>34</v>
      </c>
      <c r="N2975">
        <f t="shared" si="277"/>
        <v>1</v>
      </c>
      <c r="O2975" t="str">
        <f t="shared" si="276"/>
        <v>Low</v>
      </c>
      <c r="P2975" t="str">
        <f t="shared" si="278"/>
        <v>High</v>
      </c>
      <c r="Q2975" t="str">
        <f t="shared" si="279"/>
        <v>Low Loan</v>
      </c>
      <c r="R2975">
        <f t="shared" si="280"/>
        <v>39000000</v>
      </c>
      <c r="S2975" t="str">
        <f t="shared" si="281"/>
        <v>Strong</v>
      </c>
    </row>
    <row r="2976" spans="1:19" x14ac:dyDescent="0.25">
      <c r="A2976">
        <v>2975</v>
      </c>
      <c r="B2976">
        <v>5</v>
      </c>
      <c r="C2976" t="s">
        <v>30</v>
      </c>
      <c r="D2976" t="s">
        <v>32</v>
      </c>
      <c r="E2976">
        <v>7500000</v>
      </c>
      <c r="F2976">
        <v>15800000</v>
      </c>
      <c r="G2976">
        <v>18</v>
      </c>
      <c r="H2976">
        <v>458</v>
      </c>
      <c r="I2976">
        <v>7800000</v>
      </c>
      <c r="J2976">
        <v>6500000</v>
      </c>
      <c r="K2976">
        <v>22400000</v>
      </c>
      <c r="L2976">
        <v>8400000</v>
      </c>
      <c r="M2976" t="s">
        <v>35</v>
      </c>
      <c r="N2976">
        <f t="shared" si="277"/>
        <v>0</v>
      </c>
      <c r="O2976" t="str">
        <f t="shared" si="276"/>
        <v>Low</v>
      </c>
      <c r="P2976" t="str">
        <f t="shared" si="278"/>
        <v>High</v>
      </c>
      <c r="Q2976" t="str">
        <f t="shared" si="279"/>
        <v>Low Loan</v>
      </c>
      <c r="R2976">
        <f t="shared" si="280"/>
        <v>45100000</v>
      </c>
      <c r="S2976" t="str">
        <f t="shared" si="281"/>
        <v>Strong</v>
      </c>
    </row>
    <row r="2977" spans="1:19" x14ac:dyDescent="0.25">
      <c r="A2977">
        <v>2976</v>
      </c>
      <c r="B2977">
        <v>5</v>
      </c>
      <c r="C2977" t="s">
        <v>31</v>
      </c>
      <c r="D2977" t="s">
        <v>32</v>
      </c>
      <c r="E2977">
        <v>5200000</v>
      </c>
      <c r="F2977">
        <v>13900000</v>
      </c>
      <c r="G2977">
        <v>4</v>
      </c>
      <c r="H2977">
        <v>422</v>
      </c>
      <c r="I2977">
        <v>7800000</v>
      </c>
      <c r="J2977">
        <v>4500000</v>
      </c>
      <c r="K2977">
        <v>12000000</v>
      </c>
      <c r="L2977">
        <v>7000000</v>
      </c>
      <c r="M2977" t="s">
        <v>35</v>
      </c>
      <c r="N2977">
        <f t="shared" si="277"/>
        <v>0</v>
      </c>
      <c r="O2977" t="str">
        <f t="shared" si="276"/>
        <v>Low</v>
      </c>
      <c r="P2977" t="str">
        <f t="shared" si="278"/>
        <v>High</v>
      </c>
      <c r="Q2977" t="str">
        <f t="shared" si="279"/>
        <v>Low Loan</v>
      </c>
      <c r="R2977">
        <f t="shared" si="280"/>
        <v>31300000</v>
      </c>
      <c r="S2977" t="str">
        <f t="shared" si="281"/>
        <v>Strong</v>
      </c>
    </row>
    <row r="2978" spans="1:19" x14ac:dyDescent="0.25">
      <c r="A2978">
        <v>2977</v>
      </c>
      <c r="B2978">
        <v>3</v>
      </c>
      <c r="C2978" t="s">
        <v>31</v>
      </c>
      <c r="D2978" t="s">
        <v>33</v>
      </c>
      <c r="E2978">
        <v>9400000</v>
      </c>
      <c r="F2978">
        <v>30900000</v>
      </c>
      <c r="G2978">
        <v>20</v>
      </c>
      <c r="H2978">
        <v>873</v>
      </c>
      <c r="I2978">
        <v>22800000</v>
      </c>
      <c r="J2978">
        <v>17700000</v>
      </c>
      <c r="K2978">
        <v>19300000</v>
      </c>
      <c r="L2978">
        <v>9000000</v>
      </c>
      <c r="M2978" t="s">
        <v>34</v>
      </c>
      <c r="N2978">
        <f t="shared" si="277"/>
        <v>1</v>
      </c>
      <c r="O2978" t="str">
        <f t="shared" si="276"/>
        <v>Excellent</v>
      </c>
      <c r="P2978" t="str">
        <f t="shared" si="278"/>
        <v>High</v>
      </c>
      <c r="Q2978" t="str">
        <f t="shared" si="279"/>
        <v>High Loan</v>
      </c>
      <c r="R2978">
        <f t="shared" si="280"/>
        <v>68800000</v>
      </c>
      <c r="S2978" t="str">
        <f t="shared" si="281"/>
        <v>Strong</v>
      </c>
    </row>
    <row r="2979" spans="1:19" x14ac:dyDescent="0.25">
      <c r="A2979">
        <v>2978</v>
      </c>
      <c r="B2979">
        <v>5</v>
      </c>
      <c r="C2979" t="s">
        <v>31</v>
      </c>
      <c r="D2979" t="s">
        <v>32</v>
      </c>
      <c r="E2979">
        <v>3200000</v>
      </c>
      <c r="F2979">
        <v>10000000</v>
      </c>
      <c r="G2979">
        <v>14</v>
      </c>
      <c r="H2979">
        <v>610</v>
      </c>
      <c r="I2979">
        <v>2900000</v>
      </c>
      <c r="J2979">
        <v>3800000</v>
      </c>
      <c r="K2979">
        <v>8600000</v>
      </c>
      <c r="L2979">
        <v>3500000</v>
      </c>
      <c r="M2979" t="s">
        <v>34</v>
      </c>
      <c r="N2979">
        <f t="shared" si="277"/>
        <v>1</v>
      </c>
      <c r="O2979" t="str">
        <f t="shared" si="276"/>
        <v>Low</v>
      </c>
      <c r="P2979" t="str">
        <f t="shared" si="278"/>
        <v>High</v>
      </c>
      <c r="Q2979" t="str">
        <f t="shared" si="279"/>
        <v>Low Loan</v>
      </c>
      <c r="R2979">
        <f t="shared" si="280"/>
        <v>18800000</v>
      </c>
      <c r="S2979" t="str">
        <f t="shared" si="281"/>
        <v>Strong</v>
      </c>
    </row>
    <row r="2980" spans="1:19" x14ac:dyDescent="0.25">
      <c r="A2980">
        <v>2979</v>
      </c>
      <c r="B2980">
        <v>1</v>
      </c>
      <c r="C2980" t="s">
        <v>31</v>
      </c>
      <c r="D2980" t="s">
        <v>33</v>
      </c>
      <c r="E2980">
        <v>3600000</v>
      </c>
      <c r="F2980">
        <v>13200000</v>
      </c>
      <c r="G2980">
        <v>20</v>
      </c>
      <c r="H2980">
        <v>546</v>
      </c>
      <c r="I2980">
        <v>8900000</v>
      </c>
      <c r="J2980">
        <v>3600000</v>
      </c>
      <c r="K2980">
        <v>13900000</v>
      </c>
      <c r="L2980">
        <v>2900000</v>
      </c>
      <c r="M2980" t="s">
        <v>35</v>
      </c>
      <c r="N2980">
        <f t="shared" si="277"/>
        <v>0</v>
      </c>
      <c r="O2980" t="str">
        <f t="shared" si="276"/>
        <v>Low</v>
      </c>
      <c r="P2980" t="str">
        <f t="shared" si="278"/>
        <v>High</v>
      </c>
      <c r="Q2980" t="str">
        <f t="shared" si="279"/>
        <v>Low Loan</v>
      </c>
      <c r="R2980">
        <f t="shared" si="280"/>
        <v>29300000</v>
      </c>
      <c r="S2980" t="str">
        <f t="shared" si="281"/>
        <v>Strong</v>
      </c>
    </row>
    <row r="2981" spans="1:19" x14ac:dyDescent="0.25">
      <c r="A2981">
        <v>2980</v>
      </c>
      <c r="B2981">
        <v>1</v>
      </c>
      <c r="C2981" t="s">
        <v>31</v>
      </c>
      <c r="D2981" t="s">
        <v>33</v>
      </c>
      <c r="E2981">
        <v>3400000</v>
      </c>
      <c r="F2981">
        <v>7200000</v>
      </c>
      <c r="G2981">
        <v>8</v>
      </c>
      <c r="H2981">
        <v>741</v>
      </c>
      <c r="I2981">
        <v>4300000</v>
      </c>
      <c r="J2981">
        <v>6600000</v>
      </c>
      <c r="K2981">
        <v>11500000</v>
      </c>
      <c r="L2981">
        <v>3900000</v>
      </c>
      <c r="M2981" t="s">
        <v>34</v>
      </c>
      <c r="N2981">
        <f t="shared" si="277"/>
        <v>1</v>
      </c>
      <c r="O2981" t="str">
        <f t="shared" si="276"/>
        <v>Good</v>
      </c>
      <c r="P2981" t="str">
        <f t="shared" si="278"/>
        <v>High</v>
      </c>
      <c r="Q2981" t="str">
        <f t="shared" si="279"/>
        <v>Low Loan</v>
      </c>
      <c r="R2981">
        <f t="shared" si="280"/>
        <v>26300000</v>
      </c>
      <c r="S2981" t="str">
        <f t="shared" si="281"/>
        <v>Strong</v>
      </c>
    </row>
    <row r="2982" spans="1:19" x14ac:dyDescent="0.25">
      <c r="A2982">
        <v>2981</v>
      </c>
      <c r="B2982">
        <v>3</v>
      </c>
      <c r="C2982" t="s">
        <v>30</v>
      </c>
      <c r="D2982" t="s">
        <v>32</v>
      </c>
      <c r="E2982">
        <v>2100000</v>
      </c>
      <c r="F2982">
        <v>8200000</v>
      </c>
      <c r="G2982">
        <v>6</v>
      </c>
      <c r="H2982">
        <v>754</v>
      </c>
      <c r="I2982">
        <v>900000</v>
      </c>
      <c r="J2982">
        <v>2900000</v>
      </c>
      <c r="K2982">
        <v>4900000</v>
      </c>
      <c r="L2982">
        <v>1000000</v>
      </c>
      <c r="M2982" t="s">
        <v>34</v>
      </c>
      <c r="N2982">
        <f t="shared" si="277"/>
        <v>1</v>
      </c>
      <c r="O2982" t="str">
        <f t="shared" si="276"/>
        <v>Excellent</v>
      </c>
      <c r="P2982" t="str">
        <f t="shared" si="278"/>
        <v>High</v>
      </c>
      <c r="Q2982" t="str">
        <f t="shared" si="279"/>
        <v>Low Loan</v>
      </c>
      <c r="R2982">
        <f t="shared" si="280"/>
        <v>9700000</v>
      </c>
      <c r="S2982" t="str">
        <f t="shared" si="281"/>
        <v>Moderate</v>
      </c>
    </row>
    <row r="2983" spans="1:19" x14ac:dyDescent="0.25">
      <c r="A2983">
        <v>2982</v>
      </c>
      <c r="B2983">
        <v>1</v>
      </c>
      <c r="C2983" t="s">
        <v>30</v>
      </c>
      <c r="D2983" t="s">
        <v>32</v>
      </c>
      <c r="E2983">
        <v>7200000</v>
      </c>
      <c r="F2983">
        <v>15100000</v>
      </c>
      <c r="G2983">
        <v>8</v>
      </c>
      <c r="H2983">
        <v>379</v>
      </c>
      <c r="I2983">
        <v>2600000</v>
      </c>
      <c r="J2983">
        <v>8300000</v>
      </c>
      <c r="K2983">
        <v>21700000</v>
      </c>
      <c r="L2983">
        <v>8200000</v>
      </c>
      <c r="M2983" t="s">
        <v>35</v>
      </c>
      <c r="N2983">
        <f t="shared" si="277"/>
        <v>0</v>
      </c>
      <c r="O2983" t="str">
        <f t="shared" si="276"/>
        <v>Low</v>
      </c>
      <c r="P2983" t="str">
        <f t="shared" si="278"/>
        <v>High</v>
      </c>
      <c r="Q2983" t="str">
        <f t="shared" si="279"/>
        <v>Low Loan</v>
      </c>
      <c r="R2983">
        <f t="shared" si="280"/>
        <v>40800000</v>
      </c>
      <c r="S2983" t="str">
        <f t="shared" si="281"/>
        <v>Strong</v>
      </c>
    </row>
    <row r="2984" spans="1:19" x14ac:dyDescent="0.25">
      <c r="A2984">
        <v>2983</v>
      </c>
      <c r="B2984">
        <v>5</v>
      </c>
      <c r="C2984" t="s">
        <v>30</v>
      </c>
      <c r="D2984" t="s">
        <v>32</v>
      </c>
      <c r="E2984">
        <v>4500000</v>
      </c>
      <c r="F2984">
        <v>16900000</v>
      </c>
      <c r="G2984">
        <v>18</v>
      </c>
      <c r="H2984">
        <v>455</v>
      </c>
      <c r="I2984">
        <v>2700000</v>
      </c>
      <c r="J2984">
        <v>2500000</v>
      </c>
      <c r="K2984">
        <v>10700000</v>
      </c>
      <c r="L2984">
        <v>5600000</v>
      </c>
      <c r="M2984" t="s">
        <v>35</v>
      </c>
      <c r="N2984">
        <f t="shared" si="277"/>
        <v>0</v>
      </c>
      <c r="O2984" t="str">
        <f t="shared" si="276"/>
        <v>Low</v>
      </c>
      <c r="P2984" t="str">
        <f t="shared" si="278"/>
        <v>High</v>
      </c>
      <c r="Q2984" t="str">
        <f t="shared" si="279"/>
        <v>Low Loan</v>
      </c>
      <c r="R2984">
        <f t="shared" si="280"/>
        <v>21500000</v>
      </c>
      <c r="S2984" t="str">
        <f t="shared" si="281"/>
        <v>Strong</v>
      </c>
    </row>
    <row r="2985" spans="1:19" x14ac:dyDescent="0.25">
      <c r="A2985">
        <v>2984</v>
      </c>
      <c r="B2985">
        <v>0</v>
      </c>
      <c r="C2985" t="s">
        <v>30</v>
      </c>
      <c r="D2985" t="s">
        <v>33</v>
      </c>
      <c r="E2985">
        <v>2600000</v>
      </c>
      <c r="F2985">
        <v>9000000</v>
      </c>
      <c r="G2985">
        <v>20</v>
      </c>
      <c r="H2985">
        <v>615</v>
      </c>
      <c r="I2985">
        <v>6800000</v>
      </c>
      <c r="J2985">
        <v>0</v>
      </c>
      <c r="K2985">
        <v>8400000</v>
      </c>
      <c r="L2985">
        <v>3400000</v>
      </c>
      <c r="M2985" t="s">
        <v>34</v>
      </c>
      <c r="N2985">
        <f t="shared" si="277"/>
        <v>1</v>
      </c>
      <c r="O2985" t="str">
        <f t="shared" si="276"/>
        <v>Low</v>
      </c>
      <c r="P2985" t="str">
        <f t="shared" si="278"/>
        <v>High</v>
      </c>
      <c r="Q2985" t="str">
        <f t="shared" si="279"/>
        <v>Low Loan</v>
      </c>
      <c r="R2985">
        <f t="shared" si="280"/>
        <v>18600000</v>
      </c>
      <c r="S2985" t="str">
        <f t="shared" si="281"/>
        <v>Strong</v>
      </c>
    </row>
    <row r="2986" spans="1:19" x14ac:dyDescent="0.25">
      <c r="A2986">
        <v>2985</v>
      </c>
      <c r="B2986">
        <v>4</v>
      </c>
      <c r="C2986" t="s">
        <v>30</v>
      </c>
      <c r="D2986" t="s">
        <v>33</v>
      </c>
      <c r="E2986">
        <v>6400000</v>
      </c>
      <c r="F2986">
        <v>21700000</v>
      </c>
      <c r="G2986">
        <v>10</v>
      </c>
      <c r="H2986">
        <v>384</v>
      </c>
      <c r="I2986">
        <v>16500000</v>
      </c>
      <c r="J2986">
        <v>8200000</v>
      </c>
      <c r="K2986">
        <v>15100000</v>
      </c>
      <c r="L2986">
        <v>5700000</v>
      </c>
      <c r="M2986" t="s">
        <v>35</v>
      </c>
      <c r="N2986">
        <f t="shared" si="277"/>
        <v>0</v>
      </c>
      <c r="O2986" t="str">
        <f t="shared" si="276"/>
        <v>Low</v>
      </c>
      <c r="P2986" t="str">
        <f t="shared" si="278"/>
        <v>High</v>
      </c>
      <c r="Q2986" t="str">
        <f t="shared" si="279"/>
        <v>High Loan</v>
      </c>
      <c r="R2986">
        <f t="shared" si="280"/>
        <v>45500000</v>
      </c>
      <c r="S2986" t="str">
        <f t="shared" si="281"/>
        <v>Strong</v>
      </c>
    </row>
    <row r="2987" spans="1:19" x14ac:dyDescent="0.25">
      <c r="A2987">
        <v>2986</v>
      </c>
      <c r="B2987">
        <v>0</v>
      </c>
      <c r="C2987" t="s">
        <v>30</v>
      </c>
      <c r="D2987" t="s">
        <v>32</v>
      </c>
      <c r="E2987">
        <v>6400000</v>
      </c>
      <c r="F2987">
        <v>25100000</v>
      </c>
      <c r="G2987">
        <v>16</v>
      </c>
      <c r="H2987">
        <v>628</v>
      </c>
      <c r="I2987">
        <v>16100000</v>
      </c>
      <c r="J2987">
        <v>2900000</v>
      </c>
      <c r="K2987">
        <v>18100000</v>
      </c>
      <c r="L2987">
        <v>6400000</v>
      </c>
      <c r="M2987" t="s">
        <v>34</v>
      </c>
      <c r="N2987">
        <f t="shared" si="277"/>
        <v>1</v>
      </c>
      <c r="O2987" t="str">
        <f t="shared" si="276"/>
        <v>Low</v>
      </c>
      <c r="P2987" t="str">
        <f t="shared" si="278"/>
        <v>High</v>
      </c>
      <c r="Q2987" t="str">
        <f t="shared" si="279"/>
        <v>High Loan</v>
      </c>
      <c r="R2987">
        <f t="shared" si="280"/>
        <v>43500000</v>
      </c>
      <c r="S2987" t="str">
        <f t="shared" si="281"/>
        <v>Strong</v>
      </c>
    </row>
    <row r="2988" spans="1:19" x14ac:dyDescent="0.25">
      <c r="A2988">
        <v>2987</v>
      </c>
      <c r="B2988">
        <v>3</v>
      </c>
      <c r="C2988" t="s">
        <v>30</v>
      </c>
      <c r="D2988" t="s">
        <v>32</v>
      </c>
      <c r="E2988">
        <v>3100000</v>
      </c>
      <c r="F2988">
        <v>11200000</v>
      </c>
      <c r="G2988">
        <v>16</v>
      </c>
      <c r="H2988">
        <v>865</v>
      </c>
      <c r="I2988">
        <v>3600000</v>
      </c>
      <c r="J2988">
        <v>4600000</v>
      </c>
      <c r="K2988">
        <v>6600000</v>
      </c>
      <c r="L2988">
        <v>4200000</v>
      </c>
      <c r="M2988" t="s">
        <v>34</v>
      </c>
      <c r="N2988">
        <f t="shared" si="277"/>
        <v>1</v>
      </c>
      <c r="O2988" t="str">
        <f t="shared" si="276"/>
        <v>Excellent</v>
      </c>
      <c r="P2988" t="str">
        <f t="shared" si="278"/>
        <v>High</v>
      </c>
      <c r="Q2988" t="str">
        <f t="shared" si="279"/>
        <v>Low Loan</v>
      </c>
      <c r="R2988">
        <f t="shared" si="280"/>
        <v>19000000</v>
      </c>
      <c r="S2988" t="str">
        <f t="shared" si="281"/>
        <v>Strong</v>
      </c>
    </row>
    <row r="2989" spans="1:19" x14ac:dyDescent="0.25">
      <c r="A2989">
        <v>2988</v>
      </c>
      <c r="B2989">
        <v>2</v>
      </c>
      <c r="C2989" t="s">
        <v>30</v>
      </c>
      <c r="D2989" t="s">
        <v>32</v>
      </c>
      <c r="E2989">
        <v>1800000</v>
      </c>
      <c r="F2989">
        <v>5300000</v>
      </c>
      <c r="G2989">
        <v>2</v>
      </c>
      <c r="H2989">
        <v>679</v>
      </c>
      <c r="I2989">
        <v>1000000</v>
      </c>
      <c r="J2989">
        <v>1400000</v>
      </c>
      <c r="K2989">
        <v>5800000</v>
      </c>
      <c r="L2989">
        <v>900000</v>
      </c>
      <c r="M2989" t="s">
        <v>34</v>
      </c>
      <c r="N2989">
        <f t="shared" si="277"/>
        <v>1</v>
      </c>
      <c r="O2989" t="str">
        <f t="shared" si="276"/>
        <v>Medium</v>
      </c>
      <c r="P2989" t="str">
        <f t="shared" si="278"/>
        <v>High</v>
      </c>
      <c r="Q2989" t="str">
        <f t="shared" si="279"/>
        <v>Low Loan</v>
      </c>
      <c r="R2989">
        <f t="shared" si="280"/>
        <v>9100000</v>
      </c>
      <c r="S2989" t="str">
        <f t="shared" si="281"/>
        <v>Moderate</v>
      </c>
    </row>
    <row r="2990" spans="1:19" x14ac:dyDescent="0.25">
      <c r="A2990">
        <v>2989</v>
      </c>
      <c r="B2990">
        <v>1</v>
      </c>
      <c r="C2990" t="s">
        <v>30</v>
      </c>
      <c r="D2990" t="s">
        <v>33</v>
      </c>
      <c r="E2990">
        <v>9300000</v>
      </c>
      <c r="F2990">
        <v>19000000</v>
      </c>
      <c r="G2990">
        <v>14</v>
      </c>
      <c r="H2990">
        <v>689</v>
      </c>
      <c r="I2990">
        <v>24000000</v>
      </c>
      <c r="J2990">
        <v>11500000</v>
      </c>
      <c r="K2990">
        <v>35100000</v>
      </c>
      <c r="L2990">
        <v>9000000</v>
      </c>
      <c r="M2990" t="s">
        <v>34</v>
      </c>
      <c r="N2990">
        <f t="shared" si="277"/>
        <v>1</v>
      </c>
      <c r="O2990" t="str">
        <f t="shared" si="276"/>
        <v>Medium</v>
      </c>
      <c r="P2990" t="str">
        <f t="shared" si="278"/>
        <v>High</v>
      </c>
      <c r="Q2990" t="str">
        <f t="shared" si="279"/>
        <v>Low Loan</v>
      </c>
      <c r="R2990">
        <f t="shared" si="280"/>
        <v>79600000</v>
      </c>
      <c r="S2990" t="str">
        <f t="shared" si="281"/>
        <v>Strong</v>
      </c>
    </row>
    <row r="2991" spans="1:19" x14ac:dyDescent="0.25">
      <c r="A2991">
        <v>2990</v>
      </c>
      <c r="B2991">
        <v>5</v>
      </c>
      <c r="C2991" t="s">
        <v>31</v>
      </c>
      <c r="D2991" t="s">
        <v>33</v>
      </c>
      <c r="E2991">
        <v>6500000</v>
      </c>
      <c r="F2991">
        <v>13800000</v>
      </c>
      <c r="G2991">
        <v>10</v>
      </c>
      <c r="H2991">
        <v>636</v>
      </c>
      <c r="I2991">
        <v>13000000</v>
      </c>
      <c r="J2991">
        <v>5500000</v>
      </c>
      <c r="K2991">
        <v>19400000</v>
      </c>
      <c r="L2991">
        <v>8100000</v>
      </c>
      <c r="M2991" t="s">
        <v>34</v>
      </c>
      <c r="N2991">
        <f t="shared" si="277"/>
        <v>1</v>
      </c>
      <c r="O2991" t="str">
        <f t="shared" si="276"/>
        <v>Low</v>
      </c>
      <c r="P2991" t="str">
        <f t="shared" si="278"/>
        <v>High</v>
      </c>
      <c r="Q2991" t="str">
        <f t="shared" si="279"/>
        <v>Low Loan</v>
      </c>
      <c r="R2991">
        <f t="shared" si="280"/>
        <v>46000000</v>
      </c>
      <c r="S2991" t="str">
        <f t="shared" si="281"/>
        <v>Strong</v>
      </c>
    </row>
    <row r="2992" spans="1:19" x14ac:dyDescent="0.25">
      <c r="A2992">
        <v>2991</v>
      </c>
      <c r="B2992">
        <v>1</v>
      </c>
      <c r="C2992" t="s">
        <v>31</v>
      </c>
      <c r="D2992" t="s">
        <v>32</v>
      </c>
      <c r="E2992">
        <v>3100000</v>
      </c>
      <c r="F2992">
        <v>6600000</v>
      </c>
      <c r="G2992">
        <v>20</v>
      </c>
      <c r="H2992">
        <v>837</v>
      </c>
      <c r="I2992">
        <v>4000000</v>
      </c>
      <c r="J2992">
        <v>4200000</v>
      </c>
      <c r="K2992">
        <v>12300000</v>
      </c>
      <c r="L2992">
        <v>4300000</v>
      </c>
      <c r="M2992" t="s">
        <v>34</v>
      </c>
      <c r="N2992">
        <f t="shared" si="277"/>
        <v>1</v>
      </c>
      <c r="O2992" t="str">
        <f t="shared" si="276"/>
        <v>Excellent</v>
      </c>
      <c r="P2992" t="str">
        <f t="shared" si="278"/>
        <v>High</v>
      </c>
      <c r="Q2992" t="str">
        <f t="shared" si="279"/>
        <v>Low Loan</v>
      </c>
      <c r="R2992">
        <f t="shared" si="280"/>
        <v>24800000</v>
      </c>
      <c r="S2992" t="str">
        <f t="shared" si="281"/>
        <v>Strong</v>
      </c>
    </row>
    <row r="2993" spans="1:19" x14ac:dyDescent="0.25">
      <c r="A2993">
        <v>2992</v>
      </c>
      <c r="B2993">
        <v>3</v>
      </c>
      <c r="C2993" t="s">
        <v>31</v>
      </c>
      <c r="D2993" t="s">
        <v>32</v>
      </c>
      <c r="E2993">
        <v>2300000</v>
      </c>
      <c r="F2993">
        <v>8500000</v>
      </c>
      <c r="G2993">
        <v>12</v>
      </c>
      <c r="H2993">
        <v>557</v>
      </c>
      <c r="I2993">
        <v>3600000</v>
      </c>
      <c r="J2993">
        <v>1400000</v>
      </c>
      <c r="K2993">
        <v>6200000</v>
      </c>
      <c r="L2993">
        <v>1300000</v>
      </c>
      <c r="M2993" t="s">
        <v>34</v>
      </c>
      <c r="N2993">
        <f t="shared" si="277"/>
        <v>1</v>
      </c>
      <c r="O2993" t="str">
        <f t="shared" si="276"/>
        <v>Low</v>
      </c>
      <c r="P2993" t="str">
        <f t="shared" si="278"/>
        <v>High</v>
      </c>
      <c r="Q2993" t="str">
        <f t="shared" si="279"/>
        <v>Low Loan</v>
      </c>
      <c r="R2993">
        <f t="shared" si="280"/>
        <v>12500000</v>
      </c>
      <c r="S2993" t="str">
        <f t="shared" si="281"/>
        <v>Strong</v>
      </c>
    </row>
    <row r="2994" spans="1:19" x14ac:dyDescent="0.25">
      <c r="A2994">
        <v>2993</v>
      </c>
      <c r="B2994">
        <v>2</v>
      </c>
      <c r="C2994" t="s">
        <v>30</v>
      </c>
      <c r="D2994" t="s">
        <v>32</v>
      </c>
      <c r="E2994">
        <v>500000</v>
      </c>
      <c r="F2994">
        <v>1700000</v>
      </c>
      <c r="G2994">
        <v>10</v>
      </c>
      <c r="H2994">
        <v>324</v>
      </c>
      <c r="I2994">
        <v>300000</v>
      </c>
      <c r="J2994">
        <v>300000</v>
      </c>
      <c r="K2994">
        <v>1800000</v>
      </c>
      <c r="L2994">
        <v>700000</v>
      </c>
      <c r="M2994" t="s">
        <v>35</v>
      </c>
      <c r="N2994">
        <f t="shared" si="277"/>
        <v>0</v>
      </c>
      <c r="O2994" t="str">
        <f t="shared" si="276"/>
        <v>Low</v>
      </c>
      <c r="P2994" t="str">
        <f t="shared" si="278"/>
        <v>Middle</v>
      </c>
      <c r="Q2994" t="str">
        <f t="shared" si="279"/>
        <v>Low Loan</v>
      </c>
      <c r="R2994">
        <f t="shared" si="280"/>
        <v>3100000</v>
      </c>
      <c r="S2994" t="str">
        <f t="shared" si="281"/>
        <v>Weak</v>
      </c>
    </row>
    <row r="2995" spans="1:19" x14ac:dyDescent="0.25">
      <c r="A2995">
        <v>2994</v>
      </c>
      <c r="B2995">
        <v>0</v>
      </c>
      <c r="C2995" t="s">
        <v>31</v>
      </c>
      <c r="D2995" t="s">
        <v>33</v>
      </c>
      <c r="E2995">
        <v>3700000</v>
      </c>
      <c r="F2995">
        <v>9300000</v>
      </c>
      <c r="G2995">
        <v>14</v>
      </c>
      <c r="H2995">
        <v>531</v>
      </c>
      <c r="I2995">
        <v>8300000</v>
      </c>
      <c r="J2995">
        <v>1000000</v>
      </c>
      <c r="K2995">
        <v>8900000</v>
      </c>
      <c r="L2995">
        <v>1900000</v>
      </c>
      <c r="M2995" t="s">
        <v>35</v>
      </c>
      <c r="N2995">
        <f t="shared" si="277"/>
        <v>0</v>
      </c>
      <c r="O2995" t="str">
        <f t="shared" si="276"/>
        <v>Low</v>
      </c>
      <c r="P2995" t="str">
        <f t="shared" si="278"/>
        <v>High</v>
      </c>
      <c r="Q2995" t="str">
        <f t="shared" si="279"/>
        <v>Low Loan</v>
      </c>
      <c r="R2995">
        <f t="shared" si="280"/>
        <v>20100000</v>
      </c>
      <c r="S2995" t="str">
        <f t="shared" si="281"/>
        <v>Strong</v>
      </c>
    </row>
    <row r="2996" spans="1:19" x14ac:dyDescent="0.25">
      <c r="A2996">
        <v>2995</v>
      </c>
      <c r="B2996">
        <v>4</v>
      </c>
      <c r="C2996" t="s">
        <v>31</v>
      </c>
      <c r="D2996" t="s">
        <v>33</v>
      </c>
      <c r="E2996">
        <v>8600000</v>
      </c>
      <c r="F2996">
        <v>21400000</v>
      </c>
      <c r="G2996">
        <v>14</v>
      </c>
      <c r="H2996">
        <v>476</v>
      </c>
      <c r="I2996">
        <v>6200000</v>
      </c>
      <c r="J2996">
        <v>2700000</v>
      </c>
      <c r="K2996">
        <v>28000000</v>
      </c>
      <c r="L2996">
        <v>12800000</v>
      </c>
      <c r="M2996" t="s">
        <v>35</v>
      </c>
      <c r="N2996">
        <f t="shared" si="277"/>
        <v>0</v>
      </c>
      <c r="O2996" t="str">
        <f t="shared" si="276"/>
        <v>Low</v>
      </c>
      <c r="P2996" t="str">
        <f t="shared" si="278"/>
        <v>High</v>
      </c>
      <c r="Q2996" t="str">
        <f t="shared" si="279"/>
        <v>High Loan</v>
      </c>
      <c r="R2996">
        <f t="shared" si="280"/>
        <v>49700000</v>
      </c>
      <c r="S2996" t="str">
        <f t="shared" si="281"/>
        <v>Strong</v>
      </c>
    </row>
    <row r="2997" spans="1:19" x14ac:dyDescent="0.25">
      <c r="A2997">
        <v>2996</v>
      </c>
      <c r="B2997">
        <v>4</v>
      </c>
      <c r="C2997" t="s">
        <v>30</v>
      </c>
      <c r="D2997" t="s">
        <v>32</v>
      </c>
      <c r="E2997">
        <v>2600000</v>
      </c>
      <c r="F2997">
        <v>8500000</v>
      </c>
      <c r="G2997">
        <v>4</v>
      </c>
      <c r="H2997">
        <v>775</v>
      </c>
      <c r="I2997">
        <v>600000</v>
      </c>
      <c r="J2997">
        <v>3800000</v>
      </c>
      <c r="K2997">
        <v>10400000</v>
      </c>
      <c r="L2997">
        <v>2600000</v>
      </c>
      <c r="M2997" t="s">
        <v>34</v>
      </c>
      <c r="N2997">
        <f t="shared" si="277"/>
        <v>1</v>
      </c>
      <c r="O2997" t="str">
        <f t="shared" si="276"/>
        <v>Excellent</v>
      </c>
      <c r="P2997" t="str">
        <f t="shared" si="278"/>
        <v>High</v>
      </c>
      <c r="Q2997" t="str">
        <f t="shared" si="279"/>
        <v>Low Loan</v>
      </c>
      <c r="R2997">
        <f t="shared" si="280"/>
        <v>17400000</v>
      </c>
      <c r="S2997" t="str">
        <f t="shared" si="281"/>
        <v>Strong</v>
      </c>
    </row>
    <row r="2998" spans="1:19" x14ac:dyDescent="0.25">
      <c r="A2998">
        <v>2997</v>
      </c>
      <c r="B2998">
        <v>1</v>
      </c>
      <c r="C2998" t="s">
        <v>31</v>
      </c>
      <c r="D2998" t="s">
        <v>33</v>
      </c>
      <c r="E2998">
        <v>7100000</v>
      </c>
      <c r="F2998">
        <v>18000000</v>
      </c>
      <c r="G2998">
        <v>20</v>
      </c>
      <c r="H2998">
        <v>477</v>
      </c>
      <c r="I2998">
        <v>6600000</v>
      </c>
      <c r="J2998">
        <v>13200000</v>
      </c>
      <c r="K2998">
        <v>19300000</v>
      </c>
      <c r="L2998">
        <v>9300000</v>
      </c>
      <c r="M2998" t="s">
        <v>35</v>
      </c>
      <c r="N2998">
        <f t="shared" si="277"/>
        <v>0</v>
      </c>
      <c r="O2998" t="str">
        <f t="shared" si="276"/>
        <v>Low</v>
      </c>
      <c r="P2998" t="str">
        <f t="shared" si="278"/>
        <v>High</v>
      </c>
      <c r="Q2998" t="str">
        <f t="shared" si="279"/>
        <v>Low Loan</v>
      </c>
      <c r="R2998">
        <f t="shared" si="280"/>
        <v>48400000</v>
      </c>
      <c r="S2998" t="str">
        <f t="shared" si="281"/>
        <v>Strong</v>
      </c>
    </row>
    <row r="2999" spans="1:19" x14ac:dyDescent="0.25">
      <c r="A2999">
        <v>2998</v>
      </c>
      <c r="B2999">
        <v>4</v>
      </c>
      <c r="C2999" t="s">
        <v>31</v>
      </c>
      <c r="D2999" t="s">
        <v>33</v>
      </c>
      <c r="E2999">
        <v>7000000</v>
      </c>
      <c r="F2999">
        <v>19800000</v>
      </c>
      <c r="G2999">
        <v>16</v>
      </c>
      <c r="H2999">
        <v>682</v>
      </c>
      <c r="I2999">
        <v>9300000</v>
      </c>
      <c r="J2999">
        <v>5300000</v>
      </c>
      <c r="K2999">
        <v>14500000</v>
      </c>
      <c r="L2999">
        <v>7300000</v>
      </c>
      <c r="M2999" t="s">
        <v>34</v>
      </c>
      <c r="N2999">
        <f t="shared" si="277"/>
        <v>1</v>
      </c>
      <c r="O2999" t="str">
        <f t="shared" si="276"/>
        <v>Medium</v>
      </c>
      <c r="P2999" t="str">
        <f t="shared" si="278"/>
        <v>High</v>
      </c>
      <c r="Q2999" t="str">
        <f t="shared" si="279"/>
        <v>Low Loan</v>
      </c>
      <c r="R2999">
        <f t="shared" si="280"/>
        <v>36400000</v>
      </c>
      <c r="S2999" t="str">
        <f t="shared" si="281"/>
        <v>Strong</v>
      </c>
    </row>
    <row r="3000" spans="1:19" x14ac:dyDescent="0.25">
      <c r="A3000">
        <v>2999</v>
      </c>
      <c r="B3000">
        <v>5</v>
      </c>
      <c r="C3000" t="s">
        <v>31</v>
      </c>
      <c r="D3000" t="s">
        <v>32</v>
      </c>
      <c r="E3000">
        <v>8300000</v>
      </c>
      <c r="F3000">
        <v>17700000</v>
      </c>
      <c r="G3000">
        <v>12</v>
      </c>
      <c r="H3000">
        <v>334</v>
      </c>
      <c r="I3000">
        <v>19600000</v>
      </c>
      <c r="J3000">
        <v>13200000</v>
      </c>
      <c r="K3000">
        <v>22500000</v>
      </c>
      <c r="L3000">
        <v>9800000</v>
      </c>
      <c r="M3000" t="s">
        <v>35</v>
      </c>
      <c r="N3000">
        <f t="shared" si="277"/>
        <v>0</v>
      </c>
      <c r="O3000" t="str">
        <f t="shared" si="276"/>
        <v>Low</v>
      </c>
      <c r="P3000" t="str">
        <f t="shared" si="278"/>
        <v>High</v>
      </c>
      <c r="Q3000" t="str">
        <f t="shared" si="279"/>
        <v>Low Loan</v>
      </c>
      <c r="R3000">
        <f t="shared" si="280"/>
        <v>65100000</v>
      </c>
      <c r="S3000" t="str">
        <f t="shared" si="281"/>
        <v>Strong</v>
      </c>
    </row>
    <row r="3001" spans="1:19" x14ac:dyDescent="0.25">
      <c r="A3001">
        <v>3000</v>
      </c>
      <c r="B3001">
        <v>3</v>
      </c>
      <c r="C3001" t="s">
        <v>30</v>
      </c>
      <c r="D3001" t="s">
        <v>33</v>
      </c>
      <c r="E3001">
        <v>6800000</v>
      </c>
      <c r="F3001">
        <v>23900000</v>
      </c>
      <c r="G3001">
        <v>12</v>
      </c>
      <c r="H3001">
        <v>565</v>
      </c>
      <c r="I3001">
        <v>18800000</v>
      </c>
      <c r="J3001">
        <v>2800000</v>
      </c>
      <c r="K3001">
        <v>18800000</v>
      </c>
      <c r="L3001">
        <v>6700000</v>
      </c>
      <c r="M3001" t="s">
        <v>34</v>
      </c>
      <c r="N3001">
        <f t="shared" si="277"/>
        <v>1</v>
      </c>
      <c r="O3001" t="str">
        <f t="shared" si="276"/>
        <v>Low</v>
      </c>
      <c r="P3001" t="str">
        <f t="shared" si="278"/>
        <v>High</v>
      </c>
      <c r="Q3001" t="str">
        <f t="shared" si="279"/>
        <v>High Loan</v>
      </c>
      <c r="R3001">
        <f t="shared" si="280"/>
        <v>47100000</v>
      </c>
      <c r="S3001" t="str">
        <f t="shared" si="281"/>
        <v>Strong</v>
      </c>
    </row>
    <row r="3002" spans="1:19" x14ac:dyDescent="0.25">
      <c r="A3002">
        <v>3001</v>
      </c>
      <c r="B3002">
        <v>1</v>
      </c>
      <c r="C3002" t="s">
        <v>31</v>
      </c>
      <c r="D3002" t="s">
        <v>33</v>
      </c>
      <c r="E3002">
        <v>9900000</v>
      </c>
      <c r="F3002">
        <v>25700000</v>
      </c>
      <c r="G3002">
        <v>2</v>
      </c>
      <c r="H3002">
        <v>340</v>
      </c>
      <c r="I3002">
        <v>15600000</v>
      </c>
      <c r="J3002">
        <v>18800000</v>
      </c>
      <c r="K3002">
        <v>29500000</v>
      </c>
      <c r="L3002">
        <v>11800000</v>
      </c>
      <c r="M3002" t="s">
        <v>35</v>
      </c>
      <c r="N3002">
        <f t="shared" si="277"/>
        <v>0</v>
      </c>
      <c r="O3002" t="str">
        <f t="shared" si="276"/>
        <v>Low</v>
      </c>
      <c r="P3002" t="str">
        <f t="shared" si="278"/>
        <v>High</v>
      </c>
      <c r="Q3002" t="str">
        <f t="shared" si="279"/>
        <v>High Loan</v>
      </c>
      <c r="R3002">
        <f t="shared" si="280"/>
        <v>75700000</v>
      </c>
      <c r="S3002" t="str">
        <f t="shared" si="281"/>
        <v>Strong</v>
      </c>
    </row>
    <row r="3003" spans="1:19" x14ac:dyDescent="0.25">
      <c r="A3003">
        <v>3002</v>
      </c>
      <c r="B3003">
        <v>2</v>
      </c>
      <c r="C3003" t="s">
        <v>30</v>
      </c>
      <c r="D3003" t="s">
        <v>32</v>
      </c>
      <c r="E3003">
        <v>5100000</v>
      </c>
      <c r="F3003">
        <v>11000000</v>
      </c>
      <c r="G3003">
        <v>14</v>
      </c>
      <c r="H3003">
        <v>322</v>
      </c>
      <c r="I3003">
        <v>7900000</v>
      </c>
      <c r="J3003">
        <v>2900000</v>
      </c>
      <c r="K3003">
        <v>10700000</v>
      </c>
      <c r="L3003">
        <v>5900000</v>
      </c>
      <c r="M3003" t="s">
        <v>35</v>
      </c>
      <c r="N3003">
        <f t="shared" si="277"/>
        <v>0</v>
      </c>
      <c r="O3003" t="str">
        <f t="shared" si="276"/>
        <v>Low</v>
      </c>
      <c r="P3003" t="str">
        <f t="shared" si="278"/>
        <v>High</v>
      </c>
      <c r="Q3003" t="str">
        <f t="shared" si="279"/>
        <v>Low Loan</v>
      </c>
      <c r="R3003">
        <f t="shared" si="280"/>
        <v>27400000</v>
      </c>
      <c r="S3003" t="str">
        <f t="shared" si="281"/>
        <v>Strong</v>
      </c>
    </row>
    <row r="3004" spans="1:19" x14ac:dyDescent="0.25">
      <c r="A3004">
        <v>3003</v>
      </c>
      <c r="B3004">
        <v>4</v>
      </c>
      <c r="C3004" t="s">
        <v>30</v>
      </c>
      <c r="D3004" t="s">
        <v>33</v>
      </c>
      <c r="E3004">
        <v>3500000</v>
      </c>
      <c r="F3004">
        <v>10700000</v>
      </c>
      <c r="G3004">
        <v>8</v>
      </c>
      <c r="H3004">
        <v>883</v>
      </c>
      <c r="I3004">
        <v>200000</v>
      </c>
      <c r="J3004">
        <v>2300000</v>
      </c>
      <c r="K3004">
        <v>8400000</v>
      </c>
      <c r="L3004">
        <v>2000000</v>
      </c>
      <c r="M3004" t="s">
        <v>34</v>
      </c>
      <c r="N3004">
        <f t="shared" si="277"/>
        <v>1</v>
      </c>
      <c r="O3004" t="str">
        <f t="shared" si="276"/>
        <v>Excellent</v>
      </c>
      <c r="P3004" t="str">
        <f t="shared" si="278"/>
        <v>High</v>
      </c>
      <c r="Q3004" t="str">
        <f t="shared" si="279"/>
        <v>Low Loan</v>
      </c>
      <c r="R3004">
        <f t="shared" si="280"/>
        <v>12900000</v>
      </c>
      <c r="S3004" t="str">
        <f t="shared" si="281"/>
        <v>Strong</v>
      </c>
    </row>
    <row r="3005" spans="1:19" x14ac:dyDescent="0.25">
      <c r="A3005">
        <v>3004</v>
      </c>
      <c r="B3005">
        <v>3</v>
      </c>
      <c r="C3005" t="s">
        <v>30</v>
      </c>
      <c r="D3005" t="s">
        <v>33</v>
      </c>
      <c r="E3005">
        <v>4300000</v>
      </c>
      <c r="F3005">
        <v>12800000</v>
      </c>
      <c r="G3005">
        <v>16</v>
      </c>
      <c r="H3005">
        <v>346</v>
      </c>
      <c r="I3005">
        <v>3300000</v>
      </c>
      <c r="J3005">
        <v>1100000</v>
      </c>
      <c r="K3005">
        <v>11900000</v>
      </c>
      <c r="L3005">
        <v>3800000</v>
      </c>
      <c r="M3005" t="s">
        <v>35</v>
      </c>
      <c r="N3005">
        <f t="shared" si="277"/>
        <v>0</v>
      </c>
      <c r="O3005" t="str">
        <f t="shared" si="276"/>
        <v>Low</v>
      </c>
      <c r="P3005" t="str">
        <f t="shared" si="278"/>
        <v>High</v>
      </c>
      <c r="Q3005" t="str">
        <f t="shared" si="279"/>
        <v>Low Loan</v>
      </c>
      <c r="R3005">
        <f t="shared" si="280"/>
        <v>20100000</v>
      </c>
      <c r="S3005" t="str">
        <f t="shared" si="281"/>
        <v>Strong</v>
      </c>
    </row>
    <row r="3006" spans="1:19" x14ac:dyDescent="0.25">
      <c r="A3006">
        <v>3005</v>
      </c>
      <c r="B3006">
        <v>0</v>
      </c>
      <c r="C3006" t="s">
        <v>30</v>
      </c>
      <c r="D3006" t="s">
        <v>33</v>
      </c>
      <c r="E3006">
        <v>5300000</v>
      </c>
      <c r="F3006">
        <v>20200000</v>
      </c>
      <c r="G3006">
        <v>2</v>
      </c>
      <c r="H3006">
        <v>861</v>
      </c>
      <c r="I3006">
        <v>500000</v>
      </c>
      <c r="J3006">
        <v>800000</v>
      </c>
      <c r="K3006">
        <v>16500000</v>
      </c>
      <c r="L3006">
        <v>6200000</v>
      </c>
      <c r="M3006" t="s">
        <v>34</v>
      </c>
      <c r="N3006">
        <f t="shared" si="277"/>
        <v>1</v>
      </c>
      <c r="O3006" t="str">
        <f t="shared" si="276"/>
        <v>Excellent</v>
      </c>
      <c r="P3006" t="str">
        <f t="shared" si="278"/>
        <v>High</v>
      </c>
      <c r="Q3006" t="str">
        <f t="shared" si="279"/>
        <v>High Loan</v>
      </c>
      <c r="R3006">
        <f t="shared" si="280"/>
        <v>24000000</v>
      </c>
      <c r="S3006" t="str">
        <f t="shared" si="281"/>
        <v>Strong</v>
      </c>
    </row>
    <row r="3007" spans="1:19" x14ac:dyDescent="0.25">
      <c r="A3007">
        <v>3006</v>
      </c>
      <c r="B3007">
        <v>5</v>
      </c>
      <c r="C3007" t="s">
        <v>30</v>
      </c>
      <c r="D3007" t="s">
        <v>33</v>
      </c>
      <c r="E3007">
        <v>6400000</v>
      </c>
      <c r="F3007">
        <v>21900000</v>
      </c>
      <c r="G3007">
        <v>12</v>
      </c>
      <c r="H3007">
        <v>699</v>
      </c>
      <c r="I3007">
        <v>15700000</v>
      </c>
      <c r="J3007">
        <v>500000</v>
      </c>
      <c r="K3007">
        <v>17200000</v>
      </c>
      <c r="L3007">
        <v>3800000</v>
      </c>
      <c r="M3007" t="s">
        <v>34</v>
      </c>
      <c r="N3007">
        <f t="shared" si="277"/>
        <v>1</v>
      </c>
      <c r="O3007" t="str">
        <f t="shared" si="276"/>
        <v>Medium</v>
      </c>
      <c r="P3007" t="str">
        <f t="shared" si="278"/>
        <v>High</v>
      </c>
      <c r="Q3007" t="str">
        <f t="shared" si="279"/>
        <v>High Loan</v>
      </c>
      <c r="R3007">
        <f t="shared" si="280"/>
        <v>37200000</v>
      </c>
      <c r="S3007" t="str">
        <f t="shared" si="281"/>
        <v>Strong</v>
      </c>
    </row>
    <row r="3008" spans="1:19" x14ac:dyDescent="0.25">
      <c r="A3008">
        <v>3007</v>
      </c>
      <c r="B3008">
        <v>0</v>
      </c>
      <c r="C3008" t="s">
        <v>30</v>
      </c>
      <c r="D3008" t="s">
        <v>32</v>
      </c>
      <c r="E3008">
        <v>9300000</v>
      </c>
      <c r="F3008">
        <v>27200000</v>
      </c>
      <c r="G3008">
        <v>8</v>
      </c>
      <c r="H3008">
        <v>629</v>
      </c>
      <c r="I3008">
        <v>4500000</v>
      </c>
      <c r="J3008">
        <v>14300000</v>
      </c>
      <c r="K3008">
        <v>26900000</v>
      </c>
      <c r="L3008">
        <v>5000000</v>
      </c>
      <c r="M3008" t="s">
        <v>34</v>
      </c>
      <c r="N3008">
        <f t="shared" si="277"/>
        <v>1</v>
      </c>
      <c r="O3008" t="str">
        <f t="shared" si="276"/>
        <v>Low</v>
      </c>
      <c r="P3008" t="str">
        <f t="shared" si="278"/>
        <v>High</v>
      </c>
      <c r="Q3008" t="str">
        <f t="shared" si="279"/>
        <v>High Loan</v>
      </c>
      <c r="R3008">
        <f t="shared" si="280"/>
        <v>50700000</v>
      </c>
      <c r="S3008" t="str">
        <f t="shared" si="281"/>
        <v>Strong</v>
      </c>
    </row>
    <row r="3009" spans="1:19" x14ac:dyDescent="0.25">
      <c r="A3009">
        <v>3008</v>
      </c>
      <c r="B3009">
        <v>3</v>
      </c>
      <c r="C3009" t="s">
        <v>30</v>
      </c>
      <c r="D3009" t="s">
        <v>32</v>
      </c>
      <c r="E3009">
        <v>1100000</v>
      </c>
      <c r="F3009">
        <v>3100000</v>
      </c>
      <c r="G3009">
        <v>14</v>
      </c>
      <c r="H3009">
        <v>359</v>
      </c>
      <c r="I3009">
        <v>1500000</v>
      </c>
      <c r="J3009">
        <v>1000000</v>
      </c>
      <c r="K3009">
        <v>4000000</v>
      </c>
      <c r="L3009">
        <v>1000000</v>
      </c>
      <c r="M3009" t="s">
        <v>35</v>
      </c>
      <c r="N3009">
        <f t="shared" si="277"/>
        <v>0</v>
      </c>
      <c r="O3009" t="str">
        <f t="shared" si="276"/>
        <v>Low</v>
      </c>
      <c r="P3009" t="str">
        <f t="shared" si="278"/>
        <v>High</v>
      </c>
      <c r="Q3009" t="str">
        <f t="shared" si="279"/>
        <v>Low Loan</v>
      </c>
      <c r="R3009">
        <f t="shared" si="280"/>
        <v>7500000</v>
      </c>
      <c r="S3009" t="str">
        <f t="shared" si="281"/>
        <v>Moderate</v>
      </c>
    </row>
    <row r="3010" spans="1:19" x14ac:dyDescent="0.25">
      <c r="A3010">
        <v>3009</v>
      </c>
      <c r="B3010">
        <v>2</v>
      </c>
      <c r="C3010" t="s">
        <v>31</v>
      </c>
      <c r="D3010" t="s">
        <v>32</v>
      </c>
      <c r="E3010">
        <v>7100000</v>
      </c>
      <c r="F3010">
        <v>27000000</v>
      </c>
      <c r="G3010">
        <v>10</v>
      </c>
      <c r="H3010">
        <v>430</v>
      </c>
      <c r="I3010">
        <v>20700000</v>
      </c>
      <c r="J3010">
        <v>8300000</v>
      </c>
      <c r="K3010">
        <v>24500000</v>
      </c>
      <c r="L3010">
        <v>4200000</v>
      </c>
      <c r="M3010" t="s">
        <v>35</v>
      </c>
      <c r="N3010">
        <f t="shared" si="277"/>
        <v>0</v>
      </c>
      <c r="O3010" t="str">
        <f t="shared" ref="O3010:O3073" si="282">IF(H3010&lt;650,"Low",
 IF(H3010&lt;700,"Medium",
 IF(H3010&lt;750,"Good","Excellent")))</f>
        <v>Low</v>
      </c>
      <c r="P3010" t="str">
        <f t="shared" si="278"/>
        <v>High</v>
      </c>
      <c r="Q3010" t="str">
        <f t="shared" si="279"/>
        <v>High Loan</v>
      </c>
      <c r="R3010">
        <f t="shared" si="280"/>
        <v>57700000</v>
      </c>
      <c r="S3010" t="str">
        <f t="shared" si="281"/>
        <v>Strong</v>
      </c>
    </row>
    <row r="3011" spans="1:19" x14ac:dyDescent="0.25">
      <c r="A3011">
        <v>3010</v>
      </c>
      <c r="B3011">
        <v>4</v>
      </c>
      <c r="C3011" t="s">
        <v>31</v>
      </c>
      <c r="D3011" t="s">
        <v>32</v>
      </c>
      <c r="E3011">
        <v>1100000</v>
      </c>
      <c r="F3011">
        <v>3300000</v>
      </c>
      <c r="G3011">
        <v>18</v>
      </c>
      <c r="H3011">
        <v>417</v>
      </c>
      <c r="I3011">
        <v>1400000</v>
      </c>
      <c r="J3011">
        <v>1000000</v>
      </c>
      <c r="K3011">
        <v>4200000</v>
      </c>
      <c r="L3011">
        <v>700000</v>
      </c>
      <c r="M3011" t="s">
        <v>35</v>
      </c>
      <c r="N3011">
        <f t="shared" ref="N3011:N3074" si="283">IF(TRIM(CLEAN(M3011))="Approved",1,0)</f>
        <v>0</v>
      </c>
      <c r="O3011" t="str">
        <f t="shared" si="282"/>
        <v>Low</v>
      </c>
      <c r="P3011" t="str">
        <f t="shared" ref="P3011:P3074" si="284">IF(E3011&lt;300000,"Low",
 IF(E3011&lt;700000,"Middle","High"))</f>
        <v>High</v>
      </c>
      <c r="Q3011" t="str">
        <f t="shared" ref="Q3011:Q3074" si="285">IF(F3011&lt;20000000,"Low Loan","High Loan")</f>
        <v>Low Loan</v>
      </c>
      <c r="R3011">
        <f t="shared" ref="R3011:R3074" si="286">I3011+J3011+K3011+L3011</f>
        <v>7300000</v>
      </c>
      <c r="S3011" t="str">
        <f t="shared" ref="S3011:S3074" si="287">IF(R3011&lt;5000000,"Weak",
 IF(R3011&lt;10000000,"Moderate","Strong"))</f>
        <v>Moderate</v>
      </c>
    </row>
    <row r="3012" spans="1:19" x14ac:dyDescent="0.25">
      <c r="A3012">
        <v>3011</v>
      </c>
      <c r="B3012">
        <v>2</v>
      </c>
      <c r="C3012" t="s">
        <v>30</v>
      </c>
      <c r="D3012" t="s">
        <v>32</v>
      </c>
      <c r="E3012">
        <v>1900000</v>
      </c>
      <c r="F3012">
        <v>5200000</v>
      </c>
      <c r="G3012">
        <v>6</v>
      </c>
      <c r="H3012">
        <v>896</v>
      </c>
      <c r="I3012">
        <v>4300000</v>
      </c>
      <c r="J3012">
        <v>100000</v>
      </c>
      <c r="K3012">
        <v>6200000</v>
      </c>
      <c r="L3012">
        <v>2400000</v>
      </c>
      <c r="M3012" t="s">
        <v>34</v>
      </c>
      <c r="N3012">
        <f t="shared" si="283"/>
        <v>1</v>
      </c>
      <c r="O3012" t="str">
        <f t="shared" si="282"/>
        <v>Excellent</v>
      </c>
      <c r="P3012" t="str">
        <f t="shared" si="284"/>
        <v>High</v>
      </c>
      <c r="Q3012" t="str">
        <f t="shared" si="285"/>
        <v>Low Loan</v>
      </c>
      <c r="R3012">
        <f t="shared" si="286"/>
        <v>13000000</v>
      </c>
      <c r="S3012" t="str">
        <f t="shared" si="287"/>
        <v>Strong</v>
      </c>
    </row>
    <row r="3013" spans="1:19" x14ac:dyDescent="0.25">
      <c r="A3013">
        <v>3012</v>
      </c>
      <c r="B3013">
        <v>0</v>
      </c>
      <c r="C3013" t="s">
        <v>31</v>
      </c>
      <c r="D3013" t="s">
        <v>32</v>
      </c>
      <c r="E3013">
        <v>1300000</v>
      </c>
      <c r="F3013">
        <v>3900000</v>
      </c>
      <c r="G3013">
        <v>16</v>
      </c>
      <c r="H3013">
        <v>690</v>
      </c>
      <c r="I3013">
        <v>3600000</v>
      </c>
      <c r="J3013">
        <v>1700000</v>
      </c>
      <c r="K3013">
        <v>4700000</v>
      </c>
      <c r="L3013">
        <v>800000</v>
      </c>
      <c r="M3013" t="s">
        <v>34</v>
      </c>
      <c r="N3013">
        <f t="shared" si="283"/>
        <v>1</v>
      </c>
      <c r="O3013" t="str">
        <f t="shared" si="282"/>
        <v>Medium</v>
      </c>
      <c r="P3013" t="str">
        <f t="shared" si="284"/>
        <v>High</v>
      </c>
      <c r="Q3013" t="str">
        <f t="shared" si="285"/>
        <v>Low Loan</v>
      </c>
      <c r="R3013">
        <f t="shared" si="286"/>
        <v>10800000</v>
      </c>
      <c r="S3013" t="str">
        <f t="shared" si="287"/>
        <v>Strong</v>
      </c>
    </row>
    <row r="3014" spans="1:19" x14ac:dyDescent="0.25">
      <c r="A3014">
        <v>3013</v>
      </c>
      <c r="B3014">
        <v>5</v>
      </c>
      <c r="C3014" t="s">
        <v>30</v>
      </c>
      <c r="D3014" t="s">
        <v>32</v>
      </c>
      <c r="E3014">
        <v>7500000</v>
      </c>
      <c r="F3014">
        <v>22800000</v>
      </c>
      <c r="G3014">
        <v>16</v>
      </c>
      <c r="H3014">
        <v>347</v>
      </c>
      <c r="I3014">
        <v>15100000</v>
      </c>
      <c r="J3014">
        <v>1200000</v>
      </c>
      <c r="K3014">
        <v>16100000</v>
      </c>
      <c r="L3014">
        <v>10700000</v>
      </c>
      <c r="M3014" t="s">
        <v>35</v>
      </c>
      <c r="N3014">
        <f t="shared" si="283"/>
        <v>0</v>
      </c>
      <c r="O3014" t="str">
        <f t="shared" si="282"/>
        <v>Low</v>
      </c>
      <c r="P3014" t="str">
        <f t="shared" si="284"/>
        <v>High</v>
      </c>
      <c r="Q3014" t="str">
        <f t="shared" si="285"/>
        <v>High Loan</v>
      </c>
      <c r="R3014">
        <f t="shared" si="286"/>
        <v>43100000</v>
      </c>
      <c r="S3014" t="str">
        <f t="shared" si="287"/>
        <v>Strong</v>
      </c>
    </row>
    <row r="3015" spans="1:19" x14ac:dyDescent="0.25">
      <c r="A3015">
        <v>3014</v>
      </c>
      <c r="B3015">
        <v>4</v>
      </c>
      <c r="C3015" t="s">
        <v>31</v>
      </c>
      <c r="D3015" t="s">
        <v>32</v>
      </c>
      <c r="E3015">
        <v>2400000</v>
      </c>
      <c r="F3015">
        <v>7000000</v>
      </c>
      <c r="G3015">
        <v>4</v>
      </c>
      <c r="H3015">
        <v>539</v>
      </c>
      <c r="I3015">
        <v>2300000</v>
      </c>
      <c r="J3015">
        <v>0</v>
      </c>
      <c r="K3015">
        <v>9600000</v>
      </c>
      <c r="L3015">
        <v>2900000</v>
      </c>
      <c r="M3015" t="s">
        <v>35</v>
      </c>
      <c r="N3015">
        <f t="shared" si="283"/>
        <v>0</v>
      </c>
      <c r="O3015" t="str">
        <f t="shared" si="282"/>
        <v>Low</v>
      </c>
      <c r="P3015" t="str">
        <f t="shared" si="284"/>
        <v>High</v>
      </c>
      <c r="Q3015" t="str">
        <f t="shared" si="285"/>
        <v>Low Loan</v>
      </c>
      <c r="R3015">
        <f t="shared" si="286"/>
        <v>14800000</v>
      </c>
      <c r="S3015" t="str">
        <f t="shared" si="287"/>
        <v>Strong</v>
      </c>
    </row>
    <row r="3016" spans="1:19" x14ac:dyDescent="0.25">
      <c r="A3016">
        <v>3015</v>
      </c>
      <c r="B3016">
        <v>4</v>
      </c>
      <c r="C3016" t="s">
        <v>30</v>
      </c>
      <c r="D3016" t="s">
        <v>33</v>
      </c>
      <c r="E3016">
        <v>2500000</v>
      </c>
      <c r="F3016">
        <v>8000000</v>
      </c>
      <c r="G3016">
        <v>8</v>
      </c>
      <c r="H3016">
        <v>464</v>
      </c>
      <c r="I3016">
        <v>4000000</v>
      </c>
      <c r="J3016">
        <v>3000000</v>
      </c>
      <c r="K3016">
        <v>9000000</v>
      </c>
      <c r="L3016">
        <v>3000000</v>
      </c>
      <c r="M3016" t="s">
        <v>35</v>
      </c>
      <c r="N3016">
        <f t="shared" si="283"/>
        <v>0</v>
      </c>
      <c r="O3016" t="str">
        <f t="shared" si="282"/>
        <v>Low</v>
      </c>
      <c r="P3016" t="str">
        <f t="shared" si="284"/>
        <v>High</v>
      </c>
      <c r="Q3016" t="str">
        <f t="shared" si="285"/>
        <v>Low Loan</v>
      </c>
      <c r="R3016">
        <f t="shared" si="286"/>
        <v>19000000</v>
      </c>
      <c r="S3016" t="str">
        <f t="shared" si="287"/>
        <v>Strong</v>
      </c>
    </row>
    <row r="3017" spans="1:19" x14ac:dyDescent="0.25">
      <c r="A3017">
        <v>3016</v>
      </c>
      <c r="B3017">
        <v>4</v>
      </c>
      <c r="C3017" t="s">
        <v>30</v>
      </c>
      <c r="D3017" t="s">
        <v>32</v>
      </c>
      <c r="E3017">
        <v>7500000</v>
      </c>
      <c r="F3017">
        <v>16200000</v>
      </c>
      <c r="G3017">
        <v>4</v>
      </c>
      <c r="H3017">
        <v>310</v>
      </c>
      <c r="I3017">
        <v>10800000</v>
      </c>
      <c r="J3017">
        <v>14300000</v>
      </c>
      <c r="K3017">
        <v>14900000</v>
      </c>
      <c r="L3017">
        <v>5800000</v>
      </c>
      <c r="M3017" t="s">
        <v>35</v>
      </c>
      <c r="N3017">
        <f t="shared" si="283"/>
        <v>0</v>
      </c>
      <c r="O3017" t="str">
        <f t="shared" si="282"/>
        <v>Low</v>
      </c>
      <c r="P3017" t="str">
        <f t="shared" si="284"/>
        <v>High</v>
      </c>
      <c r="Q3017" t="str">
        <f t="shared" si="285"/>
        <v>Low Loan</v>
      </c>
      <c r="R3017">
        <f t="shared" si="286"/>
        <v>45800000</v>
      </c>
      <c r="S3017" t="str">
        <f t="shared" si="287"/>
        <v>Strong</v>
      </c>
    </row>
    <row r="3018" spans="1:19" x14ac:dyDescent="0.25">
      <c r="A3018">
        <v>3017</v>
      </c>
      <c r="B3018">
        <v>3</v>
      </c>
      <c r="C3018" t="s">
        <v>31</v>
      </c>
      <c r="D3018" t="s">
        <v>32</v>
      </c>
      <c r="E3018">
        <v>9300000</v>
      </c>
      <c r="F3018">
        <v>36600000</v>
      </c>
      <c r="G3018">
        <v>6</v>
      </c>
      <c r="H3018">
        <v>431</v>
      </c>
      <c r="I3018">
        <v>22000000</v>
      </c>
      <c r="J3018">
        <v>14600000</v>
      </c>
      <c r="K3018">
        <v>32900000</v>
      </c>
      <c r="L3018">
        <v>8800000</v>
      </c>
      <c r="M3018" t="s">
        <v>35</v>
      </c>
      <c r="N3018">
        <f t="shared" si="283"/>
        <v>0</v>
      </c>
      <c r="O3018" t="str">
        <f t="shared" si="282"/>
        <v>Low</v>
      </c>
      <c r="P3018" t="str">
        <f t="shared" si="284"/>
        <v>High</v>
      </c>
      <c r="Q3018" t="str">
        <f t="shared" si="285"/>
        <v>High Loan</v>
      </c>
      <c r="R3018">
        <f t="shared" si="286"/>
        <v>78300000</v>
      </c>
      <c r="S3018" t="str">
        <f t="shared" si="287"/>
        <v>Strong</v>
      </c>
    </row>
    <row r="3019" spans="1:19" x14ac:dyDescent="0.25">
      <c r="A3019">
        <v>3018</v>
      </c>
      <c r="B3019">
        <v>5</v>
      </c>
      <c r="C3019" t="s">
        <v>31</v>
      </c>
      <c r="D3019" t="s">
        <v>32</v>
      </c>
      <c r="E3019">
        <v>3300000</v>
      </c>
      <c r="F3019">
        <v>10000000</v>
      </c>
      <c r="G3019">
        <v>12</v>
      </c>
      <c r="H3019">
        <v>489</v>
      </c>
      <c r="I3019">
        <v>2000000</v>
      </c>
      <c r="J3019">
        <v>500000</v>
      </c>
      <c r="K3019">
        <v>7200000</v>
      </c>
      <c r="L3019">
        <v>2800000</v>
      </c>
      <c r="M3019" t="s">
        <v>35</v>
      </c>
      <c r="N3019">
        <f t="shared" si="283"/>
        <v>0</v>
      </c>
      <c r="O3019" t="str">
        <f t="shared" si="282"/>
        <v>Low</v>
      </c>
      <c r="P3019" t="str">
        <f t="shared" si="284"/>
        <v>High</v>
      </c>
      <c r="Q3019" t="str">
        <f t="shared" si="285"/>
        <v>Low Loan</v>
      </c>
      <c r="R3019">
        <f t="shared" si="286"/>
        <v>12500000</v>
      </c>
      <c r="S3019" t="str">
        <f t="shared" si="287"/>
        <v>Strong</v>
      </c>
    </row>
    <row r="3020" spans="1:19" x14ac:dyDescent="0.25">
      <c r="A3020">
        <v>3019</v>
      </c>
      <c r="B3020">
        <v>4</v>
      </c>
      <c r="C3020" t="s">
        <v>31</v>
      </c>
      <c r="D3020" t="s">
        <v>33</v>
      </c>
      <c r="E3020">
        <v>5700000</v>
      </c>
      <c r="F3020">
        <v>13900000</v>
      </c>
      <c r="G3020">
        <v>12</v>
      </c>
      <c r="H3020">
        <v>775</v>
      </c>
      <c r="I3020">
        <v>1600000</v>
      </c>
      <c r="J3020">
        <v>3100000</v>
      </c>
      <c r="K3020">
        <v>15900000</v>
      </c>
      <c r="L3020">
        <v>7100000</v>
      </c>
      <c r="M3020" t="s">
        <v>34</v>
      </c>
      <c r="N3020">
        <f t="shared" si="283"/>
        <v>1</v>
      </c>
      <c r="O3020" t="str">
        <f t="shared" si="282"/>
        <v>Excellent</v>
      </c>
      <c r="P3020" t="str">
        <f t="shared" si="284"/>
        <v>High</v>
      </c>
      <c r="Q3020" t="str">
        <f t="shared" si="285"/>
        <v>Low Loan</v>
      </c>
      <c r="R3020">
        <f t="shared" si="286"/>
        <v>27700000</v>
      </c>
      <c r="S3020" t="str">
        <f t="shared" si="287"/>
        <v>Strong</v>
      </c>
    </row>
    <row r="3021" spans="1:19" x14ac:dyDescent="0.25">
      <c r="A3021">
        <v>3020</v>
      </c>
      <c r="B3021">
        <v>4</v>
      </c>
      <c r="C3021" t="s">
        <v>31</v>
      </c>
      <c r="D3021" t="s">
        <v>32</v>
      </c>
      <c r="E3021">
        <v>300000</v>
      </c>
      <c r="F3021">
        <v>600000</v>
      </c>
      <c r="G3021">
        <v>6</v>
      </c>
      <c r="H3021">
        <v>365</v>
      </c>
      <c r="I3021">
        <v>-100000</v>
      </c>
      <c r="J3021">
        <v>400000</v>
      </c>
      <c r="K3021">
        <v>600000</v>
      </c>
      <c r="L3021">
        <v>200000</v>
      </c>
      <c r="M3021" t="s">
        <v>35</v>
      </c>
      <c r="N3021">
        <f t="shared" si="283"/>
        <v>0</v>
      </c>
      <c r="O3021" t="str">
        <f t="shared" si="282"/>
        <v>Low</v>
      </c>
      <c r="P3021" t="str">
        <f t="shared" si="284"/>
        <v>Middle</v>
      </c>
      <c r="Q3021" t="str">
        <f t="shared" si="285"/>
        <v>Low Loan</v>
      </c>
      <c r="R3021">
        <f t="shared" si="286"/>
        <v>1100000</v>
      </c>
      <c r="S3021" t="str">
        <f t="shared" si="287"/>
        <v>Weak</v>
      </c>
    </row>
    <row r="3022" spans="1:19" x14ac:dyDescent="0.25">
      <c r="A3022">
        <v>3021</v>
      </c>
      <c r="B3022">
        <v>2</v>
      </c>
      <c r="C3022" t="s">
        <v>31</v>
      </c>
      <c r="D3022" t="s">
        <v>33</v>
      </c>
      <c r="E3022">
        <v>1200000</v>
      </c>
      <c r="F3022">
        <v>4500000</v>
      </c>
      <c r="G3022">
        <v>10</v>
      </c>
      <c r="H3022">
        <v>555</v>
      </c>
      <c r="I3022">
        <v>100000</v>
      </c>
      <c r="J3022">
        <v>1100000</v>
      </c>
      <c r="K3022">
        <v>2700000</v>
      </c>
      <c r="L3022">
        <v>1400000</v>
      </c>
      <c r="M3022" t="s">
        <v>34</v>
      </c>
      <c r="N3022">
        <f t="shared" si="283"/>
        <v>1</v>
      </c>
      <c r="O3022" t="str">
        <f t="shared" si="282"/>
        <v>Low</v>
      </c>
      <c r="P3022" t="str">
        <f t="shared" si="284"/>
        <v>High</v>
      </c>
      <c r="Q3022" t="str">
        <f t="shared" si="285"/>
        <v>Low Loan</v>
      </c>
      <c r="R3022">
        <f t="shared" si="286"/>
        <v>5300000</v>
      </c>
      <c r="S3022" t="str">
        <f t="shared" si="287"/>
        <v>Moderate</v>
      </c>
    </row>
    <row r="3023" spans="1:19" x14ac:dyDescent="0.25">
      <c r="A3023">
        <v>3022</v>
      </c>
      <c r="B3023">
        <v>4</v>
      </c>
      <c r="C3023" t="s">
        <v>30</v>
      </c>
      <c r="D3023" t="s">
        <v>33</v>
      </c>
      <c r="E3023">
        <v>8200000</v>
      </c>
      <c r="F3023">
        <v>29600000</v>
      </c>
      <c r="G3023">
        <v>10</v>
      </c>
      <c r="H3023">
        <v>457</v>
      </c>
      <c r="I3023">
        <v>6700000</v>
      </c>
      <c r="J3023">
        <v>6700000</v>
      </c>
      <c r="K3023">
        <v>21400000</v>
      </c>
      <c r="L3023">
        <v>11000000</v>
      </c>
      <c r="M3023" t="s">
        <v>35</v>
      </c>
      <c r="N3023">
        <f t="shared" si="283"/>
        <v>0</v>
      </c>
      <c r="O3023" t="str">
        <f t="shared" si="282"/>
        <v>Low</v>
      </c>
      <c r="P3023" t="str">
        <f t="shared" si="284"/>
        <v>High</v>
      </c>
      <c r="Q3023" t="str">
        <f t="shared" si="285"/>
        <v>High Loan</v>
      </c>
      <c r="R3023">
        <f t="shared" si="286"/>
        <v>45800000</v>
      </c>
      <c r="S3023" t="str">
        <f t="shared" si="287"/>
        <v>Strong</v>
      </c>
    </row>
    <row r="3024" spans="1:19" x14ac:dyDescent="0.25">
      <c r="A3024">
        <v>3023</v>
      </c>
      <c r="B3024">
        <v>3</v>
      </c>
      <c r="C3024" t="s">
        <v>31</v>
      </c>
      <c r="D3024" t="s">
        <v>32</v>
      </c>
      <c r="E3024">
        <v>5500000</v>
      </c>
      <c r="F3024">
        <v>12400000</v>
      </c>
      <c r="G3024">
        <v>8</v>
      </c>
      <c r="H3024">
        <v>580</v>
      </c>
      <c r="I3024">
        <v>800000</v>
      </c>
      <c r="J3024">
        <v>900000</v>
      </c>
      <c r="K3024">
        <v>19300000</v>
      </c>
      <c r="L3024">
        <v>7300000</v>
      </c>
      <c r="M3024" t="s">
        <v>34</v>
      </c>
      <c r="N3024">
        <f t="shared" si="283"/>
        <v>1</v>
      </c>
      <c r="O3024" t="str">
        <f t="shared" si="282"/>
        <v>Low</v>
      </c>
      <c r="P3024" t="str">
        <f t="shared" si="284"/>
        <v>High</v>
      </c>
      <c r="Q3024" t="str">
        <f t="shared" si="285"/>
        <v>Low Loan</v>
      </c>
      <c r="R3024">
        <f t="shared" si="286"/>
        <v>28300000</v>
      </c>
      <c r="S3024" t="str">
        <f t="shared" si="287"/>
        <v>Strong</v>
      </c>
    </row>
    <row r="3025" spans="1:19" x14ac:dyDescent="0.25">
      <c r="A3025">
        <v>3024</v>
      </c>
      <c r="B3025">
        <v>4</v>
      </c>
      <c r="C3025" t="s">
        <v>31</v>
      </c>
      <c r="D3025" t="s">
        <v>32</v>
      </c>
      <c r="E3025">
        <v>1800000</v>
      </c>
      <c r="F3025">
        <v>7200000</v>
      </c>
      <c r="G3025">
        <v>20</v>
      </c>
      <c r="H3025">
        <v>496</v>
      </c>
      <c r="I3025">
        <v>3000000</v>
      </c>
      <c r="J3025">
        <v>1100000</v>
      </c>
      <c r="K3025">
        <v>7200000</v>
      </c>
      <c r="L3025">
        <v>2000000</v>
      </c>
      <c r="M3025" t="s">
        <v>35</v>
      </c>
      <c r="N3025">
        <f t="shared" si="283"/>
        <v>0</v>
      </c>
      <c r="O3025" t="str">
        <f t="shared" si="282"/>
        <v>Low</v>
      </c>
      <c r="P3025" t="str">
        <f t="shared" si="284"/>
        <v>High</v>
      </c>
      <c r="Q3025" t="str">
        <f t="shared" si="285"/>
        <v>Low Loan</v>
      </c>
      <c r="R3025">
        <f t="shared" si="286"/>
        <v>13300000</v>
      </c>
      <c r="S3025" t="str">
        <f t="shared" si="287"/>
        <v>Strong</v>
      </c>
    </row>
    <row r="3026" spans="1:19" x14ac:dyDescent="0.25">
      <c r="A3026">
        <v>3025</v>
      </c>
      <c r="B3026">
        <v>0</v>
      </c>
      <c r="C3026" t="s">
        <v>31</v>
      </c>
      <c r="D3026" t="s">
        <v>32</v>
      </c>
      <c r="E3026">
        <v>3500000</v>
      </c>
      <c r="F3026">
        <v>11400000</v>
      </c>
      <c r="G3026">
        <v>16</v>
      </c>
      <c r="H3026">
        <v>837</v>
      </c>
      <c r="I3026">
        <v>3700000</v>
      </c>
      <c r="J3026">
        <v>2100000</v>
      </c>
      <c r="K3026">
        <v>10000000</v>
      </c>
      <c r="L3026">
        <v>2700000</v>
      </c>
      <c r="M3026" t="s">
        <v>34</v>
      </c>
      <c r="N3026">
        <f t="shared" si="283"/>
        <v>1</v>
      </c>
      <c r="O3026" t="str">
        <f t="shared" si="282"/>
        <v>Excellent</v>
      </c>
      <c r="P3026" t="str">
        <f t="shared" si="284"/>
        <v>High</v>
      </c>
      <c r="Q3026" t="str">
        <f t="shared" si="285"/>
        <v>Low Loan</v>
      </c>
      <c r="R3026">
        <f t="shared" si="286"/>
        <v>18500000</v>
      </c>
      <c r="S3026" t="str">
        <f t="shared" si="287"/>
        <v>Strong</v>
      </c>
    </row>
    <row r="3027" spans="1:19" x14ac:dyDescent="0.25">
      <c r="A3027">
        <v>3026</v>
      </c>
      <c r="B3027">
        <v>4</v>
      </c>
      <c r="C3027" t="s">
        <v>31</v>
      </c>
      <c r="D3027" t="s">
        <v>33</v>
      </c>
      <c r="E3027">
        <v>6000000</v>
      </c>
      <c r="F3027">
        <v>13200000</v>
      </c>
      <c r="G3027">
        <v>6</v>
      </c>
      <c r="H3027">
        <v>455</v>
      </c>
      <c r="I3027">
        <v>7300000</v>
      </c>
      <c r="J3027">
        <v>5900000</v>
      </c>
      <c r="K3027">
        <v>16500000</v>
      </c>
      <c r="L3027">
        <v>7100000</v>
      </c>
      <c r="M3027" t="s">
        <v>35</v>
      </c>
      <c r="N3027">
        <f t="shared" si="283"/>
        <v>0</v>
      </c>
      <c r="O3027" t="str">
        <f t="shared" si="282"/>
        <v>Low</v>
      </c>
      <c r="P3027" t="str">
        <f t="shared" si="284"/>
        <v>High</v>
      </c>
      <c r="Q3027" t="str">
        <f t="shared" si="285"/>
        <v>Low Loan</v>
      </c>
      <c r="R3027">
        <f t="shared" si="286"/>
        <v>36800000</v>
      </c>
      <c r="S3027" t="str">
        <f t="shared" si="287"/>
        <v>Strong</v>
      </c>
    </row>
    <row r="3028" spans="1:19" x14ac:dyDescent="0.25">
      <c r="A3028">
        <v>3027</v>
      </c>
      <c r="B3028">
        <v>0</v>
      </c>
      <c r="C3028" t="s">
        <v>30</v>
      </c>
      <c r="D3028" t="s">
        <v>33</v>
      </c>
      <c r="E3028">
        <v>2700000</v>
      </c>
      <c r="F3028">
        <v>9700000</v>
      </c>
      <c r="G3028">
        <v>20</v>
      </c>
      <c r="H3028">
        <v>551</v>
      </c>
      <c r="I3028">
        <v>1300000</v>
      </c>
      <c r="J3028">
        <v>1300000</v>
      </c>
      <c r="K3028">
        <v>7100000</v>
      </c>
      <c r="L3028">
        <v>1600000</v>
      </c>
      <c r="M3028" t="s">
        <v>34</v>
      </c>
      <c r="N3028">
        <f t="shared" si="283"/>
        <v>1</v>
      </c>
      <c r="O3028" t="str">
        <f t="shared" si="282"/>
        <v>Low</v>
      </c>
      <c r="P3028" t="str">
        <f t="shared" si="284"/>
        <v>High</v>
      </c>
      <c r="Q3028" t="str">
        <f t="shared" si="285"/>
        <v>Low Loan</v>
      </c>
      <c r="R3028">
        <f t="shared" si="286"/>
        <v>11300000</v>
      </c>
      <c r="S3028" t="str">
        <f t="shared" si="287"/>
        <v>Strong</v>
      </c>
    </row>
    <row r="3029" spans="1:19" x14ac:dyDescent="0.25">
      <c r="A3029">
        <v>3028</v>
      </c>
      <c r="B3029">
        <v>4</v>
      </c>
      <c r="C3029" t="s">
        <v>31</v>
      </c>
      <c r="D3029" t="s">
        <v>33</v>
      </c>
      <c r="E3029">
        <v>5900000</v>
      </c>
      <c r="F3029">
        <v>20700000</v>
      </c>
      <c r="G3029">
        <v>10</v>
      </c>
      <c r="H3029">
        <v>825</v>
      </c>
      <c r="I3029">
        <v>11700000</v>
      </c>
      <c r="J3029">
        <v>7900000</v>
      </c>
      <c r="K3029">
        <v>21000000</v>
      </c>
      <c r="L3029">
        <v>8500000</v>
      </c>
      <c r="M3029" t="s">
        <v>34</v>
      </c>
      <c r="N3029">
        <f t="shared" si="283"/>
        <v>1</v>
      </c>
      <c r="O3029" t="str">
        <f t="shared" si="282"/>
        <v>Excellent</v>
      </c>
      <c r="P3029" t="str">
        <f t="shared" si="284"/>
        <v>High</v>
      </c>
      <c r="Q3029" t="str">
        <f t="shared" si="285"/>
        <v>High Loan</v>
      </c>
      <c r="R3029">
        <f t="shared" si="286"/>
        <v>49100000</v>
      </c>
      <c r="S3029" t="str">
        <f t="shared" si="287"/>
        <v>Strong</v>
      </c>
    </row>
    <row r="3030" spans="1:19" x14ac:dyDescent="0.25">
      <c r="A3030">
        <v>3029</v>
      </c>
      <c r="B3030">
        <v>1</v>
      </c>
      <c r="C3030" t="s">
        <v>31</v>
      </c>
      <c r="D3030" t="s">
        <v>33</v>
      </c>
      <c r="E3030">
        <v>2100000</v>
      </c>
      <c r="F3030">
        <v>4200000</v>
      </c>
      <c r="G3030">
        <v>18</v>
      </c>
      <c r="H3030">
        <v>554</v>
      </c>
      <c r="I3030">
        <v>3400000</v>
      </c>
      <c r="J3030">
        <v>800000</v>
      </c>
      <c r="K3030">
        <v>6400000</v>
      </c>
      <c r="L3030">
        <v>1500000</v>
      </c>
      <c r="M3030" t="s">
        <v>34</v>
      </c>
      <c r="N3030">
        <f t="shared" si="283"/>
        <v>1</v>
      </c>
      <c r="O3030" t="str">
        <f t="shared" si="282"/>
        <v>Low</v>
      </c>
      <c r="P3030" t="str">
        <f t="shared" si="284"/>
        <v>High</v>
      </c>
      <c r="Q3030" t="str">
        <f t="shared" si="285"/>
        <v>Low Loan</v>
      </c>
      <c r="R3030">
        <f t="shared" si="286"/>
        <v>12100000</v>
      </c>
      <c r="S3030" t="str">
        <f t="shared" si="287"/>
        <v>Strong</v>
      </c>
    </row>
    <row r="3031" spans="1:19" x14ac:dyDescent="0.25">
      <c r="A3031">
        <v>3030</v>
      </c>
      <c r="B3031">
        <v>0</v>
      </c>
      <c r="C3031" t="s">
        <v>31</v>
      </c>
      <c r="D3031" t="s">
        <v>33</v>
      </c>
      <c r="E3031">
        <v>2000000</v>
      </c>
      <c r="F3031">
        <v>5200000</v>
      </c>
      <c r="G3031">
        <v>18</v>
      </c>
      <c r="H3031">
        <v>400</v>
      </c>
      <c r="I3031">
        <v>1900000</v>
      </c>
      <c r="J3031">
        <v>1500000</v>
      </c>
      <c r="K3031">
        <v>5000000</v>
      </c>
      <c r="L3031">
        <v>1500000</v>
      </c>
      <c r="M3031" t="s">
        <v>35</v>
      </c>
      <c r="N3031">
        <f t="shared" si="283"/>
        <v>0</v>
      </c>
      <c r="O3031" t="str">
        <f t="shared" si="282"/>
        <v>Low</v>
      </c>
      <c r="P3031" t="str">
        <f t="shared" si="284"/>
        <v>High</v>
      </c>
      <c r="Q3031" t="str">
        <f t="shared" si="285"/>
        <v>Low Loan</v>
      </c>
      <c r="R3031">
        <f t="shared" si="286"/>
        <v>9900000</v>
      </c>
      <c r="S3031" t="str">
        <f t="shared" si="287"/>
        <v>Moderate</v>
      </c>
    </row>
    <row r="3032" spans="1:19" x14ac:dyDescent="0.25">
      <c r="A3032">
        <v>3031</v>
      </c>
      <c r="B3032">
        <v>5</v>
      </c>
      <c r="C3032" t="s">
        <v>31</v>
      </c>
      <c r="D3032" t="s">
        <v>32</v>
      </c>
      <c r="E3032">
        <v>9000000</v>
      </c>
      <c r="F3032">
        <v>34300000</v>
      </c>
      <c r="G3032">
        <v>10</v>
      </c>
      <c r="H3032">
        <v>853</v>
      </c>
      <c r="I3032">
        <v>22500000</v>
      </c>
      <c r="J3032">
        <v>11900000</v>
      </c>
      <c r="K3032">
        <v>32200000</v>
      </c>
      <c r="L3032">
        <v>10100000</v>
      </c>
      <c r="M3032" t="s">
        <v>34</v>
      </c>
      <c r="N3032">
        <f t="shared" si="283"/>
        <v>1</v>
      </c>
      <c r="O3032" t="str">
        <f t="shared" si="282"/>
        <v>Excellent</v>
      </c>
      <c r="P3032" t="str">
        <f t="shared" si="284"/>
        <v>High</v>
      </c>
      <c r="Q3032" t="str">
        <f t="shared" si="285"/>
        <v>High Loan</v>
      </c>
      <c r="R3032">
        <f t="shared" si="286"/>
        <v>76700000</v>
      </c>
      <c r="S3032" t="str">
        <f t="shared" si="287"/>
        <v>Strong</v>
      </c>
    </row>
    <row r="3033" spans="1:19" x14ac:dyDescent="0.25">
      <c r="A3033">
        <v>3032</v>
      </c>
      <c r="B3033">
        <v>1</v>
      </c>
      <c r="C3033" t="s">
        <v>31</v>
      </c>
      <c r="D3033" t="s">
        <v>33</v>
      </c>
      <c r="E3033">
        <v>7600000</v>
      </c>
      <c r="F3033">
        <v>18800000</v>
      </c>
      <c r="G3033">
        <v>14</v>
      </c>
      <c r="H3033">
        <v>403</v>
      </c>
      <c r="I3033">
        <v>20900000</v>
      </c>
      <c r="J3033">
        <v>4700000</v>
      </c>
      <c r="K3033">
        <v>24700000</v>
      </c>
      <c r="L3033">
        <v>10000000</v>
      </c>
      <c r="M3033" t="s">
        <v>35</v>
      </c>
      <c r="N3033">
        <f t="shared" si="283"/>
        <v>0</v>
      </c>
      <c r="O3033" t="str">
        <f t="shared" si="282"/>
        <v>Low</v>
      </c>
      <c r="P3033" t="str">
        <f t="shared" si="284"/>
        <v>High</v>
      </c>
      <c r="Q3033" t="str">
        <f t="shared" si="285"/>
        <v>Low Loan</v>
      </c>
      <c r="R3033">
        <f t="shared" si="286"/>
        <v>60300000</v>
      </c>
      <c r="S3033" t="str">
        <f t="shared" si="287"/>
        <v>Strong</v>
      </c>
    </row>
    <row r="3034" spans="1:19" x14ac:dyDescent="0.25">
      <c r="A3034">
        <v>3033</v>
      </c>
      <c r="B3034">
        <v>3</v>
      </c>
      <c r="C3034" t="s">
        <v>30</v>
      </c>
      <c r="D3034" t="s">
        <v>32</v>
      </c>
      <c r="E3034">
        <v>500000</v>
      </c>
      <c r="F3034">
        <v>1500000</v>
      </c>
      <c r="G3034">
        <v>6</v>
      </c>
      <c r="H3034">
        <v>392</v>
      </c>
      <c r="I3034">
        <v>1400000</v>
      </c>
      <c r="J3034">
        <v>200000</v>
      </c>
      <c r="K3034">
        <v>1800000</v>
      </c>
      <c r="L3034">
        <v>600000</v>
      </c>
      <c r="M3034" t="s">
        <v>35</v>
      </c>
      <c r="N3034">
        <f t="shared" si="283"/>
        <v>0</v>
      </c>
      <c r="O3034" t="str">
        <f t="shared" si="282"/>
        <v>Low</v>
      </c>
      <c r="P3034" t="str">
        <f t="shared" si="284"/>
        <v>Middle</v>
      </c>
      <c r="Q3034" t="str">
        <f t="shared" si="285"/>
        <v>Low Loan</v>
      </c>
      <c r="R3034">
        <f t="shared" si="286"/>
        <v>4000000</v>
      </c>
      <c r="S3034" t="str">
        <f t="shared" si="287"/>
        <v>Weak</v>
      </c>
    </row>
    <row r="3035" spans="1:19" x14ac:dyDescent="0.25">
      <c r="A3035">
        <v>3034</v>
      </c>
      <c r="B3035">
        <v>1</v>
      </c>
      <c r="C3035" t="s">
        <v>30</v>
      </c>
      <c r="D3035" t="s">
        <v>32</v>
      </c>
      <c r="E3035">
        <v>6300000</v>
      </c>
      <c r="F3035">
        <v>19000000</v>
      </c>
      <c r="G3035">
        <v>20</v>
      </c>
      <c r="H3035">
        <v>673</v>
      </c>
      <c r="I3035">
        <v>14600000</v>
      </c>
      <c r="J3035">
        <v>8100000</v>
      </c>
      <c r="K3035">
        <v>16000000</v>
      </c>
      <c r="L3035">
        <v>4200000</v>
      </c>
      <c r="M3035" t="s">
        <v>34</v>
      </c>
      <c r="N3035">
        <f t="shared" si="283"/>
        <v>1</v>
      </c>
      <c r="O3035" t="str">
        <f t="shared" si="282"/>
        <v>Medium</v>
      </c>
      <c r="P3035" t="str">
        <f t="shared" si="284"/>
        <v>High</v>
      </c>
      <c r="Q3035" t="str">
        <f t="shared" si="285"/>
        <v>Low Loan</v>
      </c>
      <c r="R3035">
        <f t="shared" si="286"/>
        <v>42900000</v>
      </c>
      <c r="S3035" t="str">
        <f t="shared" si="287"/>
        <v>Strong</v>
      </c>
    </row>
    <row r="3036" spans="1:19" x14ac:dyDescent="0.25">
      <c r="A3036">
        <v>3035</v>
      </c>
      <c r="B3036">
        <v>0</v>
      </c>
      <c r="C3036" t="s">
        <v>30</v>
      </c>
      <c r="D3036" t="s">
        <v>33</v>
      </c>
      <c r="E3036">
        <v>3100000</v>
      </c>
      <c r="F3036">
        <v>7100000</v>
      </c>
      <c r="G3036">
        <v>10</v>
      </c>
      <c r="H3036">
        <v>498</v>
      </c>
      <c r="I3036">
        <v>3800000</v>
      </c>
      <c r="J3036">
        <v>1100000</v>
      </c>
      <c r="K3036">
        <v>12200000</v>
      </c>
      <c r="L3036">
        <v>4300000</v>
      </c>
      <c r="M3036" t="s">
        <v>35</v>
      </c>
      <c r="N3036">
        <f t="shared" si="283"/>
        <v>0</v>
      </c>
      <c r="O3036" t="str">
        <f t="shared" si="282"/>
        <v>Low</v>
      </c>
      <c r="P3036" t="str">
        <f t="shared" si="284"/>
        <v>High</v>
      </c>
      <c r="Q3036" t="str">
        <f t="shared" si="285"/>
        <v>Low Loan</v>
      </c>
      <c r="R3036">
        <f t="shared" si="286"/>
        <v>21400000</v>
      </c>
      <c r="S3036" t="str">
        <f t="shared" si="287"/>
        <v>Strong</v>
      </c>
    </row>
    <row r="3037" spans="1:19" x14ac:dyDescent="0.25">
      <c r="A3037">
        <v>3036</v>
      </c>
      <c r="B3037">
        <v>1</v>
      </c>
      <c r="C3037" t="s">
        <v>31</v>
      </c>
      <c r="D3037" t="s">
        <v>32</v>
      </c>
      <c r="E3037">
        <v>1100000</v>
      </c>
      <c r="F3037">
        <v>2600000</v>
      </c>
      <c r="G3037">
        <v>6</v>
      </c>
      <c r="H3037">
        <v>858</v>
      </c>
      <c r="I3037">
        <v>1800000</v>
      </c>
      <c r="J3037">
        <v>1900000</v>
      </c>
      <c r="K3037">
        <v>2700000</v>
      </c>
      <c r="L3037">
        <v>600000</v>
      </c>
      <c r="M3037" t="s">
        <v>34</v>
      </c>
      <c r="N3037">
        <f t="shared" si="283"/>
        <v>1</v>
      </c>
      <c r="O3037" t="str">
        <f t="shared" si="282"/>
        <v>Excellent</v>
      </c>
      <c r="P3037" t="str">
        <f t="shared" si="284"/>
        <v>High</v>
      </c>
      <c r="Q3037" t="str">
        <f t="shared" si="285"/>
        <v>Low Loan</v>
      </c>
      <c r="R3037">
        <f t="shared" si="286"/>
        <v>7000000</v>
      </c>
      <c r="S3037" t="str">
        <f t="shared" si="287"/>
        <v>Moderate</v>
      </c>
    </row>
    <row r="3038" spans="1:19" x14ac:dyDescent="0.25">
      <c r="A3038">
        <v>3037</v>
      </c>
      <c r="B3038">
        <v>4</v>
      </c>
      <c r="C3038" t="s">
        <v>30</v>
      </c>
      <c r="D3038" t="s">
        <v>33</v>
      </c>
      <c r="E3038">
        <v>3900000</v>
      </c>
      <c r="F3038">
        <v>14300000</v>
      </c>
      <c r="G3038">
        <v>20</v>
      </c>
      <c r="H3038">
        <v>477</v>
      </c>
      <c r="I3038">
        <v>1000000</v>
      </c>
      <c r="J3038">
        <v>4600000</v>
      </c>
      <c r="K3038">
        <v>9100000</v>
      </c>
      <c r="L3038">
        <v>2900000</v>
      </c>
      <c r="M3038" t="s">
        <v>35</v>
      </c>
      <c r="N3038">
        <f t="shared" si="283"/>
        <v>0</v>
      </c>
      <c r="O3038" t="str">
        <f t="shared" si="282"/>
        <v>Low</v>
      </c>
      <c r="P3038" t="str">
        <f t="shared" si="284"/>
        <v>High</v>
      </c>
      <c r="Q3038" t="str">
        <f t="shared" si="285"/>
        <v>Low Loan</v>
      </c>
      <c r="R3038">
        <f t="shared" si="286"/>
        <v>17600000</v>
      </c>
      <c r="S3038" t="str">
        <f t="shared" si="287"/>
        <v>Strong</v>
      </c>
    </row>
    <row r="3039" spans="1:19" x14ac:dyDescent="0.25">
      <c r="A3039">
        <v>3038</v>
      </c>
      <c r="B3039">
        <v>4</v>
      </c>
      <c r="C3039" t="s">
        <v>31</v>
      </c>
      <c r="D3039" t="s">
        <v>33</v>
      </c>
      <c r="E3039">
        <v>8700000</v>
      </c>
      <c r="F3039">
        <v>28200000</v>
      </c>
      <c r="G3039">
        <v>12</v>
      </c>
      <c r="H3039">
        <v>548</v>
      </c>
      <c r="I3039">
        <v>11800000</v>
      </c>
      <c r="J3039">
        <v>9900000</v>
      </c>
      <c r="K3039">
        <v>19800000</v>
      </c>
      <c r="L3039">
        <v>8500000</v>
      </c>
      <c r="M3039" t="s">
        <v>35</v>
      </c>
      <c r="N3039">
        <f t="shared" si="283"/>
        <v>0</v>
      </c>
      <c r="O3039" t="str">
        <f t="shared" si="282"/>
        <v>Low</v>
      </c>
      <c r="P3039" t="str">
        <f t="shared" si="284"/>
        <v>High</v>
      </c>
      <c r="Q3039" t="str">
        <f t="shared" si="285"/>
        <v>High Loan</v>
      </c>
      <c r="R3039">
        <f t="shared" si="286"/>
        <v>50000000</v>
      </c>
      <c r="S3039" t="str">
        <f t="shared" si="287"/>
        <v>Strong</v>
      </c>
    </row>
    <row r="3040" spans="1:19" x14ac:dyDescent="0.25">
      <c r="A3040">
        <v>3039</v>
      </c>
      <c r="B3040">
        <v>4</v>
      </c>
      <c r="C3040" t="s">
        <v>31</v>
      </c>
      <c r="D3040" t="s">
        <v>33</v>
      </c>
      <c r="E3040">
        <v>6400000</v>
      </c>
      <c r="F3040">
        <v>23900000</v>
      </c>
      <c r="G3040">
        <v>6</v>
      </c>
      <c r="H3040">
        <v>300</v>
      </c>
      <c r="I3040">
        <v>16200000</v>
      </c>
      <c r="J3040">
        <v>11600000</v>
      </c>
      <c r="K3040">
        <v>24900000</v>
      </c>
      <c r="L3040">
        <v>7000000</v>
      </c>
      <c r="M3040" t="s">
        <v>35</v>
      </c>
      <c r="N3040">
        <f t="shared" si="283"/>
        <v>0</v>
      </c>
      <c r="O3040" t="str">
        <f t="shared" si="282"/>
        <v>Low</v>
      </c>
      <c r="P3040" t="str">
        <f t="shared" si="284"/>
        <v>High</v>
      </c>
      <c r="Q3040" t="str">
        <f t="shared" si="285"/>
        <v>High Loan</v>
      </c>
      <c r="R3040">
        <f t="shared" si="286"/>
        <v>59700000</v>
      </c>
      <c r="S3040" t="str">
        <f t="shared" si="287"/>
        <v>Strong</v>
      </c>
    </row>
    <row r="3041" spans="1:19" x14ac:dyDescent="0.25">
      <c r="A3041">
        <v>3040</v>
      </c>
      <c r="B3041">
        <v>2</v>
      </c>
      <c r="C3041" t="s">
        <v>30</v>
      </c>
      <c r="D3041" t="s">
        <v>33</v>
      </c>
      <c r="E3041">
        <v>200000</v>
      </c>
      <c r="F3041">
        <v>800000</v>
      </c>
      <c r="G3041">
        <v>12</v>
      </c>
      <c r="H3041">
        <v>483</v>
      </c>
      <c r="I3041">
        <v>100000</v>
      </c>
      <c r="J3041">
        <v>200000</v>
      </c>
      <c r="K3041">
        <v>600000</v>
      </c>
      <c r="L3041">
        <v>300000</v>
      </c>
      <c r="M3041" t="s">
        <v>35</v>
      </c>
      <c r="N3041">
        <f t="shared" si="283"/>
        <v>0</v>
      </c>
      <c r="O3041" t="str">
        <f t="shared" si="282"/>
        <v>Low</v>
      </c>
      <c r="P3041" t="str">
        <f t="shared" si="284"/>
        <v>Low</v>
      </c>
      <c r="Q3041" t="str">
        <f t="shared" si="285"/>
        <v>Low Loan</v>
      </c>
      <c r="R3041">
        <f t="shared" si="286"/>
        <v>1200000</v>
      </c>
      <c r="S3041" t="str">
        <f t="shared" si="287"/>
        <v>Weak</v>
      </c>
    </row>
    <row r="3042" spans="1:19" x14ac:dyDescent="0.25">
      <c r="A3042">
        <v>3041</v>
      </c>
      <c r="B3042">
        <v>1</v>
      </c>
      <c r="C3042" t="s">
        <v>30</v>
      </c>
      <c r="D3042" t="s">
        <v>32</v>
      </c>
      <c r="E3042">
        <v>2400000</v>
      </c>
      <c r="F3042">
        <v>5800000</v>
      </c>
      <c r="G3042">
        <v>20</v>
      </c>
      <c r="H3042">
        <v>384</v>
      </c>
      <c r="I3042">
        <v>1700000</v>
      </c>
      <c r="J3042">
        <v>2500000</v>
      </c>
      <c r="K3042">
        <v>8400000</v>
      </c>
      <c r="L3042">
        <v>3100000</v>
      </c>
      <c r="M3042" t="s">
        <v>35</v>
      </c>
      <c r="N3042">
        <f t="shared" si="283"/>
        <v>0</v>
      </c>
      <c r="O3042" t="str">
        <f t="shared" si="282"/>
        <v>Low</v>
      </c>
      <c r="P3042" t="str">
        <f t="shared" si="284"/>
        <v>High</v>
      </c>
      <c r="Q3042" t="str">
        <f t="shared" si="285"/>
        <v>Low Loan</v>
      </c>
      <c r="R3042">
        <f t="shared" si="286"/>
        <v>15700000</v>
      </c>
      <c r="S3042" t="str">
        <f t="shared" si="287"/>
        <v>Strong</v>
      </c>
    </row>
    <row r="3043" spans="1:19" x14ac:dyDescent="0.25">
      <c r="A3043">
        <v>3042</v>
      </c>
      <c r="B3043">
        <v>3</v>
      </c>
      <c r="C3043" t="s">
        <v>31</v>
      </c>
      <c r="D3043" t="s">
        <v>32</v>
      </c>
      <c r="E3043">
        <v>8900000</v>
      </c>
      <c r="F3043">
        <v>35200000</v>
      </c>
      <c r="G3043">
        <v>10</v>
      </c>
      <c r="H3043">
        <v>894</v>
      </c>
      <c r="I3043">
        <v>17100000</v>
      </c>
      <c r="J3043">
        <v>5600000</v>
      </c>
      <c r="K3043">
        <v>27700000</v>
      </c>
      <c r="L3043">
        <v>9800000</v>
      </c>
      <c r="M3043" t="s">
        <v>34</v>
      </c>
      <c r="N3043">
        <f t="shared" si="283"/>
        <v>1</v>
      </c>
      <c r="O3043" t="str">
        <f t="shared" si="282"/>
        <v>Excellent</v>
      </c>
      <c r="P3043" t="str">
        <f t="shared" si="284"/>
        <v>High</v>
      </c>
      <c r="Q3043" t="str">
        <f t="shared" si="285"/>
        <v>High Loan</v>
      </c>
      <c r="R3043">
        <f t="shared" si="286"/>
        <v>60200000</v>
      </c>
      <c r="S3043" t="str">
        <f t="shared" si="287"/>
        <v>Strong</v>
      </c>
    </row>
    <row r="3044" spans="1:19" x14ac:dyDescent="0.25">
      <c r="A3044">
        <v>3043</v>
      </c>
      <c r="B3044">
        <v>3</v>
      </c>
      <c r="C3044" t="s">
        <v>31</v>
      </c>
      <c r="D3044" t="s">
        <v>32</v>
      </c>
      <c r="E3044">
        <v>6100000</v>
      </c>
      <c r="F3044">
        <v>14800000</v>
      </c>
      <c r="G3044">
        <v>10</v>
      </c>
      <c r="H3044">
        <v>492</v>
      </c>
      <c r="I3044">
        <v>6700000</v>
      </c>
      <c r="J3044">
        <v>3500000</v>
      </c>
      <c r="K3044">
        <v>17900000</v>
      </c>
      <c r="L3044">
        <v>6100000</v>
      </c>
      <c r="M3044" t="s">
        <v>35</v>
      </c>
      <c r="N3044">
        <f t="shared" si="283"/>
        <v>0</v>
      </c>
      <c r="O3044" t="str">
        <f t="shared" si="282"/>
        <v>Low</v>
      </c>
      <c r="P3044" t="str">
        <f t="shared" si="284"/>
        <v>High</v>
      </c>
      <c r="Q3044" t="str">
        <f t="shared" si="285"/>
        <v>Low Loan</v>
      </c>
      <c r="R3044">
        <f t="shared" si="286"/>
        <v>34200000</v>
      </c>
      <c r="S3044" t="str">
        <f t="shared" si="287"/>
        <v>Strong</v>
      </c>
    </row>
    <row r="3045" spans="1:19" x14ac:dyDescent="0.25">
      <c r="A3045">
        <v>3044</v>
      </c>
      <c r="B3045">
        <v>5</v>
      </c>
      <c r="C3045" t="s">
        <v>31</v>
      </c>
      <c r="D3045" t="s">
        <v>33</v>
      </c>
      <c r="E3045">
        <v>7600000</v>
      </c>
      <c r="F3045">
        <v>25700000</v>
      </c>
      <c r="G3045">
        <v>4</v>
      </c>
      <c r="H3045">
        <v>607</v>
      </c>
      <c r="I3045">
        <v>12900000</v>
      </c>
      <c r="J3045">
        <v>13600000</v>
      </c>
      <c r="K3045">
        <v>29100000</v>
      </c>
      <c r="L3045">
        <v>4900000</v>
      </c>
      <c r="M3045" t="s">
        <v>34</v>
      </c>
      <c r="N3045">
        <f t="shared" si="283"/>
        <v>1</v>
      </c>
      <c r="O3045" t="str">
        <f t="shared" si="282"/>
        <v>Low</v>
      </c>
      <c r="P3045" t="str">
        <f t="shared" si="284"/>
        <v>High</v>
      </c>
      <c r="Q3045" t="str">
        <f t="shared" si="285"/>
        <v>High Loan</v>
      </c>
      <c r="R3045">
        <f t="shared" si="286"/>
        <v>60500000</v>
      </c>
      <c r="S3045" t="str">
        <f t="shared" si="287"/>
        <v>Strong</v>
      </c>
    </row>
    <row r="3046" spans="1:19" x14ac:dyDescent="0.25">
      <c r="A3046">
        <v>3045</v>
      </c>
      <c r="B3046">
        <v>3</v>
      </c>
      <c r="C3046" t="s">
        <v>31</v>
      </c>
      <c r="D3046" t="s">
        <v>32</v>
      </c>
      <c r="E3046">
        <v>900000</v>
      </c>
      <c r="F3046">
        <v>2400000</v>
      </c>
      <c r="G3046">
        <v>16</v>
      </c>
      <c r="H3046">
        <v>701</v>
      </c>
      <c r="I3046">
        <v>700000</v>
      </c>
      <c r="J3046">
        <v>0</v>
      </c>
      <c r="K3046">
        <v>2000000</v>
      </c>
      <c r="L3046">
        <v>400000</v>
      </c>
      <c r="M3046" t="s">
        <v>34</v>
      </c>
      <c r="N3046">
        <f t="shared" si="283"/>
        <v>1</v>
      </c>
      <c r="O3046" t="str">
        <f t="shared" si="282"/>
        <v>Good</v>
      </c>
      <c r="P3046" t="str">
        <f t="shared" si="284"/>
        <v>High</v>
      </c>
      <c r="Q3046" t="str">
        <f t="shared" si="285"/>
        <v>Low Loan</v>
      </c>
      <c r="R3046">
        <f t="shared" si="286"/>
        <v>3100000</v>
      </c>
      <c r="S3046" t="str">
        <f t="shared" si="287"/>
        <v>Weak</v>
      </c>
    </row>
    <row r="3047" spans="1:19" x14ac:dyDescent="0.25">
      <c r="A3047">
        <v>3046</v>
      </c>
      <c r="B3047">
        <v>2</v>
      </c>
      <c r="C3047" t="s">
        <v>31</v>
      </c>
      <c r="D3047" t="s">
        <v>33</v>
      </c>
      <c r="E3047">
        <v>7100000</v>
      </c>
      <c r="F3047">
        <v>19700000</v>
      </c>
      <c r="G3047">
        <v>20</v>
      </c>
      <c r="H3047">
        <v>890</v>
      </c>
      <c r="I3047">
        <v>13900000</v>
      </c>
      <c r="J3047">
        <v>3900000</v>
      </c>
      <c r="K3047">
        <v>22200000</v>
      </c>
      <c r="L3047">
        <v>4000000</v>
      </c>
      <c r="M3047" t="s">
        <v>34</v>
      </c>
      <c r="N3047">
        <f t="shared" si="283"/>
        <v>1</v>
      </c>
      <c r="O3047" t="str">
        <f t="shared" si="282"/>
        <v>Excellent</v>
      </c>
      <c r="P3047" t="str">
        <f t="shared" si="284"/>
        <v>High</v>
      </c>
      <c r="Q3047" t="str">
        <f t="shared" si="285"/>
        <v>Low Loan</v>
      </c>
      <c r="R3047">
        <f t="shared" si="286"/>
        <v>44000000</v>
      </c>
      <c r="S3047" t="str">
        <f t="shared" si="287"/>
        <v>Strong</v>
      </c>
    </row>
    <row r="3048" spans="1:19" x14ac:dyDescent="0.25">
      <c r="A3048">
        <v>3047</v>
      </c>
      <c r="B3048">
        <v>2</v>
      </c>
      <c r="C3048" t="s">
        <v>31</v>
      </c>
      <c r="D3048" t="s">
        <v>33</v>
      </c>
      <c r="E3048">
        <v>5000000</v>
      </c>
      <c r="F3048">
        <v>14600000</v>
      </c>
      <c r="G3048">
        <v>10</v>
      </c>
      <c r="H3048">
        <v>808</v>
      </c>
      <c r="I3048">
        <v>4400000</v>
      </c>
      <c r="J3048">
        <v>3500000</v>
      </c>
      <c r="K3048">
        <v>17300000</v>
      </c>
      <c r="L3048">
        <v>3100000</v>
      </c>
      <c r="M3048" t="s">
        <v>34</v>
      </c>
      <c r="N3048">
        <f t="shared" si="283"/>
        <v>1</v>
      </c>
      <c r="O3048" t="str">
        <f t="shared" si="282"/>
        <v>Excellent</v>
      </c>
      <c r="P3048" t="str">
        <f t="shared" si="284"/>
        <v>High</v>
      </c>
      <c r="Q3048" t="str">
        <f t="shared" si="285"/>
        <v>Low Loan</v>
      </c>
      <c r="R3048">
        <f t="shared" si="286"/>
        <v>28300000</v>
      </c>
      <c r="S3048" t="str">
        <f t="shared" si="287"/>
        <v>Strong</v>
      </c>
    </row>
    <row r="3049" spans="1:19" x14ac:dyDescent="0.25">
      <c r="A3049">
        <v>3048</v>
      </c>
      <c r="B3049">
        <v>4</v>
      </c>
      <c r="C3049" t="s">
        <v>30</v>
      </c>
      <c r="D3049" t="s">
        <v>33</v>
      </c>
      <c r="E3049">
        <v>2000000</v>
      </c>
      <c r="F3049">
        <v>7400000</v>
      </c>
      <c r="G3049">
        <v>20</v>
      </c>
      <c r="H3049">
        <v>596</v>
      </c>
      <c r="I3049">
        <v>600000</v>
      </c>
      <c r="J3049">
        <v>2300000</v>
      </c>
      <c r="K3049">
        <v>4900000</v>
      </c>
      <c r="L3049">
        <v>2500000</v>
      </c>
      <c r="M3049" t="s">
        <v>34</v>
      </c>
      <c r="N3049">
        <f t="shared" si="283"/>
        <v>1</v>
      </c>
      <c r="O3049" t="str">
        <f t="shared" si="282"/>
        <v>Low</v>
      </c>
      <c r="P3049" t="str">
        <f t="shared" si="284"/>
        <v>High</v>
      </c>
      <c r="Q3049" t="str">
        <f t="shared" si="285"/>
        <v>Low Loan</v>
      </c>
      <c r="R3049">
        <f t="shared" si="286"/>
        <v>10300000</v>
      </c>
      <c r="S3049" t="str">
        <f t="shared" si="287"/>
        <v>Strong</v>
      </c>
    </row>
    <row r="3050" spans="1:19" x14ac:dyDescent="0.25">
      <c r="A3050">
        <v>3049</v>
      </c>
      <c r="B3050">
        <v>4</v>
      </c>
      <c r="C3050" t="s">
        <v>30</v>
      </c>
      <c r="D3050" t="s">
        <v>33</v>
      </c>
      <c r="E3050">
        <v>2600000</v>
      </c>
      <c r="F3050">
        <v>6200000</v>
      </c>
      <c r="G3050">
        <v>14</v>
      </c>
      <c r="H3050">
        <v>421</v>
      </c>
      <c r="I3050">
        <v>2500000</v>
      </c>
      <c r="J3050">
        <v>2200000</v>
      </c>
      <c r="K3050">
        <v>8900000</v>
      </c>
      <c r="L3050">
        <v>3400000</v>
      </c>
      <c r="M3050" t="s">
        <v>35</v>
      </c>
      <c r="N3050">
        <f t="shared" si="283"/>
        <v>0</v>
      </c>
      <c r="O3050" t="str">
        <f t="shared" si="282"/>
        <v>Low</v>
      </c>
      <c r="P3050" t="str">
        <f t="shared" si="284"/>
        <v>High</v>
      </c>
      <c r="Q3050" t="str">
        <f t="shared" si="285"/>
        <v>Low Loan</v>
      </c>
      <c r="R3050">
        <f t="shared" si="286"/>
        <v>17000000</v>
      </c>
      <c r="S3050" t="str">
        <f t="shared" si="287"/>
        <v>Strong</v>
      </c>
    </row>
    <row r="3051" spans="1:19" x14ac:dyDescent="0.25">
      <c r="A3051">
        <v>3050</v>
      </c>
      <c r="B3051">
        <v>2</v>
      </c>
      <c r="C3051" t="s">
        <v>30</v>
      </c>
      <c r="D3051" t="s">
        <v>33</v>
      </c>
      <c r="E3051">
        <v>7000000</v>
      </c>
      <c r="F3051">
        <v>14900000</v>
      </c>
      <c r="G3051">
        <v>20</v>
      </c>
      <c r="H3051">
        <v>495</v>
      </c>
      <c r="I3051">
        <v>9900000</v>
      </c>
      <c r="J3051">
        <v>8800000</v>
      </c>
      <c r="K3051">
        <v>14000000</v>
      </c>
      <c r="L3051">
        <v>10200000</v>
      </c>
      <c r="M3051" t="s">
        <v>35</v>
      </c>
      <c r="N3051">
        <f t="shared" si="283"/>
        <v>0</v>
      </c>
      <c r="O3051" t="str">
        <f t="shared" si="282"/>
        <v>Low</v>
      </c>
      <c r="P3051" t="str">
        <f t="shared" si="284"/>
        <v>High</v>
      </c>
      <c r="Q3051" t="str">
        <f t="shared" si="285"/>
        <v>Low Loan</v>
      </c>
      <c r="R3051">
        <f t="shared" si="286"/>
        <v>42900000</v>
      </c>
      <c r="S3051" t="str">
        <f t="shared" si="287"/>
        <v>Strong</v>
      </c>
    </row>
    <row r="3052" spans="1:19" x14ac:dyDescent="0.25">
      <c r="A3052">
        <v>3051</v>
      </c>
      <c r="B3052">
        <v>3</v>
      </c>
      <c r="C3052" t="s">
        <v>30</v>
      </c>
      <c r="D3052" t="s">
        <v>32</v>
      </c>
      <c r="E3052">
        <v>3900000</v>
      </c>
      <c r="F3052">
        <v>9800000</v>
      </c>
      <c r="G3052">
        <v>6</v>
      </c>
      <c r="H3052">
        <v>604</v>
      </c>
      <c r="I3052">
        <v>10900000</v>
      </c>
      <c r="J3052">
        <v>7300000</v>
      </c>
      <c r="K3052">
        <v>7700000</v>
      </c>
      <c r="L3052">
        <v>3300000</v>
      </c>
      <c r="M3052" t="s">
        <v>34</v>
      </c>
      <c r="N3052">
        <f t="shared" si="283"/>
        <v>1</v>
      </c>
      <c r="O3052" t="str">
        <f t="shared" si="282"/>
        <v>Low</v>
      </c>
      <c r="P3052" t="str">
        <f t="shared" si="284"/>
        <v>High</v>
      </c>
      <c r="Q3052" t="str">
        <f t="shared" si="285"/>
        <v>Low Loan</v>
      </c>
      <c r="R3052">
        <f t="shared" si="286"/>
        <v>29200000</v>
      </c>
      <c r="S3052" t="str">
        <f t="shared" si="287"/>
        <v>Strong</v>
      </c>
    </row>
    <row r="3053" spans="1:19" x14ac:dyDescent="0.25">
      <c r="A3053">
        <v>3052</v>
      </c>
      <c r="B3053">
        <v>3</v>
      </c>
      <c r="C3053" t="s">
        <v>30</v>
      </c>
      <c r="D3053" t="s">
        <v>32</v>
      </c>
      <c r="E3053">
        <v>8400000</v>
      </c>
      <c r="F3053">
        <v>32600000</v>
      </c>
      <c r="G3053">
        <v>4</v>
      </c>
      <c r="H3053">
        <v>509</v>
      </c>
      <c r="I3053">
        <v>22700000</v>
      </c>
      <c r="J3053">
        <v>12600000</v>
      </c>
      <c r="K3053">
        <v>32400000</v>
      </c>
      <c r="L3053">
        <v>8700000</v>
      </c>
      <c r="M3053" t="s">
        <v>34</v>
      </c>
      <c r="N3053">
        <f t="shared" si="283"/>
        <v>1</v>
      </c>
      <c r="O3053" t="str">
        <f t="shared" si="282"/>
        <v>Low</v>
      </c>
      <c r="P3053" t="str">
        <f t="shared" si="284"/>
        <v>High</v>
      </c>
      <c r="Q3053" t="str">
        <f t="shared" si="285"/>
        <v>High Loan</v>
      </c>
      <c r="R3053">
        <f t="shared" si="286"/>
        <v>76400000</v>
      </c>
      <c r="S3053" t="str">
        <f t="shared" si="287"/>
        <v>Strong</v>
      </c>
    </row>
    <row r="3054" spans="1:19" x14ac:dyDescent="0.25">
      <c r="A3054">
        <v>3053</v>
      </c>
      <c r="B3054">
        <v>0</v>
      </c>
      <c r="C3054" t="s">
        <v>30</v>
      </c>
      <c r="D3054" t="s">
        <v>33</v>
      </c>
      <c r="E3054">
        <v>200000</v>
      </c>
      <c r="F3054">
        <v>600000</v>
      </c>
      <c r="G3054">
        <v>8</v>
      </c>
      <c r="H3054">
        <v>852</v>
      </c>
      <c r="I3054">
        <v>500000</v>
      </c>
      <c r="J3054">
        <v>0</v>
      </c>
      <c r="K3054">
        <v>400000</v>
      </c>
      <c r="L3054">
        <v>200000</v>
      </c>
      <c r="M3054" t="s">
        <v>34</v>
      </c>
      <c r="N3054">
        <f t="shared" si="283"/>
        <v>1</v>
      </c>
      <c r="O3054" t="str">
        <f t="shared" si="282"/>
        <v>Excellent</v>
      </c>
      <c r="P3054" t="str">
        <f t="shared" si="284"/>
        <v>Low</v>
      </c>
      <c r="Q3054" t="str">
        <f t="shared" si="285"/>
        <v>Low Loan</v>
      </c>
      <c r="R3054">
        <f t="shared" si="286"/>
        <v>1100000</v>
      </c>
      <c r="S3054" t="str">
        <f t="shared" si="287"/>
        <v>Weak</v>
      </c>
    </row>
    <row r="3055" spans="1:19" x14ac:dyDescent="0.25">
      <c r="A3055">
        <v>3054</v>
      </c>
      <c r="B3055">
        <v>2</v>
      </c>
      <c r="C3055" t="s">
        <v>31</v>
      </c>
      <c r="D3055" t="s">
        <v>33</v>
      </c>
      <c r="E3055">
        <v>1900000</v>
      </c>
      <c r="F3055">
        <v>6700000</v>
      </c>
      <c r="G3055">
        <v>16</v>
      </c>
      <c r="H3055">
        <v>893</v>
      </c>
      <c r="I3055">
        <v>5600000</v>
      </c>
      <c r="J3055">
        <v>3600000</v>
      </c>
      <c r="K3055">
        <v>6300000</v>
      </c>
      <c r="L3055">
        <v>1600000</v>
      </c>
      <c r="M3055" t="s">
        <v>34</v>
      </c>
      <c r="N3055">
        <f t="shared" si="283"/>
        <v>1</v>
      </c>
      <c r="O3055" t="str">
        <f t="shared" si="282"/>
        <v>Excellent</v>
      </c>
      <c r="P3055" t="str">
        <f t="shared" si="284"/>
        <v>High</v>
      </c>
      <c r="Q3055" t="str">
        <f t="shared" si="285"/>
        <v>Low Loan</v>
      </c>
      <c r="R3055">
        <f t="shared" si="286"/>
        <v>17100000</v>
      </c>
      <c r="S3055" t="str">
        <f t="shared" si="287"/>
        <v>Strong</v>
      </c>
    </row>
    <row r="3056" spans="1:19" x14ac:dyDescent="0.25">
      <c r="A3056">
        <v>3055</v>
      </c>
      <c r="B3056">
        <v>2</v>
      </c>
      <c r="C3056" t="s">
        <v>31</v>
      </c>
      <c r="D3056" t="s">
        <v>33</v>
      </c>
      <c r="E3056">
        <v>9200000</v>
      </c>
      <c r="F3056">
        <v>33000000</v>
      </c>
      <c r="G3056">
        <v>14</v>
      </c>
      <c r="H3056">
        <v>874</v>
      </c>
      <c r="I3056">
        <v>3900000</v>
      </c>
      <c r="J3056">
        <v>9700000</v>
      </c>
      <c r="K3056">
        <v>31200000</v>
      </c>
      <c r="L3056">
        <v>6600000</v>
      </c>
      <c r="M3056" t="s">
        <v>34</v>
      </c>
      <c r="N3056">
        <f t="shared" si="283"/>
        <v>1</v>
      </c>
      <c r="O3056" t="str">
        <f t="shared" si="282"/>
        <v>Excellent</v>
      </c>
      <c r="P3056" t="str">
        <f t="shared" si="284"/>
        <v>High</v>
      </c>
      <c r="Q3056" t="str">
        <f t="shared" si="285"/>
        <v>High Loan</v>
      </c>
      <c r="R3056">
        <f t="shared" si="286"/>
        <v>51400000</v>
      </c>
      <c r="S3056" t="str">
        <f t="shared" si="287"/>
        <v>Strong</v>
      </c>
    </row>
    <row r="3057" spans="1:19" x14ac:dyDescent="0.25">
      <c r="A3057">
        <v>3056</v>
      </c>
      <c r="B3057">
        <v>3</v>
      </c>
      <c r="C3057" t="s">
        <v>31</v>
      </c>
      <c r="D3057" t="s">
        <v>33</v>
      </c>
      <c r="E3057">
        <v>300000</v>
      </c>
      <c r="F3057">
        <v>500000</v>
      </c>
      <c r="G3057">
        <v>6</v>
      </c>
      <c r="H3057">
        <v>386</v>
      </c>
      <c r="I3057">
        <v>800000</v>
      </c>
      <c r="J3057">
        <v>200000</v>
      </c>
      <c r="K3057">
        <v>1200000</v>
      </c>
      <c r="L3057">
        <v>100000</v>
      </c>
      <c r="M3057" t="s">
        <v>35</v>
      </c>
      <c r="N3057">
        <f t="shared" si="283"/>
        <v>0</v>
      </c>
      <c r="O3057" t="str">
        <f t="shared" si="282"/>
        <v>Low</v>
      </c>
      <c r="P3057" t="str">
        <f t="shared" si="284"/>
        <v>Middle</v>
      </c>
      <c r="Q3057" t="str">
        <f t="shared" si="285"/>
        <v>Low Loan</v>
      </c>
      <c r="R3057">
        <f t="shared" si="286"/>
        <v>2300000</v>
      </c>
      <c r="S3057" t="str">
        <f t="shared" si="287"/>
        <v>Weak</v>
      </c>
    </row>
    <row r="3058" spans="1:19" x14ac:dyDescent="0.25">
      <c r="A3058">
        <v>3057</v>
      </c>
      <c r="B3058">
        <v>5</v>
      </c>
      <c r="C3058" t="s">
        <v>30</v>
      </c>
      <c r="D3058" t="s">
        <v>32</v>
      </c>
      <c r="E3058">
        <v>6300000</v>
      </c>
      <c r="F3058">
        <v>18100000</v>
      </c>
      <c r="G3058">
        <v>4</v>
      </c>
      <c r="H3058">
        <v>590</v>
      </c>
      <c r="I3058">
        <v>5400000</v>
      </c>
      <c r="J3058">
        <v>10900000</v>
      </c>
      <c r="K3058">
        <v>22400000</v>
      </c>
      <c r="L3058">
        <v>8600000</v>
      </c>
      <c r="M3058" t="s">
        <v>34</v>
      </c>
      <c r="N3058">
        <f t="shared" si="283"/>
        <v>1</v>
      </c>
      <c r="O3058" t="str">
        <f t="shared" si="282"/>
        <v>Low</v>
      </c>
      <c r="P3058" t="str">
        <f t="shared" si="284"/>
        <v>High</v>
      </c>
      <c r="Q3058" t="str">
        <f t="shared" si="285"/>
        <v>Low Loan</v>
      </c>
      <c r="R3058">
        <f t="shared" si="286"/>
        <v>47300000</v>
      </c>
      <c r="S3058" t="str">
        <f t="shared" si="287"/>
        <v>Strong</v>
      </c>
    </row>
    <row r="3059" spans="1:19" x14ac:dyDescent="0.25">
      <c r="A3059">
        <v>3058</v>
      </c>
      <c r="B3059">
        <v>2</v>
      </c>
      <c r="C3059" t="s">
        <v>31</v>
      </c>
      <c r="D3059" t="s">
        <v>32</v>
      </c>
      <c r="E3059">
        <v>6100000</v>
      </c>
      <c r="F3059">
        <v>23500000</v>
      </c>
      <c r="G3059">
        <v>14</v>
      </c>
      <c r="H3059">
        <v>510</v>
      </c>
      <c r="I3059">
        <v>9000000</v>
      </c>
      <c r="J3059">
        <v>9500000</v>
      </c>
      <c r="K3059">
        <v>12400000</v>
      </c>
      <c r="L3059">
        <v>3400000</v>
      </c>
      <c r="M3059" t="s">
        <v>35</v>
      </c>
      <c r="N3059">
        <f t="shared" si="283"/>
        <v>0</v>
      </c>
      <c r="O3059" t="str">
        <f t="shared" si="282"/>
        <v>Low</v>
      </c>
      <c r="P3059" t="str">
        <f t="shared" si="284"/>
        <v>High</v>
      </c>
      <c r="Q3059" t="str">
        <f t="shared" si="285"/>
        <v>High Loan</v>
      </c>
      <c r="R3059">
        <f t="shared" si="286"/>
        <v>34300000</v>
      </c>
      <c r="S3059" t="str">
        <f t="shared" si="287"/>
        <v>Strong</v>
      </c>
    </row>
    <row r="3060" spans="1:19" x14ac:dyDescent="0.25">
      <c r="A3060">
        <v>3059</v>
      </c>
      <c r="B3060">
        <v>3</v>
      </c>
      <c r="C3060" t="s">
        <v>30</v>
      </c>
      <c r="D3060" t="s">
        <v>33</v>
      </c>
      <c r="E3060">
        <v>7800000</v>
      </c>
      <c r="F3060">
        <v>25600000</v>
      </c>
      <c r="G3060">
        <v>6</v>
      </c>
      <c r="H3060">
        <v>523</v>
      </c>
      <c r="I3060">
        <v>13600000</v>
      </c>
      <c r="J3060">
        <v>7100000</v>
      </c>
      <c r="K3060">
        <v>20800000</v>
      </c>
      <c r="L3060">
        <v>9200000</v>
      </c>
      <c r="M3060" t="s">
        <v>35</v>
      </c>
      <c r="N3060">
        <f t="shared" si="283"/>
        <v>0</v>
      </c>
      <c r="O3060" t="str">
        <f t="shared" si="282"/>
        <v>Low</v>
      </c>
      <c r="P3060" t="str">
        <f t="shared" si="284"/>
        <v>High</v>
      </c>
      <c r="Q3060" t="str">
        <f t="shared" si="285"/>
        <v>High Loan</v>
      </c>
      <c r="R3060">
        <f t="shared" si="286"/>
        <v>50700000</v>
      </c>
      <c r="S3060" t="str">
        <f t="shared" si="287"/>
        <v>Strong</v>
      </c>
    </row>
    <row r="3061" spans="1:19" x14ac:dyDescent="0.25">
      <c r="A3061">
        <v>3060</v>
      </c>
      <c r="B3061">
        <v>0</v>
      </c>
      <c r="C3061" t="s">
        <v>30</v>
      </c>
      <c r="D3061" t="s">
        <v>33</v>
      </c>
      <c r="E3061">
        <v>2000000</v>
      </c>
      <c r="F3061">
        <v>6700000</v>
      </c>
      <c r="G3061">
        <v>8</v>
      </c>
      <c r="H3061">
        <v>461</v>
      </c>
      <c r="I3061">
        <v>4900000</v>
      </c>
      <c r="J3061">
        <v>2200000</v>
      </c>
      <c r="K3061">
        <v>7200000</v>
      </c>
      <c r="L3061">
        <v>2600000</v>
      </c>
      <c r="M3061" t="s">
        <v>35</v>
      </c>
      <c r="N3061">
        <f t="shared" si="283"/>
        <v>0</v>
      </c>
      <c r="O3061" t="str">
        <f t="shared" si="282"/>
        <v>Low</v>
      </c>
      <c r="P3061" t="str">
        <f t="shared" si="284"/>
        <v>High</v>
      </c>
      <c r="Q3061" t="str">
        <f t="shared" si="285"/>
        <v>Low Loan</v>
      </c>
      <c r="R3061">
        <f t="shared" si="286"/>
        <v>16900000</v>
      </c>
      <c r="S3061" t="str">
        <f t="shared" si="287"/>
        <v>Strong</v>
      </c>
    </row>
    <row r="3062" spans="1:19" x14ac:dyDescent="0.25">
      <c r="A3062">
        <v>3061</v>
      </c>
      <c r="B3062">
        <v>4</v>
      </c>
      <c r="C3062" t="s">
        <v>31</v>
      </c>
      <c r="D3062" t="s">
        <v>32</v>
      </c>
      <c r="E3062">
        <v>1900000</v>
      </c>
      <c r="F3062">
        <v>5600000</v>
      </c>
      <c r="G3062">
        <v>2</v>
      </c>
      <c r="H3062">
        <v>832</v>
      </c>
      <c r="I3062">
        <v>2700000</v>
      </c>
      <c r="J3062">
        <v>3300000</v>
      </c>
      <c r="K3062">
        <v>7100000</v>
      </c>
      <c r="L3062">
        <v>2400000</v>
      </c>
      <c r="M3062" t="s">
        <v>34</v>
      </c>
      <c r="N3062">
        <f t="shared" si="283"/>
        <v>1</v>
      </c>
      <c r="O3062" t="str">
        <f t="shared" si="282"/>
        <v>Excellent</v>
      </c>
      <c r="P3062" t="str">
        <f t="shared" si="284"/>
        <v>High</v>
      </c>
      <c r="Q3062" t="str">
        <f t="shared" si="285"/>
        <v>Low Loan</v>
      </c>
      <c r="R3062">
        <f t="shared" si="286"/>
        <v>15500000</v>
      </c>
      <c r="S3062" t="str">
        <f t="shared" si="287"/>
        <v>Strong</v>
      </c>
    </row>
    <row r="3063" spans="1:19" x14ac:dyDescent="0.25">
      <c r="A3063">
        <v>3062</v>
      </c>
      <c r="B3063">
        <v>2</v>
      </c>
      <c r="C3063" t="s">
        <v>31</v>
      </c>
      <c r="D3063" t="s">
        <v>33</v>
      </c>
      <c r="E3063">
        <v>3300000</v>
      </c>
      <c r="F3063">
        <v>9600000</v>
      </c>
      <c r="G3063">
        <v>18</v>
      </c>
      <c r="H3063">
        <v>896</v>
      </c>
      <c r="I3063">
        <v>9900000</v>
      </c>
      <c r="J3063">
        <v>900000</v>
      </c>
      <c r="K3063">
        <v>12100000</v>
      </c>
      <c r="L3063">
        <v>4900000</v>
      </c>
      <c r="M3063" t="s">
        <v>34</v>
      </c>
      <c r="N3063">
        <f t="shared" si="283"/>
        <v>1</v>
      </c>
      <c r="O3063" t="str">
        <f t="shared" si="282"/>
        <v>Excellent</v>
      </c>
      <c r="P3063" t="str">
        <f t="shared" si="284"/>
        <v>High</v>
      </c>
      <c r="Q3063" t="str">
        <f t="shared" si="285"/>
        <v>Low Loan</v>
      </c>
      <c r="R3063">
        <f t="shared" si="286"/>
        <v>27800000</v>
      </c>
      <c r="S3063" t="str">
        <f t="shared" si="287"/>
        <v>Strong</v>
      </c>
    </row>
    <row r="3064" spans="1:19" x14ac:dyDescent="0.25">
      <c r="A3064">
        <v>3063</v>
      </c>
      <c r="B3064">
        <v>0</v>
      </c>
      <c r="C3064" t="s">
        <v>31</v>
      </c>
      <c r="D3064" t="s">
        <v>33</v>
      </c>
      <c r="E3064">
        <v>9500000</v>
      </c>
      <c r="F3064">
        <v>26000000</v>
      </c>
      <c r="G3064">
        <v>2</v>
      </c>
      <c r="H3064">
        <v>732</v>
      </c>
      <c r="I3064">
        <v>22500000</v>
      </c>
      <c r="J3064">
        <v>15600000</v>
      </c>
      <c r="K3064">
        <v>20400000</v>
      </c>
      <c r="L3064">
        <v>9300000</v>
      </c>
      <c r="M3064" t="s">
        <v>34</v>
      </c>
      <c r="N3064">
        <f t="shared" si="283"/>
        <v>1</v>
      </c>
      <c r="O3064" t="str">
        <f t="shared" si="282"/>
        <v>Good</v>
      </c>
      <c r="P3064" t="str">
        <f t="shared" si="284"/>
        <v>High</v>
      </c>
      <c r="Q3064" t="str">
        <f t="shared" si="285"/>
        <v>High Loan</v>
      </c>
      <c r="R3064">
        <f t="shared" si="286"/>
        <v>67800000</v>
      </c>
      <c r="S3064" t="str">
        <f t="shared" si="287"/>
        <v>Strong</v>
      </c>
    </row>
    <row r="3065" spans="1:19" x14ac:dyDescent="0.25">
      <c r="A3065">
        <v>3064</v>
      </c>
      <c r="B3065">
        <v>0</v>
      </c>
      <c r="C3065" t="s">
        <v>30</v>
      </c>
      <c r="D3065" t="s">
        <v>33</v>
      </c>
      <c r="E3065">
        <v>3500000</v>
      </c>
      <c r="F3065">
        <v>13900000</v>
      </c>
      <c r="G3065">
        <v>16</v>
      </c>
      <c r="H3065">
        <v>301</v>
      </c>
      <c r="I3065">
        <v>10300000</v>
      </c>
      <c r="J3065">
        <v>100000</v>
      </c>
      <c r="K3065">
        <v>8700000</v>
      </c>
      <c r="L3065">
        <v>2700000</v>
      </c>
      <c r="M3065" t="s">
        <v>35</v>
      </c>
      <c r="N3065">
        <f t="shared" si="283"/>
        <v>0</v>
      </c>
      <c r="O3065" t="str">
        <f t="shared" si="282"/>
        <v>Low</v>
      </c>
      <c r="P3065" t="str">
        <f t="shared" si="284"/>
        <v>High</v>
      </c>
      <c r="Q3065" t="str">
        <f t="shared" si="285"/>
        <v>Low Loan</v>
      </c>
      <c r="R3065">
        <f t="shared" si="286"/>
        <v>21800000</v>
      </c>
      <c r="S3065" t="str">
        <f t="shared" si="287"/>
        <v>Strong</v>
      </c>
    </row>
    <row r="3066" spans="1:19" x14ac:dyDescent="0.25">
      <c r="A3066">
        <v>3065</v>
      </c>
      <c r="B3066">
        <v>5</v>
      </c>
      <c r="C3066" t="s">
        <v>30</v>
      </c>
      <c r="D3066" t="s">
        <v>32</v>
      </c>
      <c r="E3066">
        <v>4400000</v>
      </c>
      <c r="F3066">
        <v>15800000</v>
      </c>
      <c r="G3066">
        <v>4</v>
      </c>
      <c r="H3066">
        <v>701</v>
      </c>
      <c r="I3066">
        <v>4100000</v>
      </c>
      <c r="J3066">
        <v>6300000</v>
      </c>
      <c r="K3066">
        <v>17100000</v>
      </c>
      <c r="L3066">
        <v>4100000</v>
      </c>
      <c r="M3066" t="s">
        <v>34</v>
      </c>
      <c r="N3066">
        <f t="shared" si="283"/>
        <v>1</v>
      </c>
      <c r="O3066" t="str">
        <f t="shared" si="282"/>
        <v>Good</v>
      </c>
      <c r="P3066" t="str">
        <f t="shared" si="284"/>
        <v>High</v>
      </c>
      <c r="Q3066" t="str">
        <f t="shared" si="285"/>
        <v>Low Loan</v>
      </c>
      <c r="R3066">
        <f t="shared" si="286"/>
        <v>31600000</v>
      </c>
      <c r="S3066" t="str">
        <f t="shared" si="287"/>
        <v>Strong</v>
      </c>
    </row>
    <row r="3067" spans="1:19" x14ac:dyDescent="0.25">
      <c r="A3067">
        <v>3066</v>
      </c>
      <c r="B3067">
        <v>2</v>
      </c>
      <c r="C3067" t="s">
        <v>31</v>
      </c>
      <c r="D3067" t="s">
        <v>32</v>
      </c>
      <c r="E3067">
        <v>2000000</v>
      </c>
      <c r="F3067">
        <v>4000000</v>
      </c>
      <c r="G3067">
        <v>14</v>
      </c>
      <c r="H3067">
        <v>502</v>
      </c>
      <c r="I3067">
        <v>4900000</v>
      </c>
      <c r="J3067">
        <v>1500000</v>
      </c>
      <c r="K3067">
        <v>5400000</v>
      </c>
      <c r="L3067">
        <v>1300000</v>
      </c>
      <c r="M3067" t="s">
        <v>35</v>
      </c>
      <c r="N3067">
        <f t="shared" si="283"/>
        <v>0</v>
      </c>
      <c r="O3067" t="str">
        <f t="shared" si="282"/>
        <v>Low</v>
      </c>
      <c r="P3067" t="str">
        <f t="shared" si="284"/>
        <v>High</v>
      </c>
      <c r="Q3067" t="str">
        <f t="shared" si="285"/>
        <v>Low Loan</v>
      </c>
      <c r="R3067">
        <f t="shared" si="286"/>
        <v>13100000</v>
      </c>
      <c r="S3067" t="str">
        <f t="shared" si="287"/>
        <v>Strong</v>
      </c>
    </row>
    <row r="3068" spans="1:19" x14ac:dyDescent="0.25">
      <c r="A3068">
        <v>3067</v>
      </c>
      <c r="B3068">
        <v>3</v>
      </c>
      <c r="C3068" t="s">
        <v>31</v>
      </c>
      <c r="D3068" t="s">
        <v>32</v>
      </c>
      <c r="E3068">
        <v>9200000</v>
      </c>
      <c r="F3068">
        <v>19500000</v>
      </c>
      <c r="G3068">
        <v>12</v>
      </c>
      <c r="H3068">
        <v>742</v>
      </c>
      <c r="I3068">
        <v>18300000</v>
      </c>
      <c r="J3068">
        <v>9900000</v>
      </c>
      <c r="K3068">
        <v>19500000</v>
      </c>
      <c r="L3068">
        <v>13700000</v>
      </c>
      <c r="M3068" t="s">
        <v>34</v>
      </c>
      <c r="N3068">
        <f t="shared" si="283"/>
        <v>1</v>
      </c>
      <c r="O3068" t="str">
        <f t="shared" si="282"/>
        <v>Good</v>
      </c>
      <c r="P3068" t="str">
        <f t="shared" si="284"/>
        <v>High</v>
      </c>
      <c r="Q3068" t="str">
        <f t="shared" si="285"/>
        <v>Low Loan</v>
      </c>
      <c r="R3068">
        <f t="shared" si="286"/>
        <v>61400000</v>
      </c>
      <c r="S3068" t="str">
        <f t="shared" si="287"/>
        <v>Strong</v>
      </c>
    </row>
    <row r="3069" spans="1:19" x14ac:dyDescent="0.25">
      <c r="A3069">
        <v>3068</v>
      </c>
      <c r="B3069">
        <v>1</v>
      </c>
      <c r="C3069" t="s">
        <v>31</v>
      </c>
      <c r="D3069" t="s">
        <v>32</v>
      </c>
      <c r="E3069">
        <v>2200000</v>
      </c>
      <c r="F3069">
        <v>5000000</v>
      </c>
      <c r="G3069">
        <v>2</v>
      </c>
      <c r="H3069">
        <v>755</v>
      </c>
      <c r="I3069">
        <v>1100000</v>
      </c>
      <c r="J3069">
        <v>2500000</v>
      </c>
      <c r="K3069">
        <v>6700000</v>
      </c>
      <c r="L3069">
        <v>3200000</v>
      </c>
      <c r="M3069" t="s">
        <v>34</v>
      </c>
      <c r="N3069">
        <f t="shared" si="283"/>
        <v>1</v>
      </c>
      <c r="O3069" t="str">
        <f t="shared" si="282"/>
        <v>Excellent</v>
      </c>
      <c r="P3069" t="str">
        <f t="shared" si="284"/>
        <v>High</v>
      </c>
      <c r="Q3069" t="str">
        <f t="shared" si="285"/>
        <v>Low Loan</v>
      </c>
      <c r="R3069">
        <f t="shared" si="286"/>
        <v>13500000</v>
      </c>
      <c r="S3069" t="str">
        <f t="shared" si="287"/>
        <v>Strong</v>
      </c>
    </row>
    <row r="3070" spans="1:19" x14ac:dyDescent="0.25">
      <c r="A3070">
        <v>3069</v>
      </c>
      <c r="B3070">
        <v>1</v>
      </c>
      <c r="C3070" t="s">
        <v>31</v>
      </c>
      <c r="D3070" t="s">
        <v>32</v>
      </c>
      <c r="E3070">
        <v>1900000</v>
      </c>
      <c r="F3070">
        <v>7100000</v>
      </c>
      <c r="G3070">
        <v>2</v>
      </c>
      <c r="H3070">
        <v>834</v>
      </c>
      <c r="I3070">
        <v>3900000</v>
      </c>
      <c r="J3070">
        <v>2300000</v>
      </c>
      <c r="K3070">
        <v>5800000</v>
      </c>
      <c r="L3070">
        <v>1400000</v>
      </c>
      <c r="M3070" t="s">
        <v>34</v>
      </c>
      <c r="N3070">
        <f t="shared" si="283"/>
        <v>1</v>
      </c>
      <c r="O3070" t="str">
        <f t="shared" si="282"/>
        <v>Excellent</v>
      </c>
      <c r="P3070" t="str">
        <f t="shared" si="284"/>
        <v>High</v>
      </c>
      <c r="Q3070" t="str">
        <f t="shared" si="285"/>
        <v>Low Loan</v>
      </c>
      <c r="R3070">
        <f t="shared" si="286"/>
        <v>13400000</v>
      </c>
      <c r="S3070" t="str">
        <f t="shared" si="287"/>
        <v>Strong</v>
      </c>
    </row>
    <row r="3071" spans="1:19" x14ac:dyDescent="0.25">
      <c r="A3071">
        <v>3070</v>
      </c>
      <c r="B3071">
        <v>5</v>
      </c>
      <c r="C3071" t="s">
        <v>30</v>
      </c>
      <c r="D3071" t="s">
        <v>33</v>
      </c>
      <c r="E3071">
        <v>8700000</v>
      </c>
      <c r="F3071">
        <v>18400000</v>
      </c>
      <c r="G3071">
        <v>12</v>
      </c>
      <c r="H3071">
        <v>394</v>
      </c>
      <c r="I3071">
        <v>18800000</v>
      </c>
      <c r="J3071">
        <v>3200000</v>
      </c>
      <c r="K3071">
        <v>24600000</v>
      </c>
      <c r="L3071">
        <v>12000000</v>
      </c>
      <c r="M3071" t="s">
        <v>35</v>
      </c>
      <c r="N3071">
        <f t="shared" si="283"/>
        <v>0</v>
      </c>
      <c r="O3071" t="str">
        <f t="shared" si="282"/>
        <v>Low</v>
      </c>
      <c r="P3071" t="str">
        <f t="shared" si="284"/>
        <v>High</v>
      </c>
      <c r="Q3071" t="str">
        <f t="shared" si="285"/>
        <v>Low Loan</v>
      </c>
      <c r="R3071">
        <f t="shared" si="286"/>
        <v>58600000</v>
      </c>
      <c r="S3071" t="str">
        <f t="shared" si="287"/>
        <v>Strong</v>
      </c>
    </row>
    <row r="3072" spans="1:19" x14ac:dyDescent="0.25">
      <c r="A3072">
        <v>3071</v>
      </c>
      <c r="B3072">
        <v>3</v>
      </c>
      <c r="C3072" t="s">
        <v>30</v>
      </c>
      <c r="D3072" t="s">
        <v>33</v>
      </c>
      <c r="E3072">
        <v>9700000</v>
      </c>
      <c r="F3072">
        <v>19700000</v>
      </c>
      <c r="G3072">
        <v>4</v>
      </c>
      <c r="H3072">
        <v>663</v>
      </c>
      <c r="I3072">
        <v>16700000</v>
      </c>
      <c r="J3072">
        <v>2200000</v>
      </c>
      <c r="K3072">
        <v>36200000</v>
      </c>
      <c r="L3072">
        <v>5200000</v>
      </c>
      <c r="M3072" t="s">
        <v>34</v>
      </c>
      <c r="N3072">
        <f t="shared" si="283"/>
        <v>1</v>
      </c>
      <c r="O3072" t="str">
        <f t="shared" si="282"/>
        <v>Medium</v>
      </c>
      <c r="P3072" t="str">
        <f t="shared" si="284"/>
        <v>High</v>
      </c>
      <c r="Q3072" t="str">
        <f t="shared" si="285"/>
        <v>Low Loan</v>
      </c>
      <c r="R3072">
        <f t="shared" si="286"/>
        <v>60300000</v>
      </c>
      <c r="S3072" t="str">
        <f t="shared" si="287"/>
        <v>Strong</v>
      </c>
    </row>
    <row r="3073" spans="1:19" x14ac:dyDescent="0.25">
      <c r="A3073">
        <v>3072</v>
      </c>
      <c r="B3073">
        <v>3</v>
      </c>
      <c r="C3073" t="s">
        <v>30</v>
      </c>
      <c r="D3073" t="s">
        <v>32</v>
      </c>
      <c r="E3073">
        <v>9400000</v>
      </c>
      <c r="F3073">
        <v>20300000</v>
      </c>
      <c r="G3073">
        <v>10</v>
      </c>
      <c r="H3073">
        <v>649</v>
      </c>
      <c r="I3073">
        <v>19600000</v>
      </c>
      <c r="J3073">
        <v>6700000</v>
      </c>
      <c r="K3073">
        <v>36100000</v>
      </c>
      <c r="L3073">
        <v>10000000</v>
      </c>
      <c r="M3073" t="s">
        <v>34</v>
      </c>
      <c r="N3073">
        <f t="shared" si="283"/>
        <v>1</v>
      </c>
      <c r="O3073" t="str">
        <f t="shared" si="282"/>
        <v>Low</v>
      </c>
      <c r="P3073" t="str">
        <f t="shared" si="284"/>
        <v>High</v>
      </c>
      <c r="Q3073" t="str">
        <f t="shared" si="285"/>
        <v>High Loan</v>
      </c>
      <c r="R3073">
        <f t="shared" si="286"/>
        <v>72400000</v>
      </c>
      <c r="S3073" t="str">
        <f t="shared" si="287"/>
        <v>Strong</v>
      </c>
    </row>
    <row r="3074" spans="1:19" x14ac:dyDescent="0.25">
      <c r="A3074">
        <v>3073</v>
      </c>
      <c r="B3074">
        <v>4</v>
      </c>
      <c r="C3074" t="s">
        <v>31</v>
      </c>
      <c r="D3074" t="s">
        <v>33</v>
      </c>
      <c r="E3074">
        <v>8000000</v>
      </c>
      <c r="F3074">
        <v>23200000</v>
      </c>
      <c r="G3074">
        <v>14</v>
      </c>
      <c r="H3074">
        <v>738</v>
      </c>
      <c r="I3074">
        <v>10900000</v>
      </c>
      <c r="J3074">
        <v>12100000</v>
      </c>
      <c r="K3074">
        <v>19900000</v>
      </c>
      <c r="L3074">
        <v>5400000</v>
      </c>
      <c r="M3074" t="s">
        <v>34</v>
      </c>
      <c r="N3074">
        <f t="shared" si="283"/>
        <v>1</v>
      </c>
      <c r="O3074" t="str">
        <f t="shared" ref="O3074:O3137" si="288">IF(H3074&lt;650,"Low",
 IF(H3074&lt;700,"Medium",
 IF(H3074&lt;750,"Good","Excellent")))</f>
        <v>Good</v>
      </c>
      <c r="P3074" t="str">
        <f t="shared" si="284"/>
        <v>High</v>
      </c>
      <c r="Q3074" t="str">
        <f t="shared" si="285"/>
        <v>High Loan</v>
      </c>
      <c r="R3074">
        <f t="shared" si="286"/>
        <v>48300000</v>
      </c>
      <c r="S3074" t="str">
        <f t="shared" si="287"/>
        <v>Strong</v>
      </c>
    </row>
    <row r="3075" spans="1:19" x14ac:dyDescent="0.25">
      <c r="A3075">
        <v>3074</v>
      </c>
      <c r="B3075">
        <v>5</v>
      </c>
      <c r="C3075" t="s">
        <v>31</v>
      </c>
      <c r="D3075" t="s">
        <v>32</v>
      </c>
      <c r="E3075">
        <v>1000000</v>
      </c>
      <c r="F3075">
        <v>2000000</v>
      </c>
      <c r="G3075">
        <v>4</v>
      </c>
      <c r="H3075">
        <v>524</v>
      </c>
      <c r="I3075">
        <v>2700000</v>
      </c>
      <c r="J3075">
        <v>1800000</v>
      </c>
      <c r="K3075">
        <v>2200000</v>
      </c>
      <c r="L3075">
        <v>700000</v>
      </c>
      <c r="M3075" t="s">
        <v>35</v>
      </c>
      <c r="N3075">
        <f t="shared" ref="N3075:N3138" si="289">IF(TRIM(CLEAN(M3075))="Approved",1,0)</f>
        <v>0</v>
      </c>
      <c r="O3075" t="str">
        <f t="shared" si="288"/>
        <v>Low</v>
      </c>
      <c r="P3075" t="str">
        <f t="shared" ref="P3075:P3138" si="290">IF(E3075&lt;300000,"Low",
 IF(E3075&lt;700000,"Middle","High"))</f>
        <v>High</v>
      </c>
      <c r="Q3075" t="str">
        <f t="shared" ref="Q3075:Q3138" si="291">IF(F3075&lt;20000000,"Low Loan","High Loan")</f>
        <v>Low Loan</v>
      </c>
      <c r="R3075">
        <f t="shared" ref="R3075:R3138" si="292">I3075+J3075+K3075+L3075</f>
        <v>7400000</v>
      </c>
      <c r="S3075" t="str">
        <f t="shared" ref="S3075:S3138" si="293">IF(R3075&lt;5000000,"Weak",
 IF(R3075&lt;10000000,"Moderate","Strong"))</f>
        <v>Moderate</v>
      </c>
    </row>
    <row r="3076" spans="1:19" x14ac:dyDescent="0.25">
      <c r="A3076">
        <v>3075</v>
      </c>
      <c r="B3076">
        <v>5</v>
      </c>
      <c r="C3076" t="s">
        <v>31</v>
      </c>
      <c r="D3076" t="s">
        <v>32</v>
      </c>
      <c r="E3076">
        <v>5300000</v>
      </c>
      <c r="F3076">
        <v>14600000</v>
      </c>
      <c r="G3076">
        <v>16</v>
      </c>
      <c r="H3076">
        <v>855</v>
      </c>
      <c r="I3076">
        <v>4200000</v>
      </c>
      <c r="J3076">
        <v>1600000</v>
      </c>
      <c r="K3076">
        <v>11200000</v>
      </c>
      <c r="L3076">
        <v>7400000</v>
      </c>
      <c r="M3076" t="s">
        <v>34</v>
      </c>
      <c r="N3076">
        <f t="shared" si="289"/>
        <v>1</v>
      </c>
      <c r="O3076" t="str">
        <f t="shared" si="288"/>
        <v>Excellent</v>
      </c>
      <c r="P3076" t="str">
        <f t="shared" si="290"/>
        <v>High</v>
      </c>
      <c r="Q3076" t="str">
        <f t="shared" si="291"/>
        <v>Low Loan</v>
      </c>
      <c r="R3076">
        <f t="shared" si="292"/>
        <v>24400000</v>
      </c>
      <c r="S3076" t="str">
        <f t="shared" si="293"/>
        <v>Strong</v>
      </c>
    </row>
    <row r="3077" spans="1:19" x14ac:dyDescent="0.25">
      <c r="A3077">
        <v>3076</v>
      </c>
      <c r="B3077">
        <v>3</v>
      </c>
      <c r="C3077" t="s">
        <v>30</v>
      </c>
      <c r="D3077" t="s">
        <v>33</v>
      </c>
      <c r="E3077">
        <v>1400000</v>
      </c>
      <c r="F3077">
        <v>5400000</v>
      </c>
      <c r="G3077">
        <v>20</v>
      </c>
      <c r="H3077">
        <v>304</v>
      </c>
      <c r="I3077">
        <v>1700000</v>
      </c>
      <c r="J3077">
        <v>1300000</v>
      </c>
      <c r="K3077">
        <v>2900000</v>
      </c>
      <c r="L3077">
        <v>800000</v>
      </c>
      <c r="M3077" t="s">
        <v>35</v>
      </c>
      <c r="N3077">
        <f t="shared" si="289"/>
        <v>0</v>
      </c>
      <c r="O3077" t="str">
        <f t="shared" si="288"/>
        <v>Low</v>
      </c>
      <c r="P3077" t="str">
        <f t="shared" si="290"/>
        <v>High</v>
      </c>
      <c r="Q3077" t="str">
        <f t="shared" si="291"/>
        <v>Low Loan</v>
      </c>
      <c r="R3077">
        <f t="shared" si="292"/>
        <v>6700000</v>
      </c>
      <c r="S3077" t="str">
        <f t="shared" si="293"/>
        <v>Moderate</v>
      </c>
    </row>
    <row r="3078" spans="1:19" x14ac:dyDescent="0.25">
      <c r="A3078">
        <v>3077</v>
      </c>
      <c r="B3078">
        <v>2</v>
      </c>
      <c r="C3078" t="s">
        <v>30</v>
      </c>
      <c r="D3078" t="s">
        <v>33</v>
      </c>
      <c r="E3078">
        <v>1600000</v>
      </c>
      <c r="F3078">
        <v>3800000</v>
      </c>
      <c r="G3078">
        <v>12</v>
      </c>
      <c r="H3078">
        <v>532</v>
      </c>
      <c r="I3078">
        <v>3200000</v>
      </c>
      <c r="J3078">
        <v>1400000</v>
      </c>
      <c r="K3078">
        <v>5400000</v>
      </c>
      <c r="L3078">
        <v>1100000</v>
      </c>
      <c r="M3078" t="s">
        <v>35</v>
      </c>
      <c r="N3078">
        <f t="shared" si="289"/>
        <v>0</v>
      </c>
      <c r="O3078" t="str">
        <f t="shared" si="288"/>
        <v>Low</v>
      </c>
      <c r="P3078" t="str">
        <f t="shared" si="290"/>
        <v>High</v>
      </c>
      <c r="Q3078" t="str">
        <f t="shared" si="291"/>
        <v>Low Loan</v>
      </c>
      <c r="R3078">
        <f t="shared" si="292"/>
        <v>11100000</v>
      </c>
      <c r="S3078" t="str">
        <f t="shared" si="293"/>
        <v>Strong</v>
      </c>
    </row>
    <row r="3079" spans="1:19" x14ac:dyDescent="0.25">
      <c r="A3079">
        <v>3078</v>
      </c>
      <c r="B3079">
        <v>3</v>
      </c>
      <c r="C3079" t="s">
        <v>30</v>
      </c>
      <c r="D3079" t="s">
        <v>33</v>
      </c>
      <c r="E3079">
        <v>3400000</v>
      </c>
      <c r="F3079">
        <v>8500000</v>
      </c>
      <c r="G3079">
        <v>6</v>
      </c>
      <c r="H3079">
        <v>584</v>
      </c>
      <c r="I3079">
        <v>4200000</v>
      </c>
      <c r="J3079">
        <v>4700000</v>
      </c>
      <c r="K3079">
        <v>6800000</v>
      </c>
      <c r="L3079">
        <v>3700000</v>
      </c>
      <c r="M3079" t="s">
        <v>34</v>
      </c>
      <c r="N3079">
        <f t="shared" si="289"/>
        <v>1</v>
      </c>
      <c r="O3079" t="str">
        <f t="shared" si="288"/>
        <v>Low</v>
      </c>
      <c r="P3079" t="str">
        <f t="shared" si="290"/>
        <v>High</v>
      </c>
      <c r="Q3079" t="str">
        <f t="shared" si="291"/>
        <v>Low Loan</v>
      </c>
      <c r="R3079">
        <f t="shared" si="292"/>
        <v>19400000</v>
      </c>
      <c r="S3079" t="str">
        <f t="shared" si="293"/>
        <v>Strong</v>
      </c>
    </row>
    <row r="3080" spans="1:19" x14ac:dyDescent="0.25">
      <c r="A3080">
        <v>3079</v>
      </c>
      <c r="B3080">
        <v>3</v>
      </c>
      <c r="C3080" t="s">
        <v>30</v>
      </c>
      <c r="D3080" t="s">
        <v>32</v>
      </c>
      <c r="E3080">
        <v>7800000</v>
      </c>
      <c r="F3080">
        <v>28700000</v>
      </c>
      <c r="G3080">
        <v>4</v>
      </c>
      <c r="H3080">
        <v>447</v>
      </c>
      <c r="I3080">
        <v>7200000</v>
      </c>
      <c r="J3080">
        <v>9500000</v>
      </c>
      <c r="K3080">
        <v>20100000</v>
      </c>
      <c r="L3080">
        <v>11300000</v>
      </c>
      <c r="M3080" t="s">
        <v>34</v>
      </c>
      <c r="N3080">
        <f t="shared" si="289"/>
        <v>1</v>
      </c>
      <c r="O3080" t="str">
        <f t="shared" si="288"/>
        <v>Low</v>
      </c>
      <c r="P3080" t="str">
        <f t="shared" si="290"/>
        <v>High</v>
      </c>
      <c r="Q3080" t="str">
        <f t="shared" si="291"/>
        <v>High Loan</v>
      </c>
      <c r="R3080">
        <f t="shared" si="292"/>
        <v>48100000</v>
      </c>
      <c r="S3080" t="str">
        <f t="shared" si="293"/>
        <v>Strong</v>
      </c>
    </row>
    <row r="3081" spans="1:19" x14ac:dyDescent="0.25">
      <c r="A3081">
        <v>3080</v>
      </c>
      <c r="B3081">
        <v>4</v>
      </c>
      <c r="C3081" t="s">
        <v>31</v>
      </c>
      <c r="D3081" t="s">
        <v>32</v>
      </c>
      <c r="E3081">
        <v>7100000</v>
      </c>
      <c r="F3081">
        <v>19900000</v>
      </c>
      <c r="G3081">
        <v>14</v>
      </c>
      <c r="H3081">
        <v>852</v>
      </c>
      <c r="I3081">
        <v>4700000</v>
      </c>
      <c r="J3081">
        <v>3200000</v>
      </c>
      <c r="K3081">
        <v>19700000</v>
      </c>
      <c r="L3081">
        <v>7600000</v>
      </c>
      <c r="M3081" t="s">
        <v>34</v>
      </c>
      <c r="N3081">
        <f t="shared" si="289"/>
        <v>1</v>
      </c>
      <c r="O3081" t="str">
        <f t="shared" si="288"/>
        <v>Excellent</v>
      </c>
      <c r="P3081" t="str">
        <f t="shared" si="290"/>
        <v>High</v>
      </c>
      <c r="Q3081" t="str">
        <f t="shared" si="291"/>
        <v>Low Loan</v>
      </c>
      <c r="R3081">
        <f t="shared" si="292"/>
        <v>35200000</v>
      </c>
      <c r="S3081" t="str">
        <f t="shared" si="293"/>
        <v>Strong</v>
      </c>
    </row>
    <row r="3082" spans="1:19" x14ac:dyDescent="0.25">
      <c r="A3082">
        <v>3081</v>
      </c>
      <c r="B3082">
        <v>1</v>
      </c>
      <c r="C3082" t="s">
        <v>31</v>
      </c>
      <c r="D3082" t="s">
        <v>33</v>
      </c>
      <c r="E3082">
        <v>6000000</v>
      </c>
      <c r="F3082">
        <v>13100000</v>
      </c>
      <c r="G3082">
        <v>2</v>
      </c>
      <c r="H3082">
        <v>368</v>
      </c>
      <c r="I3082">
        <v>9900000</v>
      </c>
      <c r="J3082">
        <v>2200000</v>
      </c>
      <c r="K3082">
        <v>13700000</v>
      </c>
      <c r="L3082">
        <v>4900000</v>
      </c>
      <c r="M3082" t="s">
        <v>35</v>
      </c>
      <c r="N3082">
        <f t="shared" si="289"/>
        <v>0</v>
      </c>
      <c r="O3082" t="str">
        <f t="shared" si="288"/>
        <v>Low</v>
      </c>
      <c r="P3082" t="str">
        <f t="shared" si="290"/>
        <v>High</v>
      </c>
      <c r="Q3082" t="str">
        <f t="shared" si="291"/>
        <v>Low Loan</v>
      </c>
      <c r="R3082">
        <f t="shared" si="292"/>
        <v>30700000</v>
      </c>
      <c r="S3082" t="str">
        <f t="shared" si="293"/>
        <v>Strong</v>
      </c>
    </row>
    <row r="3083" spans="1:19" x14ac:dyDescent="0.25">
      <c r="A3083">
        <v>3082</v>
      </c>
      <c r="B3083">
        <v>3</v>
      </c>
      <c r="C3083" t="s">
        <v>31</v>
      </c>
      <c r="D3083" t="s">
        <v>33</v>
      </c>
      <c r="E3083">
        <v>8200000</v>
      </c>
      <c r="F3083">
        <v>28900000</v>
      </c>
      <c r="G3083">
        <v>10</v>
      </c>
      <c r="H3083">
        <v>447</v>
      </c>
      <c r="I3083">
        <v>4400000</v>
      </c>
      <c r="J3083">
        <v>14700000</v>
      </c>
      <c r="K3083">
        <v>29400000</v>
      </c>
      <c r="L3083">
        <v>6800000</v>
      </c>
      <c r="M3083" t="s">
        <v>35</v>
      </c>
      <c r="N3083">
        <f t="shared" si="289"/>
        <v>0</v>
      </c>
      <c r="O3083" t="str">
        <f t="shared" si="288"/>
        <v>Low</v>
      </c>
      <c r="P3083" t="str">
        <f t="shared" si="290"/>
        <v>High</v>
      </c>
      <c r="Q3083" t="str">
        <f t="shared" si="291"/>
        <v>High Loan</v>
      </c>
      <c r="R3083">
        <f t="shared" si="292"/>
        <v>55300000</v>
      </c>
      <c r="S3083" t="str">
        <f t="shared" si="293"/>
        <v>Strong</v>
      </c>
    </row>
    <row r="3084" spans="1:19" x14ac:dyDescent="0.25">
      <c r="A3084">
        <v>3083</v>
      </c>
      <c r="B3084">
        <v>4</v>
      </c>
      <c r="C3084" t="s">
        <v>30</v>
      </c>
      <c r="D3084" t="s">
        <v>32</v>
      </c>
      <c r="E3084">
        <v>3900000</v>
      </c>
      <c r="F3084">
        <v>11400000</v>
      </c>
      <c r="G3084">
        <v>20</v>
      </c>
      <c r="H3084">
        <v>867</v>
      </c>
      <c r="I3084">
        <v>3800000</v>
      </c>
      <c r="J3084">
        <v>1100000</v>
      </c>
      <c r="K3084">
        <v>13600000</v>
      </c>
      <c r="L3084">
        <v>3200000</v>
      </c>
      <c r="M3084" t="s">
        <v>34</v>
      </c>
      <c r="N3084">
        <f t="shared" si="289"/>
        <v>1</v>
      </c>
      <c r="O3084" t="str">
        <f t="shared" si="288"/>
        <v>Excellent</v>
      </c>
      <c r="P3084" t="str">
        <f t="shared" si="290"/>
        <v>High</v>
      </c>
      <c r="Q3084" t="str">
        <f t="shared" si="291"/>
        <v>Low Loan</v>
      </c>
      <c r="R3084">
        <f t="shared" si="292"/>
        <v>21700000</v>
      </c>
      <c r="S3084" t="str">
        <f t="shared" si="293"/>
        <v>Strong</v>
      </c>
    </row>
    <row r="3085" spans="1:19" x14ac:dyDescent="0.25">
      <c r="A3085">
        <v>3084</v>
      </c>
      <c r="B3085">
        <v>5</v>
      </c>
      <c r="C3085" t="s">
        <v>31</v>
      </c>
      <c r="D3085" t="s">
        <v>33</v>
      </c>
      <c r="E3085">
        <v>8400000</v>
      </c>
      <c r="F3085">
        <v>17600000</v>
      </c>
      <c r="G3085">
        <v>12</v>
      </c>
      <c r="H3085">
        <v>397</v>
      </c>
      <c r="I3085">
        <v>13400000</v>
      </c>
      <c r="J3085">
        <v>14500000</v>
      </c>
      <c r="K3085">
        <v>24500000</v>
      </c>
      <c r="L3085">
        <v>7900000</v>
      </c>
      <c r="M3085" t="s">
        <v>35</v>
      </c>
      <c r="N3085">
        <f t="shared" si="289"/>
        <v>0</v>
      </c>
      <c r="O3085" t="str">
        <f t="shared" si="288"/>
        <v>Low</v>
      </c>
      <c r="P3085" t="str">
        <f t="shared" si="290"/>
        <v>High</v>
      </c>
      <c r="Q3085" t="str">
        <f t="shared" si="291"/>
        <v>Low Loan</v>
      </c>
      <c r="R3085">
        <f t="shared" si="292"/>
        <v>60300000</v>
      </c>
      <c r="S3085" t="str">
        <f t="shared" si="293"/>
        <v>Strong</v>
      </c>
    </row>
    <row r="3086" spans="1:19" x14ac:dyDescent="0.25">
      <c r="A3086">
        <v>3085</v>
      </c>
      <c r="B3086">
        <v>4</v>
      </c>
      <c r="C3086" t="s">
        <v>30</v>
      </c>
      <c r="D3086" t="s">
        <v>32</v>
      </c>
      <c r="E3086">
        <v>9700000</v>
      </c>
      <c r="F3086">
        <v>19400000</v>
      </c>
      <c r="G3086">
        <v>20</v>
      </c>
      <c r="H3086">
        <v>798</v>
      </c>
      <c r="I3086">
        <v>6400000</v>
      </c>
      <c r="J3086">
        <v>13700000</v>
      </c>
      <c r="K3086">
        <v>20300000</v>
      </c>
      <c r="L3086">
        <v>12800000</v>
      </c>
      <c r="M3086" t="s">
        <v>34</v>
      </c>
      <c r="N3086">
        <f t="shared" si="289"/>
        <v>1</v>
      </c>
      <c r="O3086" t="str">
        <f t="shared" si="288"/>
        <v>Excellent</v>
      </c>
      <c r="P3086" t="str">
        <f t="shared" si="290"/>
        <v>High</v>
      </c>
      <c r="Q3086" t="str">
        <f t="shared" si="291"/>
        <v>Low Loan</v>
      </c>
      <c r="R3086">
        <f t="shared" si="292"/>
        <v>53200000</v>
      </c>
      <c r="S3086" t="str">
        <f t="shared" si="293"/>
        <v>Strong</v>
      </c>
    </row>
    <row r="3087" spans="1:19" x14ac:dyDescent="0.25">
      <c r="A3087">
        <v>3086</v>
      </c>
      <c r="B3087">
        <v>1</v>
      </c>
      <c r="C3087" t="s">
        <v>31</v>
      </c>
      <c r="D3087" t="s">
        <v>33</v>
      </c>
      <c r="E3087">
        <v>8300000</v>
      </c>
      <c r="F3087">
        <v>26300000</v>
      </c>
      <c r="G3087">
        <v>20</v>
      </c>
      <c r="H3087">
        <v>530</v>
      </c>
      <c r="I3087">
        <v>22800000</v>
      </c>
      <c r="J3087">
        <v>11000000</v>
      </c>
      <c r="K3087">
        <v>33200000</v>
      </c>
      <c r="L3087">
        <v>8000000</v>
      </c>
      <c r="M3087" t="s">
        <v>35</v>
      </c>
      <c r="N3087">
        <f t="shared" si="289"/>
        <v>0</v>
      </c>
      <c r="O3087" t="str">
        <f t="shared" si="288"/>
        <v>Low</v>
      </c>
      <c r="P3087" t="str">
        <f t="shared" si="290"/>
        <v>High</v>
      </c>
      <c r="Q3087" t="str">
        <f t="shared" si="291"/>
        <v>High Loan</v>
      </c>
      <c r="R3087">
        <f t="shared" si="292"/>
        <v>75000000</v>
      </c>
      <c r="S3087" t="str">
        <f t="shared" si="293"/>
        <v>Strong</v>
      </c>
    </row>
    <row r="3088" spans="1:19" x14ac:dyDescent="0.25">
      <c r="A3088">
        <v>3087</v>
      </c>
      <c r="B3088">
        <v>4</v>
      </c>
      <c r="C3088" t="s">
        <v>30</v>
      </c>
      <c r="D3088" t="s">
        <v>32</v>
      </c>
      <c r="E3088">
        <v>2500000</v>
      </c>
      <c r="F3088">
        <v>9900000</v>
      </c>
      <c r="G3088">
        <v>16</v>
      </c>
      <c r="H3088">
        <v>356</v>
      </c>
      <c r="I3088">
        <v>5500000</v>
      </c>
      <c r="J3088">
        <v>2600000</v>
      </c>
      <c r="K3088">
        <v>6100000</v>
      </c>
      <c r="L3088">
        <v>2300000</v>
      </c>
      <c r="M3088" t="s">
        <v>35</v>
      </c>
      <c r="N3088">
        <f t="shared" si="289"/>
        <v>0</v>
      </c>
      <c r="O3088" t="str">
        <f t="shared" si="288"/>
        <v>Low</v>
      </c>
      <c r="P3088" t="str">
        <f t="shared" si="290"/>
        <v>High</v>
      </c>
      <c r="Q3088" t="str">
        <f t="shared" si="291"/>
        <v>Low Loan</v>
      </c>
      <c r="R3088">
        <f t="shared" si="292"/>
        <v>16500000</v>
      </c>
      <c r="S3088" t="str">
        <f t="shared" si="293"/>
        <v>Strong</v>
      </c>
    </row>
    <row r="3089" spans="1:19" x14ac:dyDescent="0.25">
      <c r="A3089">
        <v>3088</v>
      </c>
      <c r="B3089">
        <v>3</v>
      </c>
      <c r="C3089" t="s">
        <v>30</v>
      </c>
      <c r="D3089" t="s">
        <v>32</v>
      </c>
      <c r="E3089">
        <v>6100000</v>
      </c>
      <c r="F3089">
        <v>24000000</v>
      </c>
      <c r="G3089">
        <v>18</v>
      </c>
      <c r="H3089">
        <v>718</v>
      </c>
      <c r="I3089">
        <v>4100000</v>
      </c>
      <c r="J3089">
        <v>3400000</v>
      </c>
      <c r="K3089">
        <v>16600000</v>
      </c>
      <c r="L3089">
        <v>6800000</v>
      </c>
      <c r="M3089" t="s">
        <v>34</v>
      </c>
      <c r="N3089">
        <f t="shared" si="289"/>
        <v>1</v>
      </c>
      <c r="O3089" t="str">
        <f t="shared" si="288"/>
        <v>Good</v>
      </c>
      <c r="P3089" t="str">
        <f t="shared" si="290"/>
        <v>High</v>
      </c>
      <c r="Q3089" t="str">
        <f t="shared" si="291"/>
        <v>High Loan</v>
      </c>
      <c r="R3089">
        <f t="shared" si="292"/>
        <v>30900000</v>
      </c>
      <c r="S3089" t="str">
        <f t="shared" si="293"/>
        <v>Strong</v>
      </c>
    </row>
    <row r="3090" spans="1:19" x14ac:dyDescent="0.25">
      <c r="A3090">
        <v>3089</v>
      </c>
      <c r="B3090">
        <v>3</v>
      </c>
      <c r="C3090" t="s">
        <v>31</v>
      </c>
      <c r="D3090" t="s">
        <v>32</v>
      </c>
      <c r="E3090">
        <v>5000000</v>
      </c>
      <c r="F3090">
        <v>13000000</v>
      </c>
      <c r="G3090">
        <v>10</v>
      </c>
      <c r="H3090">
        <v>459</v>
      </c>
      <c r="I3090">
        <v>2900000</v>
      </c>
      <c r="J3090">
        <v>3400000</v>
      </c>
      <c r="K3090">
        <v>18200000</v>
      </c>
      <c r="L3090">
        <v>7200000</v>
      </c>
      <c r="M3090" t="s">
        <v>35</v>
      </c>
      <c r="N3090">
        <f t="shared" si="289"/>
        <v>0</v>
      </c>
      <c r="O3090" t="str">
        <f t="shared" si="288"/>
        <v>Low</v>
      </c>
      <c r="P3090" t="str">
        <f t="shared" si="290"/>
        <v>High</v>
      </c>
      <c r="Q3090" t="str">
        <f t="shared" si="291"/>
        <v>Low Loan</v>
      </c>
      <c r="R3090">
        <f t="shared" si="292"/>
        <v>31700000</v>
      </c>
      <c r="S3090" t="str">
        <f t="shared" si="293"/>
        <v>Strong</v>
      </c>
    </row>
    <row r="3091" spans="1:19" x14ac:dyDescent="0.25">
      <c r="A3091">
        <v>3090</v>
      </c>
      <c r="B3091">
        <v>3</v>
      </c>
      <c r="C3091" t="s">
        <v>31</v>
      </c>
      <c r="D3091" t="s">
        <v>32</v>
      </c>
      <c r="E3091">
        <v>9500000</v>
      </c>
      <c r="F3091">
        <v>22200000</v>
      </c>
      <c r="G3091">
        <v>8</v>
      </c>
      <c r="H3091">
        <v>571</v>
      </c>
      <c r="I3091">
        <v>4400000</v>
      </c>
      <c r="J3091">
        <v>8600000</v>
      </c>
      <c r="K3091">
        <v>24400000</v>
      </c>
      <c r="L3091">
        <v>10500000</v>
      </c>
      <c r="M3091" t="s">
        <v>34</v>
      </c>
      <c r="N3091">
        <f t="shared" si="289"/>
        <v>1</v>
      </c>
      <c r="O3091" t="str">
        <f t="shared" si="288"/>
        <v>Low</v>
      </c>
      <c r="P3091" t="str">
        <f t="shared" si="290"/>
        <v>High</v>
      </c>
      <c r="Q3091" t="str">
        <f t="shared" si="291"/>
        <v>High Loan</v>
      </c>
      <c r="R3091">
        <f t="shared" si="292"/>
        <v>47900000</v>
      </c>
      <c r="S3091" t="str">
        <f t="shared" si="293"/>
        <v>Strong</v>
      </c>
    </row>
    <row r="3092" spans="1:19" x14ac:dyDescent="0.25">
      <c r="A3092">
        <v>3091</v>
      </c>
      <c r="B3092">
        <v>2</v>
      </c>
      <c r="C3092" t="s">
        <v>30</v>
      </c>
      <c r="D3092" t="s">
        <v>32</v>
      </c>
      <c r="E3092">
        <v>5700000</v>
      </c>
      <c r="F3092">
        <v>20500000</v>
      </c>
      <c r="G3092">
        <v>8</v>
      </c>
      <c r="H3092">
        <v>412</v>
      </c>
      <c r="I3092">
        <v>5800000</v>
      </c>
      <c r="J3092">
        <v>4300000</v>
      </c>
      <c r="K3092">
        <v>21200000</v>
      </c>
      <c r="L3092">
        <v>4900000</v>
      </c>
      <c r="M3092" t="s">
        <v>35</v>
      </c>
      <c r="N3092">
        <f t="shared" si="289"/>
        <v>0</v>
      </c>
      <c r="O3092" t="str">
        <f t="shared" si="288"/>
        <v>Low</v>
      </c>
      <c r="P3092" t="str">
        <f t="shared" si="290"/>
        <v>High</v>
      </c>
      <c r="Q3092" t="str">
        <f t="shared" si="291"/>
        <v>High Loan</v>
      </c>
      <c r="R3092">
        <f t="shared" si="292"/>
        <v>36200000</v>
      </c>
      <c r="S3092" t="str">
        <f t="shared" si="293"/>
        <v>Strong</v>
      </c>
    </row>
    <row r="3093" spans="1:19" x14ac:dyDescent="0.25">
      <c r="A3093">
        <v>3092</v>
      </c>
      <c r="B3093">
        <v>1</v>
      </c>
      <c r="C3093" t="s">
        <v>30</v>
      </c>
      <c r="D3093" t="s">
        <v>33</v>
      </c>
      <c r="E3093">
        <v>5000000</v>
      </c>
      <c r="F3093">
        <v>12500000</v>
      </c>
      <c r="G3093">
        <v>20</v>
      </c>
      <c r="H3093">
        <v>604</v>
      </c>
      <c r="I3093">
        <v>4100000</v>
      </c>
      <c r="J3093">
        <v>100000</v>
      </c>
      <c r="K3093">
        <v>12200000</v>
      </c>
      <c r="L3093">
        <v>7400000</v>
      </c>
      <c r="M3093" t="s">
        <v>34</v>
      </c>
      <c r="N3093">
        <f t="shared" si="289"/>
        <v>1</v>
      </c>
      <c r="O3093" t="str">
        <f t="shared" si="288"/>
        <v>Low</v>
      </c>
      <c r="P3093" t="str">
        <f t="shared" si="290"/>
        <v>High</v>
      </c>
      <c r="Q3093" t="str">
        <f t="shared" si="291"/>
        <v>Low Loan</v>
      </c>
      <c r="R3093">
        <f t="shared" si="292"/>
        <v>23800000</v>
      </c>
      <c r="S3093" t="str">
        <f t="shared" si="293"/>
        <v>Strong</v>
      </c>
    </row>
    <row r="3094" spans="1:19" x14ac:dyDescent="0.25">
      <c r="A3094">
        <v>3093</v>
      </c>
      <c r="B3094">
        <v>4</v>
      </c>
      <c r="C3094" t="s">
        <v>31</v>
      </c>
      <c r="D3094" t="s">
        <v>33</v>
      </c>
      <c r="E3094">
        <v>8600000</v>
      </c>
      <c r="F3094">
        <v>20600000</v>
      </c>
      <c r="G3094">
        <v>16</v>
      </c>
      <c r="H3094">
        <v>449</v>
      </c>
      <c r="I3094">
        <v>10800000</v>
      </c>
      <c r="J3094">
        <v>10600000</v>
      </c>
      <c r="K3094">
        <v>28700000</v>
      </c>
      <c r="L3094">
        <v>5400000</v>
      </c>
      <c r="M3094" t="s">
        <v>35</v>
      </c>
      <c r="N3094">
        <f t="shared" si="289"/>
        <v>0</v>
      </c>
      <c r="O3094" t="str">
        <f t="shared" si="288"/>
        <v>Low</v>
      </c>
      <c r="P3094" t="str">
        <f t="shared" si="290"/>
        <v>High</v>
      </c>
      <c r="Q3094" t="str">
        <f t="shared" si="291"/>
        <v>High Loan</v>
      </c>
      <c r="R3094">
        <f t="shared" si="292"/>
        <v>55500000</v>
      </c>
      <c r="S3094" t="str">
        <f t="shared" si="293"/>
        <v>Strong</v>
      </c>
    </row>
    <row r="3095" spans="1:19" x14ac:dyDescent="0.25">
      <c r="A3095">
        <v>3094</v>
      </c>
      <c r="B3095">
        <v>5</v>
      </c>
      <c r="C3095" t="s">
        <v>31</v>
      </c>
      <c r="D3095" t="s">
        <v>32</v>
      </c>
      <c r="E3095">
        <v>1400000</v>
      </c>
      <c r="F3095">
        <v>5300000</v>
      </c>
      <c r="G3095">
        <v>12</v>
      </c>
      <c r="H3095">
        <v>778</v>
      </c>
      <c r="I3095">
        <v>1600000</v>
      </c>
      <c r="J3095">
        <v>700000</v>
      </c>
      <c r="K3095">
        <v>4400000</v>
      </c>
      <c r="L3095">
        <v>700000</v>
      </c>
      <c r="M3095" t="s">
        <v>34</v>
      </c>
      <c r="N3095">
        <f t="shared" si="289"/>
        <v>1</v>
      </c>
      <c r="O3095" t="str">
        <f t="shared" si="288"/>
        <v>Excellent</v>
      </c>
      <c r="P3095" t="str">
        <f t="shared" si="290"/>
        <v>High</v>
      </c>
      <c r="Q3095" t="str">
        <f t="shared" si="291"/>
        <v>Low Loan</v>
      </c>
      <c r="R3095">
        <f t="shared" si="292"/>
        <v>7400000</v>
      </c>
      <c r="S3095" t="str">
        <f t="shared" si="293"/>
        <v>Moderate</v>
      </c>
    </row>
    <row r="3096" spans="1:19" x14ac:dyDescent="0.25">
      <c r="A3096">
        <v>3095</v>
      </c>
      <c r="B3096">
        <v>3</v>
      </c>
      <c r="C3096" t="s">
        <v>30</v>
      </c>
      <c r="D3096" t="s">
        <v>32</v>
      </c>
      <c r="E3096">
        <v>5900000</v>
      </c>
      <c r="F3096">
        <v>21200000</v>
      </c>
      <c r="G3096">
        <v>16</v>
      </c>
      <c r="H3096">
        <v>476</v>
      </c>
      <c r="I3096">
        <v>11700000</v>
      </c>
      <c r="J3096">
        <v>4800000</v>
      </c>
      <c r="K3096">
        <v>14800000</v>
      </c>
      <c r="L3096">
        <v>7700000</v>
      </c>
      <c r="M3096" t="s">
        <v>35</v>
      </c>
      <c r="N3096">
        <f t="shared" si="289"/>
        <v>0</v>
      </c>
      <c r="O3096" t="str">
        <f t="shared" si="288"/>
        <v>Low</v>
      </c>
      <c r="P3096" t="str">
        <f t="shared" si="290"/>
        <v>High</v>
      </c>
      <c r="Q3096" t="str">
        <f t="shared" si="291"/>
        <v>High Loan</v>
      </c>
      <c r="R3096">
        <f t="shared" si="292"/>
        <v>39000000</v>
      </c>
      <c r="S3096" t="str">
        <f t="shared" si="293"/>
        <v>Strong</v>
      </c>
    </row>
    <row r="3097" spans="1:19" x14ac:dyDescent="0.25">
      <c r="A3097">
        <v>3096</v>
      </c>
      <c r="B3097">
        <v>4</v>
      </c>
      <c r="C3097" t="s">
        <v>30</v>
      </c>
      <c r="D3097" t="s">
        <v>33</v>
      </c>
      <c r="E3097">
        <v>4100000</v>
      </c>
      <c r="F3097">
        <v>10400000</v>
      </c>
      <c r="G3097">
        <v>12</v>
      </c>
      <c r="H3097">
        <v>727</v>
      </c>
      <c r="I3097">
        <v>11900000</v>
      </c>
      <c r="J3097">
        <v>5900000</v>
      </c>
      <c r="K3097">
        <v>16400000</v>
      </c>
      <c r="L3097">
        <v>4400000</v>
      </c>
      <c r="M3097" t="s">
        <v>34</v>
      </c>
      <c r="N3097">
        <f t="shared" si="289"/>
        <v>1</v>
      </c>
      <c r="O3097" t="str">
        <f t="shared" si="288"/>
        <v>Good</v>
      </c>
      <c r="P3097" t="str">
        <f t="shared" si="290"/>
        <v>High</v>
      </c>
      <c r="Q3097" t="str">
        <f t="shared" si="291"/>
        <v>Low Loan</v>
      </c>
      <c r="R3097">
        <f t="shared" si="292"/>
        <v>38600000</v>
      </c>
      <c r="S3097" t="str">
        <f t="shared" si="293"/>
        <v>Strong</v>
      </c>
    </row>
    <row r="3098" spans="1:19" x14ac:dyDescent="0.25">
      <c r="A3098">
        <v>3097</v>
      </c>
      <c r="B3098">
        <v>3</v>
      </c>
      <c r="C3098" t="s">
        <v>30</v>
      </c>
      <c r="D3098" t="s">
        <v>32</v>
      </c>
      <c r="E3098">
        <v>7400000</v>
      </c>
      <c r="F3098">
        <v>18500000</v>
      </c>
      <c r="G3098">
        <v>8</v>
      </c>
      <c r="H3098">
        <v>818</v>
      </c>
      <c r="I3098">
        <v>10400000</v>
      </c>
      <c r="J3098">
        <v>8800000</v>
      </c>
      <c r="K3098">
        <v>28000000</v>
      </c>
      <c r="L3098">
        <v>8400000</v>
      </c>
      <c r="M3098" t="s">
        <v>34</v>
      </c>
      <c r="N3098">
        <f t="shared" si="289"/>
        <v>1</v>
      </c>
      <c r="O3098" t="str">
        <f t="shared" si="288"/>
        <v>Excellent</v>
      </c>
      <c r="P3098" t="str">
        <f t="shared" si="290"/>
        <v>High</v>
      </c>
      <c r="Q3098" t="str">
        <f t="shared" si="291"/>
        <v>Low Loan</v>
      </c>
      <c r="R3098">
        <f t="shared" si="292"/>
        <v>55600000</v>
      </c>
      <c r="S3098" t="str">
        <f t="shared" si="293"/>
        <v>Strong</v>
      </c>
    </row>
    <row r="3099" spans="1:19" x14ac:dyDescent="0.25">
      <c r="A3099">
        <v>3098</v>
      </c>
      <c r="B3099">
        <v>1</v>
      </c>
      <c r="C3099" t="s">
        <v>30</v>
      </c>
      <c r="D3099" t="s">
        <v>33</v>
      </c>
      <c r="E3099">
        <v>7100000</v>
      </c>
      <c r="F3099">
        <v>19300000</v>
      </c>
      <c r="G3099">
        <v>16</v>
      </c>
      <c r="H3099">
        <v>738</v>
      </c>
      <c r="I3099">
        <v>7200000</v>
      </c>
      <c r="J3099">
        <v>0</v>
      </c>
      <c r="K3099">
        <v>24300000</v>
      </c>
      <c r="L3099">
        <v>3600000</v>
      </c>
      <c r="M3099" t="s">
        <v>34</v>
      </c>
      <c r="N3099">
        <f t="shared" si="289"/>
        <v>1</v>
      </c>
      <c r="O3099" t="str">
        <f t="shared" si="288"/>
        <v>Good</v>
      </c>
      <c r="P3099" t="str">
        <f t="shared" si="290"/>
        <v>High</v>
      </c>
      <c r="Q3099" t="str">
        <f t="shared" si="291"/>
        <v>Low Loan</v>
      </c>
      <c r="R3099">
        <f t="shared" si="292"/>
        <v>35100000</v>
      </c>
      <c r="S3099" t="str">
        <f t="shared" si="293"/>
        <v>Strong</v>
      </c>
    </row>
    <row r="3100" spans="1:19" x14ac:dyDescent="0.25">
      <c r="A3100">
        <v>3099</v>
      </c>
      <c r="B3100">
        <v>5</v>
      </c>
      <c r="C3100" t="s">
        <v>30</v>
      </c>
      <c r="D3100" t="s">
        <v>33</v>
      </c>
      <c r="E3100">
        <v>5300000</v>
      </c>
      <c r="F3100">
        <v>18200000</v>
      </c>
      <c r="G3100">
        <v>16</v>
      </c>
      <c r="H3100">
        <v>546</v>
      </c>
      <c r="I3100">
        <v>14600000</v>
      </c>
      <c r="J3100">
        <v>7900000</v>
      </c>
      <c r="K3100">
        <v>13400000</v>
      </c>
      <c r="L3100">
        <v>4000000</v>
      </c>
      <c r="M3100" t="s">
        <v>35</v>
      </c>
      <c r="N3100">
        <f t="shared" si="289"/>
        <v>0</v>
      </c>
      <c r="O3100" t="str">
        <f t="shared" si="288"/>
        <v>Low</v>
      </c>
      <c r="P3100" t="str">
        <f t="shared" si="290"/>
        <v>High</v>
      </c>
      <c r="Q3100" t="str">
        <f t="shared" si="291"/>
        <v>Low Loan</v>
      </c>
      <c r="R3100">
        <f t="shared" si="292"/>
        <v>39900000</v>
      </c>
      <c r="S3100" t="str">
        <f t="shared" si="293"/>
        <v>Strong</v>
      </c>
    </row>
    <row r="3101" spans="1:19" x14ac:dyDescent="0.25">
      <c r="A3101">
        <v>3100</v>
      </c>
      <c r="B3101">
        <v>2</v>
      </c>
      <c r="C3101" t="s">
        <v>31</v>
      </c>
      <c r="D3101" t="s">
        <v>32</v>
      </c>
      <c r="E3101">
        <v>6600000</v>
      </c>
      <c r="F3101">
        <v>14100000</v>
      </c>
      <c r="G3101">
        <v>2</v>
      </c>
      <c r="H3101">
        <v>471</v>
      </c>
      <c r="I3101">
        <v>10800000</v>
      </c>
      <c r="J3101">
        <v>11400000</v>
      </c>
      <c r="K3101">
        <v>20700000</v>
      </c>
      <c r="L3101">
        <v>6000000</v>
      </c>
      <c r="M3101" t="s">
        <v>35</v>
      </c>
      <c r="N3101">
        <f t="shared" si="289"/>
        <v>0</v>
      </c>
      <c r="O3101" t="str">
        <f t="shared" si="288"/>
        <v>Low</v>
      </c>
      <c r="P3101" t="str">
        <f t="shared" si="290"/>
        <v>High</v>
      </c>
      <c r="Q3101" t="str">
        <f t="shared" si="291"/>
        <v>Low Loan</v>
      </c>
      <c r="R3101">
        <f t="shared" si="292"/>
        <v>48900000</v>
      </c>
      <c r="S3101" t="str">
        <f t="shared" si="293"/>
        <v>Strong</v>
      </c>
    </row>
    <row r="3102" spans="1:19" x14ac:dyDescent="0.25">
      <c r="A3102">
        <v>3101</v>
      </c>
      <c r="B3102">
        <v>3</v>
      </c>
      <c r="C3102" t="s">
        <v>31</v>
      </c>
      <c r="D3102" t="s">
        <v>32</v>
      </c>
      <c r="E3102">
        <v>2800000</v>
      </c>
      <c r="F3102">
        <v>10600000</v>
      </c>
      <c r="G3102">
        <v>4</v>
      </c>
      <c r="H3102">
        <v>860</v>
      </c>
      <c r="I3102">
        <v>5200000</v>
      </c>
      <c r="J3102">
        <v>4700000</v>
      </c>
      <c r="K3102">
        <v>6700000</v>
      </c>
      <c r="L3102">
        <v>2900000</v>
      </c>
      <c r="M3102" t="s">
        <v>34</v>
      </c>
      <c r="N3102">
        <f t="shared" si="289"/>
        <v>1</v>
      </c>
      <c r="O3102" t="str">
        <f t="shared" si="288"/>
        <v>Excellent</v>
      </c>
      <c r="P3102" t="str">
        <f t="shared" si="290"/>
        <v>High</v>
      </c>
      <c r="Q3102" t="str">
        <f t="shared" si="291"/>
        <v>Low Loan</v>
      </c>
      <c r="R3102">
        <f t="shared" si="292"/>
        <v>19500000</v>
      </c>
      <c r="S3102" t="str">
        <f t="shared" si="293"/>
        <v>Strong</v>
      </c>
    </row>
    <row r="3103" spans="1:19" x14ac:dyDescent="0.25">
      <c r="A3103">
        <v>3102</v>
      </c>
      <c r="B3103">
        <v>1</v>
      </c>
      <c r="C3103" t="s">
        <v>31</v>
      </c>
      <c r="D3103" t="s">
        <v>33</v>
      </c>
      <c r="E3103">
        <v>1600000</v>
      </c>
      <c r="F3103">
        <v>4400000</v>
      </c>
      <c r="G3103">
        <v>4</v>
      </c>
      <c r="H3103">
        <v>364</v>
      </c>
      <c r="I3103">
        <v>2500000</v>
      </c>
      <c r="J3103">
        <v>700000</v>
      </c>
      <c r="K3103">
        <v>4300000</v>
      </c>
      <c r="L3103">
        <v>2400000</v>
      </c>
      <c r="M3103" t="s">
        <v>35</v>
      </c>
      <c r="N3103">
        <f t="shared" si="289"/>
        <v>0</v>
      </c>
      <c r="O3103" t="str">
        <f t="shared" si="288"/>
        <v>Low</v>
      </c>
      <c r="P3103" t="str">
        <f t="shared" si="290"/>
        <v>High</v>
      </c>
      <c r="Q3103" t="str">
        <f t="shared" si="291"/>
        <v>Low Loan</v>
      </c>
      <c r="R3103">
        <f t="shared" si="292"/>
        <v>9900000</v>
      </c>
      <c r="S3103" t="str">
        <f t="shared" si="293"/>
        <v>Moderate</v>
      </c>
    </row>
    <row r="3104" spans="1:19" x14ac:dyDescent="0.25">
      <c r="A3104">
        <v>3103</v>
      </c>
      <c r="B3104">
        <v>0</v>
      </c>
      <c r="C3104" t="s">
        <v>30</v>
      </c>
      <c r="D3104" t="s">
        <v>33</v>
      </c>
      <c r="E3104">
        <v>8500000</v>
      </c>
      <c r="F3104">
        <v>25300000</v>
      </c>
      <c r="G3104">
        <v>20</v>
      </c>
      <c r="H3104">
        <v>557</v>
      </c>
      <c r="I3104">
        <v>13000000</v>
      </c>
      <c r="J3104">
        <v>5100000</v>
      </c>
      <c r="K3104">
        <v>23900000</v>
      </c>
      <c r="L3104">
        <v>7100000</v>
      </c>
      <c r="M3104" t="s">
        <v>34</v>
      </c>
      <c r="N3104">
        <f t="shared" si="289"/>
        <v>1</v>
      </c>
      <c r="O3104" t="str">
        <f t="shared" si="288"/>
        <v>Low</v>
      </c>
      <c r="P3104" t="str">
        <f t="shared" si="290"/>
        <v>High</v>
      </c>
      <c r="Q3104" t="str">
        <f t="shared" si="291"/>
        <v>High Loan</v>
      </c>
      <c r="R3104">
        <f t="shared" si="292"/>
        <v>49100000</v>
      </c>
      <c r="S3104" t="str">
        <f t="shared" si="293"/>
        <v>Strong</v>
      </c>
    </row>
    <row r="3105" spans="1:19" x14ac:dyDescent="0.25">
      <c r="A3105">
        <v>3104</v>
      </c>
      <c r="B3105">
        <v>1</v>
      </c>
      <c r="C3105" t="s">
        <v>31</v>
      </c>
      <c r="D3105" t="s">
        <v>33</v>
      </c>
      <c r="E3105">
        <v>5200000</v>
      </c>
      <c r="F3105">
        <v>20700000</v>
      </c>
      <c r="G3105">
        <v>12</v>
      </c>
      <c r="H3105">
        <v>612</v>
      </c>
      <c r="I3105">
        <v>2200000</v>
      </c>
      <c r="J3105">
        <v>2600000</v>
      </c>
      <c r="K3105">
        <v>16500000</v>
      </c>
      <c r="L3105">
        <v>3200000</v>
      </c>
      <c r="M3105" t="s">
        <v>34</v>
      </c>
      <c r="N3105">
        <f t="shared" si="289"/>
        <v>1</v>
      </c>
      <c r="O3105" t="str">
        <f t="shared" si="288"/>
        <v>Low</v>
      </c>
      <c r="P3105" t="str">
        <f t="shared" si="290"/>
        <v>High</v>
      </c>
      <c r="Q3105" t="str">
        <f t="shared" si="291"/>
        <v>High Loan</v>
      </c>
      <c r="R3105">
        <f t="shared" si="292"/>
        <v>24500000</v>
      </c>
      <c r="S3105" t="str">
        <f t="shared" si="293"/>
        <v>Strong</v>
      </c>
    </row>
    <row r="3106" spans="1:19" x14ac:dyDescent="0.25">
      <c r="A3106">
        <v>3105</v>
      </c>
      <c r="B3106">
        <v>2</v>
      </c>
      <c r="C3106" t="s">
        <v>31</v>
      </c>
      <c r="D3106" t="s">
        <v>33</v>
      </c>
      <c r="E3106">
        <v>6400000</v>
      </c>
      <c r="F3106">
        <v>19300000</v>
      </c>
      <c r="G3106">
        <v>6</v>
      </c>
      <c r="H3106">
        <v>414</v>
      </c>
      <c r="I3106">
        <v>7200000</v>
      </c>
      <c r="J3106">
        <v>1800000</v>
      </c>
      <c r="K3106">
        <v>19100000</v>
      </c>
      <c r="L3106">
        <v>3900000</v>
      </c>
      <c r="M3106" t="s">
        <v>35</v>
      </c>
      <c r="N3106">
        <f t="shared" si="289"/>
        <v>0</v>
      </c>
      <c r="O3106" t="str">
        <f t="shared" si="288"/>
        <v>Low</v>
      </c>
      <c r="P3106" t="str">
        <f t="shared" si="290"/>
        <v>High</v>
      </c>
      <c r="Q3106" t="str">
        <f t="shared" si="291"/>
        <v>Low Loan</v>
      </c>
      <c r="R3106">
        <f t="shared" si="292"/>
        <v>32000000</v>
      </c>
      <c r="S3106" t="str">
        <f t="shared" si="293"/>
        <v>Strong</v>
      </c>
    </row>
    <row r="3107" spans="1:19" x14ac:dyDescent="0.25">
      <c r="A3107">
        <v>3106</v>
      </c>
      <c r="B3107">
        <v>5</v>
      </c>
      <c r="C3107" t="s">
        <v>30</v>
      </c>
      <c r="D3107" t="s">
        <v>32</v>
      </c>
      <c r="E3107">
        <v>1300000</v>
      </c>
      <c r="F3107">
        <v>2900000</v>
      </c>
      <c r="G3107">
        <v>4</v>
      </c>
      <c r="H3107">
        <v>372</v>
      </c>
      <c r="I3107">
        <v>1700000</v>
      </c>
      <c r="J3107">
        <v>100000</v>
      </c>
      <c r="K3107">
        <v>2800000</v>
      </c>
      <c r="L3107">
        <v>600000</v>
      </c>
      <c r="M3107" t="s">
        <v>35</v>
      </c>
      <c r="N3107">
        <f t="shared" si="289"/>
        <v>0</v>
      </c>
      <c r="O3107" t="str">
        <f t="shared" si="288"/>
        <v>Low</v>
      </c>
      <c r="P3107" t="str">
        <f t="shared" si="290"/>
        <v>High</v>
      </c>
      <c r="Q3107" t="str">
        <f t="shared" si="291"/>
        <v>Low Loan</v>
      </c>
      <c r="R3107">
        <f t="shared" si="292"/>
        <v>5200000</v>
      </c>
      <c r="S3107" t="str">
        <f t="shared" si="293"/>
        <v>Moderate</v>
      </c>
    </row>
    <row r="3108" spans="1:19" x14ac:dyDescent="0.25">
      <c r="A3108">
        <v>3107</v>
      </c>
      <c r="B3108">
        <v>0</v>
      </c>
      <c r="C3108" t="s">
        <v>30</v>
      </c>
      <c r="D3108" t="s">
        <v>32</v>
      </c>
      <c r="E3108">
        <v>5600000</v>
      </c>
      <c r="F3108">
        <v>11600000</v>
      </c>
      <c r="G3108">
        <v>12</v>
      </c>
      <c r="H3108">
        <v>466</v>
      </c>
      <c r="I3108">
        <v>15000000</v>
      </c>
      <c r="J3108">
        <v>7400000</v>
      </c>
      <c r="K3108">
        <v>21800000</v>
      </c>
      <c r="L3108">
        <v>7500000</v>
      </c>
      <c r="M3108" t="s">
        <v>35</v>
      </c>
      <c r="N3108">
        <f t="shared" si="289"/>
        <v>0</v>
      </c>
      <c r="O3108" t="str">
        <f t="shared" si="288"/>
        <v>Low</v>
      </c>
      <c r="P3108" t="str">
        <f t="shared" si="290"/>
        <v>High</v>
      </c>
      <c r="Q3108" t="str">
        <f t="shared" si="291"/>
        <v>Low Loan</v>
      </c>
      <c r="R3108">
        <f t="shared" si="292"/>
        <v>51700000</v>
      </c>
      <c r="S3108" t="str">
        <f t="shared" si="293"/>
        <v>Strong</v>
      </c>
    </row>
    <row r="3109" spans="1:19" x14ac:dyDescent="0.25">
      <c r="A3109">
        <v>3108</v>
      </c>
      <c r="B3109">
        <v>3</v>
      </c>
      <c r="C3109" t="s">
        <v>30</v>
      </c>
      <c r="D3109" t="s">
        <v>33</v>
      </c>
      <c r="E3109">
        <v>9000000</v>
      </c>
      <c r="F3109">
        <v>19800000</v>
      </c>
      <c r="G3109">
        <v>20</v>
      </c>
      <c r="H3109">
        <v>348</v>
      </c>
      <c r="I3109">
        <v>8600000</v>
      </c>
      <c r="J3109">
        <v>9200000</v>
      </c>
      <c r="K3109">
        <v>25300000</v>
      </c>
      <c r="L3109">
        <v>6000000</v>
      </c>
      <c r="M3109" t="s">
        <v>35</v>
      </c>
      <c r="N3109">
        <f t="shared" si="289"/>
        <v>0</v>
      </c>
      <c r="O3109" t="str">
        <f t="shared" si="288"/>
        <v>Low</v>
      </c>
      <c r="P3109" t="str">
        <f t="shared" si="290"/>
        <v>High</v>
      </c>
      <c r="Q3109" t="str">
        <f t="shared" si="291"/>
        <v>Low Loan</v>
      </c>
      <c r="R3109">
        <f t="shared" si="292"/>
        <v>49100000</v>
      </c>
      <c r="S3109" t="str">
        <f t="shared" si="293"/>
        <v>Strong</v>
      </c>
    </row>
    <row r="3110" spans="1:19" x14ac:dyDescent="0.25">
      <c r="A3110">
        <v>3109</v>
      </c>
      <c r="B3110">
        <v>1</v>
      </c>
      <c r="C3110" t="s">
        <v>31</v>
      </c>
      <c r="D3110" t="s">
        <v>33</v>
      </c>
      <c r="E3110">
        <v>7800000</v>
      </c>
      <c r="F3110">
        <v>17200000</v>
      </c>
      <c r="G3110">
        <v>4</v>
      </c>
      <c r="H3110">
        <v>597</v>
      </c>
      <c r="I3110">
        <v>3700000</v>
      </c>
      <c r="J3110">
        <v>12700000</v>
      </c>
      <c r="K3110">
        <v>17400000</v>
      </c>
      <c r="L3110">
        <v>8500000</v>
      </c>
      <c r="M3110" t="s">
        <v>34</v>
      </c>
      <c r="N3110">
        <f t="shared" si="289"/>
        <v>1</v>
      </c>
      <c r="O3110" t="str">
        <f t="shared" si="288"/>
        <v>Low</v>
      </c>
      <c r="P3110" t="str">
        <f t="shared" si="290"/>
        <v>High</v>
      </c>
      <c r="Q3110" t="str">
        <f t="shared" si="291"/>
        <v>Low Loan</v>
      </c>
      <c r="R3110">
        <f t="shared" si="292"/>
        <v>42300000</v>
      </c>
      <c r="S3110" t="str">
        <f t="shared" si="293"/>
        <v>Strong</v>
      </c>
    </row>
    <row r="3111" spans="1:19" x14ac:dyDescent="0.25">
      <c r="A3111">
        <v>3110</v>
      </c>
      <c r="B3111">
        <v>4</v>
      </c>
      <c r="C3111" t="s">
        <v>31</v>
      </c>
      <c r="D3111" t="s">
        <v>33</v>
      </c>
      <c r="E3111">
        <v>4000000</v>
      </c>
      <c r="F3111">
        <v>11000000</v>
      </c>
      <c r="G3111">
        <v>8</v>
      </c>
      <c r="H3111">
        <v>791</v>
      </c>
      <c r="I3111">
        <v>500000</v>
      </c>
      <c r="J3111">
        <v>4700000</v>
      </c>
      <c r="K3111">
        <v>10300000</v>
      </c>
      <c r="L3111">
        <v>3000000</v>
      </c>
      <c r="M3111" t="s">
        <v>34</v>
      </c>
      <c r="N3111">
        <f t="shared" si="289"/>
        <v>1</v>
      </c>
      <c r="O3111" t="str">
        <f t="shared" si="288"/>
        <v>Excellent</v>
      </c>
      <c r="P3111" t="str">
        <f t="shared" si="290"/>
        <v>High</v>
      </c>
      <c r="Q3111" t="str">
        <f t="shared" si="291"/>
        <v>Low Loan</v>
      </c>
      <c r="R3111">
        <f t="shared" si="292"/>
        <v>18500000</v>
      </c>
      <c r="S3111" t="str">
        <f t="shared" si="293"/>
        <v>Strong</v>
      </c>
    </row>
    <row r="3112" spans="1:19" x14ac:dyDescent="0.25">
      <c r="A3112">
        <v>3111</v>
      </c>
      <c r="B3112">
        <v>0</v>
      </c>
      <c r="C3112" t="s">
        <v>30</v>
      </c>
      <c r="D3112" t="s">
        <v>33</v>
      </c>
      <c r="E3112">
        <v>700000</v>
      </c>
      <c r="F3112">
        <v>1800000</v>
      </c>
      <c r="G3112">
        <v>12</v>
      </c>
      <c r="H3112">
        <v>400</v>
      </c>
      <c r="I3112">
        <v>1500000</v>
      </c>
      <c r="J3112">
        <v>1100000</v>
      </c>
      <c r="K3112">
        <v>2200000</v>
      </c>
      <c r="L3112">
        <v>300000</v>
      </c>
      <c r="M3112" t="s">
        <v>35</v>
      </c>
      <c r="N3112">
        <f t="shared" si="289"/>
        <v>0</v>
      </c>
      <c r="O3112" t="str">
        <f t="shared" si="288"/>
        <v>Low</v>
      </c>
      <c r="P3112" t="str">
        <f t="shared" si="290"/>
        <v>High</v>
      </c>
      <c r="Q3112" t="str">
        <f t="shared" si="291"/>
        <v>Low Loan</v>
      </c>
      <c r="R3112">
        <f t="shared" si="292"/>
        <v>5100000</v>
      </c>
      <c r="S3112" t="str">
        <f t="shared" si="293"/>
        <v>Moderate</v>
      </c>
    </row>
    <row r="3113" spans="1:19" x14ac:dyDescent="0.25">
      <c r="A3113">
        <v>3112</v>
      </c>
      <c r="B3113">
        <v>5</v>
      </c>
      <c r="C3113" t="s">
        <v>30</v>
      </c>
      <c r="D3113" t="s">
        <v>33</v>
      </c>
      <c r="E3113">
        <v>7300000</v>
      </c>
      <c r="F3113">
        <v>18700000</v>
      </c>
      <c r="G3113">
        <v>16</v>
      </c>
      <c r="H3113">
        <v>813</v>
      </c>
      <c r="I3113">
        <v>6600000</v>
      </c>
      <c r="J3113">
        <v>8200000</v>
      </c>
      <c r="K3113">
        <v>20000000</v>
      </c>
      <c r="L3113">
        <v>5800000</v>
      </c>
      <c r="M3113" t="s">
        <v>34</v>
      </c>
      <c r="N3113">
        <f t="shared" si="289"/>
        <v>1</v>
      </c>
      <c r="O3113" t="str">
        <f t="shared" si="288"/>
        <v>Excellent</v>
      </c>
      <c r="P3113" t="str">
        <f t="shared" si="290"/>
        <v>High</v>
      </c>
      <c r="Q3113" t="str">
        <f t="shared" si="291"/>
        <v>Low Loan</v>
      </c>
      <c r="R3113">
        <f t="shared" si="292"/>
        <v>40600000</v>
      </c>
      <c r="S3113" t="str">
        <f t="shared" si="293"/>
        <v>Strong</v>
      </c>
    </row>
    <row r="3114" spans="1:19" x14ac:dyDescent="0.25">
      <c r="A3114">
        <v>3113</v>
      </c>
      <c r="B3114">
        <v>0</v>
      </c>
      <c r="C3114" t="s">
        <v>31</v>
      </c>
      <c r="D3114" t="s">
        <v>33</v>
      </c>
      <c r="E3114">
        <v>5200000</v>
      </c>
      <c r="F3114">
        <v>15400000</v>
      </c>
      <c r="G3114">
        <v>4</v>
      </c>
      <c r="H3114">
        <v>675</v>
      </c>
      <c r="I3114">
        <v>15300000</v>
      </c>
      <c r="J3114">
        <v>8800000</v>
      </c>
      <c r="K3114">
        <v>12800000</v>
      </c>
      <c r="L3114">
        <v>2900000</v>
      </c>
      <c r="M3114" t="s">
        <v>34</v>
      </c>
      <c r="N3114">
        <f t="shared" si="289"/>
        <v>1</v>
      </c>
      <c r="O3114" t="str">
        <f t="shared" si="288"/>
        <v>Medium</v>
      </c>
      <c r="P3114" t="str">
        <f t="shared" si="290"/>
        <v>High</v>
      </c>
      <c r="Q3114" t="str">
        <f t="shared" si="291"/>
        <v>Low Loan</v>
      </c>
      <c r="R3114">
        <f t="shared" si="292"/>
        <v>39800000</v>
      </c>
      <c r="S3114" t="str">
        <f t="shared" si="293"/>
        <v>Strong</v>
      </c>
    </row>
    <row r="3115" spans="1:19" x14ac:dyDescent="0.25">
      <c r="A3115">
        <v>3114</v>
      </c>
      <c r="B3115">
        <v>1</v>
      </c>
      <c r="C3115" t="s">
        <v>31</v>
      </c>
      <c r="D3115" t="s">
        <v>32</v>
      </c>
      <c r="E3115">
        <v>6200000</v>
      </c>
      <c r="F3115">
        <v>18200000</v>
      </c>
      <c r="G3115">
        <v>18</v>
      </c>
      <c r="H3115">
        <v>324</v>
      </c>
      <c r="I3115">
        <v>3100000</v>
      </c>
      <c r="J3115">
        <v>12000000</v>
      </c>
      <c r="K3115">
        <v>19200000</v>
      </c>
      <c r="L3115">
        <v>3400000</v>
      </c>
      <c r="M3115" t="s">
        <v>35</v>
      </c>
      <c r="N3115">
        <f t="shared" si="289"/>
        <v>0</v>
      </c>
      <c r="O3115" t="str">
        <f t="shared" si="288"/>
        <v>Low</v>
      </c>
      <c r="P3115" t="str">
        <f t="shared" si="290"/>
        <v>High</v>
      </c>
      <c r="Q3115" t="str">
        <f t="shared" si="291"/>
        <v>Low Loan</v>
      </c>
      <c r="R3115">
        <f t="shared" si="292"/>
        <v>37700000</v>
      </c>
      <c r="S3115" t="str">
        <f t="shared" si="293"/>
        <v>Strong</v>
      </c>
    </row>
    <row r="3116" spans="1:19" x14ac:dyDescent="0.25">
      <c r="A3116">
        <v>3115</v>
      </c>
      <c r="B3116">
        <v>4</v>
      </c>
      <c r="C3116" t="s">
        <v>30</v>
      </c>
      <c r="D3116" t="s">
        <v>32</v>
      </c>
      <c r="E3116">
        <v>1100000</v>
      </c>
      <c r="F3116">
        <v>3600000</v>
      </c>
      <c r="G3116">
        <v>8</v>
      </c>
      <c r="H3116">
        <v>693</v>
      </c>
      <c r="I3116">
        <v>2400000</v>
      </c>
      <c r="J3116">
        <v>1300000</v>
      </c>
      <c r="K3116">
        <v>3800000</v>
      </c>
      <c r="L3116">
        <v>1500000</v>
      </c>
      <c r="M3116" t="s">
        <v>34</v>
      </c>
      <c r="N3116">
        <f t="shared" si="289"/>
        <v>1</v>
      </c>
      <c r="O3116" t="str">
        <f t="shared" si="288"/>
        <v>Medium</v>
      </c>
      <c r="P3116" t="str">
        <f t="shared" si="290"/>
        <v>High</v>
      </c>
      <c r="Q3116" t="str">
        <f t="shared" si="291"/>
        <v>Low Loan</v>
      </c>
      <c r="R3116">
        <f t="shared" si="292"/>
        <v>9000000</v>
      </c>
      <c r="S3116" t="str">
        <f t="shared" si="293"/>
        <v>Moderate</v>
      </c>
    </row>
    <row r="3117" spans="1:19" x14ac:dyDescent="0.25">
      <c r="A3117">
        <v>3116</v>
      </c>
      <c r="B3117">
        <v>1</v>
      </c>
      <c r="C3117" t="s">
        <v>31</v>
      </c>
      <c r="D3117" t="s">
        <v>33</v>
      </c>
      <c r="E3117">
        <v>5600000</v>
      </c>
      <c r="F3117">
        <v>13700000</v>
      </c>
      <c r="G3117">
        <v>8</v>
      </c>
      <c r="H3117">
        <v>491</v>
      </c>
      <c r="I3117">
        <v>10100000</v>
      </c>
      <c r="J3117">
        <v>3700000</v>
      </c>
      <c r="K3117">
        <v>18500000</v>
      </c>
      <c r="L3117">
        <v>4200000</v>
      </c>
      <c r="M3117" t="s">
        <v>35</v>
      </c>
      <c r="N3117">
        <f t="shared" si="289"/>
        <v>0</v>
      </c>
      <c r="O3117" t="str">
        <f t="shared" si="288"/>
        <v>Low</v>
      </c>
      <c r="P3117" t="str">
        <f t="shared" si="290"/>
        <v>High</v>
      </c>
      <c r="Q3117" t="str">
        <f t="shared" si="291"/>
        <v>Low Loan</v>
      </c>
      <c r="R3117">
        <f t="shared" si="292"/>
        <v>36500000</v>
      </c>
      <c r="S3117" t="str">
        <f t="shared" si="293"/>
        <v>Strong</v>
      </c>
    </row>
    <row r="3118" spans="1:19" x14ac:dyDescent="0.25">
      <c r="A3118">
        <v>3117</v>
      </c>
      <c r="B3118">
        <v>5</v>
      </c>
      <c r="C3118" t="s">
        <v>30</v>
      </c>
      <c r="D3118" t="s">
        <v>33</v>
      </c>
      <c r="E3118">
        <v>3400000</v>
      </c>
      <c r="F3118">
        <v>9800000</v>
      </c>
      <c r="G3118">
        <v>8</v>
      </c>
      <c r="H3118">
        <v>559</v>
      </c>
      <c r="I3118">
        <v>3500000</v>
      </c>
      <c r="J3118">
        <v>2900000</v>
      </c>
      <c r="K3118">
        <v>8300000</v>
      </c>
      <c r="L3118">
        <v>2200000</v>
      </c>
      <c r="M3118" t="s">
        <v>34</v>
      </c>
      <c r="N3118">
        <f t="shared" si="289"/>
        <v>1</v>
      </c>
      <c r="O3118" t="str">
        <f t="shared" si="288"/>
        <v>Low</v>
      </c>
      <c r="P3118" t="str">
        <f t="shared" si="290"/>
        <v>High</v>
      </c>
      <c r="Q3118" t="str">
        <f t="shared" si="291"/>
        <v>Low Loan</v>
      </c>
      <c r="R3118">
        <f t="shared" si="292"/>
        <v>16900000</v>
      </c>
      <c r="S3118" t="str">
        <f t="shared" si="293"/>
        <v>Strong</v>
      </c>
    </row>
    <row r="3119" spans="1:19" x14ac:dyDescent="0.25">
      <c r="A3119">
        <v>3118</v>
      </c>
      <c r="B3119">
        <v>4</v>
      </c>
      <c r="C3119" t="s">
        <v>30</v>
      </c>
      <c r="D3119" t="s">
        <v>32</v>
      </c>
      <c r="E3119">
        <v>1500000</v>
      </c>
      <c r="F3119">
        <v>4900000</v>
      </c>
      <c r="G3119">
        <v>16</v>
      </c>
      <c r="H3119">
        <v>392</v>
      </c>
      <c r="I3119">
        <v>1800000</v>
      </c>
      <c r="J3119">
        <v>1100000</v>
      </c>
      <c r="K3119">
        <v>3000000</v>
      </c>
      <c r="L3119">
        <v>2000000</v>
      </c>
      <c r="M3119" t="s">
        <v>35</v>
      </c>
      <c r="N3119">
        <f t="shared" si="289"/>
        <v>0</v>
      </c>
      <c r="O3119" t="str">
        <f t="shared" si="288"/>
        <v>Low</v>
      </c>
      <c r="P3119" t="str">
        <f t="shared" si="290"/>
        <v>High</v>
      </c>
      <c r="Q3119" t="str">
        <f t="shared" si="291"/>
        <v>Low Loan</v>
      </c>
      <c r="R3119">
        <f t="shared" si="292"/>
        <v>7900000</v>
      </c>
      <c r="S3119" t="str">
        <f t="shared" si="293"/>
        <v>Moderate</v>
      </c>
    </row>
    <row r="3120" spans="1:19" x14ac:dyDescent="0.25">
      <c r="A3120">
        <v>3119</v>
      </c>
      <c r="B3120">
        <v>2</v>
      </c>
      <c r="C3120" t="s">
        <v>31</v>
      </c>
      <c r="D3120" t="s">
        <v>32</v>
      </c>
      <c r="E3120">
        <v>5800000</v>
      </c>
      <c r="F3120">
        <v>18600000</v>
      </c>
      <c r="G3120">
        <v>18</v>
      </c>
      <c r="H3120">
        <v>532</v>
      </c>
      <c r="I3120">
        <v>10900000</v>
      </c>
      <c r="J3120">
        <v>900000</v>
      </c>
      <c r="K3120">
        <v>12300000</v>
      </c>
      <c r="L3120">
        <v>6700000</v>
      </c>
      <c r="M3120" t="s">
        <v>35</v>
      </c>
      <c r="N3120">
        <f t="shared" si="289"/>
        <v>0</v>
      </c>
      <c r="O3120" t="str">
        <f t="shared" si="288"/>
        <v>Low</v>
      </c>
      <c r="P3120" t="str">
        <f t="shared" si="290"/>
        <v>High</v>
      </c>
      <c r="Q3120" t="str">
        <f t="shared" si="291"/>
        <v>Low Loan</v>
      </c>
      <c r="R3120">
        <f t="shared" si="292"/>
        <v>30800000</v>
      </c>
      <c r="S3120" t="str">
        <f t="shared" si="293"/>
        <v>Strong</v>
      </c>
    </row>
    <row r="3121" spans="1:19" x14ac:dyDescent="0.25">
      <c r="A3121">
        <v>3120</v>
      </c>
      <c r="B3121">
        <v>4</v>
      </c>
      <c r="C3121" t="s">
        <v>31</v>
      </c>
      <c r="D3121" t="s">
        <v>32</v>
      </c>
      <c r="E3121">
        <v>9800000</v>
      </c>
      <c r="F3121">
        <v>29400000</v>
      </c>
      <c r="G3121">
        <v>8</v>
      </c>
      <c r="H3121">
        <v>592</v>
      </c>
      <c r="I3121">
        <v>29100000</v>
      </c>
      <c r="J3121">
        <v>16700000</v>
      </c>
      <c r="K3121">
        <v>35900000</v>
      </c>
      <c r="L3121">
        <v>9000000</v>
      </c>
      <c r="M3121" t="s">
        <v>34</v>
      </c>
      <c r="N3121">
        <f t="shared" si="289"/>
        <v>1</v>
      </c>
      <c r="O3121" t="str">
        <f t="shared" si="288"/>
        <v>Low</v>
      </c>
      <c r="P3121" t="str">
        <f t="shared" si="290"/>
        <v>High</v>
      </c>
      <c r="Q3121" t="str">
        <f t="shared" si="291"/>
        <v>High Loan</v>
      </c>
      <c r="R3121">
        <f t="shared" si="292"/>
        <v>90700000</v>
      </c>
      <c r="S3121" t="str">
        <f t="shared" si="293"/>
        <v>Strong</v>
      </c>
    </row>
    <row r="3122" spans="1:19" x14ac:dyDescent="0.25">
      <c r="A3122">
        <v>3121</v>
      </c>
      <c r="B3122">
        <v>5</v>
      </c>
      <c r="C3122" t="s">
        <v>31</v>
      </c>
      <c r="D3122" t="s">
        <v>32</v>
      </c>
      <c r="E3122">
        <v>8300000</v>
      </c>
      <c r="F3122">
        <v>23100000</v>
      </c>
      <c r="G3122">
        <v>4</v>
      </c>
      <c r="H3122">
        <v>459</v>
      </c>
      <c r="I3122">
        <v>5500000</v>
      </c>
      <c r="J3122">
        <v>14300000</v>
      </c>
      <c r="K3122">
        <v>28400000</v>
      </c>
      <c r="L3122">
        <v>5500000</v>
      </c>
      <c r="M3122" t="s">
        <v>35</v>
      </c>
      <c r="N3122">
        <f t="shared" si="289"/>
        <v>0</v>
      </c>
      <c r="O3122" t="str">
        <f t="shared" si="288"/>
        <v>Low</v>
      </c>
      <c r="P3122" t="str">
        <f t="shared" si="290"/>
        <v>High</v>
      </c>
      <c r="Q3122" t="str">
        <f t="shared" si="291"/>
        <v>High Loan</v>
      </c>
      <c r="R3122">
        <f t="shared" si="292"/>
        <v>53700000</v>
      </c>
      <c r="S3122" t="str">
        <f t="shared" si="293"/>
        <v>Strong</v>
      </c>
    </row>
    <row r="3123" spans="1:19" x14ac:dyDescent="0.25">
      <c r="A3123">
        <v>3122</v>
      </c>
      <c r="B3123">
        <v>4</v>
      </c>
      <c r="C3123" t="s">
        <v>30</v>
      </c>
      <c r="D3123" t="s">
        <v>33</v>
      </c>
      <c r="E3123">
        <v>500000</v>
      </c>
      <c r="F3123">
        <v>1200000</v>
      </c>
      <c r="G3123">
        <v>4</v>
      </c>
      <c r="H3123">
        <v>627</v>
      </c>
      <c r="I3123">
        <v>0</v>
      </c>
      <c r="J3123">
        <v>500000</v>
      </c>
      <c r="K3123">
        <v>1800000</v>
      </c>
      <c r="L3123">
        <v>700000</v>
      </c>
      <c r="M3123" t="s">
        <v>34</v>
      </c>
      <c r="N3123">
        <f t="shared" si="289"/>
        <v>1</v>
      </c>
      <c r="O3123" t="str">
        <f t="shared" si="288"/>
        <v>Low</v>
      </c>
      <c r="P3123" t="str">
        <f t="shared" si="290"/>
        <v>Middle</v>
      </c>
      <c r="Q3123" t="str">
        <f t="shared" si="291"/>
        <v>Low Loan</v>
      </c>
      <c r="R3123">
        <f t="shared" si="292"/>
        <v>3000000</v>
      </c>
      <c r="S3123" t="str">
        <f t="shared" si="293"/>
        <v>Weak</v>
      </c>
    </row>
    <row r="3124" spans="1:19" x14ac:dyDescent="0.25">
      <c r="A3124">
        <v>3123</v>
      </c>
      <c r="B3124">
        <v>4</v>
      </c>
      <c r="C3124" t="s">
        <v>30</v>
      </c>
      <c r="D3124" t="s">
        <v>32</v>
      </c>
      <c r="E3124">
        <v>1900000</v>
      </c>
      <c r="F3124">
        <v>6100000</v>
      </c>
      <c r="G3124">
        <v>2</v>
      </c>
      <c r="H3124">
        <v>462</v>
      </c>
      <c r="I3124">
        <v>2100000</v>
      </c>
      <c r="J3124">
        <v>3300000</v>
      </c>
      <c r="K3124">
        <v>5400000</v>
      </c>
      <c r="L3124">
        <v>2500000</v>
      </c>
      <c r="M3124" t="s">
        <v>34</v>
      </c>
      <c r="N3124">
        <f t="shared" si="289"/>
        <v>1</v>
      </c>
      <c r="O3124" t="str">
        <f t="shared" si="288"/>
        <v>Low</v>
      </c>
      <c r="P3124" t="str">
        <f t="shared" si="290"/>
        <v>High</v>
      </c>
      <c r="Q3124" t="str">
        <f t="shared" si="291"/>
        <v>Low Loan</v>
      </c>
      <c r="R3124">
        <f t="shared" si="292"/>
        <v>13300000</v>
      </c>
      <c r="S3124" t="str">
        <f t="shared" si="293"/>
        <v>Strong</v>
      </c>
    </row>
    <row r="3125" spans="1:19" x14ac:dyDescent="0.25">
      <c r="A3125">
        <v>3124</v>
      </c>
      <c r="B3125">
        <v>1</v>
      </c>
      <c r="C3125" t="s">
        <v>31</v>
      </c>
      <c r="D3125" t="s">
        <v>33</v>
      </c>
      <c r="E3125">
        <v>9700000</v>
      </c>
      <c r="F3125">
        <v>24700000</v>
      </c>
      <c r="G3125">
        <v>14</v>
      </c>
      <c r="H3125">
        <v>600</v>
      </c>
      <c r="I3125">
        <v>13600000</v>
      </c>
      <c r="J3125">
        <v>14000000</v>
      </c>
      <c r="K3125">
        <v>35500000</v>
      </c>
      <c r="L3125">
        <v>6700000</v>
      </c>
      <c r="M3125" t="s">
        <v>34</v>
      </c>
      <c r="N3125">
        <f t="shared" si="289"/>
        <v>1</v>
      </c>
      <c r="O3125" t="str">
        <f t="shared" si="288"/>
        <v>Low</v>
      </c>
      <c r="P3125" t="str">
        <f t="shared" si="290"/>
        <v>High</v>
      </c>
      <c r="Q3125" t="str">
        <f t="shared" si="291"/>
        <v>High Loan</v>
      </c>
      <c r="R3125">
        <f t="shared" si="292"/>
        <v>69800000</v>
      </c>
      <c r="S3125" t="str">
        <f t="shared" si="293"/>
        <v>Strong</v>
      </c>
    </row>
    <row r="3126" spans="1:19" x14ac:dyDescent="0.25">
      <c r="A3126">
        <v>3125</v>
      </c>
      <c r="B3126">
        <v>5</v>
      </c>
      <c r="C3126" t="s">
        <v>31</v>
      </c>
      <c r="D3126" t="s">
        <v>32</v>
      </c>
      <c r="E3126">
        <v>1800000</v>
      </c>
      <c r="F3126">
        <v>6200000</v>
      </c>
      <c r="G3126">
        <v>18</v>
      </c>
      <c r="H3126">
        <v>366</v>
      </c>
      <c r="I3126">
        <v>3500000</v>
      </c>
      <c r="J3126">
        <v>2400000</v>
      </c>
      <c r="K3126">
        <v>6300000</v>
      </c>
      <c r="L3126">
        <v>1300000</v>
      </c>
      <c r="M3126" t="s">
        <v>35</v>
      </c>
      <c r="N3126">
        <f t="shared" si="289"/>
        <v>0</v>
      </c>
      <c r="O3126" t="str">
        <f t="shared" si="288"/>
        <v>Low</v>
      </c>
      <c r="P3126" t="str">
        <f t="shared" si="290"/>
        <v>High</v>
      </c>
      <c r="Q3126" t="str">
        <f t="shared" si="291"/>
        <v>Low Loan</v>
      </c>
      <c r="R3126">
        <f t="shared" si="292"/>
        <v>13500000</v>
      </c>
      <c r="S3126" t="str">
        <f t="shared" si="293"/>
        <v>Strong</v>
      </c>
    </row>
    <row r="3127" spans="1:19" x14ac:dyDescent="0.25">
      <c r="A3127">
        <v>3126</v>
      </c>
      <c r="B3127">
        <v>0</v>
      </c>
      <c r="C3127" t="s">
        <v>30</v>
      </c>
      <c r="D3127" t="s">
        <v>33</v>
      </c>
      <c r="E3127">
        <v>3300000</v>
      </c>
      <c r="F3127">
        <v>9700000</v>
      </c>
      <c r="G3127">
        <v>14</v>
      </c>
      <c r="H3127">
        <v>356</v>
      </c>
      <c r="I3127">
        <v>9800000</v>
      </c>
      <c r="J3127">
        <v>4800000</v>
      </c>
      <c r="K3127">
        <v>9400000</v>
      </c>
      <c r="L3127">
        <v>1900000</v>
      </c>
      <c r="M3127" t="s">
        <v>35</v>
      </c>
      <c r="N3127">
        <f t="shared" si="289"/>
        <v>0</v>
      </c>
      <c r="O3127" t="str">
        <f t="shared" si="288"/>
        <v>Low</v>
      </c>
      <c r="P3127" t="str">
        <f t="shared" si="290"/>
        <v>High</v>
      </c>
      <c r="Q3127" t="str">
        <f t="shared" si="291"/>
        <v>Low Loan</v>
      </c>
      <c r="R3127">
        <f t="shared" si="292"/>
        <v>25900000</v>
      </c>
      <c r="S3127" t="str">
        <f t="shared" si="293"/>
        <v>Strong</v>
      </c>
    </row>
    <row r="3128" spans="1:19" x14ac:dyDescent="0.25">
      <c r="A3128">
        <v>3127</v>
      </c>
      <c r="B3128">
        <v>5</v>
      </c>
      <c r="C3128" t="s">
        <v>30</v>
      </c>
      <c r="D3128" t="s">
        <v>32</v>
      </c>
      <c r="E3128">
        <v>900000</v>
      </c>
      <c r="F3128">
        <v>2300000</v>
      </c>
      <c r="G3128">
        <v>16</v>
      </c>
      <c r="H3128">
        <v>590</v>
      </c>
      <c r="I3128">
        <v>1200000</v>
      </c>
      <c r="J3128">
        <v>1500000</v>
      </c>
      <c r="K3128">
        <v>2100000</v>
      </c>
      <c r="L3128">
        <v>900000</v>
      </c>
      <c r="M3128" t="s">
        <v>34</v>
      </c>
      <c r="N3128">
        <f t="shared" si="289"/>
        <v>1</v>
      </c>
      <c r="O3128" t="str">
        <f t="shared" si="288"/>
        <v>Low</v>
      </c>
      <c r="P3128" t="str">
        <f t="shared" si="290"/>
        <v>High</v>
      </c>
      <c r="Q3128" t="str">
        <f t="shared" si="291"/>
        <v>Low Loan</v>
      </c>
      <c r="R3128">
        <f t="shared" si="292"/>
        <v>5700000</v>
      </c>
      <c r="S3128" t="str">
        <f t="shared" si="293"/>
        <v>Moderate</v>
      </c>
    </row>
    <row r="3129" spans="1:19" x14ac:dyDescent="0.25">
      <c r="A3129">
        <v>3128</v>
      </c>
      <c r="B3129">
        <v>5</v>
      </c>
      <c r="C3129" t="s">
        <v>30</v>
      </c>
      <c r="D3129" t="s">
        <v>33</v>
      </c>
      <c r="E3129">
        <v>8200000</v>
      </c>
      <c r="F3129">
        <v>28900000</v>
      </c>
      <c r="G3129">
        <v>4</v>
      </c>
      <c r="H3129">
        <v>485</v>
      </c>
      <c r="I3129">
        <v>16500000</v>
      </c>
      <c r="J3129">
        <v>3000000</v>
      </c>
      <c r="K3129">
        <v>19400000</v>
      </c>
      <c r="L3129">
        <v>6800000</v>
      </c>
      <c r="M3129" t="s">
        <v>34</v>
      </c>
      <c r="N3129">
        <f t="shared" si="289"/>
        <v>1</v>
      </c>
      <c r="O3129" t="str">
        <f t="shared" si="288"/>
        <v>Low</v>
      </c>
      <c r="P3129" t="str">
        <f t="shared" si="290"/>
        <v>High</v>
      </c>
      <c r="Q3129" t="str">
        <f t="shared" si="291"/>
        <v>High Loan</v>
      </c>
      <c r="R3129">
        <f t="shared" si="292"/>
        <v>45700000</v>
      </c>
      <c r="S3129" t="str">
        <f t="shared" si="293"/>
        <v>Strong</v>
      </c>
    </row>
    <row r="3130" spans="1:19" x14ac:dyDescent="0.25">
      <c r="A3130">
        <v>3129</v>
      </c>
      <c r="B3130">
        <v>1</v>
      </c>
      <c r="C3130" t="s">
        <v>31</v>
      </c>
      <c r="D3130" t="s">
        <v>33</v>
      </c>
      <c r="E3130">
        <v>500000</v>
      </c>
      <c r="F3130">
        <v>1700000</v>
      </c>
      <c r="G3130">
        <v>18</v>
      </c>
      <c r="H3130">
        <v>617</v>
      </c>
      <c r="I3130">
        <v>400000</v>
      </c>
      <c r="J3130">
        <v>100000</v>
      </c>
      <c r="K3130">
        <v>1400000</v>
      </c>
      <c r="L3130">
        <v>500000</v>
      </c>
      <c r="M3130" t="s">
        <v>34</v>
      </c>
      <c r="N3130">
        <f t="shared" si="289"/>
        <v>1</v>
      </c>
      <c r="O3130" t="str">
        <f t="shared" si="288"/>
        <v>Low</v>
      </c>
      <c r="P3130" t="str">
        <f t="shared" si="290"/>
        <v>Middle</v>
      </c>
      <c r="Q3130" t="str">
        <f t="shared" si="291"/>
        <v>Low Loan</v>
      </c>
      <c r="R3130">
        <f t="shared" si="292"/>
        <v>2400000</v>
      </c>
      <c r="S3130" t="str">
        <f t="shared" si="293"/>
        <v>Weak</v>
      </c>
    </row>
    <row r="3131" spans="1:19" x14ac:dyDescent="0.25">
      <c r="A3131">
        <v>3130</v>
      </c>
      <c r="B3131">
        <v>5</v>
      </c>
      <c r="C3131" t="s">
        <v>30</v>
      </c>
      <c r="D3131" t="s">
        <v>33</v>
      </c>
      <c r="E3131">
        <v>1000000</v>
      </c>
      <c r="F3131">
        <v>2600000</v>
      </c>
      <c r="G3131">
        <v>8</v>
      </c>
      <c r="H3131">
        <v>664</v>
      </c>
      <c r="I3131">
        <v>900000</v>
      </c>
      <c r="J3131">
        <v>1200000</v>
      </c>
      <c r="K3131">
        <v>3500000</v>
      </c>
      <c r="L3131">
        <v>900000</v>
      </c>
      <c r="M3131" t="s">
        <v>34</v>
      </c>
      <c r="N3131">
        <f t="shared" si="289"/>
        <v>1</v>
      </c>
      <c r="O3131" t="str">
        <f t="shared" si="288"/>
        <v>Medium</v>
      </c>
      <c r="P3131" t="str">
        <f t="shared" si="290"/>
        <v>High</v>
      </c>
      <c r="Q3131" t="str">
        <f t="shared" si="291"/>
        <v>Low Loan</v>
      </c>
      <c r="R3131">
        <f t="shared" si="292"/>
        <v>6500000</v>
      </c>
      <c r="S3131" t="str">
        <f t="shared" si="293"/>
        <v>Moderate</v>
      </c>
    </row>
    <row r="3132" spans="1:19" x14ac:dyDescent="0.25">
      <c r="A3132">
        <v>3131</v>
      </c>
      <c r="B3132">
        <v>3</v>
      </c>
      <c r="C3132" t="s">
        <v>31</v>
      </c>
      <c r="D3132" t="s">
        <v>32</v>
      </c>
      <c r="E3132">
        <v>7100000</v>
      </c>
      <c r="F3132">
        <v>27900000</v>
      </c>
      <c r="G3132">
        <v>8</v>
      </c>
      <c r="H3132">
        <v>583</v>
      </c>
      <c r="I3132">
        <v>8900000</v>
      </c>
      <c r="J3132">
        <v>7600000</v>
      </c>
      <c r="K3132">
        <v>19600000</v>
      </c>
      <c r="L3132">
        <v>6300000</v>
      </c>
      <c r="M3132" t="s">
        <v>34</v>
      </c>
      <c r="N3132">
        <f t="shared" si="289"/>
        <v>1</v>
      </c>
      <c r="O3132" t="str">
        <f t="shared" si="288"/>
        <v>Low</v>
      </c>
      <c r="P3132" t="str">
        <f t="shared" si="290"/>
        <v>High</v>
      </c>
      <c r="Q3132" t="str">
        <f t="shared" si="291"/>
        <v>High Loan</v>
      </c>
      <c r="R3132">
        <f t="shared" si="292"/>
        <v>42400000</v>
      </c>
      <c r="S3132" t="str">
        <f t="shared" si="293"/>
        <v>Strong</v>
      </c>
    </row>
    <row r="3133" spans="1:19" x14ac:dyDescent="0.25">
      <c r="A3133">
        <v>3132</v>
      </c>
      <c r="B3133">
        <v>1</v>
      </c>
      <c r="C3133" t="s">
        <v>30</v>
      </c>
      <c r="D3133" t="s">
        <v>33</v>
      </c>
      <c r="E3133">
        <v>200000</v>
      </c>
      <c r="F3133">
        <v>400000</v>
      </c>
      <c r="G3133">
        <v>18</v>
      </c>
      <c r="H3133">
        <v>859</v>
      </c>
      <c r="I3133">
        <v>300000</v>
      </c>
      <c r="J3133">
        <v>100000</v>
      </c>
      <c r="K3133">
        <v>400000</v>
      </c>
      <c r="L3133">
        <v>200000</v>
      </c>
      <c r="M3133" t="s">
        <v>34</v>
      </c>
      <c r="N3133">
        <f t="shared" si="289"/>
        <v>1</v>
      </c>
      <c r="O3133" t="str">
        <f t="shared" si="288"/>
        <v>Excellent</v>
      </c>
      <c r="P3133" t="str">
        <f t="shared" si="290"/>
        <v>Low</v>
      </c>
      <c r="Q3133" t="str">
        <f t="shared" si="291"/>
        <v>Low Loan</v>
      </c>
      <c r="R3133">
        <f t="shared" si="292"/>
        <v>1000000</v>
      </c>
      <c r="S3133" t="str">
        <f t="shared" si="293"/>
        <v>Weak</v>
      </c>
    </row>
    <row r="3134" spans="1:19" x14ac:dyDescent="0.25">
      <c r="A3134">
        <v>3133</v>
      </c>
      <c r="B3134">
        <v>2</v>
      </c>
      <c r="C3134" t="s">
        <v>30</v>
      </c>
      <c r="D3134" t="s">
        <v>32</v>
      </c>
      <c r="E3134">
        <v>3100000</v>
      </c>
      <c r="F3134">
        <v>7300000</v>
      </c>
      <c r="G3134">
        <v>14</v>
      </c>
      <c r="H3134">
        <v>504</v>
      </c>
      <c r="I3134">
        <v>3200000</v>
      </c>
      <c r="J3134">
        <v>0</v>
      </c>
      <c r="K3134">
        <v>7200000</v>
      </c>
      <c r="L3134">
        <v>1500000</v>
      </c>
      <c r="M3134" t="s">
        <v>35</v>
      </c>
      <c r="N3134">
        <f t="shared" si="289"/>
        <v>0</v>
      </c>
      <c r="O3134" t="str">
        <f t="shared" si="288"/>
        <v>Low</v>
      </c>
      <c r="P3134" t="str">
        <f t="shared" si="290"/>
        <v>High</v>
      </c>
      <c r="Q3134" t="str">
        <f t="shared" si="291"/>
        <v>Low Loan</v>
      </c>
      <c r="R3134">
        <f t="shared" si="292"/>
        <v>11900000</v>
      </c>
      <c r="S3134" t="str">
        <f t="shared" si="293"/>
        <v>Strong</v>
      </c>
    </row>
    <row r="3135" spans="1:19" x14ac:dyDescent="0.25">
      <c r="A3135">
        <v>3134</v>
      </c>
      <c r="B3135">
        <v>4</v>
      </c>
      <c r="C3135" t="s">
        <v>30</v>
      </c>
      <c r="D3135" t="s">
        <v>32</v>
      </c>
      <c r="E3135">
        <v>700000</v>
      </c>
      <c r="F3135">
        <v>2300000</v>
      </c>
      <c r="G3135">
        <v>16</v>
      </c>
      <c r="H3135">
        <v>688</v>
      </c>
      <c r="I3135">
        <v>1500000</v>
      </c>
      <c r="J3135">
        <v>300000</v>
      </c>
      <c r="K3135">
        <v>1900000</v>
      </c>
      <c r="L3135">
        <v>400000</v>
      </c>
      <c r="M3135" t="s">
        <v>34</v>
      </c>
      <c r="N3135">
        <f t="shared" si="289"/>
        <v>1</v>
      </c>
      <c r="O3135" t="str">
        <f t="shared" si="288"/>
        <v>Medium</v>
      </c>
      <c r="P3135" t="str">
        <f t="shared" si="290"/>
        <v>High</v>
      </c>
      <c r="Q3135" t="str">
        <f t="shared" si="291"/>
        <v>Low Loan</v>
      </c>
      <c r="R3135">
        <f t="shared" si="292"/>
        <v>4100000</v>
      </c>
      <c r="S3135" t="str">
        <f t="shared" si="293"/>
        <v>Weak</v>
      </c>
    </row>
    <row r="3136" spans="1:19" x14ac:dyDescent="0.25">
      <c r="A3136">
        <v>3135</v>
      </c>
      <c r="B3136">
        <v>3</v>
      </c>
      <c r="C3136" t="s">
        <v>31</v>
      </c>
      <c r="D3136" t="s">
        <v>32</v>
      </c>
      <c r="E3136">
        <v>1800000</v>
      </c>
      <c r="F3136">
        <v>5700000</v>
      </c>
      <c r="G3136">
        <v>2</v>
      </c>
      <c r="H3136">
        <v>422</v>
      </c>
      <c r="I3136">
        <v>4800000</v>
      </c>
      <c r="J3136">
        <v>0</v>
      </c>
      <c r="K3136">
        <v>3700000</v>
      </c>
      <c r="L3136">
        <v>2300000</v>
      </c>
      <c r="M3136" t="s">
        <v>34</v>
      </c>
      <c r="N3136">
        <f t="shared" si="289"/>
        <v>1</v>
      </c>
      <c r="O3136" t="str">
        <f t="shared" si="288"/>
        <v>Low</v>
      </c>
      <c r="P3136" t="str">
        <f t="shared" si="290"/>
        <v>High</v>
      </c>
      <c r="Q3136" t="str">
        <f t="shared" si="291"/>
        <v>Low Loan</v>
      </c>
      <c r="R3136">
        <f t="shared" si="292"/>
        <v>10800000</v>
      </c>
      <c r="S3136" t="str">
        <f t="shared" si="293"/>
        <v>Strong</v>
      </c>
    </row>
    <row r="3137" spans="1:19" x14ac:dyDescent="0.25">
      <c r="A3137">
        <v>3136</v>
      </c>
      <c r="B3137">
        <v>3</v>
      </c>
      <c r="C3137" t="s">
        <v>31</v>
      </c>
      <c r="D3137" t="s">
        <v>33</v>
      </c>
      <c r="E3137">
        <v>8400000</v>
      </c>
      <c r="F3137">
        <v>27000000</v>
      </c>
      <c r="G3137">
        <v>8</v>
      </c>
      <c r="H3137">
        <v>746</v>
      </c>
      <c r="I3137">
        <v>15000000</v>
      </c>
      <c r="J3137">
        <v>8400000</v>
      </c>
      <c r="K3137">
        <v>27000000</v>
      </c>
      <c r="L3137">
        <v>12500000</v>
      </c>
      <c r="M3137" t="s">
        <v>34</v>
      </c>
      <c r="N3137">
        <f t="shared" si="289"/>
        <v>1</v>
      </c>
      <c r="O3137" t="str">
        <f t="shared" si="288"/>
        <v>Good</v>
      </c>
      <c r="P3137" t="str">
        <f t="shared" si="290"/>
        <v>High</v>
      </c>
      <c r="Q3137" t="str">
        <f t="shared" si="291"/>
        <v>High Loan</v>
      </c>
      <c r="R3137">
        <f t="shared" si="292"/>
        <v>62900000</v>
      </c>
      <c r="S3137" t="str">
        <f t="shared" si="293"/>
        <v>Strong</v>
      </c>
    </row>
    <row r="3138" spans="1:19" x14ac:dyDescent="0.25">
      <c r="A3138">
        <v>3137</v>
      </c>
      <c r="B3138">
        <v>3</v>
      </c>
      <c r="C3138" t="s">
        <v>30</v>
      </c>
      <c r="D3138" t="s">
        <v>32</v>
      </c>
      <c r="E3138">
        <v>7400000</v>
      </c>
      <c r="F3138">
        <v>17500000</v>
      </c>
      <c r="G3138">
        <v>20</v>
      </c>
      <c r="H3138">
        <v>317</v>
      </c>
      <c r="I3138">
        <v>17700000</v>
      </c>
      <c r="J3138">
        <v>14000000</v>
      </c>
      <c r="K3138">
        <v>27000000</v>
      </c>
      <c r="L3138">
        <v>9500000</v>
      </c>
      <c r="M3138" t="s">
        <v>35</v>
      </c>
      <c r="N3138">
        <f t="shared" si="289"/>
        <v>0</v>
      </c>
      <c r="O3138" t="str">
        <f t="shared" ref="O3138:O3201" si="294">IF(H3138&lt;650,"Low",
 IF(H3138&lt;700,"Medium",
 IF(H3138&lt;750,"Good","Excellent")))</f>
        <v>Low</v>
      </c>
      <c r="P3138" t="str">
        <f t="shared" si="290"/>
        <v>High</v>
      </c>
      <c r="Q3138" t="str">
        <f t="shared" si="291"/>
        <v>Low Loan</v>
      </c>
      <c r="R3138">
        <f t="shared" si="292"/>
        <v>68200000</v>
      </c>
      <c r="S3138" t="str">
        <f t="shared" si="293"/>
        <v>Strong</v>
      </c>
    </row>
    <row r="3139" spans="1:19" x14ac:dyDescent="0.25">
      <c r="A3139">
        <v>3138</v>
      </c>
      <c r="B3139">
        <v>2</v>
      </c>
      <c r="C3139" t="s">
        <v>31</v>
      </c>
      <c r="D3139" t="s">
        <v>33</v>
      </c>
      <c r="E3139">
        <v>6700000</v>
      </c>
      <c r="F3139">
        <v>20200000</v>
      </c>
      <c r="G3139">
        <v>6</v>
      </c>
      <c r="H3139">
        <v>701</v>
      </c>
      <c r="I3139">
        <v>8800000</v>
      </c>
      <c r="J3139">
        <v>12200000</v>
      </c>
      <c r="K3139">
        <v>13900000</v>
      </c>
      <c r="L3139">
        <v>8200000</v>
      </c>
      <c r="M3139" t="s">
        <v>34</v>
      </c>
      <c r="N3139">
        <f t="shared" ref="N3139:N3202" si="295">IF(TRIM(CLEAN(M3139))="Approved",1,0)</f>
        <v>1</v>
      </c>
      <c r="O3139" t="str">
        <f t="shared" si="294"/>
        <v>Good</v>
      </c>
      <c r="P3139" t="str">
        <f t="shared" ref="P3139:P3202" si="296">IF(E3139&lt;300000,"Low",
 IF(E3139&lt;700000,"Middle","High"))</f>
        <v>High</v>
      </c>
      <c r="Q3139" t="str">
        <f t="shared" ref="Q3139:Q3202" si="297">IF(F3139&lt;20000000,"Low Loan","High Loan")</f>
        <v>High Loan</v>
      </c>
      <c r="R3139">
        <f t="shared" ref="R3139:R3202" si="298">I3139+J3139+K3139+L3139</f>
        <v>43100000</v>
      </c>
      <c r="S3139" t="str">
        <f t="shared" ref="S3139:S3202" si="299">IF(R3139&lt;5000000,"Weak",
 IF(R3139&lt;10000000,"Moderate","Strong"))</f>
        <v>Strong</v>
      </c>
    </row>
    <row r="3140" spans="1:19" x14ac:dyDescent="0.25">
      <c r="A3140">
        <v>3139</v>
      </c>
      <c r="B3140">
        <v>1</v>
      </c>
      <c r="C3140" t="s">
        <v>30</v>
      </c>
      <c r="D3140" t="s">
        <v>33</v>
      </c>
      <c r="E3140">
        <v>1700000</v>
      </c>
      <c r="F3140">
        <v>6000000</v>
      </c>
      <c r="G3140">
        <v>16</v>
      </c>
      <c r="H3140">
        <v>754</v>
      </c>
      <c r="I3140">
        <v>3900000</v>
      </c>
      <c r="J3140">
        <v>1500000</v>
      </c>
      <c r="K3140">
        <v>6400000</v>
      </c>
      <c r="L3140">
        <v>1800000</v>
      </c>
      <c r="M3140" t="s">
        <v>34</v>
      </c>
      <c r="N3140">
        <f t="shared" si="295"/>
        <v>1</v>
      </c>
      <c r="O3140" t="str">
        <f t="shared" si="294"/>
        <v>Excellent</v>
      </c>
      <c r="P3140" t="str">
        <f t="shared" si="296"/>
        <v>High</v>
      </c>
      <c r="Q3140" t="str">
        <f t="shared" si="297"/>
        <v>Low Loan</v>
      </c>
      <c r="R3140">
        <f t="shared" si="298"/>
        <v>13600000</v>
      </c>
      <c r="S3140" t="str">
        <f t="shared" si="299"/>
        <v>Strong</v>
      </c>
    </row>
    <row r="3141" spans="1:19" x14ac:dyDescent="0.25">
      <c r="A3141">
        <v>3140</v>
      </c>
      <c r="B3141">
        <v>3</v>
      </c>
      <c r="C3141" t="s">
        <v>31</v>
      </c>
      <c r="D3141" t="s">
        <v>33</v>
      </c>
      <c r="E3141">
        <v>300000</v>
      </c>
      <c r="F3141">
        <v>600000</v>
      </c>
      <c r="G3141">
        <v>10</v>
      </c>
      <c r="H3141">
        <v>515</v>
      </c>
      <c r="I3141">
        <v>300000</v>
      </c>
      <c r="J3141">
        <v>200000</v>
      </c>
      <c r="K3141">
        <v>1000000</v>
      </c>
      <c r="L3141">
        <v>200000</v>
      </c>
      <c r="M3141" t="s">
        <v>35</v>
      </c>
      <c r="N3141">
        <f t="shared" si="295"/>
        <v>0</v>
      </c>
      <c r="O3141" t="str">
        <f t="shared" si="294"/>
        <v>Low</v>
      </c>
      <c r="P3141" t="str">
        <f t="shared" si="296"/>
        <v>Middle</v>
      </c>
      <c r="Q3141" t="str">
        <f t="shared" si="297"/>
        <v>Low Loan</v>
      </c>
      <c r="R3141">
        <f t="shared" si="298"/>
        <v>1700000</v>
      </c>
      <c r="S3141" t="str">
        <f t="shared" si="299"/>
        <v>Weak</v>
      </c>
    </row>
    <row r="3142" spans="1:19" x14ac:dyDescent="0.25">
      <c r="A3142">
        <v>3141</v>
      </c>
      <c r="B3142">
        <v>1</v>
      </c>
      <c r="C3142" t="s">
        <v>30</v>
      </c>
      <c r="D3142" t="s">
        <v>33</v>
      </c>
      <c r="E3142">
        <v>3800000</v>
      </c>
      <c r="F3142">
        <v>8800000</v>
      </c>
      <c r="G3142">
        <v>12</v>
      </c>
      <c r="H3142">
        <v>670</v>
      </c>
      <c r="I3142">
        <v>5200000</v>
      </c>
      <c r="J3142">
        <v>4700000</v>
      </c>
      <c r="K3142">
        <v>12200000</v>
      </c>
      <c r="L3142">
        <v>3800000</v>
      </c>
      <c r="M3142" t="s">
        <v>34</v>
      </c>
      <c r="N3142">
        <f t="shared" si="295"/>
        <v>1</v>
      </c>
      <c r="O3142" t="str">
        <f t="shared" si="294"/>
        <v>Medium</v>
      </c>
      <c r="P3142" t="str">
        <f t="shared" si="296"/>
        <v>High</v>
      </c>
      <c r="Q3142" t="str">
        <f t="shared" si="297"/>
        <v>Low Loan</v>
      </c>
      <c r="R3142">
        <f t="shared" si="298"/>
        <v>25900000</v>
      </c>
      <c r="S3142" t="str">
        <f t="shared" si="299"/>
        <v>Strong</v>
      </c>
    </row>
    <row r="3143" spans="1:19" x14ac:dyDescent="0.25">
      <c r="A3143">
        <v>3142</v>
      </c>
      <c r="B3143">
        <v>5</v>
      </c>
      <c r="C3143" t="s">
        <v>30</v>
      </c>
      <c r="D3143" t="s">
        <v>33</v>
      </c>
      <c r="E3143">
        <v>1300000</v>
      </c>
      <c r="F3143">
        <v>4000000</v>
      </c>
      <c r="G3143">
        <v>8</v>
      </c>
      <c r="H3143">
        <v>407</v>
      </c>
      <c r="I3143">
        <v>3800000</v>
      </c>
      <c r="J3143">
        <v>1300000</v>
      </c>
      <c r="K3143">
        <v>3500000</v>
      </c>
      <c r="L3143">
        <v>1100000</v>
      </c>
      <c r="M3143" t="s">
        <v>35</v>
      </c>
      <c r="N3143">
        <f t="shared" si="295"/>
        <v>0</v>
      </c>
      <c r="O3143" t="str">
        <f t="shared" si="294"/>
        <v>Low</v>
      </c>
      <c r="P3143" t="str">
        <f t="shared" si="296"/>
        <v>High</v>
      </c>
      <c r="Q3143" t="str">
        <f t="shared" si="297"/>
        <v>Low Loan</v>
      </c>
      <c r="R3143">
        <f t="shared" si="298"/>
        <v>9700000</v>
      </c>
      <c r="S3143" t="str">
        <f t="shared" si="299"/>
        <v>Moderate</v>
      </c>
    </row>
    <row r="3144" spans="1:19" x14ac:dyDescent="0.25">
      <c r="A3144">
        <v>3143</v>
      </c>
      <c r="B3144">
        <v>5</v>
      </c>
      <c r="C3144" t="s">
        <v>31</v>
      </c>
      <c r="D3144" t="s">
        <v>33</v>
      </c>
      <c r="E3144">
        <v>3100000</v>
      </c>
      <c r="F3144">
        <v>10900000</v>
      </c>
      <c r="G3144">
        <v>12</v>
      </c>
      <c r="H3144">
        <v>884</v>
      </c>
      <c r="I3144">
        <v>6100000</v>
      </c>
      <c r="J3144">
        <v>3700000</v>
      </c>
      <c r="K3144">
        <v>12300000</v>
      </c>
      <c r="L3144">
        <v>4100000</v>
      </c>
      <c r="M3144" t="s">
        <v>34</v>
      </c>
      <c r="N3144">
        <f t="shared" si="295"/>
        <v>1</v>
      </c>
      <c r="O3144" t="str">
        <f t="shared" si="294"/>
        <v>Excellent</v>
      </c>
      <c r="P3144" t="str">
        <f t="shared" si="296"/>
        <v>High</v>
      </c>
      <c r="Q3144" t="str">
        <f t="shared" si="297"/>
        <v>Low Loan</v>
      </c>
      <c r="R3144">
        <f t="shared" si="298"/>
        <v>26200000</v>
      </c>
      <c r="S3144" t="str">
        <f t="shared" si="299"/>
        <v>Strong</v>
      </c>
    </row>
    <row r="3145" spans="1:19" x14ac:dyDescent="0.25">
      <c r="A3145">
        <v>3144</v>
      </c>
      <c r="B3145">
        <v>1</v>
      </c>
      <c r="C3145" t="s">
        <v>30</v>
      </c>
      <c r="D3145" t="s">
        <v>33</v>
      </c>
      <c r="E3145">
        <v>200000</v>
      </c>
      <c r="F3145">
        <v>400000</v>
      </c>
      <c r="G3145">
        <v>20</v>
      </c>
      <c r="H3145">
        <v>882</v>
      </c>
      <c r="I3145">
        <v>400000</v>
      </c>
      <c r="J3145">
        <v>100000</v>
      </c>
      <c r="K3145">
        <v>300000</v>
      </c>
      <c r="L3145">
        <v>0</v>
      </c>
      <c r="M3145" t="s">
        <v>34</v>
      </c>
      <c r="N3145">
        <f t="shared" si="295"/>
        <v>1</v>
      </c>
      <c r="O3145" t="str">
        <f t="shared" si="294"/>
        <v>Excellent</v>
      </c>
      <c r="P3145" t="str">
        <f t="shared" si="296"/>
        <v>Low</v>
      </c>
      <c r="Q3145" t="str">
        <f t="shared" si="297"/>
        <v>Low Loan</v>
      </c>
      <c r="R3145">
        <f t="shared" si="298"/>
        <v>800000</v>
      </c>
      <c r="S3145" t="str">
        <f t="shared" si="299"/>
        <v>Weak</v>
      </c>
    </row>
    <row r="3146" spans="1:19" x14ac:dyDescent="0.25">
      <c r="A3146">
        <v>3145</v>
      </c>
      <c r="B3146">
        <v>2</v>
      </c>
      <c r="C3146" t="s">
        <v>31</v>
      </c>
      <c r="D3146" t="s">
        <v>33</v>
      </c>
      <c r="E3146">
        <v>8100000</v>
      </c>
      <c r="F3146">
        <v>24700000</v>
      </c>
      <c r="G3146">
        <v>6</v>
      </c>
      <c r="H3146">
        <v>595</v>
      </c>
      <c r="I3146">
        <v>5500000</v>
      </c>
      <c r="J3146">
        <v>14300000</v>
      </c>
      <c r="K3146">
        <v>27300000</v>
      </c>
      <c r="L3146">
        <v>6500000</v>
      </c>
      <c r="M3146" t="s">
        <v>34</v>
      </c>
      <c r="N3146">
        <f t="shared" si="295"/>
        <v>1</v>
      </c>
      <c r="O3146" t="str">
        <f t="shared" si="294"/>
        <v>Low</v>
      </c>
      <c r="P3146" t="str">
        <f t="shared" si="296"/>
        <v>High</v>
      </c>
      <c r="Q3146" t="str">
        <f t="shared" si="297"/>
        <v>High Loan</v>
      </c>
      <c r="R3146">
        <f t="shared" si="298"/>
        <v>53600000</v>
      </c>
      <c r="S3146" t="str">
        <f t="shared" si="299"/>
        <v>Strong</v>
      </c>
    </row>
    <row r="3147" spans="1:19" x14ac:dyDescent="0.25">
      <c r="A3147">
        <v>3146</v>
      </c>
      <c r="B3147">
        <v>1</v>
      </c>
      <c r="C3147" t="s">
        <v>31</v>
      </c>
      <c r="D3147" t="s">
        <v>33</v>
      </c>
      <c r="E3147">
        <v>8900000</v>
      </c>
      <c r="F3147">
        <v>22900000</v>
      </c>
      <c r="G3147">
        <v>4</v>
      </c>
      <c r="H3147">
        <v>757</v>
      </c>
      <c r="I3147">
        <v>8200000</v>
      </c>
      <c r="J3147">
        <v>11600000</v>
      </c>
      <c r="K3147">
        <v>17800000</v>
      </c>
      <c r="L3147">
        <v>7800000</v>
      </c>
      <c r="M3147" t="s">
        <v>34</v>
      </c>
      <c r="N3147">
        <f t="shared" si="295"/>
        <v>1</v>
      </c>
      <c r="O3147" t="str">
        <f t="shared" si="294"/>
        <v>Excellent</v>
      </c>
      <c r="P3147" t="str">
        <f t="shared" si="296"/>
        <v>High</v>
      </c>
      <c r="Q3147" t="str">
        <f t="shared" si="297"/>
        <v>High Loan</v>
      </c>
      <c r="R3147">
        <f t="shared" si="298"/>
        <v>45400000</v>
      </c>
      <c r="S3147" t="str">
        <f t="shared" si="299"/>
        <v>Strong</v>
      </c>
    </row>
    <row r="3148" spans="1:19" x14ac:dyDescent="0.25">
      <c r="A3148">
        <v>3147</v>
      </c>
      <c r="B3148">
        <v>5</v>
      </c>
      <c r="C3148" t="s">
        <v>30</v>
      </c>
      <c r="D3148" t="s">
        <v>33</v>
      </c>
      <c r="E3148">
        <v>4200000</v>
      </c>
      <c r="F3148">
        <v>8500000</v>
      </c>
      <c r="G3148">
        <v>4</v>
      </c>
      <c r="H3148">
        <v>386</v>
      </c>
      <c r="I3148">
        <v>8700000</v>
      </c>
      <c r="J3148">
        <v>4600000</v>
      </c>
      <c r="K3148">
        <v>10500000</v>
      </c>
      <c r="L3148">
        <v>6000000</v>
      </c>
      <c r="M3148" t="s">
        <v>35</v>
      </c>
      <c r="N3148">
        <f t="shared" si="295"/>
        <v>0</v>
      </c>
      <c r="O3148" t="str">
        <f t="shared" si="294"/>
        <v>Low</v>
      </c>
      <c r="P3148" t="str">
        <f t="shared" si="296"/>
        <v>High</v>
      </c>
      <c r="Q3148" t="str">
        <f t="shared" si="297"/>
        <v>Low Loan</v>
      </c>
      <c r="R3148">
        <f t="shared" si="298"/>
        <v>29800000</v>
      </c>
      <c r="S3148" t="str">
        <f t="shared" si="299"/>
        <v>Strong</v>
      </c>
    </row>
    <row r="3149" spans="1:19" x14ac:dyDescent="0.25">
      <c r="A3149">
        <v>3148</v>
      </c>
      <c r="B3149">
        <v>5</v>
      </c>
      <c r="C3149" t="s">
        <v>31</v>
      </c>
      <c r="D3149" t="s">
        <v>33</v>
      </c>
      <c r="E3149">
        <v>4100000</v>
      </c>
      <c r="F3149">
        <v>11100000</v>
      </c>
      <c r="G3149">
        <v>18</v>
      </c>
      <c r="H3149">
        <v>756</v>
      </c>
      <c r="I3149">
        <v>1700000</v>
      </c>
      <c r="J3149">
        <v>3000000</v>
      </c>
      <c r="K3149">
        <v>10800000</v>
      </c>
      <c r="L3149">
        <v>3000000</v>
      </c>
      <c r="M3149" t="s">
        <v>34</v>
      </c>
      <c r="N3149">
        <f t="shared" si="295"/>
        <v>1</v>
      </c>
      <c r="O3149" t="str">
        <f t="shared" si="294"/>
        <v>Excellent</v>
      </c>
      <c r="P3149" t="str">
        <f t="shared" si="296"/>
        <v>High</v>
      </c>
      <c r="Q3149" t="str">
        <f t="shared" si="297"/>
        <v>Low Loan</v>
      </c>
      <c r="R3149">
        <f t="shared" si="298"/>
        <v>18500000</v>
      </c>
      <c r="S3149" t="str">
        <f t="shared" si="299"/>
        <v>Strong</v>
      </c>
    </row>
    <row r="3150" spans="1:19" x14ac:dyDescent="0.25">
      <c r="A3150">
        <v>3149</v>
      </c>
      <c r="B3150">
        <v>3</v>
      </c>
      <c r="C3150" t="s">
        <v>31</v>
      </c>
      <c r="D3150" t="s">
        <v>32</v>
      </c>
      <c r="E3150">
        <v>8300000</v>
      </c>
      <c r="F3150">
        <v>25700000</v>
      </c>
      <c r="G3150">
        <v>12</v>
      </c>
      <c r="H3150">
        <v>453</v>
      </c>
      <c r="I3150">
        <v>24000000</v>
      </c>
      <c r="J3150">
        <v>14600000</v>
      </c>
      <c r="K3150">
        <v>20400000</v>
      </c>
      <c r="L3150">
        <v>5700000</v>
      </c>
      <c r="M3150" t="s">
        <v>35</v>
      </c>
      <c r="N3150">
        <f t="shared" si="295"/>
        <v>0</v>
      </c>
      <c r="O3150" t="str">
        <f t="shared" si="294"/>
        <v>Low</v>
      </c>
      <c r="P3150" t="str">
        <f t="shared" si="296"/>
        <v>High</v>
      </c>
      <c r="Q3150" t="str">
        <f t="shared" si="297"/>
        <v>High Loan</v>
      </c>
      <c r="R3150">
        <f t="shared" si="298"/>
        <v>64700000</v>
      </c>
      <c r="S3150" t="str">
        <f t="shared" si="299"/>
        <v>Strong</v>
      </c>
    </row>
    <row r="3151" spans="1:19" x14ac:dyDescent="0.25">
      <c r="A3151">
        <v>3150</v>
      </c>
      <c r="B3151">
        <v>3</v>
      </c>
      <c r="C3151" t="s">
        <v>31</v>
      </c>
      <c r="D3151" t="s">
        <v>32</v>
      </c>
      <c r="E3151">
        <v>7500000</v>
      </c>
      <c r="F3151">
        <v>25200000</v>
      </c>
      <c r="G3151">
        <v>8</v>
      </c>
      <c r="H3151">
        <v>316</v>
      </c>
      <c r="I3151">
        <v>1000000</v>
      </c>
      <c r="J3151">
        <v>800000</v>
      </c>
      <c r="K3151">
        <v>18300000</v>
      </c>
      <c r="L3151">
        <v>9000000</v>
      </c>
      <c r="M3151" t="s">
        <v>35</v>
      </c>
      <c r="N3151">
        <f t="shared" si="295"/>
        <v>0</v>
      </c>
      <c r="O3151" t="str">
        <f t="shared" si="294"/>
        <v>Low</v>
      </c>
      <c r="P3151" t="str">
        <f t="shared" si="296"/>
        <v>High</v>
      </c>
      <c r="Q3151" t="str">
        <f t="shared" si="297"/>
        <v>High Loan</v>
      </c>
      <c r="R3151">
        <f t="shared" si="298"/>
        <v>29100000</v>
      </c>
      <c r="S3151" t="str">
        <f t="shared" si="299"/>
        <v>Strong</v>
      </c>
    </row>
    <row r="3152" spans="1:19" x14ac:dyDescent="0.25">
      <c r="A3152">
        <v>3151</v>
      </c>
      <c r="B3152">
        <v>3</v>
      </c>
      <c r="C3152" t="s">
        <v>30</v>
      </c>
      <c r="D3152" t="s">
        <v>32</v>
      </c>
      <c r="E3152">
        <v>2100000</v>
      </c>
      <c r="F3152">
        <v>7700000</v>
      </c>
      <c r="G3152">
        <v>6</v>
      </c>
      <c r="H3152">
        <v>703</v>
      </c>
      <c r="I3152">
        <v>700000</v>
      </c>
      <c r="J3152">
        <v>4000000</v>
      </c>
      <c r="K3152">
        <v>8200000</v>
      </c>
      <c r="L3152">
        <v>1300000</v>
      </c>
      <c r="M3152" t="s">
        <v>34</v>
      </c>
      <c r="N3152">
        <f t="shared" si="295"/>
        <v>1</v>
      </c>
      <c r="O3152" t="str">
        <f t="shared" si="294"/>
        <v>Good</v>
      </c>
      <c r="P3152" t="str">
        <f t="shared" si="296"/>
        <v>High</v>
      </c>
      <c r="Q3152" t="str">
        <f t="shared" si="297"/>
        <v>Low Loan</v>
      </c>
      <c r="R3152">
        <f t="shared" si="298"/>
        <v>14200000</v>
      </c>
      <c r="S3152" t="str">
        <f t="shared" si="299"/>
        <v>Strong</v>
      </c>
    </row>
    <row r="3153" spans="1:19" x14ac:dyDescent="0.25">
      <c r="A3153">
        <v>3152</v>
      </c>
      <c r="B3153">
        <v>3</v>
      </c>
      <c r="C3153" t="s">
        <v>30</v>
      </c>
      <c r="D3153" t="s">
        <v>32</v>
      </c>
      <c r="E3153">
        <v>1400000</v>
      </c>
      <c r="F3153">
        <v>3200000</v>
      </c>
      <c r="G3153">
        <v>8</v>
      </c>
      <c r="H3153">
        <v>753</v>
      </c>
      <c r="I3153">
        <v>2200000</v>
      </c>
      <c r="J3153">
        <v>2000000</v>
      </c>
      <c r="K3153">
        <v>3600000</v>
      </c>
      <c r="L3153">
        <v>2000000</v>
      </c>
      <c r="M3153" t="s">
        <v>34</v>
      </c>
      <c r="N3153">
        <f t="shared" si="295"/>
        <v>1</v>
      </c>
      <c r="O3153" t="str">
        <f t="shared" si="294"/>
        <v>Excellent</v>
      </c>
      <c r="P3153" t="str">
        <f t="shared" si="296"/>
        <v>High</v>
      </c>
      <c r="Q3153" t="str">
        <f t="shared" si="297"/>
        <v>Low Loan</v>
      </c>
      <c r="R3153">
        <f t="shared" si="298"/>
        <v>9800000</v>
      </c>
      <c r="S3153" t="str">
        <f t="shared" si="299"/>
        <v>Moderate</v>
      </c>
    </row>
    <row r="3154" spans="1:19" x14ac:dyDescent="0.25">
      <c r="A3154">
        <v>3153</v>
      </c>
      <c r="B3154">
        <v>0</v>
      </c>
      <c r="C3154" t="s">
        <v>31</v>
      </c>
      <c r="D3154" t="s">
        <v>32</v>
      </c>
      <c r="E3154">
        <v>6900000</v>
      </c>
      <c r="F3154">
        <v>23500000</v>
      </c>
      <c r="G3154">
        <v>2</v>
      </c>
      <c r="H3154">
        <v>621</v>
      </c>
      <c r="I3154">
        <v>7800000</v>
      </c>
      <c r="J3154">
        <v>7300000</v>
      </c>
      <c r="K3154">
        <v>23100000</v>
      </c>
      <c r="L3154">
        <v>9400000</v>
      </c>
      <c r="M3154" t="s">
        <v>34</v>
      </c>
      <c r="N3154">
        <f t="shared" si="295"/>
        <v>1</v>
      </c>
      <c r="O3154" t="str">
        <f t="shared" si="294"/>
        <v>Low</v>
      </c>
      <c r="P3154" t="str">
        <f t="shared" si="296"/>
        <v>High</v>
      </c>
      <c r="Q3154" t="str">
        <f t="shared" si="297"/>
        <v>High Loan</v>
      </c>
      <c r="R3154">
        <f t="shared" si="298"/>
        <v>47600000</v>
      </c>
      <c r="S3154" t="str">
        <f t="shared" si="299"/>
        <v>Strong</v>
      </c>
    </row>
    <row r="3155" spans="1:19" x14ac:dyDescent="0.25">
      <c r="A3155">
        <v>3154</v>
      </c>
      <c r="B3155">
        <v>0</v>
      </c>
      <c r="C3155" t="s">
        <v>30</v>
      </c>
      <c r="D3155" t="s">
        <v>33</v>
      </c>
      <c r="E3155">
        <v>2500000</v>
      </c>
      <c r="F3155">
        <v>9100000</v>
      </c>
      <c r="G3155">
        <v>10</v>
      </c>
      <c r="H3155">
        <v>852</v>
      </c>
      <c r="I3155">
        <v>5000000</v>
      </c>
      <c r="J3155">
        <v>4700000</v>
      </c>
      <c r="K3155">
        <v>7400000</v>
      </c>
      <c r="L3155">
        <v>1500000</v>
      </c>
      <c r="M3155" t="s">
        <v>34</v>
      </c>
      <c r="N3155">
        <f t="shared" si="295"/>
        <v>1</v>
      </c>
      <c r="O3155" t="str">
        <f t="shared" si="294"/>
        <v>Excellent</v>
      </c>
      <c r="P3155" t="str">
        <f t="shared" si="296"/>
        <v>High</v>
      </c>
      <c r="Q3155" t="str">
        <f t="shared" si="297"/>
        <v>Low Loan</v>
      </c>
      <c r="R3155">
        <f t="shared" si="298"/>
        <v>18600000</v>
      </c>
      <c r="S3155" t="str">
        <f t="shared" si="299"/>
        <v>Strong</v>
      </c>
    </row>
    <row r="3156" spans="1:19" x14ac:dyDescent="0.25">
      <c r="A3156">
        <v>3155</v>
      </c>
      <c r="B3156">
        <v>3</v>
      </c>
      <c r="C3156" t="s">
        <v>31</v>
      </c>
      <c r="D3156" t="s">
        <v>33</v>
      </c>
      <c r="E3156">
        <v>3800000</v>
      </c>
      <c r="F3156">
        <v>9400000</v>
      </c>
      <c r="G3156">
        <v>12</v>
      </c>
      <c r="H3156">
        <v>301</v>
      </c>
      <c r="I3156">
        <v>7800000</v>
      </c>
      <c r="J3156">
        <v>2800000</v>
      </c>
      <c r="K3156">
        <v>14900000</v>
      </c>
      <c r="L3156">
        <v>5000000</v>
      </c>
      <c r="M3156" t="s">
        <v>35</v>
      </c>
      <c r="N3156">
        <f t="shared" si="295"/>
        <v>0</v>
      </c>
      <c r="O3156" t="str">
        <f t="shared" si="294"/>
        <v>Low</v>
      </c>
      <c r="P3156" t="str">
        <f t="shared" si="296"/>
        <v>High</v>
      </c>
      <c r="Q3156" t="str">
        <f t="shared" si="297"/>
        <v>Low Loan</v>
      </c>
      <c r="R3156">
        <f t="shared" si="298"/>
        <v>30500000</v>
      </c>
      <c r="S3156" t="str">
        <f t="shared" si="299"/>
        <v>Strong</v>
      </c>
    </row>
    <row r="3157" spans="1:19" x14ac:dyDescent="0.25">
      <c r="A3157">
        <v>3156</v>
      </c>
      <c r="B3157">
        <v>3</v>
      </c>
      <c r="C3157" t="s">
        <v>31</v>
      </c>
      <c r="D3157" t="s">
        <v>33</v>
      </c>
      <c r="E3157">
        <v>7700000</v>
      </c>
      <c r="F3157">
        <v>29300000</v>
      </c>
      <c r="G3157">
        <v>10</v>
      </c>
      <c r="H3157">
        <v>359</v>
      </c>
      <c r="I3157">
        <v>6800000</v>
      </c>
      <c r="J3157">
        <v>6100000</v>
      </c>
      <c r="K3157">
        <v>21900000</v>
      </c>
      <c r="L3157">
        <v>4200000</v>
      </c>
      <c r="M3157" t="s">
        <v>35</v>
      </c>
      <c r="N3157">
        <f t="shared" si="295"/>
        <v>0</v>
      </c>
      <c r="O3157" t="str">
        <f t="shared" si="294"/>
        <v>Low</v>
      </c>
      <c r="P3157" t="str">
        <f t="shared" si="296"/>
        <v>High</v>
      </c>
      <c r="Q3157" t="str">
        <f t="shared" si="297"/>
        <v>High Loan</v>
      </c>
      <c r="R3157">
        <f t="shared" si="298"/>
        <v>39000000</v>
      </c>
      <c r="S3157" t="str">
        <f t="shared" si="299"/>
        <v>Strong</v>
      </c>
    </row>
    <row r="3158" spans="1:19" x14ac:dyDescent="0.25">
      <c r="A3158">
        <v>3157</v>
      </c>
      <c r="B3158">
        <v>1</v>
      </c>
      <c r="C3158" t="s">
        <v>31</v>
      </c>
      <c r="D3158" t="s">
        <v>32</v>
      </c>
      <c r="E3158">
        <v>3200000</v>
      </c>
      <c r="F3158">
        <v>6600000</v>
      </c>
      <c r="G3158">
        <v>16</v>
      </c>
      <c r="H3158">
        <v>534</v>
      </c>
      <c r="I3158">
        <v>8800000</v>
      </c>
      <c r="J3158">
        <v>2600000</v>
      </c>
      <c r="K3158">
        <v>6500000</v>
      </c>
      <c r="L3158">
        <v>1800000</v>
      </c>
      <c r="M3158" t="s">
        <v>35</v>
      </c>
      <c r="N3158">
        <f t="shared" si="295"/>
        <v>0</v>
      </c>
      <c r="O3158" t="str">
        <f t="shared" si="294"/>
        <v>Low</v>
      </c>
      <c r="P3158" t="str">
        <f t="shared" si="296"/>
        <v>High</v>
      </c>
      <c r="Q3158" t="str">
        <f t="shared" si="297"/>
        <v>Low Loan</v>
      </c>
      <c r="R3158">
        <f t="shared" si="298"/>
        <v>19700000</v>
      </c>
      <c r="S3158" t="str">
        <f t="shared" si="299"/>
        <v>Strong</v>
      </c>
    </row>
    <row r="3159" spans="1:19" x14ac:dyDescent="0.25">
      <c r="A3159">
        <v>3158</v>
      </c>
      <c r="B3159">
        <v>0</v>
      </c>
      <c r="C3159" t="s">
        <v>31</v>
      </c>
      <c r="D3159" t="s">
        <v>33</v>
      </c>
      <c r="E3159">
        <v>8600000</v>
      </c>
      <c r="F3159">
        <v>20000000</v>
      </c>
      <c r="G3159">
        <v>10</v>
      </c>
      <c r="H3159">
        <v>704</v>
      </c>
      <c r="I3159">
        <v>25400000</v>
      </c>
      <c r="J3159">
        <v>10000000</v>
      </c>
      <c r="K3159">
        <v>30800000</v>
      </c>
      <c r="L3159">
        <v>10300000</v>
      </c>
      <c r="M3159" t="s">
        <v>34</v>
      </c>
      <c r="N3159">
        <f t="shared" si="295"/>
        <v>1</v>
      </c>
      <c r="O3159" t="str">
        <f t="shared" si="294"/>
        <v>Good</v>
      </c>
      <c r="P3159" t="str">
        <f t="shared" si="296"/>
        <v>High</v>
      </c>
      <c r="Q3159" t="str">
        <f t="shared" si="297"/>
        <v>High Loan</v>
      </c>
      <c r="R3159">
        <f t="shared" si="298"/>
        <v>76500000</v>
      </c>
      <c r="S3159" t="str">
        <f t="shared" si="299"/>
        <v>Strong</v>
      </c>
    </row>
    <row r="3160" spans="1:19" x14ac:dyDescent="0.25">
      <c r="A3160">
        <v>3159</v>
      </c>
      <c r="B3160">
        <v>3</v>
      </c>
      <c r="C3160" t="s">
        <v>31</v>
      </c>
      <c r="D3160" t="s">
        <v>33</v>
      </c>
      <c r="E3160">
        <v>3800000</v>
      </c>
      <c r="F3160">
        <v>13700000</v>
      </c>
      <c r="G3160">
        <v>16</v>
      </c>
      <c r="H3160">
        <v>662</v>
      </c>
      <c r="I3160">
        <v>4800000</v>
      </c>
      <c r="J3160">
        <v>400000</v>
      </c>
      <c r="K3160">
        <v>12400000</v>
      </c>
      <c r="L3160">
        <v>5300000</v>
      </c>
      <c r="M3160" t="s">
        <v>34</v>
      </c>
      <c r="N3160">
        <f t="shared" si="295"/>
        <v>1</v>
      </c>
      <c r="O3160" t="str">
        <f t="shared" si="294"/>
        <v>Medium</v>
      </c>
      <c r="P3160" t="str">
        <f t="shared" si="296"/>
        <v>High</v>
      </c>
      <c r="Q3160" t="str">
        <f t="shared" si="297"/>
        <v>Low Loan</v>
      </c>
      <c r="R3160">
        <f t="shared" si="298"/>
        <v>22900000</v>
      </c>
      <c r="S3160" t="str">
        <f t="shared" si="299"/>
        <v>Strong</v>
      </c>
    </row>
    <row r="3161" spans="1:19" x14ac:dyDescent="0.25">
      <c r="A3161">
        <v>3160</v>
      </c>
      <c r="B3161">
        <v>3</v>
      </c>
      <c r="C3161" t="s">
        <v>30</v>
      </c>
      <c r="D3161" t="s">
        <v>32</v>
      </c>
      <c r="E3161">
        <v>8400000</v>
      </c>
      <c r="F3161">
        <v>31100000</v>
      </c>
      <c r="G3161">
        <v>18</v>
      </c>
      <c r="H3161">
        <v>599</v>
      </c>
      <c r="I3161">
        <v>20600000</v>
      </c>
      <c r="J3161">
        <v>14100000</v>
      </c>
      <c r="K3161">
        <v>20500000</v>
      </c>
      <c r="L3161">
        <v>8500000</v>
      </c>
      <c r="M3161" t="s">
        <v>34</v>
      </c>
      <c r="N3161">
        <f t="shared" si="295"/>
        <v>1</v>
      </c>
      <c r="O3161" t="str">
        <f t="shared" si="294"/>
        <v>Low</v>
      </c>
      <c r="P3161" t="str">
        <f t="shared" si="296"/>
        <v>High</v>
      </c>
      <c r="Q3161" t="str">
        <f t="shared" si="297"/>
        <v>High Loan</v>
      </c>
      <c r="R3161">
        <f t="shared" si="298"/>
        <v>63700000</v>
      </c>
      <c r="S3161" t="str">
        <f t="shared" si="299"/>
        <v>Strong</v>
      </c>
    </row>
    <row r="3162" spans="1:19" x14ac:dyDescent="0.25">
      <c r="A3162">
        <v>3161</v>
      </c>
      <c r="B3162">
        <v>1</v>
      </c>
      <c r="C3162" t="s">
        <v>30</v>
      </c>
      <c r="D3162" t="s">
        <v>32</v>
      </c>
      <c r="E3162">
        <v>1600000</v>
      </c>
      <c r="F3162">
        <v>5400000</v>
      </c>
      <c r="G3162">
        <v>4</v>
      </c>
      <c r="H3162">
        <v>319</v>
      </c>
      <c r="I3162">
        <v>4200000</v>
      </c>
      <c r="J3162">
        <v>2200000</v>
      </c>
      <c r="K3162">
        <v>4200000</v>
      </c>
      <c r="L3162">
        <v>1600000</v>
      </c>
      <c r="M3162" t="s">
        <v>34</v>
      </c>
      <c r="N3162">
        <f t="shared" si="295"/>
        <v>1</v>
      </c>
      <c r="O3162" t="str">
        <f t="shared" si="294"/>
        <v>Low</v>
      </c>
      <c r="P3162" t="str">
        <f t="shared" si="296"/>
        <v>High</v>
      </c>
      <c r="Q3162" t="str">
        <f t="shared" si="297"/>
        <v>Low Loan</v>
      </c>
      <c r="R3162">
        <f t="shared" si="298"/>
        <v>12200000</v>
      </c>
      <c r="S3162" t="str">
        <f t="shared" si="299"/>
        <v>Strong</v>
      </c>
    </row>
    <row r="3163" spans="1:19" x14ac:dyDescent="0.25">
      <c r="A3163">
        <v>3162</v>
      </c>
      <c r="B3163">
        <v>2</v>
      </c>
      <c r="C3163" t="s">
        <v>31</v>
      </c>
      <c r="D3163" t="s">
        <v>32</v>
      </c>
      <c r="E3163">
        <v>7800000</v>
      </c>
      <c r="F3163">
        <v>19400000</v>
      </c>
      <c r="G3163">
        <v>16</v>
      </c>
      <c r="H3163">
        <v>549</v>
      </c>
      <c r="I3163">
        <v>18600000</v>
      </c>
      <c r="J3163">
        <v>13300000</v>
      </c>
      <c r="K3163">
        <v>24100000</v>
      </c>
      <c r="L3163">
        <v>6900000</v>
      </c>
      <c r="M3163" t="s">
        <v>35</v>
      </c>
      <c r="N3163">
        <f t="shared" si="295"/>
        <v>0</v>
      </c>
      <c r="O3163" t="str">
        <f t="shared" si="294"/>
        <v>Low</v>
      </c>
      <c r="P3163" t="str">
        <f t="shared" si="296"/>
        <v>High</v>
      </c>
      <c r="Q3163" t="str">
        <f t="shared" si="297"/>
        <v>Low Loan</v>
      </c>
      <c r="R3163">
        <f t="shared" si="298"/>
        <v>62900000</v>
      </c>
      <c r="S3163" t="str">
        <f t="shared" si="299"/>
        <v>Strong</v>
      </c>
    </row>
    <row r="3164" spans="1:19" x14ac:dyDescent="0.25">
      <c r="A3164">
        <v>3163</v>
      </c>
      <c r="B3164">
        <v>1</v>
      </c>
      <c r="C3164" t="s">
        <v>30</v>
      </c>
      <c r="D3164" t="s">
        <v>33</v>
      </c>
      <c r="E3164">
        <v>9400000</v>
      </c>
      <c r="F3164">
        <v>21000000</v>
      </c>
      <c r="G3164">
        <v>12</v>
      </c>
      <c r="H3164">
        <v>443</v>
      </c>
      <c r="I3164">
        <v>14100000</v>
      </c>
      <c r="J3164">
        <v>2700000</v>
      </c>
      <c r="K3164">
        <v>23200000</v>
      </c>
      <c r="L3164">
        <v>5600000</v>
      </c>
      <c r="M3164" t="s">
        <v>35</v>
      </c>
      <c r="N3164">
        <f t="shared" si="295"/>
        <v>0</v>
      </c>
      <c r="O3164" t="str">
        <f t="shared" si="294"/>
        <v>Low</v>
      </c>
      <c r="P3164" t="str">
        <f t="shared" si="296"/>
        <v>High</v>
      </c>
      <c r="Q3164" t="str">
        <f t="shared" si="297"/>
        <v>High Loan</v>
      </c>
      <c r="R3164">
        <f t="shared" si="298"/>
        <v>45600000</v>
      </c>
      <c r="S3164" t="str">
        <f t="shared" si="299"/>
        <v>Strong</v>
      </c>
    </row>
    <row r="3165" spans="1:19" x14ac:dyDescent="0.25">
      <c r="A3165">
        <v>3164</v>
      </c>
      <c r="B3165">
        <v>3</v>
      </c>
      <c r="C3165" t="s">
        <v>31</v>
      </c>
      <c r="D3165" t="s">
        <v>33</v>
      </c>
      <c r="E3165">
        <v>9900000</v>
      </c>
      <c r="F3165">
        <v>26700000</v>
      </c>
      <c r="G3165">
        <v>10</v>
      </c>
      <c r="H3165">
        <v>550</v>
      </c>
      <c r="I3165">
        <v>22200000</v>
      </c>
      <c r="J3165">
        <v>15900000</v>
      </c>
      <c r="K3165">
        <v>36800000</v>
      </c>
      <c r="L3165">
        <v>6600000</v>
      </c>
      <c r="M3165" t="s">
        <v>34</v>
      </c>
      <c r="N3165">
        <f t="shared" si="295"/>
        <v>1</v>
      </c>
      <c r="O3165" t="str">
        <f t="shared" si="294"/>
        <v>Low</v>
      </c>
      <c r="P3165" t="str">
        <f t="shared" si="296"/>
        <v>High</v>
      </c>
      <c r="Q3165" t="str">
        <f t="shared" si="297"/>
        <v>High Loan</v>
      </c>
      <c r="R3165">
        <f t="shared" si="298"/>
        <v>81500000</v>
      </c>
      <c r="S3165" t="str">
        <f t="shared" si="299"/>
        <v>Strong</v>
      </c>
    </row>
    <row r="3166" spans="1:19" x14ac:dyDescent="0.25">
      <c r="A3166">
        <v>3165</v>
      </c>
      <c r="B3166">
        <v>4</v>
      </c>
      <c r="C3166" t="s">
        <v>31</v>
      </c>
      <c r="D3166" t="s">
        <v>32</v>
      </c>
      <c r="E3166">
        <v>2400000</v>
      </c>
      <c r="F3166">
        <v>8000000</v>
      </c>
      <c r="G3166">
        <v>18</v>
      </c>
      <c r="H3166">
        <v>393</v>
      </c>
      <c r="I3166">
        <v>-100000</v>
      </c>
      <c r="J3166">
        <v>200000</v>
      </c>
      <c r="K3166">
        <v>7600000</v>
      </c>
      <c r="L3166">
        <v>3000000</v>
      </c>
      <c r="M3166" t="s">
        <v>35</v>
      </c>
      <c r="N3166">
        <f t="shared" si="295"/>
        <v>0</v>
      </c>
      <c r="O3166" t="str">
        <f t="shared" si="294"/>
        <v>Low</v>
      </c>
      <c r="P3166" t="str">
        <f t="shared" si="296"/>
        <v>High</v>
      </c>
      <c r="Q3166" t="str">
        <f t="shared" si="297"/>
        <v>Low Loan</v>
      </c>
      <c r="R3166">
        <f t="shared" si="298"/>
        <v>10700000</v>
      </c>
      <c r="S3166" t="str">
        <f t="shared" si="299"/>
        <v>Strong</v>
      </c>
    </row>
    <row r="3167" spans="1:19" x14ac:dyDescent="0.25">
      <c r="A3167">
        <v>3166</v>
      </c>
      <c r="B3167">
        <v>2</v>
      </c>
      <c r="C3167" t="s">
        <v>30</v>
      </c>
      <c r="D3167" t="s">
        <v>33</v>
      </c>
      <c r="E3167">
        <v>7500000</v>
      </c>
      <c r="F3167">
        <v>15100000</v>
      </c>
      <c r="G3167">
        <v>8</v>
      </c>
      <c r="H3167">
        <v>488</v>
      </c>
      <c r="I3167">
        <v>19800000</v>
      </c>
      <c r="J3167">
        <v>0</v>
      </c>
      <c r="K3167">
        <v>28500000</v>
      </c>
      <c r="L3167">
        <v>6700000</v>
      </c>
      <c r="M3167" t="s">
        <v>35</v>
      </c>
      <c r="N3167">
        <f t="shared" si="295"/>
        <v>0</v>
      </c>
      <c r="O3167" t="str">
        <f t="shared" si="294"/>
        <v>Low</v>
      </c>
      <c r="P3167" t="str">
        <f t="shared" si="296"/>
        <v>High</v>
      </c>
      <c r="Q3167" t="str">
        <f t="shared" si="297"/>
        <v>Low Loan</v>
      </c>
      <c r="R3167">
        <f t="shared" si="298"/>
        <v>55000000</v>
      </c>
      <c r="S3167" t="str">
        <f t="shared" si="299"/>
        <v>Strong</v>
      </c>
    </row>
    <row r="3168" spans="1:19" x14ac:dyDescent="0.25">
      <c r="A3168">
        <v>3167</v>
      </c>
      <c r="B3168">
        <v>5</v>
      </c>
      <c r="C3168" t="s">
        <v>30</v>
      </c>
      <c r="D3168" t="s">
        <v>32</v>
      </c>
      <c r="E3168">
        <v>3300000</v>
      </c>
      <c r="F3168">
        <v>11800000</v>
      </c>
      <c r="G3168">
        <v>16</v>
      </c>
      <c r="H3168">
        <v>845</v>
      </c>
      <c r="I3168">
        <v>6000000</v>
      </c>
      <c r="J3168">
        <v>1500000</v>
      </c>
      <c r="K3168">
        <v>9200000</v>
      </c>
      <c r="L3168">
        <v>2600000</v>
      </c>
      <c r="M3168" t="s">
        <v>34</v>
      </c>
      <c r="N3168">
        <f t="shared" si="295"/>
        <v>1</v>
      </c>
      <c r="O3168" t="str">
        <f t="shared" si="294"/>
        <v>Excellent</v>
      </c>
      <c r="P3168" t="str">
        <f t="shared" si="296"/>
        <v>High</v>
      </c>
      <c r="Q3168" t="str">
        <f t="shared" si="297"/>
        <v>Low Loan</v>
      </c>
      <c r="R3168">
        <f t="shared" si="298"/>
        <v>19300000</v>
      </c>
      <c r="S3168" t="str">
        <f t="shared" si="299"/>
        <v>Strong</v>
      </c>
    </row>
    <row r="3169" spans="1:19" x14ac:dyDescent="0.25">
      <c r="A3169">
        <v>3168</v>
      </c>
      <c r="B3169">
        <v>2</v>
      </c>
      <c r="C3169" t="s">
        <v>30</v>
      </c>
      <c r="D3169" t="s">
        <v>32</v>
      </c>
      <c r="E3169">
        <v>5500000</v>
      </c>
      <c r="F3169">
        <v>19000000</v>
      </c>
      <c r="G3169">
        <v>2</v>
      </c>
      <c r="H3169">
        <v>382</v>
      </c>
      <c r="I3169">
        <v>12500000</v>
      </c>
      <c r="J3169">
        <v>1000000</v>
      </c>
      <c r="K3169">
        <v>15200000</v>
      </c>
      <c r="L3169">
        <v>8100000</v>
      </c>
      <c r="M3169" t="s">
        <v>34</v>
      </c>
      <c r="N3169">
        <f t="shared" si="295"/>
        <v>1</v>
      </c>
      <c r="O3169" t="str">
        <f t="shared" si="294"/>
        <v>Low</v>
      </c>
      <c r="P3169" t="str">
        <f t="shared" si="296"/>
        <v>High</v>
      </c>
      <c r="Q3169" t="str">
        <f t="shared" si="297"/>
        <v>Low Loan</v>
      </c>
      <c r="R3169">
        <f t="shared" si="298"/>
        <v>36800000</v>
      </c>
      <c r="S3169" t="str">
        <f t="shared" si="299"/>
        <v>Strong</v>
      </c>
    </row>
    <row r="3170" spans="1:19" x14ac:dyDescent="0.25">
      <c r="A3170">
        <v>3169</v>
      </c>
      <c r="B3170">
        <v>5</v>
      </c>
      <c r="C3170" t="s">
        <v>31</v>
      </c>
      <c r="D3170" t="s">
        <v>32</v>
      </c>
      <c r="E3170">
        <v>2400000</v>
      </c>
      <c r="F3170">
        <v>7500000</v>
      </c>
      <c r="G3170">
        <v>12</v>
      </c>
      <c r="H3170">
        <v>357</v>
      </c>
      <c r="I3170">
        <v>2600000</v>
      </c>
      <c r="J3170">
        <v>2900000</v>
      </c>
      <c r="K3170">
        <v>6100000</v>
      </c>
      <c r="L3170">
        <v>1300000</v>
      </c>
      <c r="M3170" t="s">
        <v>35</v>
      </c>
      <c r="N3170">
        <f t="shared" si="295"/>
        <v>0</v>
      </c>
      <c r="O3170" t="str">
        <f t="shared" si="294"/>
        <v>Low</v>
      </c>
      <c r="P3170" t="str">
        <f t="shared" si="296"/>
        <v>High</v>
      </c>
      <c r="Q3170" t="str">
        <f t="shared" si="297"/>
        <v>Low Loan</v>
      </c>
      <c r="R3170">
        <f t="shared" si="298"/>
        <v>12900000</v>
      </c>
      <c r="S3170" t="str">
        <f t="shared" si="299"/>
        <v>Strong</v>
      </c>
    </row>
    <row r="3171" spans="1:19" x14ac:dyDescent="0.25">
      <c r="A3171">
        <v>3170</v>
      </c>
      <c r="B3171">
        <v>1</v>
      </c>
      <c r="C3171" t="s">
        <v>31</v>
      </c>
      <c r="D3171" t="s">
        <v>33</v>
      </c>
      <c r="E3171">
        <v>8700000</v>
      </c>
      <c r="F3171">
        <v>27500000</v>
      </c>
      <c r="G3171">
        <v>16</v>
      </c>
      <c r="H3171">
        <v>815</v>
      </c>
      <c r="I3171">
        <v>8000000</v>
      </c>
      <c r="J3171">
        <v>13400000</v>
      </c>
      <c r="K3171">
        <v>23600000</v>
      </c>
      <c r="L3171">
        <v>5900000</v>
      </c>
      <c r="M3171" t="s">
        <v>34</v>
      </c>
      <c r="N3171">
        <f t="shared" si="295"/>
        <v>1</v>
      </c>
      <c r="O3171" t="str">
        <f t="shared" si="294"/>
        <v>Excellent</v>
      </c>
      <c r="P3171" t="str">
        <f t="shared" si="296"/>
        <v>High</v>
      </c>
      <c r="Q3171" t="str">
        <f t="shared" si="297"/>
        <v>High Loan</v>
      </c>
      <c r="R3171">
        <f t="shared" si="298"/>
        <v>50900000</v>
      </c>
      <c r="S3171" t="str">
        <f t="shared" si="299"/>
        <v>Strong</v>
      </c>
    </row>
    <row r="3172" spans="1:19" x14ac:dyDescent="0.25">
      <c r="A3172">
        <v>3171</v>
      </c>
      <c r="B3172">
        <v>1</v>
      </c>
      <c r="C3172" t="s">
        <v>31</v>
      </c>
      <c r="D3172" t="s">
        <v>32</v>
      </c>
      <c r="E3172">
        <v>9600000</v>
      </c>
      <c r="F3172">
        <v>26000000</v>
      </c>
      <c r="G3172">
        <v>16</v>
      </c>
      <c r="H3172">
        <v>368</v>
      </c>
      <c r="I3172">
        <v>18500000</v>
      </c>
      <c r="J3172">
        <v>16600000</v>
      </c>
      <c r="K3172">
        <v>29900000</v>
      </c>
      <c r="L3172">
        <v>8400000</v>
      </c>
      <c r="M3172" t="s">
        <v>35</v>
      </c>
      <c r="N3172">
        <f t="shared" si="295"/>
        <v>0</v>
      </c>
      <c r="O3172" t="str">
        <f t="shared" si="294"/>
        <v>Low</v>
      </c>
      <c r="P3172" t="str">
        <f t="shared" si="296"/>
        <v>High</v>
      </c>
      <c r="Q3172" t="str">
        <f t="shared" si="297"/>
        <v>High Loan</v>
      </c>
      <c r="R3172">
        <f t="shared" si="298"/>
        <v>73400000</v>
      </c>
      <c r="S3172" t="str">
        <f t="shared" si="299"/>
        <v>Strong</v>
      </c>
    </row>
    <row r="3173" spans="1:19" x14ac:dyDescent="0.25">
      <c r="A3173">
        <v>3172</v>
      </c>
      <c r="B3173">
        <v>0</v>
      </c>
      <c r="C3173" t="s">
        <v>30</v>
      </c>
      <c r="D3173" t="s">
        <v>32</v>
      </c>
      <c r="E3173">
        <v>8400000</v>
      </c>
      <c r="F3173">
        <v>19800000</v>
      </c>
      <c r="G3173">
        <v>16</v>
      </c>
      <c r="H3173">
        <v>674</v>
      </c>
      <c r="I3173">
        <v>500000</v>
      </c>
      <c r="J3173">
        <v>12200000</v>
      </c>
      <c r="K3173">
        <v>27400000</v>
      </c>
      <c r="L3173">
        <v>10700000</v>
      </c>
      <c r="M3173" t="s">
        <v>34</v>
      </c>
      <c r="N3173">
        <f t="shared" si="295"/>
        <v>1</v>
      </c>
      <c r="O3173" t="str">
        <f t="shared" si="294"/>
        <v>Medium</v>
      </c>
      <c r="P3173" t="str">
        <f t="shared" si="296"/>
        <v>High</v>
      </c>
      <c r="Q3173" t="str">
        <f t="shared" si="297"/>
        <v>Low Loan</v>
      </c>
      <c r="R3173">
        <f t="shared" si="298"/>
        <v>50800000</v>
      </c>
      <c r="S3173" t="str">
        <f t="shared" si="299"/>
        <v>Strong</v>
      </c>
    </row>
    <row r="3174" spans="1:19" x14ac:dyDescent="0.25">
      <c r="A3174">
        <v>3173</v>
      </c>
      <c r="B3174">
        <v>5</v>
      </c>
      <c r="C3174" t="s">
        <v>31</v>
      </c>
      <c r="D3174" t="s">
        <v>32</v>
      </c>
      <c r="E3174">
        <v>9200000</v>
      </c>
      <c r="F3174">
        <v>23900000</v>
      </c>
      <c r="G3174">
        <v>10</v>
      </c>
      <c r="H3174">
        <v>335</v>
      </c>
      <c r="I3174">
        <v>5800000</v>
      </c>
      <c r="J3174">
        <v>15300000</v>
      </c>
      <c r="K3174">
        <v>35400000</v>
      </c>
      <c r="L3174">
        <v>10700000</v>
      </c>
      <c r="M3174" t="s">
        <v>35</v>
      </c>
      <c r="N3174">
        <f t="shared" si="295"/>
        <v>0</v>
      </c>
      <c r="O3174" t="str">
        <f t="shared" si="294"/>
        <v>Low</v>
      </c>
      <c r="P3174" t="str">
        <f t="shared" si="296"/>
        <v>High</v>
      </c>
      <c r="Q3174" t="str">
        <f t="shared" si="297"/>
        <v>High Loan</v>
      </c>
      <c r="R3174">
        <f t="shared" si="298"/>
        <v>67200000</v>
      </c>
      <c r="S3174" t="str">
        <f t="shared" si="299"/>
        <v>Strong</v>
      </c>
    </row>
    <row r="3175" spans="1:19" x14ac:dyDescent="0.25">
      <c r="A3175">
        <v>3174</v>
      </c>
      <c r="B3175">
        <v>2</v>
      </c>
      <c r="C3175" t="s">
        <v>30</v>
      </c>
      <c r="D3175" t="s">
        <v>33</v>
      </c>
      <c r="E3175">
        <v>4600000</v>
      </c>
      <c r="F3175">
        <v>12600000</v>
      </c>
      <c r="G3175">
        <v>2</v>
      </c>
      <c r="H3175">
        <v>355</v>
      </c>
      <c r="I3175">
        <v>6300000</v>
      </c>
      <c r="J3175">
        <v>6900000</v>
      </c>
      <c r="K3175">
        <v>14800000</v>
      </c>
      <c r="L3175">
        <v>6500000</v>
      </c>
      <c r="M3175" t="s">
        <v>35</v>
      </c>
      <c r="N3175">
        <f t="shared" si="295"/>
        <v>0</v>
      </c>
      <c r="O3175" t="str">
        <f t="shared" si="294"/>
        <v>Low</v>
      </c>
      <c r="P3175" t="str">
        <f t="shared" si="296"/>
        <v>High</v>
      </c>
      <c r="Q3175" t="str">
        <f t="shared" si="297"/>
        <v>Low Loan</v>
      </c>
      <c r="R3175">
        <f t="shared" si="298"/>
        <v>34500000</v>
      </c>
      <c r="S3175" t="str">
        <f t="shared" si="299"/>
        <v>Strong</v>
      </c>
    </row>
    <row r="3176" spans="1:19" x14ac:dyDescent="0.25">
      <c r="A3176">
        <v>3175</v>
      </c>
      <c r="B3176">
        <v>5</v>
      </c>
      <c r="C3176" t="s">
        <v>31</v>
      </c>
      <c r="D3176" t="s">
        <v>32</v>
      </c>
      <c r="E3176">
        <v>7600000</v>
      </c>
      <c r="F3176">
        <v>17500000</v>
      </c>
      <c r="G3176">
        <v>6</v>
      </c>
      <c r="H3176">
        <v>510</v>
      </c>
      <c r="I3176">
        <v>9100000</v>
      </c>
      <c r="J3176">
        <v>3500000</v>
      </c>
      <c r="K3176">
        <v>15700000</v>
      </c>
      <c r="L3176">
        <v>9800000</v>
      </c>
      <c r="M3176" t="s">
        <v>35</v>
      </c>
      <c r="N3176">
        <f t="shared" si="295"/>
        <v>0</v>
      </c>
      <c r="O3176" t="str">
        <f t="shared" si="294"/>
        <v>Low</v>
      </c>
      <c r="P3176" t="str">
        <f t="shared" si="296"/>
        <v>High</v>
      </c>
      <c r="Q3176" t="str">
        <f t="shared" si="297"/>
        <v>Low Loan</v>
      </c>
      <c r="R3176">
        <f t="shared" si="298"/>
        <v>38100000</v>
      </c>
      <c r="S3176" t="str">
        <f t="shared" si="299"/>
        <v>Strong</v>
      </c>
    </row>
    <row r="3177" spans="1:19" x14ac:dyDescent="0.25">
      <c r="A3177">
        <v>3176</v>
      </c>
      <c r="B3177">
        <v>4</v>
      </c>
      <c r="C3177" t="s">
        <v>30</v>
      </c>
      <c r="D3177" t="s">
        <v>32</v>
      </c>
      <c r="E3177">
        <v>8500000</v>
      </c>
      <c r="F3177">
        <v>17800000</v>
      </c>
      <c r="G3177">
        <v>4</v>
      </c>
      <c r="H3177">
        <v>698</v>
      </c>
      <c r="I3177">
        <v>6700000</v>
      </c>
      <c r="J3177">
        <v>4300000</v>
      </c>
      <c r="K3177">
        <v>28600000</v>
      </c>
      <c r="L3177">
        <v>8000000</v>
      </c>
      <c r="M3177" t="s">
        <v>34</v>
      </c>
      <c r="N3177">
        <f t="shared" si="295"/>
        <v>1</v>
      </c>
      <c r="O3177" t="str">
        <f t="shared" si="294"/>
        <v>Medium</v>
      </c>
      <c r="P3177" t="str">
        <f t="shared" si="296"/>
        <v>High</v>
      </c>
      <c r="Q3177" t="str">
        <f t="shared" si="297"/>
        <v>Low Loan</v>
      </c>
      <c r="R3177">
        <f t="shared" si="298"/>
        <v>47600000</v>
      </c>
      <c r="S3177" t="str">
        <f t="shared" si="299"/>
        <v>Strong</v>
      </c>
    </row>
    <row r="3178" spans="1:19" x14ac:dyDescent="0.25">
      <c r="A3178">
        <v>3177</v>
      </c>
      <c r="B3178">
        <v>4</v>
      </c>
      <c r="C3178" t="s">
        <v>31</v>
      </c>
      <c r="D3178" t="s">
        <v>33</v>
      </c>
      <c r="E3178">
        <v>3100000</v>
      </c>
      <c r="F3178">
        <v>8200000</v>
      </c>
      <c r="G3178">
        <v>18</v>
      </c>
      <c r="H3178">
        <v>408</v>
      </c>
      <c r="I3178">
        <v>2900000</v>
      </c>
      <c r="J3178">
        <v>3800000</v>
      </c>
      <c r="K3178">
        <v>10800000</v>
      </c>
      <c r="L3178">
        <v>3100000</v>
      </c>
      <c r="M3178" t="s">
        <v>35</v>
      </c>
      <c r="N3178">
        <f t="shared" si="295"/>
        <v>0</v>
      </c>
      <c r="O3178" t="str">
        <f t="shared" si="294"/>
        <v>Low</v>
      </c>
      <c r="P3178" t="str">
        <f t="shared" si="296"/>
        <v>High</v>
      </c>
      <c r="Q3178" t="str">
        <f t="shared" si="297"/>
        <v>Low Loan</v>
      </c>
      <c r="R3178">
        <f t="shared" si="298"/>
        <v>20600000</v>
      </c>
      <c r="S3178" t="str">
        <f t="shared" si="299"/>
        <v>Strong</v>
      </c>
    </row>
    <row r="3179" spans="1:19" x14ac:dyDescent="0.25">
      <c r="A3179">
        <v>3178</v>
      </c>
      <c r="B3179">
        <v>3</v>
      </c>
      <c r="C3179" t="s">
        <v>30</v>
      </c>
      <c r="D3179" t="s">
        <v>33</v>
      </c>
      <c r="E3179">
        <v>4900000</v>
      </c>
      <c r="F3179">
        <v>13100000</v>
      </c>
      <c r="G3179">
        <v>18</v>
      </c>
      <c r="H3179">
        <v>401</v>
      </c>
      <c r="I3179">
        <v>5700000</v>
      </c>
      <c r="J3179">
        <v>4100000</v>
      </c>
      <c r="K3179">
        <v>16400000</v>
      </c>
      <c r="L3179">
        <v>3600000</v>
      </c>
      <c r="M3179" t="s">
        <v>35</v>
      </c>
      <c r="N3179">
        <f t="shared" si="295"/>
        <v>0</v>
      </c>
      <c r="O3179" t="str">
        <f t="shared" si="294"/>
        <v>Low</v>
      </c>
      <c r="P3179" t="str">
        <f t="shared" si="296"/>
        <v>High</v>
      </c>
      <c r="Q3179" t="str">
        <f t="shared" si="297"/>
        <v>Low Loan</v>
      </c>
      <c r="R3179">
        <f t="shared" si="298"/>
        <v>29800000</v>
      </c>
      <c r="S3179" t="str">
        <f t="shared" si="299"/>
        <v>Strong</v>
      </c>
    </row>
    <row r="3180" spans="1:19" x14ac:dyDescent="0.25">
      <c r="A3180">
        <v>3179</v>
      </c>
      <c r="B3180">
        <v>5</v>
      </c>
      <c r="C3180" t="s">
        <v>31</v>
      </c>
      <c r="D3180" t="s">
        <v>33</v>
      </c>
      <c r="E3180">
        <v>5800000</v>
      </c>
      <c r="F3180">
        <v>14000000</v>
      </c>
      <c r="G3180">
        <v>14</v>
      </c>
      <c r="H3180">
        <v>418</v>
      </c>
      <c r="I3180">
        <v>3900000</v>
      </c>
      <c r="J3180">
        <v>10400000</v>
      </c>
      <c r="K3180">
        <v>15100000</v>
      </c>
      <c r="L3180">
        <v>6800000</v>
      </c>
      <c r="M3180" t="s">
        <v>35</v>
      </c>
      <c r="N3180">
        <f t="shared" si="295"/>
        <v>0</v>
      </c>
      <c r="O3180" t="str">
        <f t="shared" si="294"/>
        <v>Low</v>
      </c>
      <c r="P3180" t="str">
        <f t="shared" si="296"/>
        <v>High</v>
      </c>
      <c r="Q3180" t="str">
        <f t="shared" si="297"/>
        <v>Low Loan</v>
      </c>
      <c r="R3180">
        <f t="shared" si="298"/>
        <v>36200000</v>
      </c>
      <c r="S3180" t="str">
        <f t="shared" si="299"/>
        <v>Strong</v>
      </c>
    </row>
    <row r="3181" spans="1:19" x14ac:dyDescent="0.25">
      <c r="A3181">
        <v>3180</v>
      </c>
      <c r="B3181">
        <v>0</v>
      </c>
      <c r="C3181" t="s">
        <v>31</v>
      </c>
      <c r="D3181" t="s">
        <v>32</v>
      </c>
      <c r="E3181">
        <v>5700000</v>
      </c>
      <c r="F3181">
        <v>21300000</v>
      </c>
      <c r="G3181">
        <v>4</v>
      </c>
      <c r="H3181">
        <v>697</v>
      </c>
      <c r="I3181">
        <v>3000000</v>
      </c>
      <c r="J3181">
        <v>6800000</v>
      </c>
      <c r="K3181">
        <v>20000000</v>
      </c>
      <c r="L3181">
        <v>5500000</v>
      </c>
      <c r="M3181" t="s">
        <v>34</v>
      </c>
      <c r="N3181">
        <f t="shared" si="295"/>
        <v>1</v>
      </c>
      <c r="O3181" t="str">
        <f t="shared" si="294"/>
        <v>Medium</v>
      </c>
      <c r="P3181" t="str">
        <f t="shared" si="296"/>
        <v>High</v>
      </c>
      <c r="Q3181" t="str">
        <f t="shared" si="297"/>
        <v>High Loan</v>
      </c>
      <c r="R3181">
        <f t="shared" si="298"/>
        <v>35300000</v>
      </c>
      <c r="S3181" t="str">
        <f t="shared" si="299"/>
        <v>Strong</v>
      </c>
    </row>
    <row r="3182" spans="1:19" x14ac:dyDescent="0.25">
      <c r="A3182">
        <v>3181</v>
      </c>
      <c r="B3182">
        <v>4</v>
      </c>
      <c r="C3182" t="s">
        <v>30</v>
      </c>
      <c r="D3182" t="s">
        <v>32</v>
      </c>
      <c r="E3182">
        <v>3200000</v>
      </c>
      <c r="F3182">
        <v>12200000</v>
      </c>
      <c r="G3182">
        <v>14</v>
      </c>
      <c r="H3182">
        <v>683</v>
      </c>
      <c r="I3182">
        <v>-100000</v>
      </c>
      <c r="J3182">
        <v>1100000</v>
      </c>
      <c r="K3182">
        <v>7500000</v>
      </c>
      <c r="L3182">
        <v>2900000</v>
      </c>
      <c r="M3182" t="s">
        <v>35</v>
      </c>
      <c r="N3182">
        <f t="shared" si="295"/>
        <v>0</v>
      </c>
      <c r="O3182" t="str">
        <f t="shared" si="294"/>
        <v>Medium</v>
      </c>
      <c r="P3182" t="str">
        <f t="shared" si="296"/>
        <v>High</v>
      </c>
      <c r="Q3182" t="str">
        <f t="shared" si="297"/>
        <v>Low Loan</v>
      </c>
      <c r="R3182">
        <f t="shared" si="298"/>
        <v>11400000</v>
      </c>
      <c r="S3182" t="str">
        <f t="shared" si="299"/>
        <v>Strong</v>
      </c>
    </row>
    <row r="3183" spans="1:19" x14ac:dyDescent="0.25">
      <c r="A3183">
        <v>3182</v>
      </c>
      <c r="B3183">
        <v>4</v>
      </c>
      <c r="C3183" t="s">
        <v>31</v>
      </c>
      <c r="D3183" t="s">
        <v>33</v>
      </c>
      <c r="E3183">
        <v>8000000</v>
      </c>
      <c r="F3183">
        <v>31500000</v>
      </c>
      <c r="G3183">
        <v>16</v>
      </c>
      <c r="H3183">
        <v>763</v>
      </c>
      <c r="I3183">
        <v>14900000</v>
      </c>
      <c r="J3183">
        <v>8800000</v>
      </c>
      <c r="K3183">
        <v>17600000</v>
      </c>
      <c r="L3183">
        <v>8900000</v>
      </c>
      <c r="M3183" t="s">
        <v>34</v>
      </c>
      <c r="N3183">
        <f t="shared" si="295"/>
        <v>1</v>
      </c>
      <c r="O3183" t="str">
        <f t="shared" si="294"/>
        <v>Excellent</v>
      </c>
      <c r="P3183" t="str">
        <f t="shared" si="296"/>
        <v>High</v>
      </c>
      <c r="Q3183" t="str">
        <f t="shared" si="297"/>
        <v>High Loan</v>
      </c>
      <c r="R3183">
        <f t="shared" si="298"/>
        <v>50200000</v>
      </c>
      <c r="S3183" t="str">
        <f t="shared" si="299"/>
        <v>Strong</v>
      </c>
    </row>
    <row r="3184" spans="1:19" x14ac:dyDescent="0.25">
      <c r="A3184">
        <v>3183</v>
      </c>
      <c r="B3184">
        <v>4</v>
      </c>
      <c r="C3184" t="s">
        <v>31</v>
      </c>
      <c r="D3184" t="s">
        <v>32</v>
      </c>
      <c r="E3184">
        <v>5000000</v>
      </c>
      <c r="F3184">
        <v>11400000</v>
      </c>
      <c r="G3184">
        <v>6</v>
      </c>
      <c r="H3184">
        <v>336</v>
      </c>
      <c r="I3184">
        <v>1600000</v>
      </c>
      <c r="J3184">
        <v>4000000</v>
      </c>
      <c r="K3184">
        <v>15500000</v>
      </c>
      <c r="L3184">
        <v>2500000</v>
      </c>
      <c r="M3184" t="s">
        <v>35</v>
      </c>
      <c r="N3184">
        <f t="shared" si="295"/>
        <v>0</v>
      </c>
      <c r="O3184" t="str">
        <f t="shared" si="294"/>
        <v>Low</v>
      </c>
      <c r="P3184" t="str">
        <f t="shared" si="296"/>
        <v>High</v>
      </c>
      <c r="Q3184" t="str">
        <f t="shared" si="297"/>
        <v>Low Loan</v>
      </c>
      <c r="R3184">
        <f t="shared" si="298"/>
        <v>23600000</v>
      </c>
      <c r="S3184" t="str">
        <f t="shared" si="299"/>
        <v>Strong</v>
      </c>
    </row>
    <row r="3185" spans="1:19" x14ac:dyDescent="0.25">
      <c r="A3185">
        <v>3184</v>
      </c>
      <c r="B3185">
        <v>2</v>
      </c>
      <c r="C3185" t="s">
        <v>31</v>
      </c>
      <c r="D3185" t="s">
        <v>33</v>
      </c>
      <c r="E3185">
        <v>2900000</v>
      </c>
      <c r="F3185">
        <v>8300000</v>
      </c>
      <c r="G3185">
        <v>10</v>
      </c>
      <c r="H3185">
        <v>693</v>
      </c>
      <c r="I3185">
        <v>7500000</v>
      </c>
      <c r="J3185">
        <v>1900000</v>
      </c>
      <c r="K3185">
        <v>9700000</v>
      </c>
      <c r="L3185">
        <v>4300000</v>
      </c>
      <c r="M3185" t="s">
        <v>34</v>
      </c>
      <c r="N3185">
        <f t="shared" si="295"/>
        <v>1</v>
      </c>
      <c r="O3185" t="str">
        <f t="shared" si="294"/>
        <v>Medium</v>
      </c>
      <c r="P3185" t="str">
        <f t="shared" si="296"/>
        <v>High</v>
      </c>
      <c r="Q3185" t="str">
        <f t="shared" si="297"/>
        <v>Low Loan</v>
      </c>
      <c r="R3185">
        <f t="shared" si="298"/>
        <v>23400000</v>
      </c>
      <c r="S3185" t="str">
        <f t="shared" si="299"/>
        <v>Strong</v>
      </c>
    </row>
    <row r="3186" spans="1:19" x14ac:dyDescent="0.25">
      <c r="A3186">
        <v>3185</v>
      </c>
      <c r="B3186">
        <v>2</v>
      </c>
      <c r="C3186" t="s">
        <v>31</v>
      </c>
      <c r="D3186" t="s">
        <v>32</v>
      </c>
      <c r="E3186">
        <v>6400000</v>
      </c>
      <c r="F3186">
        <v>23900000</v>
      </c>
      <c r="G3186">
        <v>18</v>
      </c>
      <c r="H3186">
        <v>745</v>
      </c>
      <c r="I3186">
        <v>14800000</v>
      </c>
      <c r="J3186">
        <v>4000000</v>
      </c>
      <c r="K3186">
        <v>16300000</v>
      </c>
      <c r="L3186">
        <v>7000000</v>
      </c>
      <c r="M3186" t="s">
        <v>34</v>
      </c>
      <c r="N3186">
        <f t="shared" si="295"/>
        <v>1</v>
      </c>
      <c r="O3186" t="str">
        <f t="shared" si="294"/>
        <v>Good</v>
      </c>
      <c r="P3186" t="str">
        <f t="shared" si="296"/>
        <v>High</v>
      </c>
      <c r="Q3186" t="str">
        <f t="shared" si="297"/>
        <v>High Loan</v>
      </c>
      <c r="R3186">
        <f t="shared" si="298"/>
        <v>42100000</v>
      </c>
      <c r="S3186" t="str">
        <f t="shared" si="299"/>
        <v>Strong</v>
      </c>
    </row>
    <row r="3187" spans="1:19" x14ac:dyDescent="0.25">
      <c r="A3187">
        <v>3186</v>
      </c>
      <c r="B3187">
        <v>5</v>
      </c>
      <c r="C3187" t="s">
        <v>30</v>
      </c>
      <c r="D3187" t="s">
        <v>32</v>
      </c>
      <c r="E3187">
        <v>6300000</v>
      </c>
      <c r="F3187">
        <v>22500000</v>
      </c>
      <c r="G3187">
        <v>18</v>
      </c>
      <c r="H3187">
        <v>629</v>
      </c>
      <c r="I3187">
        <v>300000</v>
      </c>
      <c r="J3187">
        <v>3900000</v>
      </c>
      <c r="K3187">
        <v>23100000</v>
      </c>
      <c r="L3187">
        <v>8000000</v>
      </c>
      <c r="M3187" t="s">
        <v>34</v>
      </c>
      <c r="N3187">
        <f t="shared" si="295"/>
        <v>1</v>
      </c>
      <c r="O3187" t="str">
        <f t="shared" si="294"/>
        <v>Low</v>
      </c>
      <c r="P3187" t="str">
        <f t="shared" si="296"/>
        <v>High</v>
      </c>
      <c r="Q3187" t="str">
        <f t="shared" si="297"/>
        <v>High Loan</v>
      </c>
      <c r="R3187">
        <f t="shared" si="298"/>
        <v>35300000</v>
      </c>
      <c r="S3187" t="str">
        <f t="shared" si="299"/>
        <v>Strong</v>
      </c>
    </row>
    <row r="3188" spans="1:19" x14ac:dyDescent="0.25">
      <c r="A3188">
        <v>3187</v>
      </c>
      <c r="B3188">
        <v>0</v>
      </c>
      <c r="C3188" t="s">
        <v>31</v>
      </c>
      <c r="D3188" t="s">
        <v>32</v>
      </c>
      <c r="E3188">
        <v>5900000</v>
      </c>
      <c r="F3188">
        <v>23300000</v>
      </c>
      <c r="G3188">
        <v>16</v>
      </c>
      <c r="H3188">
        <v>581</v>
      </c>
      <c r="I3188">
        <v>2200000</v>
      </c>
      <c r="J3188">
        <v>8100000</v>
      </c>
      <c r="K3188">
        <v>14900000</v>
      </c>
      <c r="L3188">
        <v>5800000</v>
      </c>
      <c r="M3188" t="s">
        <v>34</v>
      </c>
      <c r="N3188">
        <f t="shared" si="295"/>
        <v>1</v>
      </c>
      <c r="O3188" t="str">
        <f t="shared" si="294"/>
        <v>Low</v>
      </c>
      <c r="P3188" t="str">
        <f t="shared" si="296"/>
        <v>High</v>
      </c>
      <c r="Q3188" t="str">
        <f t="shared" si="297"/>
        <v>High Loan</v>
      </c>
      <c r="R3188">
        <f t="shared" si="298"/>
        <v>31000000</v>
      </c>
      <c r="S3188" t="str">
        <f t="shared" si="299"/>
        <v>Strong</v>
      </c>
    </row>
    <row r="3189" spans="1:19" x14ac:dyDescent="0.25">
      <c r="A3189">
        <v>3188</v>
      </c>
      <c r="B3189">
        <v>1</v>
      </c>
      <c r="C3189" t="s">
        <v>30</v>
      </c>
      <c r="D3189" t="s">
        <v>32</v>
      </c>
      <c r="E3189">
        <v>8100000</v>
      </c>
      <c r="F3189">
        <v>29600000</v>
      </c>
      <c r="G3189">
        <v>4</v>
      </c>
      <c r="H3189">
        <v>672</v>
      </c>
      <c r="I3189">
        <v>8200000</v>
      </c>
      <c r="J3189">
        <v>5100000</v>
      </c>
      <c r="K3189">
        <v>21100000</v>
      </c>
      <c r="L3189">
        <v>5400000</v>
      </c>
      <c r="M3189" t="s">
        <v>34</v>
      </c>
      <c r="N3189">
        <f t="shared" si="295"/>
        <v>1</v>
      </c>
      <c r="O3189" t="str">
        <f t="shared" si="294"/>
        <v>Medium</v>
      </c>
      <c r="P3189" t="str">
        <f t="shared" si="296"/>
        <v>High</v>
      </c>
      <c r="Q3189" t="str">
        <f t="shared" si="297"/>
        <v>High Loan</v>
      </c>
      <c r="R3189">
        <f t="shared" si="298"/>
        <v>39800000</v>
      </c>
      <c r="S3189" t="str">
        <f t="shared" si="299"/>
        <v>Strong</v>
      </c>
    </row>
    <row r="3190" spans="1:19" x14ac:dyDescent="0.25">
      <c r="A3190">
        <v>3189</v>
      </c>
      <c r="B3190">
        <v>5</v>
      </c>
      <c r="C3190" t="s">
        <v>30</v>
      </c>
      <c r="D3190" t="s">
        <v>33</v>
      </c>
      <c r="E3190">
        <v>7100000</v>
      </c>
      <c r="F3190">
        <v>20100000</v>
      </c>
      <c r="G3190">
        <v>4</v>
      </c>
      <c r="H3190">
        <v>700</v>
      </c>
      <c r="I3190">
        <v>16900000</v>
      </c>
      <c r="J3190">
        <v>2900000</v>
      </c>
      <c r="K3190">
        <v>15600000</v>
      </c>
      <c r="L3190">
        <v>4500000</v>
      </c>
      <c r="M3190" t="s">
        <v>34</v>
      </c>
      <c r="N3190">
        <f t="shared" si="295"/>
        <v>1</v>
      </c>
      <c r="O3190" t="str">
        <f t="shared" si="294"/>
        <v>Good</v>
      </c>
      <c r="P3190" t="str">
        <f t="shared" si="296"/>
        <v>High</v>
      </c>
      <c r="Q3190" t="str">
        <f t="shared" si="297"/>
        <v>High Loan</v>
      </c>
      <c r="R3190">
        <f t="shared" si="298"/>
        <v>39900000</v>
      </c>
      <c r="S3190" t="str">
        <f t="shared" si="299"/>
        <v>Strong</v>
      </c>
    </row>
    <row r="3191" spans="1:19" x14ac:dyDescent="0.25">
      <c r="A3191">
        <v>3190</v>
      </c>
      <c r="B3191">
        <v>1</v>
      </c>
      <c r="C3191" t="s">
        <v>31</v>
      </c>
      <c r="D3191" t="s">
        <v>32</v>
      </c>
      <c r="E3191">
        <v>1400000</v>
      </c>
      <c r="F3191">
        <v>4400000</v>
      </c>
      <c r="G3191">
        <v>14</v>
      </c>
      <c r="H3191">
        <v>787</v>
      </c>
      <c r="I3191">
        <v>1600000</v>
      </c>
      <c r="J3191">
        <v>1200000</v>
      </c>
      <c r="K3191">
        <v>4200000</v>
      </c>
      <c r="L3191">
        <v>800000</v>
      </c>
      <c r="M3191" t="s">
        <v>34</v>
      </c>
      <c r="N3191">
        <f t="shared" si="295"/>
        <v>1</v>
      </c>
      <c r="O3191" t="str">
        <f t="shared" si="294"/>
        <v>Excellent</v>
      </c>
      <c r="P3191" t="str">
        <f t="shared" si="296"/>
        <v>High</v>
      </c>
      <c r="Q3191" t="str">
        <f t="shared" si="297"/>
        <v>Low Loan</v>
      </c>
      <c r="R3191">
        <f t="shared" si="298"/>
        <v>7800000</v>
      </c>
      <c r="S3191" t="str">
        <f t="shared" si="299"/>
        <v>Moderate</v>
      </c>
    </row>
    <row r="3192" spans="1:19" x14ac:dyDescent="0.25">
      <c r="A3192">
        <v>3191</v>
      </c>
      <c r="B3192">
        <v>3</v>
      </c>
      <c r="C3192" t="s">
        <v>30</v>
      </c>
      <c r="D3192" t="s">
        <v>33</v>
      </c>
      <c r="E3192">
        <v>2300000</v>
      </c>
      <c r="F3192">
        <v>8000000</v>
      </c>
      <c r="G3192">
        <v>8</v>
      </c>
      <c r="H3192">
        <v>300</v>
      </c>
      <c r="I3192">
        <v>4200000</v>
      </c>
      <c r="J3192">
        <v>3800000</v>
      </c>
      <c r="K3192">
        <v>7300000</v>
      </c>
      <c r="L3192">
        <v>1200000</v>
      </c>
      <c r="M3192" t="s">
        <v>35</v>
      </c>
      <c r="N3192">
        <f t="shared" si="295"/>
        <v>0</v>
      </c>
      <c r="O3192" t="str">
        <f t="shared" si="294"/>
        <v>Low</v>
      </c>
      <c r="P3192" t="str">
        <f t="shared" si="296"/>
        <v>High</v>
      </c>
      <c r="Q3192" t="str">
        <f t="shared" si="297"/>
        <v>Low Loan</v>
      </c>
      <c r="R3192">
        <f t="shared" si="298"/>
        <v>16500000</v>
      </c>
      <c r="S3192" t="str">
        <f t="shared" si="299"/>
        <v>Strong</v>
      </c>
    </row>
    <row r="3193" spans="1:19" x14ac:dyDescent="0.25">
      <c r="A3193">
        <v>3192</v>
      </c>
      <c r="B3193">
        <v>1</v>
      </c>
      <c r="C3193" t="s">
        <v>30</v>
      </c>
      <c r="D3193" t="s">
        <v>32</v>
      </c>
      <c r="E3193">
        <v>7400000</v>
      </c>
      <c r="F3193">
        <v>16100000</v>
      </c>
      <c r="G3193">
        <v>4</v>
      </c>
      <c r="H3193">
        <v>655</v>
      </c>
      <c r="I3193">
        <v>22000000</v>
      </c>
      <c r="J3193">
        <v>12900000</v>
      </c>
      <c r="K3193">
        <v>25300000</v>
      </c>
      <c r="L3193">
        <v>4300000</v>
      </c>
      <c r="M3193" t="s">
        <v>34</v>
      </c>
      <c r="N3193">
        <f t="shared" si="295"/>
        <v>1</v>
      </c>
      <c r="O3193" t="str">
        <f t="shared" si="294"/>
        <v>Medium</v>
      </c>
      <c r="P3193" t="str">
        <f t="shared" si="296"/>
        <v>High</v>
      </c>
      <c r="Q3193" t="str">
        <f t="shared" si="297"/>
        <v>Low Loan</v>
      </c>
      <c r="R3193">
        <f t="shared" si="298"/>
        <v>64500000</v>
      </c>
      <c r="S3193" t="str">
        <f t="shared" si="299"/>
        <v>Strong</v>
      </c>
    </row>
    <row r="3194" spans="1:19" x14ac:dyDescent="0.25">
      <c r="A3194">
        <v>3193</v>
      </c>
      <c r="B3194">
        <v>0</v>
      </c>
      <c r="C3194" t="s">
        <v>30</v>
      </c>
      <c r="D3194" t="s">
        <v>33</v>
      </c>
      <c r="E3194">
        <v>5300000</v>
      </c>
      <c r="F3194">
        <v>13300000</v>
      </c>
      <c r="G3194">
        <v>12</v>
      </c>
      <c r="H3194">
        <v>572</v>
      </c>
      <c r="I3194">
        <v>4200000</v>
      </c>
      <c r="J3194">
        <v>2500000</v>
      </c>
      <c r="K3194">
        <v>18000000</v>
      </c>
      <c r="L3194">
        <v>7100000</v>
      </c>
      <c r="M3194" t="s">
        <v>34</v>
      </c>
      <c r="N3194">
        <f t="shared" si="295"/>
        <v>1</v>
      </c>
      <c r="O3194" t="str">
        <f t="shared" si="294"/>
        <v>Low</v>
      </c>
      <c r="P3194" t="str">
        <f t="shared" si="296"/>
        <v>High</v>
      </c>
      <c r="Q3194" t="str">
        <f t="shared" si="297"/>
        <v>Low Loan</v>
      </c>
      <c r="R3194">
        <f t="shared" si="298"/>
        <v>31800000</v>
      </c>
      <c r="S3194" t="str">
        <f t="shared" si="299"/>
        <v>Strong</v>
      </c>
    </row>
    <row r="3195" spans="1:19" x14ac:dyDescent="0.25">
      <c r="A3195">
        <v>3194</v>
      </c>
      <c r="B3195">
        <v>5</v>
      </c>
      <c r="C3195" t="s">
        <v>30</v>
      </c>
      <c r="D3195" t="s">
        <v>33</v>
      </c>
      <c r="E3195">
        <v>7700000</v>
      </c>
      <c r="F3195">
        <v>16400000</v>
      </c>
      <c r="G3195">
        <v>2</v>
      </c>
      <c r="H3195">
        <v>663</v>
      </c>
      <c r="I3195">
        <v>1100000</v>
      </c>
      <c r="J3195">
        <v>14800000</v>
      </c>
      <c r="K3195">
        <v>15800000</v>
      </c>
      <c r="L3195">
        <v>3900000</v>
      </c>
      <c r="M3195" t="s">
        <v>34</v>
      </c>
      <c r="N3195">
        <f t="shared" si="295"/>
        <v>1</v>
      </c>
      <c r="O3195" t="str">
        <f t="shared" si="294"/>
        <v>Medium</v>
      </c>
      <c r="P3195" t="str">
        <f t="shared" si="296"/>
        <v>High</v>
      </c>
      <c r="Q3195" t="str">
        <f t="shared" si="297"/>
        <v>Low Loan</v>
      </c>
      <c r="R3195">
        <f t="shared" si="298"/>
        <v>35600000</v>
      </c>
      <c r="S3195" t="str">
        <f t="shared" si="299"/>
        <v>Strong</v>
      </c>
    </row>
    <row r="3196" spans="1:19" x14ac:dyDescent="0.25">
      <c r="A3196">
        <v>3195</v>
      </c>
      <c r="B3196">
        <v>0</v>
      </c>
      <c r="C3196" t="s">
        <v>31</v>
      </c>
      <c r="D3196" t="s">
        <v>32</v>
      </c>
      <c r="E3196">
        <v>5000000</v>
      </c>
      <c r="F3196">
        <v>10700000</v>
      </c>
      <c r="G3196">
        <v>16</v>
      </c>
      <c r="H3196">
        <v>726</v>
      </c>
      <c r="I3196">
        <v>1600000</v>
      </c>
      <c r="J3196">
        <v>1100000</v>
      </c>
      <c r="K3196">
        <v>15700000</v>
      </c>
      <c r="L3196">
        <v>4800000</v>
      </c>
      <c r="M3196" t="s">
        <v>34</v>
      </c>
      <c r="N3196">
        <f t="shared" si="295"/>
        <v>1</v>
      </c>
      <c r="O3196" t="str">
        <f t="shared" si="294"/>
        <v>Good</v>
      </c>
      <c r="P3196" t="str">
        <f t="shared" si="296"/>
        <v>High</v>
      </c>
      <c r="Q3196" t="str">
        <f t="shared" si="297"/>
        <v>Low Loan</v>
      </c>
      <c r="R3196">
        <f t="shared" si="298"/>
        <v>23200000</v>
      </c>
      <c r="S3196" t="str">
        <f t="shared" si="299"/>
        <v>Strong</v>
      </c>
    </row>
    <row r="3197" spans="1:19" x14ac:dyDescent="0.25">
      <c r="A3197">
        <v>3196</v>
      </c>
      <c r="B3197">
        <v>5</v>
      </c>
      <c r="C3197" t="s">
        <v>31</v>
      </c>
      <c r="D3197" t="s">
        <v>33</v>
      </c>
      <c r="E3197">
        <v>6000000</v>
      </c>
      <c r="F3197">
        <v>12300000</v>
      </c>
      <c r="G3197">
        <v>12</v>
      </c>
      <c r="H3197">
        <v>680</v>
      </c>
      <c r="I3197">
        <v>11400000</v>
      </c>
      <c r="J3197">
        <v>5300000</v>
      </c>
      <c r="K3197">
        <v>13800000</v>
      </c>
      <c r="L3197">
        <v>7300000</v>
      </c>
      <c r="M3197" t="s">
        <v>34</v>
      </c>
      <c r="N3197">
        <f t="shared" si="295"/>
        <v>1</v>
      </c>
      <c r="O3197" t="str">
        <f t="shared" si="294"/>
        <v>Medium</v>
      </c>
      <c r="P3197" t="str">
        <f t="shared" si="296"/>
        <v>High</v>
      </c>
      <c r="Q3197" t="str">
        <f t="shared" si="297"/>
        <v>Low Loan</v>
      </c>
      <c r="R3197">
        <f t="shared" si="298"/>
        <v>37800000</v>
      </c>
      <c r="S3197" t="str">
        <f t="shared" si="299"/>
        <v>Strong</v>
      </c>
    </row>
    <row r="3198" spans="1:19" x14ac:dyDescent="0.25">
      <c r="A3198">
        <v>3197</v>
      </c>
      <c r="B3198">
        <v>0</v>
      </c>
      <c r="C3198" t="s">
        <v>30</v>
      </c>
      <c r="D3198" t="s">
        <v>32</v>
      </c>
      <c r="E3198">
        <v>1400000</v>
      </c>
      <c r="F3198">
        <v>2700000</v>
      </c>
      <c r="G3198">
        <v>2</v>
      </c>
      <c r="H3198">
        <v>685</v>
      </c>
      <c r="I3198">
        <v>3400000</v>
      </c>
      <c r="J3198">
        <v>800000</v>
      </c>
      <c r="K3198">
        <v>5400000</v>
      </c>
      <c r="L3198">
        <v>1300000</v>
      </c>
      <c r="M3198" t="s">
        <v>34</v>
      </c>
      <c r="N3198">
        <f t="shared" si="295"/>
        <v>1</v>
      </c>
      <c r="O3198" t="str">
        <f t="shared" si="294"/>
        <v>Medium</v>
      </c>
      <c r="P3198" t="str">
        <f t="shared" si="296"/>
        <v>High</v>
      </c>
      <c r="Q3198" t="str">
        <f t="shared" si="297"/>
        <v>Low Loan</v>
      </c>
      <c r="R3198">
        <f t="shared" si="298"/>
        <v>10900000</v>
      </c>
      <c r="S3198" t="str">
        <f t="shared" si="299"/>
        <v>Strong</v>
      </c>
    </row>
    <row r="3199" spans="1:19" x14ac:dyDescent="0.25">
      <c r="A3199">
        <v>3198</v>
      </c>
      <c r="B3199">
        <v>5</v>
      </c>
      <c r="C3199" t="s">
        <v>31</v>
      </c>
      <c r="D3199" t="s">
        <v>33</v>
      </c>
      <c r="E3199">
        <v>9400000</v>
      </c>
      <c r="F3199">
        <v>23100000</v>
      </c>
      <c r="G3199">
        <v>6</v>
      </c>
      <c r="H3199">
        <v>762</v>
      </c>
      <c r="I3199">
        <v>12400000</v>
      </c>
      <c r="J3199">
        <v>10200000</v>
      </c>
      <c r="K3199">
        <v>22300000</v>
      </c>
      <c r="L3199">
        <v>6600000</v>
      </c>
      <c r="M3199" t="s">
        <v>34</v>
      </c>
      <c r="N3199">
        <f t="shared" si="295"/>
        <v>1</v>
      </c>
      <c r="O3199" t="str">
        <f t="shared" si="294"/>
        <v>Excellent</v>
      </c>
      <c r="P3199" t="str">
        <f t="shared" si="296"/>
        <v>High</v>
      </c>
      <c r="Q3199" t="str">
        <f t="shared" si="297"/>
        <v>High Loan</v>
      </c>
      <c r="R3199">
        <f t="shared" si="298"/>
        <v>51500000</v>
      </c>
      <c r="S3199" t="str">
        <f t="shared" si="299"/>
        <v>Strong</v>
      </c>
    </row>
    <row r="3200" spans="1:19" x14ac:dyDescent="0.25">
      <c r="A3200">
        <v>3199</v>
      </c>
      <c r="B3200">
        <v>3</v>
      </c>
      <c r="C3200" t="s">
        <v>31</v>
      </c>
      <c r="D3200" t="s">
        <v>32</v>
      </c>
      <c r="E3200">
        <v>5200000</v>
      </c>
      <c r="F3200">
        <v>17200000</v>
      </c>
      <c r="G3200">
        <v>18</v>
      </c>
      <c r="H3200">
        <v>768</v>
      </c>
      <c r="I3200">
        <v>9200000</v>
      </c>
      <c r="J3200">
        <v>5500000</v>
      </c>
      <c r="K3200">
        <v>11700000</v>
      </c>
      <c r="L3200">
        <v>3800000</v>
      </c>
      <c r="M3200" t="s">
        <v>34</v>
      </c>
      <c r="N3200">
        <f t="shared" si="295"/>
        <v>1</v>
      </c>
      <c r="O3200" t="str">
        <f t="shared" si="294"/>
        <v>Excellent</v>
      </c>
      <c r="P3200" t="str">
        <f t="shared" si="296"/>
        <v>High</v>
      </c>
      <c r="Q3200" t="str">
        <f t="shared" si="297"/>
        <v>Low Loan</v>
      </c>
      <c r="R3200">
        <f t="shared" si="298"/>
        <v>30200000</v>
      </c>
      <c r="S3200" t="str">
        <f t="shared" si="299"/>
        <v>Strong</v>
      </c>
    </row>
    <row r="3201" spans="1:19" x14ac:dyDescent="0.25">
      <c r="A3201">
        <v>3200</v>
      </c>
      <c r="B3201">
        <v>0</v>
      </c>
      <c r="C3201" t="s">
        <v>30</v>
      </c>
      <c r="D3201" t="s">
        <v>32</v>
      </c>
      <c r="E3201">
        <v>3100000</v>
      </c>
      <c r="F3201">
        <v>11100000</v>
      </c>
      <c r="G3201">
        <v>8</v>
      </c>
      <c r="H3201">
        <v>504</v>
      </c>
      <c r="I3201">
        <v>3500000</v>
      </c>
      <c r="J3201">
        <v>4600000</v>
      </c>
      <c r="K3201">
        <v>11400000</v>
      </c>
      <c r="L3201">
        <v>1800000</v>
      </c>
      <c r="M3201" t="s">
        <v>35</v>
      </c>
      <c r="N3201">
        <f t="shared" si="295"/>
        <v>0</v>
      </c>
      <c r="O3201" t="str">
        <f t="shared" si="294"/>
        <v>Low</v>
      </c>
      <c r="P3201" t="str">
        <f t="shared" si="296"/>
        <v>High</v>
      </c>
      <c r="Q3201" t="str">
        <f t="shared" si="297"/>
        <v>Low Loan</v>
      </c>
      <c r="R3201">
        <f t="shared" si="298"/>
        <v>21300000</v>
      </c>
      <c r="S3201" t="str">
        <f t="shared" si="299"/>
        <v>Strong</v>
      </c>
    </row>
    <row r="3202" spans="1:19" x14ac:dyDescent="0.25">
      <c r="A3202">
        <v>3201</v>
      </c>
      <c r="B3202">
        <v>3</v>
      </c>
      <c r="C3202" t="s">
        <v>31</v>
      </c>
      <c r="D3202" t="s">
        <v>33</v>
      </c>
      <c r="E3202">
        <v>8400000</v>
      </c>
      <c r="F3202">
        <v>20500000</v>
      </c>
      <c r="G3202">
        <v>12</v>
      </c>
      <c r="H3202">
        <v>796</v>
      </c>
      <c r="I3202">
        <v>22900000</v>
      </c>
      <c r="J3202">
        <v>10500000</v>
      </c>
      <c r="K3202">
        <v>17600000</v>
      </c>
      <c r="L3202">
        <v>11200000</v>
      </c>
      <c r="M3202" t="s">
        <v>34</v>
      </c>
      <c r="N3202">
        <f t="shared" si="295"/>
        <v>1</v>
      </c>
      <c r="O3202" t="str">
        <f t="shared" ref="O3202:O3265" si="300">IF(H3202&lt;650,"Low",
 IF(H3202&lt;700,"Medium",
 IF(H3202&lt;750,"Good","Excellent")))</f>
        <v>Excellent</v>
      </c>
      <c r="P3202" t="str">
        <f t="shared" si="296"/>
        <v>High</v>
      </c>
      <c r="Q3202" t="str">
        <f t="shared" si="297"/>
        <v>High Loan</v>
      </c>
      <c r="R3202">
        <f t="shared" si="298"/>
        <v>62200000</v>
      </c>
      <c r="S3202" t="str">
        <f t="shared" si="299"/>
        <v>Strong</v>
      </c>
    </row>
    <row r="3203" spans="1:19" x14ac:dyDescent="0.25">
      <c r="A3203">
        <v>3202</v>
      </c>
      <c r="B3203">
        <v>0</v>
      </c>
      <c r="C3203" t="s">
        <v>31</v>
      </c>
      <c r="D3203" t="s">
        <v>32</v>
      </c>
      <c r="E3203">
        <v>1200000</v>
      </c>
      <c r="F3203">
        <v>2900000</v>
      </c>
      <c r="G3203">
        <v>18</v>
      </c>
      <c r="H3203">
        <v>348</v>
      </c>
      <c r="I3203">
        <v>400000</v>
      </c>
      <c r="J3203">
        <v>1200000</v>
      </c>
      <c r="K3203">
        <v>2900000</v>
      </c>
      <c r="L3203">
        <v>600000</v>
      </c>
      <c r="M3203" t="s">
        <v>35</v>
      </c>
      <c r="N3203">
        <f t="shared" ref="N3203:N3266" si="301">IF(TRIM(CLEAN(M3203))="Approved",1,0)</f>
        <v>0</v>
      </c>
      <c r="O3203" t="str">
        <f t="shared" si="300"/>
        <v>Low</v>
      </c>
      <c r="P3203" t="str">
        <f t="shared" ref="P3203:P3266" si="302">IF(E3203&lt;300000,"Low",
 IF(E3203&lt;700000,"Middle","High"))</f>
        <v>High</v>
      </c>
      <c r="Q3203" t="str">
        <f t="shared" ref="Q3203:Q3266" si="303">IF(F3203&lt;20000000,"Low Loan","High Loan")</f>
        <v>Low Loan</v>
      </c>
      <c r="R3203">
        <f t="shared" ref="R3203:R3266" si="304">I3203+J3203+K3203+L3203</f>
        <v>5100000</v>
      </c>
      <c r="S3203" t="str">
        <f t="shared" ref="S3203:S3266" si="305">IF(R3203&lt;5000000,"Weak",
 IF(R3203&lt;10000000,"Moderate","Strong"))</f>
        <v>Moderate</v>
      </c>
    </row>
    <row r="3204" spans="1:19" x14ac:dyDescent="0.25">
      <c r="A3204">
        <v>3203</v>
      </c>
      <c r="B3204">
        <v>5</v>
      </c>
      <c r="C3204" t="s">
        <v>31</v>
      </c>
      <c r="D3204" t="s">
        <v>33</v>
      </c>
      <c r="E3204">
        <v>4800000</v>
      </c>
      <c r="F3204">
        <v>13100000</v>
      </c>
      <c r="G3204">
        <v>6</v>
      </c>
      <c r="H3204">
        <v>717</v>
      </c>
      <c r="I3204">
        <v>8300000</v>
      </c>
      <c r="J3204">
        <v>8900000</v>
      </c>
      <c r="K3204">
        <v>18300000</v>
      </c>
      <c r="L3204">
        <v>2800000</v>
      </c>
      <c r="M3204" t="s">
        <v>34</v>
      </c>
      <c r="N3204">
        <f t="shared" si="301"/>
        <v>1</v>
      </c>
      <c r="O3204" t="str">
        <f t="shared" si="300"/>
        <v>Good</v>
      </c>
      <c r="P3204" t="str">
        <f t="shared" si="302"/>
        <v>High</v>
      </c>
      <c r="Q3204" t="str">
        <f t="shared" si="303"/>
        <v>Low Loan</v>
      </c>
      <c r="R3204">
        <f t="shared" si="304"/>
        <v>38300000</v>
      </c>
      <c r="S3204" t="str">
        <f t="shared" si="305"/>
        <v>Strong</v>
      </c>
    </row>
    <row r="3205" spans="1:19" x14ac:dyDescent="0.25">
      <c r="A3205">
        <v>3204</v>
      </c>
      <c r="B3205">
        <v>5</v>
      </c>
      <c r="C3205" t="s">
        <v>31</v>
      </c>
      <c r="D3205" t="s">
        <v>33</v>
      </c>
      <c r="E3205">
        <v>9200000</v>
      </c>
      <c r="F3205">
        <v>34200000</v>
      </c>
      <c r="G3205">
        <v>4</v>
      </c>
      <c r="H3205">
        <v>565</v>
      </c>
      <c r="I3205">
        <v>500000</v>
      </c>
      <c r="J3205">
        <v>13900000</v>
      </c>
      <c r="K3205">
        <v>23600000</v>
      </c>
      <c r="L3205">
        <v>12300000</v>
      </c>
      <c r="M3205" t="s">
        <v>34</v>
      </c>
      <c r="N3205">
        <f t="shared" si="301"/>
        <v>1</v>
      </c>
      <c r="O3205" t="str">
        <f t="shared" si="300"/>
        <v>Low</v>
      </c>
      <c r="P3205" t="str">
        <f t="shared" si="302"/>
        <v>High</v>
      </c>
      <c r="Q3205" t="str">
        <f t="shared" si="303"/>
        <v>High Loan</v>
      </c>
      <c r="R3205">
        <f t="shared" si="304"/>
        <v>50300000</v>
      </c>
      <c r="S3205" t="str">
        <f t="shared" si="305"/>
        <v>Strong</v>
      </c>
    </row>
    <row r="3206" spans="1:19" x14ac:dyDescent="0.25">
      <c r="A3206">
        <v>3205</v>
      </c>
      <c r="B3206">
        <v>2</v>
      </c>
      <c r="C3206" t="s">
        <v>31</v>
      </c>
      <c r="D3206" t="s">
        <v>32</v>
      </c>
      <c r="E3206">
        <v>5300000</v>
      </c>
      <c r="F3206">
        <v>10900000</v>
      </c>
      <c r="G3206">
        <v>6</v>
      </c>
      <c r="H3206">
        <v>647</v>
      </c>
      <c r="I3206">
        <v>14600000</v>
      </c>
      <c r="J3206">
        <v>3500000</v>
      </c>
      <c r="K3206">
        <v>18700000</v>
      </c>
      <c r="L3206">
        <v>3200000</v>
      </c>
      <c r="M3206" t="s">
        <v>34</v>
      </c>
      <c r="N3206">
        <f t="shared" si="301"/>
        <v>1</v>
      </c>
      <c r="O3206" t="str">
        <f t="shared" si="300"/>
        <v>Low</v>
      </c>
      <c r="P3206" t="str">
        <f t="shared" si="302"/>
        <v>High</v>
      </c>
      <c r="Q3206" t="str">
        <f t="shared" si="303"/>
        <v>Low Loan</v>
      </c>
      <c r="R3206">
        <f t="shared" si="304"/>
        <v>40000000</v>
      </c>
      <c r="S3206" t="str">
        <f t="shared" si="305"/>
        <v>Strong</v>
      </c>
    </row>
    <row r="3207" spans="1:19" x14ac:dyDescent="0.25">
      <c r="A3207">
        <v>3206</v>
      </c>
      <c r="B3207">
        <v>3</v>
      </c>
      <c r="C3207" t="s">
        <v>30</v>
      </c>
      <c r="D3207" t="s">
        <v>32</v>
      </c>
      <c r="E3207">
        <v>4700000</v>
      </c>
      <c r="F3207">
        <v>10900000</v>
      </c>
      <c r="G3207">
        <v>2</v>
      </c>
      <c r="H3207">
        <v>626</v>
      </c>
      <c r="I3207">
        <v>9200000</v>
      </c>
      <c r="J3207">
        <v>2300000</v>
      </c>
      <c r="K3207">
        <v>14600000</v>
      </c>
      <c r="L3207">
        <v>5200000</v>
      </c>
      <c r="M3207" t="s">
        <v>34</v>
      </c>
      <c r="N3207">
        <f t="shared" si="301"/>
        <v>1</v>
      </c>
      <c r="O3207" t="str">
        <f t="shared" si="300"/>
        <v>Low</v>
      </c>
      <c r="P3207" t="str">
        <f t="shared" si="302"/>
        <v>High</v>
      </c>
      <c r="Q3207" t="str">
        <f t="shared" si="303"/>
        <v>Low Loan</v>
      </c>
      <c r="R3207">
        <f t="shared" si="304"/>
        <v>31300000</v>
      </c>
      <c r="S3207" t="str">
        <f t="shared" si="305"/>
        <v>Strong</v>
      </c>
    </row>
    <row r="3208" spans="1:19" x14ac:dyDescent="0.25">
      <c r="A3208">
        <v>3207</v>
      </c>
      <c r="B3208">
        <v>0</v>
      </c>
      <c r="C3208" t="s">
        <v>31</v>
      </c>
      <c r="D3208" t="s">
        <v>32</v>
      </c>
      <c r="E3208">
        <v>6500000</v>
      </c>
      <c r="F3208">
        <v>24700000</v>
      </c>
      <c r="G3208">
        <v>6</v>
      </c>
      <c r="H3208">
        <v>554</v>
      </c>
      <c r="I3208">
        <v>2700000</v>
      </c>
      <c r="J3208">
        <v>1100000</v>
      </c>
      <c r="K3208">
        <v>22700000</v>
      </c>
      <c r="L3208">
        <v>9600000</v>
      </c>
      <c r="M3208" t="s">
        <v>34</v>
      </c>
      <c r="N3208">
        <f t="shared" si="301"/>
        <v>1</v>
      </c>
      <c r="O3208" t="str">
        <f t="shared" si="300"/>
        <v>Low</v>
      </c>
      <c r="P3208" t="str">
        <f t="shared" si="302"/>
        <v>High</v>
      </c>
      <c r="Q3208" t="str">
        <f t="shared" si="303"/>
        <v>High Loan</v>
      </c>
      <c r="R3208">
        <f t="shared" si="304"/>
        <v>36100000</v>
      </c>
      <c r="S3208" t="str">
        <f t="shared" si="305"/>
        <v>Strong</v>
      </c>
    </row>
    <row r="3209" spans="1:19" x14ac:dyDescent="0.25">
      <c r="A3209">
        <v>3208</v>
      </c>
      <c r="B3209">
        <v>4</v>
      </c>
      <c r="C3209" t="s">
        <v>30</v>
      </c>
      <c r="D3209" t="s">
        <v>33</v>
      </c>
      <c r="E3209">
        <v>3200000</v>
      </c>
      <c r="F3209">
        <v>11500000</v>
      </c>
      <c r="G3209">
        <v>20</v>
      </c>
      <c r="H3209">
        <v>864</v>
      </c>
      <c r="I3209">
        <v>8700000</v>
      </c>
      <c r="J3209">
        <v>5000000</v>
      </c>
      <c r="K3209">
        <v>12100000</v>
      </c>
      <c r="L3209">
        <v>4100000</v>
      </c>
      <c r="M3209" t="s">
        <v>34</v>
      </c>
      <c r="N3209">
        <f t="shared" si="301"/>
        <v>1</v>
      </c>
      <c r="O3209" t="str">
        <f t="shared" si="300"/>
        <v>Excellent</v>
      </c>
      <c r="P3209" t="str">
        <f t="shared" si="302"/>
        <v>High</v>
      </c>
      <c r="Q3209" t="str">
        <f t="shared" si="303"/>
        <v>Low Loan</v>
      </c>
      <c r="R3209">
        <f t="shared" si="304"/>
        <v>29900000</v>
      </c>
      <c r="S3209" t="str">
        <f t="shared" si="305"/>
        <v>Strong</v>
      </c>
    </row>
    <row r="3210" spans="1:19" x14ac:dyDescent="0.25">
      <c r="A3210">
        <v>3209</v>
      </c>
      <c r="B3210">
        <v>4</v>
      </c>
      <c r="C3210" t="s">
        <v>30</v>
      </c>
      <c r="D3210" t="s">
        <v>32</v>
      </c>
      <c r="E3210">
        <v>4600000</v>
      </c>
      <c r="F3210">
        <v>12500000</v>
      </c>
      <c r="G3210">
        <v>6</v>
      </c>
      <c r="H3210">
        <v>406</v>
      </c>
      <c r="I3210">
        <v>10800000</v>
      </c>
      <c r="J3210">
        <v>200000</v>
      </c>
      <c r="K3210">
        <v>14000000</v>
      </c>
      <c r="L3210">
        <v>6800000</v>
      </c>
      <c r="M3210" t="s">
        <v>35</v>
      </c>
      <c r="N3210">
        <f t="shared" si="301"/>
        <v>0</v>
      </c>
      <c r="O3210" t="str">
        <f t="shared" si="300"/>
        <v>Low</v>
      </c>
      <c r="P3210" t="str">
        <f t="shared" si="302"/>
        <v>High</v>
      </c>
      <c r="Q3210" t="str">
        <f t="shared" si="303"/>
        <v>Low Loan</v>
      </c>
      <c r="R3210">
        <f t="shared" si="304"/>
        <v>31800000</v>
      </c>
      <c r="S3210" t="str">
        <f t="shared" si="305"/>
        <v>Strong</v>
      </c>
    </row>
    <row r="3211" spans="1:19" x14ac:dyDescent="0.25">
      <c r="A3211">
        <v>3210</v>
      </c>
      <c r="B3211">
        <v>5</v>
      </c>
      <c r="C3211" t="s">
        <v>30</v>
      </c>
      <c r="D3211" t="s">
        <v>32</v>
      </c>
      <c r="E3211">
        <v>700000</v>
      </c>
      <c r="F3211">
        <v>1800000</v>
      </c>
      <c r="G3211">
        <v>10</v>
      </c>
      <c r="H3211">
        <v>650</v>
      </c>
      <c r="I3211">
        <v>1300000</v>
      </c>
      <c r="J3211">
        <v>100000</v>
      </c>
      <c r="K3211">
        <v>1500000</v>
      </c>
      <c r="L3211">
        <v>300000</v>
      </c>
      <c r="M3211" t="s">
        <v>34</v>
      </c>
      <c r="N3211">
        <f t="shared" si="301"/>
        <v>1</v>
      </c>
      <c r="O3211" t="str">
        <f t="shared" si="300"/>
        <v>Medium</v>
      </c>
      <c r="P3211" t="str">
        <f t="shared" si="302"/>
        <v>High</v>
      </c>
      <c r="Q3211" t="str">
        <f t="shared" si="303"/>
        <v>Low Loan</v>
      </c>
      <c r="R3211">
        <f t="shared" si="304"/>
        <v>3200000</v>
      </c>
      <c r="S3211" t="str">
        <f t="shared" si="305"/>
        <v>Weak</v>
      </c>
    </row>
    <row r="3212" spans="1:19" x14ac:dyDescent="0.25">
      <c r="A3212">
        <v>3211</v>
      </c>
      <c r="B3212">
        <v>5</v>
      </c>
      <c r="C3212" t="s">
        <v>31</v>
      </c>
      <c r="D3212" t="s">
        <v>33</v>
      </c>
      <c r="E3212">
        <v>7600000</v>
      </c>
      <c r="F3212">
        <v>16500000</v>
      </c>
      <c r="G3212">
        <v>8</v>
      </c>
      <c r="H3212">
        <v>534</v>
      </c>
      <c r="I3212">
        <v>8900000</v>
      </c>
      <c r="J3212">
        <v>10300000</v>
      </c>
      <c r="K3212">
        <v>24900000</v>
      </c>
      <c r="L3212">
        <v>8300000</v>
      </c>
      <c r="M3212" t="s">
        <v>35</v>
      </c>
      <c r="N3212">
        <f t="shared" si="301"/>
        <v>0</v>
      </c>
      <c r="O3212" t="str">
        <f t="shared" si="300"/>
        <v>Low</v>
      </c>
      <c r="P3212" t="str">
        <f t="shared" si="302"/>
        <v>High</v>
      </c>
      <c r="Q3212" t="str">
        <f t="shared" si="303"/>
        <v>Low Loan</v>
      </c>
      <c r="R3212">
        <f t="shared" si="304"/>
        <v>52400000</v>
      </c>
      <c r="S3212" t="str">
        <f t="shared" si="305"/>
        <v>Strong</v>
      </c>
    </row>
    <row r="3213" spans="1:19" x14ac:dyDescent="0.25">
      <c r="A3213">
        <v>3212</v>
      </c>
      <c r="B3213">
        <v>4</v>
      </c>
      <c r="C3213" t="s">
        <v>30</v>
      </c>
      <c r="D3213" t="s">
        <v>32</v>
      </c>
      <c r="E3213">
        <v>1200000</v>
      </c>
      <c r="F3213">
        <v>2600000</v>
      </c>
      <c r="G3213">
        <v>8</v>
      </c>
      <c r="H3213">
        <v>872</v>
      </c>
      <c r="I3213">
        <v>1600000</v>
      </c>
      <c r="J3213">
        <v>2100000</v>
      </c>
      <c r="K3213">
        <v>2700000</v>
      </c>
      <c r="L3213">
        <v>900000</v>
      </c>
      <c r="M3213" t="s">
        <v>34</v>
      </c>
      <c r="N3213">
        <f t="shared" si="301"/>
        <v>1</v>
      </c>
      <c r="O3213" t="str">
        <f t="shared" si="300"/>
        <v>Excellent</v>
      </c>
      <c r="P3213" t="str">
        <f t="shared" si="302"/>
        <v>High</v>
      </c>
      <c r="Q3213" t="str">
        <f t="shared" si="303"/>
        <v>Low Loan</v>
      </c>
      <c r="R3213">
        <f t="shared" si="304"/>
        <v>7300000</v>
      </c>
      <c r="S3213" t="str">
        <f t="shared" si="305"/>
        <v>Moderate</v>
      </c>
    </row>
    <row r="3214" spans="1:19" x14ac:dyDescent="0.25">
      <c r="A3214">
        <v>3213</v>
      </c>
      <c r="B3214">
        <v>2</v>
      </c>
      <c r="C3214" t="s">
        <v>30</v>
      </c>
      <c r="D3214" t="s">
        <v>32</v>
      </c>
      <c r="E3214">
        <v>5100000</v>
      </c>
      <c r="F3214">
        <v>16500000</v>
      </c>
      <c r="G3214">
        <v>12</v>
      </c>
      <c r="H3214">
        <v>845</v>
      </c>
      <c r="I3214">
        <v>12100000</v>
      </c>
      <c r="J3214">
        <v>9000000</v>
      </c>
      <c r="K3214">
        <v>11400000</v>
      </c>
      <c r="L3214">
        <v>5700000</v>
      </c>
      <c r="M3214" t="s">
        <v>34</v>
      </c>
      <c r="N3214">
        <f t="shared" si="301"/>
        <v>1</v>
      </c>
      <c r="O3214" t="str">
        <f t="shared" si="300"/>
        <v>Excellent</v>
      </c>
      <c r="P3214" t="str">
        <f t="shared" si="302"/>
        <v>High</v>
      </c>
      <c r="Q3214" t="str">
        <f t="shared" si="303"/>
        <v>Low Loan</v>
      </c>
      <c r="R3214">
        <f t="shared" si="304"/>
        <v>38200000</v>
      </c>
      <c r="S3214" t="str">
        <f t="shared" si="305"/>
        <v>Strong</v>
      </c>
    </row>
    <row r="3215" spans="1:19" x14ac:dyDescent="0.25">
      <c r="A3215">
        <v>3214</v>
      </c>
      <c r="B3215">
        <v>1</v>
      </c>
      <c r="C3215" t="s">
        <v>31</v>
      </c>
      <c r="D3215" t="s">
        <v>33</v>
      </c>
      <c r="E3215">
        <v>4300000</v>
      </c>
      <c r="F3215">
        <v>16300000</v>
      </c>
      <c r="G3215">
        <v>14</v>
      </c>
      <c r="H3215">
        <v>792</v>
      </c>
      <c r="I3215">
        <v>400000</v>
      </c>
      <c r="J3215">
        <v>400000</v>
      </c>
      <c r="K3215">
        <v>10200000</v>
      </c>
      <c r="L3215">
        <v>4000000</v>
      </c>
      <c r="M3215" t="s">
        <v>35</v>
      </c>
      <c r="N3215">
        <f t="shared" si="301"/>
        <v>0</v>
      </c>
      <c r="O3215" t="str">
        <f t="shared" si="300"/>
        <v>Excellent</v>
      </c>
      <c r="P3215" t="str">
        <f t="shared" si="302"/>
        <v>High</v>
      </c>
      <c r="Q3215" t="str">
        <f t="shared" si="303"/>
        <v>Low Loan</v>
      </c>
      <c r="R3215">
        <f t="shared" si="304"/>
        <v>15000000</v>
      </c>
      <c r="S3215" t="str">
        <f t="shared" si="305"/>
        <v>Strong</v>
      </c>
    </row>
    <row r="3216" spans="1:19" x14ac:dyDescent="0.25">
      <c r="A3216">
        <v>3215</v>
      </c>
      <c r="B3216">
        <v>4</v>
      </c>
      <c r="C3216" t="s">
        <v>30</v>
      </c>
      <c r="D3216" t="s">
        <v>32</v>
      </c>
      <c r="E3216">
        <v>300000</v>
      </c>
      <c r="F3216">
        <v>1200000</v>
      </c>
      <c r="G3216">
        <v>18</v>
      </c>
      <c r="H3216">
        <v>544</v>
      </c>
      <c r="I3216">
        <v>700000</v>
      </c>
      <c r="J3216">
        <v>100000</v>
      </c>
      <c r="K3216">
        <v>800000</v>
      </c>
      <c r="L3216">
        <v>100000</v>
      </c>
      <c r="M3216" t="s">
        <v>35</v>
      </c>
      <c r="N3216">
        <f t="shared" si="301"/>
        <v>0</v>
      </c>
      <c r="O3216" t="str">
        <f t="shared" si="300"/>
        <v>Low</v>
      </c>
      <c r="P3216" t="str">
        <f t="shared" si="302"/>
        <v>Middle</v>
      </c>
      <c r="Q3216" t="str">
        <f t="shared" si="303"/>
        <v>Low Loan</v>
      </c>
      <c r="R3216">
        <f t="shared" si="304"/>
        <v>1700000</v>
      </c>
      <c r="S3216" t="str">
        <f t="shared" si="305"/>
        <v>Weak</v>
      </c>
    </row>
    <row r="3217" spans="1:19" x14ac:dyDescent="0.25">
      <c r="A3217">
        <v>3216</v>
      </c>
      <c r="B3217">
        <v>2</v>
      </c>
      <c r="C3217" t="s">
        <v>30</v>
      </c>
      <c r="D3217" t="s">
        <v>33</v>
      </c>
      <c r="E3217">
        <v>4000000</v>
      </c>
      <c r="F3217">
        <v>13000000</v>
      </c>
      <c r="G3217">
        <v>10</v>
      </c>
      <c r="H3217">
        <v>552</v>
      </c>
      <c r="I3217">
        <v>3700000</v>
      </c>
      <c r="J3217">
        <v>1600000</v>
      </c>
      <c r="K3217">
        <v>15600000</v>
      </c>
      <c r="L3217">
        <v>3400000</v>
      </c>
      <c r="M3217" t="s">
        <v>34</v>
      </c>
      <c r="N3217">
        <f t="shared" si="301"/>
        <v>1</v>
      </c>
      <c r="O3217" t="str">
        <f t="shared" si="300"/>
        <v>Low</v>
      </c>
      <c r="P3217" t="str">
        <f t="shared" si="302"/>
        <v>High</v>
      </c>
      <c r="Q3217" t="str">
        <f t="shared" si="303"/>
        <v>Low Loan</v>
      </c>
      <c r="R3217">
        <f t="shared" si="304"/>
        <v>24300000</v>
      </c>
      <c r="S3217" t="str">
        <f t="shared" si="305"/>
        <v>Strong</v>
      </c>
    </row>
    <row r="3218" spans="1:19" x14ac:dyDescent="0.25">
      <c r="A3218">
        <v>3217</v>
      </c>
      <c r="B3218">
        <v>5</v>
      </c>
      <c r="C3218" t="s">
        <v>31</v>
      </c>
      <c r="D3218" t="s">
        <v>32</v>
      </c>
      <c r="E3218">
        <v>3900000</v>
      </c>
      <c r="F3218">
        <v>14900000</v>
      </c>
      <c r="G3218">
        <v>12</v>
      </c>
      <c r="H3218">
        <v>837</v>
      </c>
      <c r="I3218">
        <v>1100000</v>
      </c>
      <c r="J3218">
        <v>500000</v>
      </c>
      <c r="K3218">
        <v>14400000</v>
      </c>
      <c r="L3218">
        <v>3600000</v>
      </c>
      <c r="M3218" t="s">
        <v>34</v>
      </c>
      <c r="N3218">
        <f t="shared" si="301"/>
        <v>1</v>
      </c>
      <c r="O3218" t="str">
        <f t="shared" si="300"/>
        <v>Excellent</v>
      </c>
      <c r="P3218" t="str">
        <f t="shared" si="302"/>
        <v>High</v>
      </c>
      <c r="Q3218" t="str">
        <f t="shared" si="303"/>
        <v>Low Loan</v>
      </c>
      <c r="R3218">
        <f t="shared" si="304"/>
        <v>19600000</v>
      </c>
      <c r="S3218" t="str">
        <f t="shared" si="305"/>
        <v>Strong</v>
      </c>
    </row>
    <row r="3219" spans="1:19" x14ac:dyDescent="0.25">
      <c r="A3219">
        <v>3218</v>
      </c>
      <c r="B3219">
        <v>0</v>
      </c>
      <c r="C3219" t="s">
        <v>31</v>
      </c>
      <c r="D3219" t="s">
        <v>33</v>
      </c>
      <c r="E3219">
        <v>6900000</v>
      </c>
      <c r="F3219">
        <v>21300000</v>
      </c>
      <c r="G3219">
        <v>18</v>
      </c>
      <c r="H3219">
        <v>845</v>
      </c>
      <c r="I3219">
        <v>17400000</v>
      </c>
      <c r="J3219">
        <v>5600000</v>
      </c>
      <c r="K3219">
        <v>21400000</v>
      </c>
      <c r="L3219">
        <v>6600000</v>
      </c>
      <c r="M3219" t="s">
        <v>34</v>
      </c>
      <c r="N3219">
        <f t="shared" si="301"/>
        <v>1</v>
      </c>
      <c r="O3219" t="str">
        <f t="shared" si="300"/>
        <v>Excellent</v>
      </c>
      <c r="P3219" t="str">
        <f t="shared" si="302"/>
        <v>High</v>
      </c>
      <c r="Q3219" t="str">
        <f t="shared" si="303"/>
        <v>High Loan</v>
      </c>
      <c r="R3219">
        <f t="shared" si="304"/>
        <v>51000000</v>
      </c>
      <c r="S3219" t="str">
        <f t="shared" si="305"/>
        <v>Strong</v>
      </c>
    </row>
    <row r="3220" spans="1:19" x14ac:dyDescent="0.25">
      <c r="A3220">
        <v>3219</v>
      </c>
      <c r="B3220">
        <v>4</v>
      </c>
      <c r="C3220" t="s">
        <v>31</v>
      </c>
      <c r="D3220" t="s">
        <v>33</v>
      </c>
      <c r="E3220">
        <v>7000000</v>
      </c>
      <c r="F3220">
        <v>24100000</v>
      </c>
      <c r="G3220">
        <v>10</v>
      </c>
      <c r="H3220">
        <v>677</v>
      </c>
      <c r="I3220">
        <v>18800000</v>
      </c>
      <c r="J3220">
        <v>6000000</v>
      </c>
      <c r="K3220">
        <v>21600000</v>
      </c>
      <c r="L3220">
        <v>6300000</v>
      </c>
      <c r="M3220" t="s">
        <v>34</v>
      </c>
      <c r="N3220">
        <f t="shared" si="301"/>
        <v>1</v>
      </c>
      <c r="O3220" t="str">
        <f t="shared" si="300"/>
        <v>Medium</v>
      </c>
      <c r="P3220" t="str">
        <f t="shared" si="302"/>
        <v>High</v>
      </c>
      <c r="Q3220" t="str">
        <f t="shared" si="303"/>
        <v>High Loan</v>
      </c>
      <c r="R3220">
        <f t="shared" si="304"/>
        <v>52700000</v>
      </c>
      <c r="S3220" t="str">
        <f t="shared" si="305"/>
        <v>Strong</v>
      </c>
    </row>
    <row r="3221" spans="1:19" x14ac:dyDescent="0.25">
      <c r="A3221">
        <v>3220</v>
      </c>
      <c r="B3221">
        <v>1</v>
      </c>
      <c r="C3221" t="s">
        <v>30</v>
      </c>
      <c r="D3221" t="s">
        <v>32</v>
      </c>
      <c r="E3221">
        <v>6300000</v>
      </c>
      <c r="F3221">
        <v>18300000</v>
      </c>
      <c r="G3221">
        <v>20</v>
      </c>
      <c r="H3221">
        <v>430</v>
      </c>
      <c r="I3221">
        <v>13000000</v>
      </c>
      <c r="J3221">
        <v>1300000</v>
      </c>
      <c r="K3221">
        <v>23000000</v>
      </c>
      <c r="L3221">
        <v>9200000</v>
      </c>
      <c r="M3221" t="s">
        <v>35</v>
      </c>
      <c r="N3221">
        <f t="shared" si="301"/>
        <v>0</v>
      </c>
      <c r="O3221" t="str">
        <f t="shared" si="300"/>
        <v>Low</v>
      </c>
      <c r="P3221" t="str">
        <f t="shared" si="302"/>
        <v>High</v>
      </c>
      <c r="Q3221" t="str">
        <f t="shared" si="303"/>
        <v>Low Loan</v>
      </c>
      <c r="R3221">
        <f t="shared" si="304"/>
        <v>46500000</v>
      </c>
      <c r="S3221" t="str">
        <f t="shared" si="305"/>
        <v>Strong</v>
      </c>
    </row>
    <row r="3222" spans="1:19" x14ac:dyDescent="0.25">
      <c r="A3222">
        <v>3221</v>
      </c>
      <c r="B3222">
        <v>3</v>
      </c>
      <c r="C3222" t="s">
        <v>30</v>
      </c>
      <c r="D3222" t="s">
        <v>33</v>
      </c>
      <c r="E3222">
        <v>8900000</v>
      </c>
      <c r="F3222">
        <v>22500000</v>
      </c>
      <c r="G3222">
        <v>12</v>
      </c>
      <c r="H3222">
        <v>887</v>
      </c>
      <c r="I3222">
        <v>23300000</v>
      </c>
      <c r="J3222">
        <v>10800000</v>
      </c>
      <c r="K3222">
        <v>33500000</v>
      </c>
      <c r="L3222">
        <v>9500000</v>
      </c>
      <c r="M3222" t="s">
        <v>34</v>
      </c>
      <c r="N3222">
        <f t="shared" si="301"/>
        <v>1</v>
      </c>
      <c r="O3222" t="str">
        <f t="shared" si="300"/>
        <v>Excellent</v>
      </c>
      <c r="P3222" t="str">
        <f t="shared" si="302"/>
        <v>High</v>
      </c>
      <c r="Q3222" t="str">
        <f t="shared" si="303"/>
        <v>High Loan</v>
      </c>
      <c r="R3222">
        <f t="shared" si="304"/>
        <v>77100000</v>
      </c>
      <c r="S3222" t="str">
        <f t="shared" si="305"/>
        <v>Strong</v>
      </c>
    </row>
    <row r="3223" spans="1:19" x14ac:dyDescent="0.25">
      <c r="A3223">
        <v>3222</v>
      </c>
      <c r="B3223">
        <v>0</v>
      </c>
      <c r="C3223" t="s">
        <v>31</v>
      </c>
      <c r="D3223" t="s">
        <v>33</v>
      </c>
      <c r="E3223">
        <v>5700000</v>
      </c>
      <c r="F3223">
        <v>19400000</v>
      </c>
      <c r="G3223">
        <v>8</v>
      </c>
      <c r="H3223">
        <v>544</v>
      </c>
      <c r="I3223">
        <v>4300000</v>
      </c>
      <c r="J3223">
        <v>6400000</v>
      </c>
      <c r="K3223">
        <v>19900000</v>
      </c>
      <c r="L3223">
        <v>5800000</v>
      </c>
      <c r="M3223" t="s">
        <v>35</v>
      </c>
      <c r="N3223">
        <f t="shared" si="301"/>
        <v>0</v>
      </c>
      <c r="O3223" t="str">
        <f t="shared" si="300"/>
        <v>Low</v>
      </c>
      <c r="P3223" t="str">
        <f t="shared" si="302"/>
        <v>High</v>
      </c>
      <c r="Q3223" t="str">
        <f t="shared" si="303"/>
        <v>Low Loan</v>
      </c>
      <c r="R3223">
        <f t="shared" si="304"/>
        <v>36400000</v>
      </c>
      <c r="S3223" t="str">
        <f t="shared" si="305"/>
        <v>Strong</v>
      </c>
    </row>
    <row r="3224" spans="1:19" x14ac:dyDescent="0.25">
      <c r="A3224">
        <v>3223</v>
      </c>
      <c r="B3224">
        <v>4</v>
      </c>
      <c r="C3224" t="s">
        <v>31</v>
      </c>
      <c r="D3224" t="s">
        <v>33</v>
      </c>
      <c r="E3224">
        <v>5200000</v>
      </c>
      <c r="F3224">
        <v>18300000</v>
      </c>
      <c r="G3224">
        <v>10</v>
      </c>
      <c r="H3224">
        <v>355</v>
      </c>
      <c r="I3224">
        <v>400000</v>
      </c>
      <c r="J3224">
        <v>3800000</v>
      </c>
      <c r="K3224">
        <v>10600000</v>
      </c>
      <c r="L3224">
        <v>3400000</v>
      </c>
      <c r="M3224" t="s">
        <v>35</v>
      </c>
      <c r="N3224">
        <f t="shared" si="301"/>
        <v>0</v>
      </c>
      <c r="O3224" t="str">
        <f t="shared" si="300"/>
        <v>Low</v>
      </c>
      <c r="P3224" t="str">
        <f t="shared" si="302"/>
        <v>High</v>
      </c>
      <c r="Q3224" t="str">
        <f t="shared" si="303"/>
        <v>Low Loan</v>
      </c>
      <c r="R3224">
        <f t="shared" si="304"/>
        <v>18200000</v>
      </c>
      <c r="S3224" t="str">
        <f t="shared" si="305"/>
        <v>Strong</v>
      </c>
    </row>
    <row r="3225" spans="1:19" x14ac:dyDescent="0.25">
      <c r="A3225">
        <v>3224</v>
      </c>
      <c r="B3225">
        <v>4</v>
      </c>
      <c r="C3225" t="s">
        <v>30</v>
      </c>
      <c r="D3225" t="s">
        <v>32</v>
      </c>
      <c r="E3225">
        <v>7400000</v>
      </c>
      <c r="F3225">
        <v>17500000</v>
      </c>
      <c r="G3225">
        <v>4</v>
      </c>
      <c r="H3225">
        <v>540</v>
      </c>
      <c r="I3225">
        <v>8800000</v>
      </c>
      <c r="J3225">
        <v>7600000</v>
      </c>
      <c r="K3225">
        <v>17900000</v>
      </c>
      <c r="L3225">
        <v>3600000</v>
      </c>
      <c r="M3225" t="s">
        <v>35</v>
      </c>
      <c r="N3225">
        <f t="shared" si="301"/>
        <v>0</v>
      </c>
      <c r="O3225" t="str">
        <f t="shared" si="300"/>
        <v>Low</v>
      </c>
      <c r="P3225" t="str">
        <f t="shared" si="302"/>
        <v>High</v>
      </c>
      <c r="Q3225" t="str">
        <f t="shared" si="303"/>
        <v>Low Loan</v>
      </c>
      <c r="R3225">
        <f t="shared" si="304"/>
        <v>37900000</v>
      </c>
      <c r="S3225" t="str">
        <f t="shared" si="305"/>
        <v>Strong</v>
      </c>
    </row>
    <row r="3226" spans="1:19" x14ac:dyDescent="0.25">
      <c r="A3226">
        <v>3225</v>
      </c>
      <c r="B3226">
        <v>5</v>
      </c>
      <c r="C3226" t="s">
        <v>30</v>
      </c>
      <c r="D3226" t="s">
        <v>32</v>
      </c>
      <c r="E3226">
        <v>6500000</v>
      </c>
      <c r="F3226">
        <v>16000000</v>
      </c>
      <c r="G3226">
        <v>14</v>
      </c>
      <c r="H3226">
        <v>444</v>
      </c>
      <c r="I3226">
        <v>1100000</v>
      </c>
      <c r="J3226">
        <v>7900000</v>
      </c>
      <c r="K3226">
        <v>23100000</v>
      </c>
      <c r="L3226">
        <v>7900000</v>
      </c>
      <c r="M3226" t="s">
        <v>35</v>
      </c>
      <c r="N3226">
        <f t="shared" si="301"/>
        <v>0</v>
      </c>
      <c r="O3226" t="str">
        <f t="shared" si="300"/>
        <v>Low</v>
      </c>
      <c r="P3226" t="str">
        <f t="shared" si="302"/>
        <v>High</v>
      </c>
      <c r="Q3226" t="str">
        <f t="shared" si="303"/>
        <v>Low Loan</v>
      </c>
      <c r="R3226">
        <f t="shared" si="304"/>
        <v>40000000</v>
      </c>
      <c r="S3226" t="str">
        <f t="shared" si="305"/>
        <v>Strong</v>
      </c>
    </row>
    <row r="3227" spans="1:19" x14ac:dyDescent="0.25">
      <c r="A3227">
        <v>3226</v>
      </c>
      <c r="B3227">
        <v>3</v>
      </c>
      <c r="C3227" t="s">
        <v>30</v>
      </c>
      <c r="D3227" t="s">
        <v>32</v>
      </c>
      <c r="E3227">
        <v>6200000</v>
      </c>
      <c r="F3227">
        <v>14900000</v>
      </c>
      <c r="G3227">
        <v>14</v>
      </c>
      <c r="H3227">
        <v>567</v>
      </c>
      <c r="I3227">
        <v>1200000</v>
      </c>
      <c r="J3227">
        <v>9100000</v>
      </c>
      <c r="K3227">
        <v>20800000</v>
      </c>
      <c r="L3227">
        <v>8800000</v>
      </c>
      <c r="M3227" t="s">
        <v>34</v>
      </c>
      <c r="N3227">
        <f t="shared" si="301"/>
        <v>1</v>
      </c>
      <c r="O3227" t="str">
        <f t="shared" si="300"/>
        <v>Low</v>
      </c>
      <c r="P3227" t="str">
        <f t="shared" si="302"/>
        <v>High</v>
      </c>
      <c r="Q3227" t="str">
        <f t="shared" si="303"/>
        <v>Low Loan</v>
      </c>
      <c r="R3227">
        <f t="shared" si="304"/>
        <v>39900000</v>
      </c>
      <c r="S3227" t="str">
        <f t="shared" si="305"/>
        <v>Strong</v>
      </c>
    </row>
    <row r="3228" spans="1:19" x14ac:dyDescent="0.25">
      <c r="A3228">
        <v>3227</v>
      </c>
      <c r="B3228">
        <v>5</v>
      </c>
      <c r="C3228" t="s">
        <v>31</v>
      </c>
      <c r="D3228" t="s">
        <v>33</v>
      </c>
      <c r="E3228">
        <v>2400000</v>
      </c>
      <c r="F3228">
        <v>6500000</v>
      </c>
      <c r="G3228">
        <v>20</v>
      </c>
      <c r="H3228">
        <v>513</v>
      </c>
      <c r="I3228">
        <v>6400000</v>
      </c>
      <c r="J3228">
        <v>2100000</v>
      </c>
      <c r="K3228">
        <v>5200000</v>
      </c>
      <c r="L3228">
        <v>2600000</v>
      </c>
      <c r="M3228" t="s">
        <v>35</v>
      </c>
      <c r="N3228">
        <f t="shared" si="301"/>
        <v>0</v>
      </c>
      <c r="O3228" t="str">
        <f t="shared" si="300"/>
        <v>Low</v>
      </c>
      <c r="P3228" t="str">
        <f t="shared" si="302"/>
        <v>High</v>
      </c>
      <c r="Q3228" t="str">
        <f t="shared" si="303"/>
        <v>Low Loan</v>
      </c>
      <c r="R3228">
        <f t="shared" si="304"/>
        <v>16300000</v>
      </c>
      <c r="S3228" t="str">
        <f t="shared" si="305"/>
        <v>Strong</v>
      </c>
    </row>
    <row r="3229" spans="1:19" x14ac:dyDescent="0.25">
      <c r="A3229">
        <v>3228</v>
      </c>
      <c r="B3229">
        <v>0</v>
      </c>
      <c r="C3229" t="s">
        <v>31</v>
      </c>
      <c r="D3229" t="s">
        <v>32</v>
      </c>
      <c r="E3229">
        <v>2500000</v>
      </c>
      <c r="F3229">
        <v>7100000</v>
      </c>
      <c r="G3229">
        <v>10</v>
      </c>
      <c r="H3229">
        <v>590</v>
      </c>
      <c r="I3229">
        <v>4000000</v>
      </c>
      <c r="J3229">
        <v>800000</v>
      </c>
      <c r="K3229">
        <v>6100000</v>
      </c>
      <c r="L3229">
        <v>2600000</v>
      </c>
      <c r="M3229" t="s">
        <v>34</v>
      </c>
      <c r="N3229">
        <f t="shared" si="301"/>
        <v>1</v>
      </c>
      <c r="O3229" t="str">
        <f t="shared" si="300"/>
        <v>Low</v>
      </c>
      <c r="P3229" t="str">
        <f t="shared" si="302"/>
        <v>High</v>
      </c>
      <c r="Q3229" t="str">
        <f t="shared" si="303"/>
        <v>Low Loan</v>
      </c>
      <c r="R3229">
        <f t="shared" si="304"/>
        <v>13500000</v>
      </c>
      <c r="S3229" t="str">
        <f t="shared" si="305"/>
        <v>Strong</v>
      </c>
    </row>
    <row r="3230" spans="1:19" x14ac:dyDescent="0.25">
      <c r="A3230">
        <v>3229</v>
      </c>
      <c r="B3230">
        <v>2</v>
      </c>
      <c r="C3230" t="s">
        <v>30</v>
      </c>
      <c r="D3230" t="s">
        <v>33</v>
      </c>
      <c r="E3230">
        <v>2700000</v>
      </c>
      <c r="F3230">
        <v>8500000</v>
      </c>
      <c r="G3230">
        <v>20</v>
      </c>
      <c r="H3230">
        <v>368</v>
      </c>
      <c r="I3230">
        <v>4900000</v>
      </c>
      <c r="J3230">
        <v>4500000</v>
      </c>
      <c r="K3230">
        <v>5900000</v>
      </c>
      <c r="L3230">
        <v>2100000</v>
      </c>
      <c r="M3230" t="s">
        <v>35</v>
      </c>
      <c r="N3230">
        <f t="shared" si="301"/>
        <v>0</v>
      </c>
      <c r="O3230" t="str">
        <f t="shared" si="300"/>
        <v>Low</v>
      </c>
      <c r="P3230" t="str">
        <f t="shared" si="302"/>
        <v>High</v>
      </c>
      <c r="Q3230" t="str">
        <f t="shared" si="303"/>
        <v>Low Loan</v>
      </c>
      <c r="R3230">
        <f t="shared" si="304"/>
        <v>17400000</v>
      </c>
      <c r="S3230" t="str">
        <f t="shared" si="305"/>
        <v>Strong</v>
      </c>
    </row>
    <row r="3231" spans="1:19" x14ac:dyDescent="0.25">
      <c r="A3231">
        <v>3230</v>
      </c>
      <c r="B3231">
        <v>5</v>
      </c>
      <c r="C3231" t="s">
        <v>31</v>
      </c>
      <c r="D3231" t="s">
        <v>32</v>
      </c>
      <c r="E3231">
        <v>3000000</v>
      </c>
      <c r="F3231">
        <v>7600000</v>
      </c>
      <c r="G3231">
        <v>6</v>
      </c>
      <c r="H3231">
        <v>413</v>
      </c>
      <c r="I3231">
        <v>2300000</v>
      </c>
      <c r="J3231">
        <v>3500000</v>
      </c>
      <c r="K3231">
        <v>11400000</v>
      </c>
      <c r="L3231">
        <v>1700000</v>
      </c>
      <c r="M3231" t="s">
        <v>35</v>
      </c>
      <c r="N3231">
        <f t="shared" si="301"/>
        <v>0</v>
      </c>
      <c r="O3231" t="str">
        <f t="shared" si="300"/>
        <v>Low</v>
      </c>
      <c r="P3231" t="str">
        <f t="shared" si="302"/>
        <v>High</v>
      </c>
      <c r="Q3231" t="str">
        <f t="shared" si="303"/>
        <v>Low Loan</v>
      </c>
      <c r="R3231">
        <f t="shared" si="304"/>
        <v>18900000</v>
      </c>
      <c r="S3231" t="str">
        <f t="shared" si="305"/>
        <v>Strong</v>
      </c>
    </row>
    <row r="3232" spans="1:19" x14ac:dyDescent="0.25">
      <c r="A3232">
        <v>3231</v>
      </c>
      <c r="B3232">
        <v>4</v>
      </c>
      <c r="C3232" t="s">
        <v>30</v>
      </c>
      <c r="D3232" t="s">
        <v>33</v>
      </c>
      <c r="E3232">
        <v>6100000</v>
      </c>
      <c r="F3232">
        <v>13600000</v>
      </c>
      <c r="G3232">
        <v>4</v>
      </c>
      <c r="H3232">
        <v>401</v>
      </c>
      <c r="I3232">
        <v>10700000</v>
      </c>
      <c r="J3232">
        <v>2000000</v>
      </c>
      <c r="K3232">
        <v>20500000</v>
      </c>
      <c r="L3232">
        <v>3900000</v>
      </c>
      <c r="M3232" t="s">
        <v>35</v>
      </c>
      <c r="N3232">
        <f t="shared" si="301"/>
        <v>0</v>
      </c>
      <c r="O3232" t="str">
        <f t="shared" si="300"/>
        <v>Low</v>
      </c>
      <c r="P3232" t="str">
        <f t="shared" si="302"/>
        <v>High</v>
      </c>
      <c r="Q3232" t="str">
        <f t="shared" si="303"/>
        <v>Low Loan</v>
      </c>
      <c r="R3232">
        <f t="shared" si="304"/>
        <v>37100000</v>
      </c>
      <c r="S3232" t="str">
        <f t="shared" si="305"/>
        <v>Strong</v>
      </c>
    </row>
    <row r="3233" spans="1:19" x14ac:dyDescent="0.25">
      <c r="A3233">
        <v>3232</v>
      </c>
      <c r="B3233">
        <v>3</v>
      </c>
      <c r="C3233" t="s">
        <v>30</v>
      </c>
      <c r="D3233" t="s">
        <v>32</v>
      </c>
      <c r="E3233">
        <v>1500000</v>
      </c>
      <c r="F3233">
        <v>5400000</v>
      </c>
      <c r="G3233">
        <v>18</v>
      </c>
      <c r="H3233">
        <v>687</v>
      </c>
      <c r="I3233">
        <v>200000</v>
      </c>
      <c r="J3233">
        <v>400000</v>
      </c>
      <c r="K3233">
        <v>4500000</v>
      </c>
      <c r="L3233">
        <v>1700000</v>
      </c>
      <c r="M3233" t="s">
        <v>34</v>
      </c>
      <c r="N3233">
        <f t="shared" si="301"/>
        <v>1</v>
      </c>
      <c r="O3233" t="str">
        <f t="shared" si="300"/>
        <v>Medium</v>
      </c>
      <c r="P3233" t="str">
        <f t="shared" si="302"/>
        <v>High</v>
      </c>
      <c r="Q3233" t="str">
        <f t="shared" si="303"/>
        <v>Low Loan</v>
      </c>
      <c r="R3233">
        <f t="shared" si="304"/>
        <v>6800000</v>
      </c>
      <c r="S3233" t="str">
        <f t="shared" si="305"/>
        <v>Moderate</v>
      </c>
    </row>
    <row r="3234" spans="1:19" x14ac:dyDescent="0.25">
      <c r="A3234">
        <v>3233</v>
      </c>
      <c r="B3234">
        <v>2</v>
      </c>
      <c r="C3234" t="s">
        <v>30</v>
      </c>
      <c r="D3234" t="s">
        <v>32</v>
      </c>
      <c r="E3234">
        <v>6500000</v>
      </c>
      <c r="F3234">
        <v>14100000</v>
      </c>
      <c r="G3234">
        <v>14</v>
      </c>
      <c r="H3234">
        <v>577</v>
      </c>
      <c r="I3234">
        <v>4600000</v>
      </c>
      <c r="J3234">
        <v>12000000</v>
      </c>
      <c r="K3234">
        <v>25100000</v>
      </c>
      <c r="L3234">
        <v>3900000</v>
      </c>
      <c r="M3234" t="s">
        <v>34</v>
      </c>
      <c r="N3234">
        <f t="shared" si="301"/>
        <v>1</v>
      </c>
      <c r="O3234" t="str">
        <f t="shared" si="300"/>
        <v>Low</v>
      </c>
      <c r="P3234" t="str">
        <f t="shared" si="302"/>
        <v>High</v>
      </c>
      <c r="Q3234" t="str">
        <f t="shared" si="303"/>
        <v>Low Loan</v>
      </c>
      <c r="R3234">
        <f t="shared" si="304"/>
        <v>45600000</v>
      </c>
      <c r="S3234" t="str">
        <f t="shared" si="305"/>
        <v>Strong</v>
      </c>
    </row>
    <row r="3235" spans="1:19" x14ac:dyDescent="0.25">
      <c r="A3235">
        <v>3234</v>
      </c>
      <c r="B3235">
        <v>4</v>
      </c>
      <c r="C3235" t="s">
        <v>31</v>
      </c>
      <c r="D3235" t="s">
        <v>32</v>
      </c>
      <c r="E3235">
        <v>200000</v>
      </c>
      <c r="F3235">
        <v>700000</v>
      </c>
      <c r="G3235">
        <v>10</v>
      </c>
      <c r="H3235">
        <v>576</v>
      </c>
      <c r="I3235">
        <v>500000</v>
      </c>
      <c r="J3235">
        <v>100000</v>
      </c>
      <c r="K3235">
        <v>400000</v>
      </c>
      <c r="L3235">
        <v>300000</v>
      </c>
      <c r="M3235" t="s">
        <v>34</v>
      </c>
      <c r="N3235">
        <f t="shared" si="301"/>
        <v>1</v>
      </c>
      <c r="O3235" t="str">
        <f t="shared" si="300"/>
        <v>Low</v>
      </c>
      <c r="P3235" t="str">
        <f t="shared" si="302"/>
        <v>Low</v>
      </c>
      <c r="Q3235" t="str">
        <f t="shared" si="303"/>
        <v>Low Loan</v>
      </c>
      <c r="R3235">
        <f t="shared" si="304"/>
        <v>1300000</v>
      </c>
      <c r="S3235" t="str">
        <f t="shared" si="305"/>
        <v>Weak</v>
      </c>
    </row>
    <row r="3236" spans="1:19" x14ac:dyDescent="0.25">
      <c r="A3236">
        <v>3235</v>
      </c>
      <c r="B3236">
        <v>1</v>
      </c>
      <c r="C3236" t="s">
        <v>31</v>
      </c>
      <c r="D3236" t="s">
        <v>32</v>
      </c>
      <c r="E3236">
        <v>9900000</v>
      </c>
      <c r="F3236">
        <v>23400000</v>
      </c>
      <c r="G3236">
        <v>16</v>
      </c>
      <c r="H3236">
        <v>687</v>
      </c>
      <c r="I3236">
        <v>28200000</v>
      </c>
      <c r="J3236">
        <v>3700000</v>
      </c>
      <c r="K3236">
        <v>29600000</v>
      </c>
      <c r="L3236">
        <v>8200000</v>
      </c>
      <c r="M3236" t="s">
        <v>34</v>
      </c>
      <c r="N3236">
        <f t="shared" si="301"/>
        <v>1</v>
      </c>
      <c r="O3236" t="str">
        <f t="shared" si="300"/>
        <v>Medium</v>
      </c>
      <c r="P3236" t="str">
        <f t="shared" si="302"/>
        <v>High</v>
      </c>
      <c r="Q3236" t="str">
        <f t="shared" si="303"/>
        <v>High Loan</v>
      </c>
      <c r="R3236">
        <f t="shared" si="304"/>
        <v>69700000</v>
      </c>
      <c r="S3236" t="str">
        <f t="shared" si="305"/>
        <v>Strong</v>
      </c>
    </row>
    <row r="3237" spans="1:19" x14ac:dyDescent="0.25">
      <c r="A3237">
        <v>3236</v>
      </c>
      <c r="B3237">
        <v>4</v>
      </c>
      <c r="C3237" t="s">
        <v>30</v>
      </c>
      <c r="D3237" t="s">
        <v>32</v>
      </c>
      <c r="E3237">
        <v>5500000</v>
      </c>
      <c r="F3237">
        <v>11600000</v>
      </c>
      <c r="G3237">
        <v>12</v>
      </c>
      <c r="H3237">
        <v>474</v>
      </c>
      <c r="I3237">
        <v>1800000</v>
      </c>
      <c r="J3237">
        <v>2400000</v>
      </c>
      <c r="K3237">
        <v>20100000</v>
      </c>
      <c r="L3237">
        <v>5600000</v>
      </c>
      <c r="M3237" t="s">
        <v>35</v>
      </c>
      <c r="N3237">
        <f t="shared" si="301"/>
        <v>0</v>
      </c>
      <c r="O3237" t="str">
        <f t="shared" si="300"/>
        <v>Low</v>
      </c>
      <c r="P3237" t="str">
        <f t="shared" si="302"/>
        <v>High</v>
      </c>
      <c r="Q3237" t="str">
        <f t="shared" si="303"/>
        <v>Low Loan</v>
      </c>
      <c r="R3237">
        <f t="shared" si="304"/>
        <v>29900000</v>
      </c>
      <c r="S3237" t="str">
        <f t="shared" si="305"/>
        <v>Strong</v>
      </c>
    </row>
    <row r="3238" spans="1:19" x14ac:dyDescent="0.25">
      <c r="A3238">
        <v>3237</v>
      </c>
      <c r="B3238">
        <v>4</v>
      </c>
      <c r="C3238" t="s">
        <v>30</v>
      </c>
      <c r="D3238" t="s">
        <v>32</v>
      </c>
      <c r="E3238">
        <v>1200000</v>
      </c>
      <c r="F3238">
        <v>4400000</v>
      </c>
      <c r="G3238">
        <v>6</v>
      </c>
      <c r="H3238">
        <v>709</v>
      </c>
      <c r="I3238">
        <v>2800000</v>
      </c>
      <c r="J3238">
        <v>2300000</v>
      </c>
      <c r="K3238">
        <v>4100000</v>
      </c>
      <c r="L3238">
        <v>1700000</v>
      </c>
      <c r="M3238" t="s">
        <v>34</v>
      </c>
      <c r="N3238">
        <f t="shared" si="301"/>
        <v>1</v>
      </c>
      <c r="O3238" t="str">
        <f t="shared" si="300"/>
        <v>Good</v>
      </c>
      <c r="P3238" t="str">
        <f t="shared" si="302"/>
        <v>High</v>
      </c>
      <c r="Q3238" t="str">
        <f t="shared" si="303"/>
        <v>Low Loan</v>
      </c>
      <c r="R3238">
        <f t="shared" si="304"/>
        <v>10900000</v>
      </c>
      <c r="S3238" t="str">
        <f t="shared" si="305"/>
        <v>Strong</v>
      </c>
    </row>
    <row r="3239" spans="1:19" x14ac:dyDescent="0.25">
      <c r="A3239">
        <v>3238</v>
      </c>
      <c r="B3239">
        <v>4</v>
      </c>
      <c r="C3239" t="s">
        <v>30</v>
      </c>
      <c r="D3239" t="s">
        <v>33</v>
      </c>
      <c r="E3239">
        <v>6900000</v>
      </c>
      <c r="F3239">
        <v>20200000</v>
      </c>
      <c r="G3239">
        <v>18</v>
      </c>
      <c r="H3239">
        <v>438</v>
      </c>
      <c r="I3239">
        <v>9600000</v>
      </c>
      <c r="J3239">
        <v>6200000</v>
      </c>
      <c r="K3239">
        <v>26800000</v>
      </c>
      <c r="L3239">
        <v>5700000</v>
      </c>
      <c r="M3239" t="s">
        <v>35</v>
      </c>
      <c r="N3239">
        <f t="shared" si="301"/>
        <v>0</v>
      </c>
      <c r="O3239" t="str">
        <f t="shared" si="300"/>
        <v>Low</v>
      </c>
      <c r="P3239" t="str">
        <f t="shared" si="302"/>
        <v>High</v>
      </c>
      <c r="Q3239" t="str">
        <f t="shared" si="303"/>
        <v>High Loan</v>
      </c>
      <c r="R3239">
        <f t="shared" si="304"/>
        <v>48300000</v>
      </c>
      <c r="S3239" t="str">
        <f t="shared" si="305"/>
        <v>Strong</v>
      </c>
    </row>
    <row r="3240" spans="1:19" x14ac:dyDescent="0.25">
      <c r="A3240">
        <v>3239</v>
      </c>
      <c r="B3240">
        <v>3</v>
      </c>
      <c r="C3240" t="s">
        <v>30</v>
      </c>
      <c r="D3240" t="s">
        <v>33</v>
      </c>
      <c r="E3240">
        <v>8000000</v>
      </c>
      <c r="F3240">
        <v>25300000</v>
      </c>
      <c r="G3240">
        <v>4</v>
      </c>
      <c r="H3240">
        <v>306</v>
      </c>
      <c r="I3240">
        <v>22300000</v>
      </c>
      <c r="J3240">
        <v>7300000</v>
      </c>
      <c r="K3240">
        <v>24400000</v>
      </c>
      <c r="L3240">
        <v>6600000</v>
      </c>
      <c r="M3240" t="s">
        <v>34</v>
      </c>
      <c r="N3240">
        <f t="shared" si="301"/>
        <v>1</v>
      </c>
      <c r="O3240" t="str">
        <f t="shared" si="300"/>
        <v>Low</v>
      </c>
      <c r="P3240" t="str">
        <f t="shared" si="302"/>
        <v>High</v>
      </c>
      <c r="Q3240" t="str">
        <f t="shared" si="303"/>
        <v>High Loan</v>
      </c>
      <c r="R3240">
        <f t="shared" si="304"/>
        <v>60600000</v>
      </c>
      <c r="S3240" t="str">
        <f t="shared" si="305"/>
        <v>Strong</v>
      </c>
    </row>
    <row r="3241" spans="1:19" x14ac:dyDescent="0.25">
      <c r="A3241">
        <v>3240</v>
      </c>
      <c r="B3241">
        <v>3</v>
      </c>
      <c r="C3241" t="s">
        <v>31</v>
      </c>
      <c r="D3241" t="s">
        <v>33</v>
      </c>
      <c r="E3241">
        <v>4100000</v>
      </c>
      <c r="F3241">
        <v>13900000</v>
      </c>
      <c r="G3241">
        <v>20</v>
      </c>
      <c r="H3241">
        <v>383</v>
      </c>
      <c r="I3241">
        <v>1900000</v>
      </c>
      <c r="J3241">
        <v>2300000</v>
      </c>
      <c r="K3241">
        <v>15800000</v>
      </c>
      <c r="L3241">
        <v>3800000</v>
      </c>
      <c r="M3241" t="s">
        <v>35</v>
      </c>
      <c r="N3241">
        <f t="shared" si="301"/>
        <v>0</v>
      </c>
      <c r="O3241" t="str">
        <f t="shared" si="300"/>
        <v>Low</v>
      </c>
      <c r="P3241" t="str">
        <f t="shared" si="302"/>
        <v>High</v>
      </c>
      <c r="Q3241" t="str">
        <f t="shared" si="303"/>
        <v>Low Loan</v>
      </c>
      <c r="R3241">
        <f t="shared" si="304"/>
        <v>23800000</v>
      </c>
      <c r="S3241" t="str">
        <f t="shared" si="305"/>
        <v>Strong</v>
      </c>
    </row>
    <row r="3242" spans="1:19" x14ac:dyDescent="0.25">
      <c r="A3242">
        <v>3241</v>
      </c>
      <c r="B3242">
        <v>2</v>
      </c>
      <c r="C3242" t="s">
        <v>30</v>
      </c>
      <c r="D3242" t="s">
        <v>32</v>
      </c>
      <c r="E3242">
        <v>1400000</v>
      </c>
      <c r="F3242">
        <v>4700000</v>
      </c>
      <c r="G3242">
        <v>20</v>
      </c>
      <c r="H3242">
        <v>563</v>
      </c>
      <c r="I3242">
        <v>400000</v>
      </c>
      <c r="J3242">
        <v>2300000</v>
      </c>
      <c r="K3242">
        <v>2800000</v>
      </c>
      <c r="L3242">
        <v>1400000</v>
      </c>
      <c r="M3242" t="s">
        <v>34</v>
      </c>
      <c r="N3242">
        <f t="shared" si="301"/>
        <v>1</v>
      </c>
      <c r="O3242" t="str">
        <f t="shared" si="300"/>
        <v>Low</v>
      </c>
      <c r="P3242" t="str">
        <f t="shared" si="302"/>
        <v>High</v>
      </c>
      <c r="Q3242" t="str">
        <f t="shared" si="303"/>
        <v>Low Loan</v>
      </c>
      <c r="R3242">
        <f t="shared" si="304"/>
        <v>6900000</v>
      </c>
      <c r="S3242" t="str">
        <f t="shared" si="305"/>
        <v>Moderate</v>
      </c>
    </row>
    <row r="3243" spans="1:19" x14ac:dyDescent="0.25">
      <c r="A3243">
        <v>3242</v>
      </c>
      <c r="B3243">
        <v>4</v>
      </c>
      <c r="C3243" t="s">
        <v>31</v>
      </c>
      <c r="D3243" t="s">
        <v>33</v>
      </c>
      <c r="E3243">
        <v>1600000</v>
      </c>
      <c r="F3243">
        <v>3200000</v>
      </c>
      <c r="G3243">
        <v>20</v>
      </c>
      <c r="H3243">
        <v>371</v>
      </c>
      <c r="I3243">
        <v>1600000</v>
      </c>
      <c r="J3243">
        <v>2300000</v>
      </c>
      <c r="K3243">
        <v>4600000</v>
      </c>
      <c r="L3243">
        <v>1000000</v>
      </c>
      <c r="M3243" t="s">
        <v>35</v>
      </c>
      <c r="N3243">
        <f t="shared" si="301"/>
        <v>0</v>
      </c>
      <c r="O3243" t="str">
        <f t="shared" si="300"/>
        <v>Low</v>
      </c>
      <c r="P3243" t="str">
        <f t="shared" si="302"/>
        <v>High</v>
      </c>
      <c r="Q3243" t="str">
        <f t="shared" si="303"/>
        <v>Low Loan</v>
      </c>
      <c r="R3243">
        <f t="shared" si="304"/>
        <v>9500000</v>
      </c>
      <c r="S3243" t="str">
        <f t="shared" si="305"/>
        <v>Moderate</v>
      </c>
    </row>
    <row r="3244" spans="1:19" x14ac:dyDescent="0.25">
      <c r="A3244">
        <v>3243</v>
      </c>
      <c r="B3244">
        <v>1</v>
      </c>
      <c r="C3244" t="s">
        <v>30</v>
      </c>
      <c r="D3244" t="s">
        <v>32</v>
      </c>
      <c r="E3244">
        <v>2100000</v>
      </c>
      <c r="F3244">
        <v>4200000</v>
      </c>
      <c r="G3244">
        <v>12</v>
      </c>
      <c r="H3244">
        <v>379</v>
      </c>
      <c r="I3244">
        <v>2700000</v>
      </c>
      <c r="J3244">
        <v>2100000</v>
      </c>
      <c r="K3244">
        <v>8100000</v>
      </c>
      <c r="L3244">
        <v>2500000</v>
      </c>
      <c r="M3244" t="s">
        <v>35</v>
      </c>
      <c r="N3244">
        <f t="shared" si="301"/>
        <v>0</v>
      </c>
      <c r="O3244" t="str">
        <f t="shared" si="300"/>
        <v>Low</v>
      </c>
      <c r="P3244" t="str">
        <f t="shared" si="302"/>
        <v>High</v>
      </c>
      <c r="Q3244" t="str">
        <f t="shared" si="303"/>
        <v>Low Loan</v>
      </c>
      <c r="R3244">
        <f t="shared" si="304"/>
        <v>15400000</v>
      </c>
      <c r="S3244" t="str">
        <f t="shared" si="305"/>
        <v>Strong</v>
      </c>
    </row>
    <row r="3245" spans="1:19" x14ac:dyDescent="0.25">
      <c r="A3245">
        <v>3244</v>
      </c>
      <c r="B3245">
        <v>1</v>
      </c>
      <c r="C3245" t="s">
        <v>31</v>
      </c>
      <c r="D3245" t="s">
        <v>32</v>
      </c>
      <c r="E3245">
        <v>8800000</v>
      </c>
      <c r="F3245">
        <v>30200000</v>
      </c>
      <c r="G3245">
        <v>18</v>
      </c>
      <c r="H3245">
        <v>897</v>
      </c>
      <c r="I3245">
        <v>17100000</v>
      </c>
      <c r="J3245">
        <v>7900000</v>
      </c>
      <c r="K3245">
        <v>28700000</v>
      </c>
      <c r="L3245">
        <v>11100000</v>
      </c>
      <c r="M3245" t="s">
        <v>34</v>
      </c>
      <c r="N3245">
        <f t="shared" si="301"/>
        <v>1</v>
      </c>
      <c r="O3245" t="str">
        <f t="shared" si="300"/>
        <v>Excellent</v>
      </c>
      <c r="P3245" t="str">
        <f t="shared" si="302"/>
        <v>High</v>
      </c>
      <c r="Q3245" t="str">
        <f t="shared" si="303"/>
        <v>High Loan</v>
      </c>
      <c r="R3245">
        <f t="shared" si="304"/>
        <v>64800000</v>
      </c>
      <c r="S3245" t="str">
        <f t="shared" si="305"/>
        <v>Strong</v>
      </c>
    </row>
    <row r="3246" spans="1:19" x14ac:dyDescent="0.25">
      <c r="A3246">
        <v>3245</v>
      </c>
      <c r="B3246">
        <v>3</v>
      </c>
      <c r="C3246" t="s">
        <v>31</v>
      </c>
      <c r="D3246" t="s">
        <v>33</v>
      </c>
      <c r="E3246">
        <v>7100000</v>
      </c>
      <c r="F3246">
        <v>25400000</v>
      </c>
      <c r="G3246">
        <v>10</v>
      </c>
      <c r="H3246">
        <v>725</v>
      </c>
      <c r="I3246">
        <v>20600000</v>
      </c>
      <c r="J3246">
        <v>5300000</v>
      </c>
      <c r="K3246">
        <v>16000000</v>
      </c>
      <c r="L3246">
        <v>8600000</v>
      </c>
      <c r="M3246" t="s">
        <v>34</v>
      </c>
      <c r="N3246">
        <f t="shared" si="301"/>
        <v>1</v>
      </c>
      <c r="O3246" t="str">
        <f t="shared" si="300"/>
        <v>Good</v>
      </c>
      <c r="P3246" t="str">
        <f t="shared" si="302"/>
        <v>High</v>
      </c>
      <c r="Q3246" t="str">
        <f t="shared" si="303"/>
        <v>High Loan</v>
      </c>
      <c r="R3246">
        <f t="shared" si="304"/>
        <v>50500000</v>
      </c>
      <c r="S3246" t="str">
        <f t="shared" si="305"/>
        <v>Strong</v>
      </c>
    </row>
    <row r="3247" spans="1:19" x14ac:dyDescent="0.25">
      <c r="A3247">
        <v>3246</v>
      </c>
      <c r="B3247">
        <v>1</v>
      </c>
      <c r="C3247" t="s">
        <v>31</v>
      </c>
      <c r="D3247" t="s">
        <v>32</v>
      </c>
      <c r="E3247">
        <v>8600000</v>
      </c>
      <c r="F3247">
        <v>31500000</v>
      </c>
      <c r="G3247">
        <v>16</v>
      </c>
      <c r="H3247">
        <v>678</v>
      </c>
      <c r="I3247">
        <v>19700000</v>
      </c>
      <c r="J3247">
        <v>13400000</v>
      </c>
      <c r="K3247">
        <v>22200000</v>
      </c>
      <c r="L3247">
        <v>5300000</v>
      </c>
      <c r="M3247" t="s">
        <v>34</v>
      </c>
      <c r="N3247">
        <f t="shared" si="301"/>
        <v>1</v>
      </c>
      <c r="O3247" t="str">
        <f t="shared" si="300"/>
        <v>Medium</v>
      </c>
      <c r="P3247" t="str">
        <f t="shared" si="302"/>
        <v>High</v>
      </c>
      <c r="Q3247" t="str">
        <f t="shared" si="303"/>
        <v>High Loan</v>
      </c>
      <c r="R3247">
        <f t="shared" si="304"/>
        <v>60600000</v>
      </c>
      <c r="S3247" t="str">
        <f t="shared" si="305"/>
        <v>Strong</v>
      </c>
    </row>
    <row r="3248" spans="1:19" x14ac:dyDescent="0.25">
      <c r="A3248">
        <v>3247</v>
      </c>
      <c r="B3248">
        <v>2</v>
      </c>
      <c r="C3248" t="s">
        <v>31</v>
      </c>
      <c r="D3248" t="s">
        <v>33</v>
      </c>
      <c r="E3248">
        <v>5400000</v>
      </c>
      <c r="F3248">
        <v>14800000</v>
      </c>
      <c r="G3248">
        <v>6</v>
      </c>
      <c r="H3248">
        <v>724</v>
      </c>
      <c r="I3248">
        <v>1000000</v>
      </c>
      <c r="J3248">
        <v>400000</v>
      </c>
      <c r="K3248">
        <v>13100000</v>
      </c>
      <c r="L3248">
        <v>5400000</v>
      </c>
      <c r="M3248" t="s">
        <v>34</v>
      </c>
      <c r="N3248">
        <f t="shared" si="301"/>
        <v>1</v>
      </c>
      <c r="O3248" t="str">
        <f t="shared" si="300"/>
        <v>Good</v>
      </c>
      <c r="P3248" t="str">
        <f t="shared" si="302"/>
        <v>High</v>
      </c>
      <c r="Q3248" t="str">
        <f t="shared" si="303"/>
        <v>Low Loan</v>
      </c>
      <c r="R3248">
        <f t="shared" si="304"/>
        <v>19900000</v>
      </c>
      <c r="S3248" t="str">
        <f t="shared" si="305"/>
        <v>Strong</v>
      </c>
    </row>
    <row r="3249" spans="1:19" x14ac:dyDescent="0.25">
      <c r="A3249">
        <v>3248</v>
      </c>
      <c r="B3249">
        <v>3</v>
      </c>
      <c r="C3249" t="s">
        <v>30</v>
      </c>
      <c r="D3249" t="s">
        <v>33</v>
      </c>
      <c r="E3249">
        <v>1000000</v>
      </c>
      <c r="F3249">
        <v>2500000</v>
      </c>
      <c r="G3249">
        <v>6</v>
      </c>
      <c r="H3249">
        <v>808</v>
      </c>
      <c r="I3249">
        <v>2900000</v>
      </c>
      <c r="J3249">
        <v>600000</v>
      </c>
      <c r="K3249">
        <v>2000000</v>
      </c>
      <c r="L3249">
        <v>500000</v>
      </c>
      <c r="M3249" t="s">
        <v>34</v>
      </c>
      <c r="N3249">
        <f t="shared" si="301"/>
        <v>1</v>
      </c>
      <c r="O3249" t="str">
        <f t="shared" si="300"/>
        <v>Excellent</v>
      </c>
      <c r="P3249" t="str">
        <f t="shared" si="302"/>
        <v>High</v>
      </c>
      <c r="Q3249" t="str">
        <f t="shared" si="303"/>
        <v>Low Loan</v>
      </c>
      <c r="R3249">
        <f t="shared" si="304"/>
        <v>6000000</v>
      </c>
      <c r="S3249" t="str">
        <f t="shared" si="305"/>
        <v>Moderate</v>
      </c>
    </row>
    <row r="3250" spans="1:19" x14ac:dyDescent="0.25">
      <c r="A3250">
        <v>3249</v>
      </c>
      <c r="B3250">
        <v>0</v>
      </c>
      <c r="C3250" t="s">
        <v>30</v>
      </c>
      <c r="D3250" t="s">
        <v>32</v>
      </c>
      <c r="E3250">
        <v>5400000</v>
      </c>
      <c r="F3250">
        <v>18400000</v>
      </c>
      <c r="G3250">
        <v>8</v>
      </c>
      <c r="H3250">
        <v>625</v>
      </c>
      <c r="I3250">
        <v>12100000</v>
      </c>
      <c r="J3250">
        <v>3000000</v>
      </c>
      <c r="K3250">
        <v>13000000</v>
      </c>
      <c r="L3250">
        <v>4800000</v>
      </c>
      <c r="M3250" t="s">
        <v>34</v>
      </c>
      <c r="N3250">
        <f t="shared" si="301"/>
        <v>1</v>
      </c>
      <c r="O3250" t="str">
        <f t="shared" si="300"/>
        <v>Low</v>
      </c>
      <c r="P3250" t="str">
        <f t="shared" si="302"/>
        <v>High</v>
      </c>
      <c r="Q3250" t="str">
        <f t="shared" si="303"/>
        <v>Low Loan</v>
      </c>
      <c r="R3250">
        <f t="shared" si="304"/>
        <v>32900000</v>
      </c>
      <c r="S3250" t="str">
        <f t="shared" si="305"/>
        <v>Strong</v>
      </c>
    </row>
    <row r="3251" spans="1:19" x14ac:dyDescent="0.25">
      <c r="A3251">
        <v>3250</v>
      </c>
      <c r="B3251">
        <v>2</v>
      </c>
      <c r="C3251" t="s">
        <v>30</v>
      </c>
      <c r="D3251" t="s">
        <v>32</v>
      </c>
      <c r="E3251">
        <v>4200000</v>
      </c>
      <c r="F3251">
        <v>16800000</v>
      </c>
      <c r="G3251">
        <v>4</v>
      </c>
      <c r="H3251">
        <v>771</v>
      </c>
      <c r="I3251">
        <v>6500000</v>
      </c>
      <c r="J3251">
        <v>4500000</v>
      </c>
      <c r="K3251">
        <v>10500000</v>
      </c>
      <c r="L3251">
        <v>5800000</v>
      </c>
      <c r="M3251" t="s">
        <v>34</v>
      </c>
      <c r="N3251">
        <f t="shared" si="301"/>
        <v>1</v>
      </c>
      <c r="O3251" t="str">
        <f t="shared" si="300"/>
        <v>Excellent</v>
      </c>
      <c r="P3251" t="str">
        <f t="shared" si="302"/>
        <v>High</v>
      </c>
      <c r="Q3251" t="str">
        <f t="shared" si="303"/>
        <v>Low Loan</v>
      </c>
      <c r="R3251">
        <f t="shared" si="304"/>
        <v>27300000</v>
      </c>
      <c r="S3251" t="str">
        <f t="shared" si="305"/>
        <v>Strong</v>
      </c>
    </row>
    <row r="3252" spans="1:19" x14ac:dyDescent="0.25">
      <c r="A3252">
        <v>3251</v>
      </c>
      <c r="B3252">
        <v>2</v>
      </c>
      <c r="C3252" t="s">
        <v>31</v>
      </c>
      <c r="D3252" t="s">
        <v>32</v>
      </c>
      <c r="E3252">
        <v>7500000</v>
      </c>
      <c r="F3252">
        <v>22400000</v>
      </c>
      <c r="G3252">
        <v>14</v>
      </c>
      <c r="H3252">
        <v>695</v>
      </c>
      <c r="I3252">
        <v>8100000</v>
      </c>
      <c r="J3252">
        <v>3900000</v>
      </c>
      <c r="K3252">
        <v>15300000</v>
      </c>
      <c r="L3252">
        <v>9400000</v>
      </c>
      <c r="M3252" t="s">
        <v>34</v>
      </c>
      <c r="N3252">
        <f t="shared" si="301"/>
        <v>1</v>
      </c>
      <c r="O3252" t="str">
        <f t="shared" si="300"/>
        <v>Medium</v>
      </c>
      <c r="P3252" t="str">
        <f t="shared" si="302"/>
        <v>High</v>
      </c>
      <c r="Q3252" t="str">
        <f t="shared" si="303"/>
        <v>High Loan</v>
      </c>
      <c r="R3252">
        <f t="shared" si="304"/>
        <v>36700000</v>
      </c>
      <c r="S3252" t="str">
        <f t="shared" si="305"/>
        <v>Strong</v>
      </c>
    </row>
    <row r="3253" spans="1:19" x14ac:dyDescent="0.25">
      <c r="A3253">
        <v>3252</v>
      </c>
      <c r="B3253">
        <v>4</v>
      </c>
      <c r="C3253" t="s">
        <v>30</v>
      </c>
      <c r="D3253" t="s">
        <v>32</v>
      </c>
      <c r="E3253">
        <v>1200000</v>
      </c>
      <c r="F3253">
        <v>3300000</v>
      </c>
      <c r="G3253">
        <v>2</v>
      </c>
      <c r="H3253">
        <v>564</v>
      </c>
      <c r="I3253">
        <v>2200000</v>
      </c>
      <c r="J3253">
        <v>500000</v>
      </c>
      <c r="K3253">
        <v>4700000</v>
      </c>
      <c r="L3253">
        <v>1100000</v>
      </c>
      <c r="M3253" t="s">
        <v>34</v>
      </c>
      <c r="N3253">
        <f t="shared" si="301"/>
        <v>1</v>
      </c>
      <c r="O3253" t="str">
        <f t="shared" si="300"/>
        <v>Low</v>
      </c>
      <c r="P3253" t="str">
        <f t="shared" si="302"/>
        <v>High</v>
      </c>
      <c r="Q3253" t="str">
        <f t="shared" si="303"/>
        <v>Low Loan</v>
      </c>
      <c r="R3253">
        <f t="shared" si="304"/>
        <v>8500000</v>
      </c>
      <c r="S3253" t="str">
        <f t="shared" si="305"/>
        <v>Moderate</v>
      </c>
    </row>
    <row r="3254" spans="1:19" x14ac:dyDescent="0.25">
      <c r="A3254">
        <v>3253</v>
      </c>
      <c r="B3254">
        <v>4</v>
      </c>
      <c r="C3254" t="s">
        <v>30</v>
      </c>
      <c r="D3254" t="s">
        <v>33</v>
      </c>
      <c r="E3254">
        <v>6300000</v>
      </c>
      <c r="F3254">
        <v>14500000</v>
      </c>
      <c r="G3254">
        <v>10</v>
      </c>
      <c r="H3254">
        <v>349</v>
      </c>
      <c r="I3254">
        <v>3800000</v>
      </c>
      <c r="J3254">
        <v>12300000</v>
      </c>
      <c r="K3254">
        <v>16500000</v>
      </c>
      <c r="L3254">
        <v>5700000</v>
      </c>
      <c r="M3254" t="s">
        <v>35</v>
      </c>
      <c r="N3254">
        <f t="shared" si="301"/>
        <v>0</v>
      </c>
      <c r="O3254" t="str">
        <f t="shared" si="300"/>
        <v>Low</v>
      </c>
      <c r="P3254" t="str">
        <f t="shared" si="302"/>
        <v>High</v>
      </c>
      <c r="Q3254" t="str">
        <f t="shared" si="303"/>
        <v>Low Loan</v>
      </c>
      <c r="R3254">
        <f t="shared" si="304"/>
        <v>38300000</v>
      </c>
      <c r="S3254" t="str">
        <f t="shared" si="305"/>
        <v>Strong</v>
      </c>
    </row>
    <row r="3255" spans="1:19" x14ac:dyDescent="0.25">
      <c r="A3255">
        <v>3254</v>
      </c>
      <c r="B3255">
        <v>4</v>
      </c>
      <c r="C3255" t="s">
        <v>30</v>
      </c>
      <c r="D3255" t="s">
        <v>33</v>
      </c>
      <c r="E3255">
        <v>300000</v>
      </c>
      <c r="F3255">
        <v>900000</v>
      </c>
      <c r="G3255">
        <v>4</v>
      </c>
      <c r="H3255">
        <v>797</v>
      </c>
      <c r="I3255">
        <v>300000</v>
      </c>
      <c r="J3255">
        <v>400000</v>
      </c>
      <c r="K3255">
        <v>600000</v>
      </c>
      <c r="L3255">
        <v>400000</v>
      </c>
      <c r="M3255" t="s">
        <v>34</v>
      </c>
      <c r="N3255">
        <f t="shared" si="301"/>
        <v>1</v>
      </c>
      <c r="O3255" t="str">
        <f t="shared" si="300"/>
        <v>Excellent</v>
      </c>
      <c r="P3255" t="str">
        <f t="shared" si="302"/>
        <v>Middle</v>
      </c>
      <c r="Q3255" t="str">
        <f t="shared" si="303"/>
        <v>Low Loan</v>
      </c>
      <c r="R3255">
        <f t="shared" si="304"/>
        <v>1700000</v>
      </c>
      <c r="S3255" t="str">
        <f t="shared" si="305"/>
        <v>Weak</v>
      </c>
    </row>
    <row r="3256" spans="1:19" x14ac:dyDescent="0.25">
      <c r="A3256">
        <v>3255</v>
      </c>
      <c r="B3256">
        <v>3</v>
      </c>
      <c r="C3256" t="s">
        <v>30</v>
      </c>
      <c r="D3256" t="s">
        <v>32</v>
      </c>
      <c r="E3256">
        <v>7400000</v>
      </c>
      <c r="F3256">
        <v>28800000</v>
      </c>
      <c r="G3256">
        <v>8</v>
      </c>
      <c r="H3256">
        <v>391</v>
      </c>
      <c r="I3256">
        <v>20000000</v>
      </c>
      <c r="J3256">
        <v>7900000</v>
      </c>
      <c r="K3256">
        <v>23600000</v>
      </c>
      <c r="L3256">
        <v>7200000</v>
      </c>
      <c r="M3256" t="s">
        <v>35</v>
      </c>
      <c r="N3256">
        <f t="shared" si="301"/>
        <v>0</v>
      </c>
      <c r="O3256" t="str">
        <f t="shared" si="300"/>
        <v>Low</v>
      </c>
      <c r="P3256" t="str">
        <f t="shared" si="302"/>
        <v>High</v>
      </c>
      <c r="Q3256" t="str">
        <f t="shared" si="303"/>
        <v>High Loan</v>
      </c>
      <c r="R3256">
        <f t="shared" si="304"/>
        <v>58700000</v>
      </c>
      <c r="S3256" t="str">
        <f t="shared" si="305"/>
        <v>Strong</v>
      </c>
    </row>
    <row r="3257" spans="1:19" x14ac:dyDescent="0.25">
      <c r="A3257">
        <v>3256</v>
      </c>
      <c r="B3257">
        <v>5</v>
      </c>
      <c r="C3257" t="s">
        <v>31</v>
      </c>
      <c r="D3257" t="s">
        <v>32</v>
      </c>
      <c r="E3257">
        <v>2200000</v>
      </c>
      <c r="F3257">
        <v>5400000</v>
      </c>
      <c r="G3257">
        <v>12</v>
      </c>
      <c r="H3257">
        <v>833</v>
      </c>
      <c r="I3257">
        <v>4900000</v>
      </c>
      <c r="J3257">
        <v>3300000</v>
      </c>
      <c r="K3257">
        <v>7000000</v>
      </c>
      <c r="L3257">
        <v>1600000</v>
      </c>
      <c r="M3257" t="s">
        <v>34</v>
      </c>
      <c r="N3257">
        <f t="shared" si="301"/>
        <v>1</v>
      </c>
      <c r="O3257" t="str">
        <f t="shared" si="300"/>
        <v>Excellent</v>
      </c>
      <c r="P3257" t="str">
        <f t="shared" si="302"/>
        <v>High</v>
      </c>
      <c r="Q3257" t="str">
        <f t="shared" si="303"/>
        <v>Low Loan</v>
      </c>
      <c r="R3257">
        <f t="shared" si="304"/>
        <v>16800000</v>
      </c>
      <c r="S3257" t="str">
        <f t="shared" si="305"/>
        <v>Strong</v>
      </c>
    </row>
    <row r="3258" spans="1:19" x14ac:dyDescent="0.25">
      <c r="A3258">
        <v>3257</v>
      </c>
      <c r="B3258">
        <v>5</v>
      </c>
      <c r="C3258" t="s">
        <v>30</v>
      </c>
      <c r="D3258" t="s">
        <v>32</v>
      </c>
      <c r="E3258">
        <v>4000000</v>
      </c>
      <c r="F3258">
        <v>9100000</v>
      </c>
      <c r="G3258">
        <v>10</v>
      </c>
      <c r="H3258">
        <v>515</v>
      </c>
      <c r="I3258">
        <v>600000</v>
      </c>
      <c r="J3258">
        <v>6400000</v>
      </c>
      <c r="K3258">
        <v>9900000</v>
      </c>
      <c r="L3258">
        <v>5500000</v>
      </c>
      <c r="M3258" t="s">
        <v>35</v>
      </c>
      <c r="N3258">
        <f t="shared" si="301"/>
        <v>0</v>
      </c>
      <c r="O3258" t="str">
        <f t="shared" si="300"/>
        <v>Low</v>
      </c>
      <c r="P3258" t="str">
        <f t="shared" si="302"/>
        <v>High</v>
      </c>
      <c r="Q3258" t="str">
        <f t="shared" si="303"/>
        <v>Low Loan</v>
      </c>
      <c r="R3258">
        <f t="shared" si="304"/>
        <v>22400000</v>
      </c>
      <c r="S3258" t="str">
        <f t="shared" si="305"/>
        <v>Strong</v>
      </c>
    </row>
    <row r="3259" spans="1:19" x14ac:dyDescent="0.25">
      <c r="A3259">
        <v>3258</v>
      </c>
      <c r="B3259">
        <v>4</v>
      </c>
      <c r="C3259" t="s">
        <v>30</v>
      </c>
      <c r="D3259" t="s">
        <v>33</v>
      </c>
      <c r="E3259">
        <v>2700000</v>
      </c>
      <c r="F3259">
        <v>10400000</v>
      </c>
      <c r="G3259">
        <v>16</v>
      </c>
      <c r="H3259">
        <v>671</v>
      </c>
      <c r="I3259">
        <v>6100000</v>
      </c>
      <c r="J3259">
        <v>3700000</v>
      </c>
      <c r="K3259">
        <v>5600000</v>
      </c>
      <c r="L3259">
        <v>4000000</v>
      </c>
      <c r="M3259" t="s">
        <v>34</v>
      </c>
      <c r="N3259">
        <f t="shared" si="301"/>
        <v>1</v>
      </c>
      <c r="O3259" t="str">
        <f t="shared" si="300"/>
        <v>Medium</v>
      </c>
      <c r="P3259" t="str">
        <f t="shared" si="302"/>
        <v>High</v>
      </c>
      <c r="Q3259" t="str">
        <f t="shared" si="303"/>
        <v>Low Loan</v>
      </c>
      <c r="R3259">
        <f t="shared" si="304"/>
        <v>19400000</v>
      </c>
      <c r="S3259" t="str">
        <f t="shared" si="305"/>
        <v>Strong</v>
      </c>
    </row>
    <row r="3260" spans="1:19" x14ac:dyDescent="0.25">
      <c r="A3260">
        <v>3259</v>
      </c>
      <c r="B3260">
        <v>0</v>
      </c>
      <c r="C3260" t="s">
        <v>31</v>
      </c>
      <c r="D3260" t="s">
        <v>33</v>
      </c>
      <c r="E3260">
        <v>2000000</v>
      </c>
      <c r="F3260">
        <v>6900000</v>
      </c>
      <c r="G3260">
        <v>4</v>
      </c>
      <c r="H3260">
        <v>404</v>
      </c>
      <c r="I3260">
        <v>4900000</v>
      </c>
      <c r="J3260">
        <v>1600000</v>
      </c>
      <c r="K3260">
        <v>4200000</v>
      </c>
      <c r="L3260">
        <v>3000000</v>
      </c>
      <c r="M3260" t="s">
        <v>34</v>
      </c>
      <c r="N3260">
        <f t="shared" si="301"/>
        <v>1</v>
      </c>
      <c r="O3260" t="str">
        <f t="shared" si="300"/>
        <v>Low</v>
      </c>
      <c r="P3260" t="str">
        <f t="shared" si="302"/>
        <v>High</v>
      </c>
      <c r="Q3260" t="str">
        <f t="shared" si="303"/>
        <v>Low Loan</v>
      </c>
      <c r="R3260">
        <f t="shared" si="304"/>
        <v>13700000</v>
      </c>
      <c r="S3260" t="str">
        <f t="shared" si="305"/>
        <v>Strong</v>
      </c>
    </row>
    <row r="3261" spans="1:19" x14ac:dyDescent="0.25">
      <c r="A3261">
        <v>3260</v>
      </c>
      <c r="B3261">
        <v>4</v>
      </c>
      <c r="C3261" t="s">
        <v>31</v>
      </c>
      <c r="D3261" t="s">
        <v>32</v>
      </c>
      <c r="E3261">
        <v>6400000</v>
      </c>
      <c r="F3261">
        <v>14800000</v>
      </c>
      <c r="G3261">
        <v>6</v>
      </c>
      <c r="H3261">
        <v>537</v>
      </c>
      <c r="I3261">
        <v>2300000</v>
      </c>
      <c r="J3261">
        <v>3700000</v>
      </c>
      <c r="K3261">
        <v>18600000</v>
      </c>
      <c r="L3261">
        <v>6500000</v>
      </c>
      <c r="M3261" t="s">
        <v>35</v>
      </c>
      <c r="N3261">
        <f t="shared" si="301"/>
        <v>0</v>
      </c>
      <c r="O3261" t="str">
        <f t="shared" si="300"/>
        <v>Low</v>
      </c>
      <c r="P3261" t="str">
        <f t="shared" si="302"/>
        <v>High</v>
      </c>
      <c r="Q3261" t="str">
        <f t="shared" si="303"/>
        <v>Low Loan</v>
      </c>
      <c r="R3261">
        <f t="shared" si="304"/>
        <v>31100000</v>
      </c>
      <c r="S3261" t="str">
        <f t="shared" si="305"/>
        <v>Strong</v>
      </c>
    </row>
    <row r="3262" spans="1:19" x14ac:dyDescent="0.25">
      <c r="A3262">
        <v>3261</v>
      </c>
      <c r="B3262">
        <v>5</v>
      </c>
      <c r="C3262" t="s">
        <v>31</v>
      </c>
      <c r="D3262" t="s">
        <v>33</v>
      </c>
      <c r="E3262">
        <v>1400000</v>
      </c>
      <c r="F3262">
        <v>5100000</v>
      </c>
      <c r="G3262">
        <v>4</v>
      </c>
      <c r="H3262">
        <v>348</v>
      </c>
      <c r="I3262">
        <v>2100000</v>
      </c>
      <c r="J3262">
        <v>900000</v>
      </c>
      <c r="K3262">
        <v>4000000</v>
      </c>
      <c r="L3262">
        <v>1300000</v>
      </c>
      <c r="M3262" t="s">
        <v>34</v>
      </c>
      <c r="N3262">
        <f t="shared" si="301"/>
        <v>1</v>
      </c>
      <c r="O3262" t="str">
        <f t="shared" si="300"/>
        <v>Low</v>
      </c>
      <c r="P3262" t="str">
        <f t="shared" si="302"/>
        <v>High</v>
      </c>
      <c r="Q3262" t="str">
        <f t="shared" si="303"/>
        <v>Low Loan</v>
      </c>
      <c r="R3262">
        <f t="shared" si="304"/>
        <v>8300000</v>
      </c>
      <c r="S3262" t="str">
        <f t="shared" si="305"/>
        <v>Moderate</v>
      </c>
    </row>
    <row r="3263" spans="1:19" x14ac:dyDescent="0.25">
      <c r="A3263">
        <v>3262</v>
      </c>
      <c r="B3263">
        <v>0</v>
      </c>
      <c r="C3263" t="s">
        <v>31</v>
      </c>
      <c r="D3263" t="s">
        <v>33</v>
      </c>
      <c r="E3263">
        <v>2800000</v>
      </c>
      <c r="F3263">
        <v>6300000</v>
      </c>
      <c r="G3263">
        <v>12</v>
      </c>
      <c r="H3263">
        <v>647</v>
      </c>
      <c r="I3263">
        <v>4100000</v>
      </c>
      <c r="J3263">
        <v>0</v>
      </c>
      <c r="K3263">
        <v>8700000</v>
      </c>
      <c r="L3263">
        <v>2300000</v>
      </c>
      <c r="M3263" t="s">
        <v>34</v>
      </c>
      <c r="N3263">
        <f t="shared" si="301"/>
        <v>1</v>
      </c>
      <c r="O3263" t="str">
        <f t="shared" si="300"/>
        <v>Low</v>
      </c>
      <c r="P3263" t="str">
        <f t="shared" si="302"/>
        <v>High</v>
      </c>
      <c r="Q3263" t="str">
        <f t="shared" si="303"/>
        <v>Low Loan</v>
      </c>
      <c r="R3263">
        <f t="shared" si="304"/>
        <v>15100000</v>
      </c>
      <c r="S3263" t="str">
        <f t="shared" si="305"/>
        <v>Strong</v>
      </c>
    </row>
    <row r="3264" spans="1:19" x14ac:dyDescent="0.25">
      <c r="A3264">
        <v>3263</v>
      </c>
      <c r="B3264">
        <v>2</v>
      </c>
      <c r="C3264" t="s">
        <v>31</v>
      </c>
      <c r="D3264" t="s">
        <v>33</v>
      </c>
      <c r="E3264">
        <v>8200000</v>
      </c>
      <c r="F3264">
        <v>28700000</v>
      </c>
      <c r="G3264">
        <v>14</v>
      </c>
      <c r="H3264">
        <v>316</v>
      </c>
      <c r="I3264">
        <v>23300000</v>
      </c>
      <c r="J3264">
        <v>16100000</v>
      </c>
      <c r="K3264">
        <v>17700000</v>
      </c>
      <c r="L3264">
        <v>4300000</v>
      </c>
      <c r="M3264" t="s">
        <v>35</v>
      </c>
      <c r="N3264">
        <f t="shared" si="301"/>
        <v>0</v>
      </c>
      <c r="O3264" t="str">
        <f t="shared" si="300"/>
        <v>Low</v>
      </c>
      <c r="P3264" t="str">
        <f t="shared" si="302"/>
        <v>High</v>
      </c>
      <c r="Q3264" t="str">
        <f t="shared" si="303"/>
        <v>High Loan</v>
      </c>
      <c r="R3264">
        <f t="shared" si="304"/>
        <v>61400000</v>
      </c>
      <c r="S3264" t="str">
        <f t="shared" si="305"/>
        <v>Strong</v>
      </c>
    </row>
    <row r="3265" spans="1:19" x14ac:dyDescent="0.25">
      <c r="A3265">
        <v>3264</v>
      </c>
      <c r="B3265">
        <v>3</v>
      </c>
      <c r="C3265" t="s">
        <v>31</v>
      </c>
      <c r="D3265" t="s">
        <v>32</v>
      </c>
      <c r="E3265">
        <v>9000000</v>
      </c>
      <c r="F3265">
        <v>26700000</v>
      </c>
      <c r="G3265">
        <v>14</v>
      </c>
      <c r="H3265">
        <v>638</v>
      </c>
      <c r="I3265">
        <v>5300000</v>
      </c>
      <c r="J3265">
        <v>0</v>
      </c>
      <c r="K3265">
        <v>31300000</v>
      </c>
      <c r="L3265">
        <v>5200000</v>
      </c>
      <c r="M3265" t="s">
        <v>34</v>
      </c>
      <c r="N3265">
        <f t="shared" si="301"/>
        <v>1</v>
      </c>
      <c r="O3265" t="str">
        <f t="shared" si="300"/>
        <v>Low</v>
      </c>
      <c r="P3265" t="str">
        <f t="shared" si="302"/>
        <v>High</v>
      </c>
      <c r="Q3265" t="str">
        <f t="shared" si="303"/>
        <v>High Loan</v>
      </c>
      <c r="R3265">
        <f t="shared" si="304"/>
        <v>41800000</v>
      </c>
      <c r="S3265" t="str">
        <f t="shared" si="305"/>
        <v>Strong</v>
      </c>
    </row>
    <row r="3266" spans="1:19" x14ac:dyDescent="0.25">
      <c r="A3266">
        <v>3265</v>
      </c>
      <c r="B3266">
        <v>5</v>
      </c>
      <c r="C3266" t="s">
        <v>31</v>
      </c>
      <c r="D3266" t="s">
        <v>33</v>
      </c>
      <c r="E3266">
        <v>800000</v>
      </c>
      <c r="F3266">
        <v>2100000</v>
      </c>
      <c r="G3266">
        <v>12</v>
      </c>
      <c r="H3266">
        <v>363</v>
      </c>
      <c r="I3266">
        <v>1200000</v>
      </c>
      <c r="J3266">
        <v>1000000</v>
      </c>
      <c r="K3266">
        <v>3100000</v>
      </c>
      <c r="L3266">
        <v>900000</v>
      </c>
      <c r="M3266" t="s">
        <v>35</v>
      </c>
      <c r="N3266">
        <f t="shared" si="301"/>
        <v>0</v>
      </c>
      <c r="O3266" t="str">
        <f t="shared" ref="O3266:O3329" si="306">IF(H3266&lt;650,"Low",
 IF(H3266&lt;700,"Medium",
 IF(H3266&lt;750,"Good","Excellent")))</f>
        <v>Low</v>
      </c>
      <c r="P3266" t="str">
        <f t="shared" si="302"/>
        <v>High</v>
      </c>
      <c r="Q3266" t="str">
        <f t="shared" si="303"/>
        <v>Low Loan</v>
      </c>
      <c r="R3266">
        <f t="shared" si="304"/>
        <v>6200000</v>
      </c>
      <c r="S3266" t="str">
        <f t="shared" si="305"/>
        <v>Moderate</v>
      </c>
    </row>
    <row r="3267" spans="1:19" x14ac:dyDescent="0.25">
      <c r="A3267">
        <v>3266</v>
      </c>
      <c r="B3267">
        <v>4</v>
      </c>
      <c r="C3267" t="s">
        <v>31</v>
      </c>
      <c r="D3267" t="s">
        <v>33</v>
      </c>
      <c r="E3267">
        <v>6100000</v>
      </c>
      <c r="F3267">
        <v>21200000</v>
      </c>
      <c r="G3267">
        <v>6</v>
      </c>
      <c r="H3267">
        <v>808</v>
      </c>
      <c r="I3267">
        <v>700000</v>
      </c>
      <c r="J3267">
        <v>7200000</v>
      </c>
      <c r="K3267">
        <v>22300000</v>
      </c>
      <c r="L3267">
        <v>6100000</v>
      </c>
      <c r="M3267" t="s">
        <v>34</v>
      </c>
      <c r="N3267">
        <f t="shared" ref="N3267:N3330" si="307">IF(TRIM(CLEAN(M3267))="Approved",1,0)</f>
        <v>1</v>
      </c>
      <c r="O3267" t="str">
        <f t="shared" si="306"/>
        <v>Excellent</v>
      </c>
      <c r="P3267" t="str">
        <f t="shared" ref="P3267:P3330" si="308">IF(E3267&lt;300000,"Low",
 IF(E3267&lt;700000,"Middle","High"))</f>
        <v>High</v>
      </c>
      <c r="Q3267" t="str">
        <f t="shared" ref="Q3267:Q3330" si="309">IF(F3267&lt;20000000,"Low Loan","High Loan")</f>
        <v>High Loan</v>
      </c>
      <c r="R3267">
        <f t="shared" ref="R3267:R3330" si="310">I3267+J3267+K3267+L3267</f>
        <v>36300000</v>
      </c>
      <c r="S3267" t="str">
        <f t="shared" ref="S3267:S3330" si="311">IF(R3267&lt;5000000,"Weak",
 IF(R3267&lt;10000000,"Moderate","Strong"))</f>
        <v>Strong</v>
      </c>
    </row>
    <row r="3268" spans="1:19" x14ac:dyDescent="0.25">
      <c r="A3268">
        <v>3267</v>
      </c>
      <c r="B3268">
        <v>4</v>
      </c>
      <c r="C3268" t="s">
        <v>31</v>
      </c>
      <c r="D3268" t="s">
        <v>33</v>
      </c>
      <c r="E3268">
        <v>2400000</v>
      </c>
      <c r="F3268">
        <v>9400000</v>
      </c>
      <c r="G3268">
        <v>2</v>
      </c>
      <c r="H3268">
        <v>871</v>
      </c>
      <c r="I3268">
        <v>3700000</v>
      </c>
      <c r="J3268">
        <v>300000</v>
      </c>
      <c r="K3268">
        <v>7100000</v>
      </c>
      <c r="L3268">
        <v>3500000</v>
      </c>
      <c r="M3268" t="s">
        <v>34</v>
      </c>
      <c r="N3268">
        <f t="shared" si="307"/>
        <v>1</v>
      </c>
      <c r="O3268" t="str">
        <f t="shared" si="306"/>
        <v>Excellent</v>
      </c>
      <c r="P3268" t="str">
        <f t="shared" si="308"/>
        <v>High</v>
      </c>
      <c r="Q3268" t="str">
        <f t="shared" si="309"/>
        <v>Low Loan</v>
      </c>
      <c r="R3268">
        <f t="shared" si="310"/>
        <v>14600000</v>
      </c>
      <c r="S3268" t="str">
        <f t="shared" si="311"/>
        <v>Strong</v>
      </c>
    </row>
    <row r="3269" spans="1:19" x14ac:dyDescent="0.25">
      <c r="A3269">
        <v>3268</v>
      </c>
      <c r="B3269">
        <v>4</v>
      </c>
      <c r="C3269" t="s">
        <v>30</v>
      </c>
      <c r="D3269" t="s">
        <v>33</v>
      </c>
      <c r="E3269">
        <v>6000000</v>
      </c>
      <c r="F3269">
        <v>17000000</v>
      </c>
      <c r="G3269">
        <v>12</v>
      </c>
      <c r="H3269">
        <v>607</v>
      </c>
      <c r="I3269">
        <v>15300000</v>
      </c>
      <c r="J3269">
        <v>3200000</v>
      </c>
      <c r="K3269">
        <v>22100000</v>
      </c>
      <c r="L3269">
        <v>3900000</v>
      </c>
      <c r="M3269" t="s">
        <v>34</v>
      </c>
      <c r="N3269">
        <f t="shared" si="307"/>
        <v>1</v>
      </c>
      <c r="O3269" t="str">
        <f t="shared" si="306"/>
        <v>Low</v>
      </c>
      <c r="P3269" t="str">
        <f t="shared" si="308"/>
        <v>High</v>
      </c>
      <c r="Q3269" t="str">
        <f t="shared" si="309"/>
        <v>Low Loan</v>
      </c>
      <c r="R3269">
        <f t="shared" si="310"/>
        <v>44500000</v>
      </c>
      <c r="S3269" t="str">
        <f t="shared" si="311"/>
        <v>Strong</v>
      </c>
    </row>
    <row r="3270" spans="1:19" x14ac:dyDescent="0.25">
      <c r="A3270">
        <v>3269</v>
      </c>
      <c r="B3270">
        <v>2</v>
      </c>
      <c r="C3270" t="s">
        <v>31</v>
      </c>
      <c r="D3270" t="s">
        <v>33</v>
      </c>
      <c r="E3270">
        <v>7900000</v>
      </c>
      <c r="F3270">
        <v>22500000</v>
      </c>
      <c r="G3270">
        <v>6</v>
      </c>
      <c r="H3270">
        <v>571</v>
      </c>
      <c r="I3270">
        <v>8100000</v>
      </c>
      <c r="J3270">
        <v>5300000</v>
      </c>
      <c r="K3270">
        <v>17900000</v>
      </c>
      <c r="L3270">
        <v>8100000</v>
      </c>
      <c r="M3270" t="s">
        <v>34</v>
      </c>
      <c r="N3270">
        <f t="shared" si="307"/>
        <v>1</v>
      </c>
      <c r="O3270" t="str">
        <f t="shared" si="306"/>
        <v>Low</v>
      </c>
      <c r="P3270" t="str">
        <f t="shared" si="308"/>
        <v>High</v>
      </c>
      <c r="Q3270" t="str">
        <f t="shared" si="309"/>
        <v>High Loan</v>
      </c>
      <c r="R3270">
        <f t="shared" si="310"/>
        <v>39400000</v>
      </c>
      <c r="S3270" t="str">
        <f t="shared" si="311"/>
        <v>Strong</v>
      </c>
    </row>
    <row r="3271" spans="1:19" x14ac:dyDescent="0.25">
      <c r="A3271">
        <v>3270</v>
      </c>
      <c r="B3271">
        <v>3</v>
      </c>
      <c r="C3271" t="s">
        <v>30</v>
      </c>
      <c r="D3271" t="s">
        <v>33</v>
      </c>
      <c r="E3271">
        <v>9500000</v>
      </c>
      <c r="F3271">
        <v>25700000</v>
      </c>
      <c r="G3271">
        <v>18</v>
      </c>
      <c r="H3271">
        <v>446</v>
      </c>
      <c r="I3271">
        <v>16900000</v>
      </c>
      <c r="J3271">
        <v>13600000</v>
      </c>
      <c r="K3271">
        <v>29300000</v>
      </c>
      <c r="L3271">
        <v>10100000</v>
      </c>
      <c r="M3271" t="s">
        <v>35</v>
      </c>
      <c r="N3271">
        <f t="shared" si="307"/>
        <v>0</v>
      </c>
      <c r="O3271" t="str">
        <f t="shared" si="306"/>
        <v>Low</v>
      </c>
      <c r="P3271" t="str">
        <f t="shared" si="308"/>
        <v>High</v>
      </c>
      <c r="Q3271" t="str">
        <f t="shared" si="309"/>
        <v>High Loan</v>
      </c>
      <c r="R3271">
        <f t="shared" si="310"/>
        <v>69900000</v>
      </c>
      <c r="S3271" t="str">
        <f t="shared" si="311"/>
        <v>Strong</v>
      </c>
    </row>
    <row r="3272" spans="1:19" x14ac:dyDescent="0.25">
      <c r="A3272">
        <v>3271</v>
      </c>
      <c r="B3272">
        <v>3</v>
      </c>
      <c r="C3272" t="s">
        <v>31</v>
      </c>
      <c r="D3272" t="s">
        <v>33</v>
      </c>
      <c r="E3272">
        <v>1800000</v>
      </c>
      <c r="F3272">
        <v>6400000</v>
      </c>
      <c r="G3272">
        <v>20</v>
      </c>
      <c r="H3272">
        <v>436</v>
      </c>
      <c r="I3272">
        <v>1500000</v>
      </c>
      <c r="J3272">
        <v>2900000</v>
      </c>
      <c r="K3272">
        <v>4400000</v>
      </c>
      <c r="L3272">
        <v>1300000</v>
      </c>
      <c r="M3272" t="s">
        <v>35</v>
      </c>
      <c r="N3272">
        <f t="shared" si="307"/>
        <v>0</v>
      </c>
      <c r="O3272" t="str">
        <f t="shared" si="306"/>
        <v>Low</v>
      </c>
      <c r="P3272" t="str">
        <f t="shared" si="308"/>
        <v>High</v>
      </c>
      <c r="Q3272" t="str">
        <f t="shared" si="309"/>
        <v>Low Loan</v>
      </c>
      <c r="R3272">
        <f t="shared" si="310"/>
        <v>10100000</v>
      </c>
      <c r="S3272" t="str">
        <f t="shared" si="311"/>
        <v>Strong</v>
      </c>
    </row>
    <row r="3273" spans="1:19" x14ac:dyDescent="0.25">
      <c r="A3273">
        <v>3272</v>
      </c>
      <c r="B3273">
        <v>3</v>
      </c>
      <c r="C3273" t="s">
        <v>31</v>
      </c>
      <c r="D3273" t="s">
        <v>33</v>
      </c>
      <c r="E3273">
        <v>5800000</v>
      </c>
      <c r="F3273">
        <v>14100000</v>
      </c>
      <c r="G3273">
        <v>12</v>
      </c>
      <c r="H3273">
        <v>738</v>
      </c>
      <c r="I3273">
        <v>11700000</v>
      </c>
      <c r="J3273">
        <v>4400000</v>
      </c>
      <c r="K3273">
        <v>15400000</v>
      </c>
      <c r="L3273">
        <v>8400000</v>
      </c>
      <c r="M3273" t="s">
        <v>34</v>
      </c>
      <c r="N3273">
        <f t="shared" si="307"/>
        <v>1</v>
      </c>
      <c r="O3273" t="str">
        <f t="shared" si="306"/>
        <v>Good</v>
      </c>
      <c r="P3273" t="str">
        <f t="shared" si="308"/>
        <v>High</v>
      </c>
      <c r="Q3273" t="str">
        <f t="shared" si="309"/>
        <v>Low Loan</v>
      </c>
      <c r="R3273">
        <f t="shared" si="310"/>
        <v>39900000</v>
      </c>
      <c r="S3273" t="str">
        <f t="shared" si="311"/>
        <v>Strong</v>
      </c>
    </row>
    <row r="3274" spans="1:19" x14ac:dyDescent="0.25">
      <c r="A3274">
        <v>3273</v>
      </c>
      <c r="B3274">
        <v>3</v>
      </c>
      <c r="C3274" t="s">
        <v>30</v>
      </c>
      <c r="D3274" t="s">
        <v>32</v>
      </c>
      <c r="E3274">
        <v>2800000</v>
      </c>
      <c r="F3274">
        <v>9400000</v>
      </c>
      <c r="G3274">
        <v>10</v>
      </c>
      <c r="H3274">
        <v>519</v>
      </c>
      <c r="I3274">
        <v>7000000</v>
      </c>
      <c r="J3274">
        <v>3500000</v>
      </c>
      <c r="K3274">
        <v>7700000</v>
      </c>
      <c r="L3274">
        <v>1500000</v>
      </c>
      <c r="M3274" t="s">
        <v>35</v>
      </c>
      <c r="N3274">
        <f t="shared" si="307"/>
        <v>0</v>
      </c>
      <c r="O3274" t="str">
        <f t="shared" si="306"/>
        <v>Low</v>
      </c>
      <c r="P3274" t="str">
        <f t="shared" si="308"/>
        <v>High</v>
      </c>
      <c r="Q3274" t="str">
        <f t="shared" si="309"/>
        <v>Low Loan</v>
      </c>
      <c r="R3274">
        <f t="shared" si="310"/>
        <v>19700000</v>
      </c>
      <c r="S3274" t="str">
        <f t="shared" si="311"/>
        <v>Strong</v>
      </c>
    </row>
    <row r="3275" spans="1:19" x14ac:dyDescent="0.25">
      <c r="A3275">
        <v>3274</v>
      </c>
      <c r="B3275">
        <v>3</v>
      </c>
      <c r="C3275" t="s">
        <v>30</v>
      </c>
      <c r="D3275" t="s">
        <v>33</v>
      </c>
      <c r="E3275">
        <v>4000000</v>
      </c>
      <c r="F3275">
        <v>8300000</v>
      </c>
      <c r="G3275">
        <v>8</v>
      </c>
      <c r="H3275">
        <v>531</v>
      </c>
      <c r="I3275">
        <v>3700000</v>
      </c>
      <c r="J3275">
        <v>7400000</v>
      </c>
      <c r="K3275">
        <v>15200000</v>
      </c>
      <c r="L3275">
        <v>5900000</v>
      </c>
      <c r="M3275" t="s">
        <v>35</v>
      </c>
      <c r="N3275">
        <f t="shared" si="307"/>
        <v>0</v>
      </c>
      <c r="O3275" t="str">
        <f t="shared" si="306"/>
        <v>Low</v>
      </c>
      <c r="P3275" t="str">
        <f t="shared" si="308"/>
        <v>High</v>
      </c>
      <c r="Q3275" t="str">
        <f t="shared" si="309"/>
        <v>Low Loan</v>
      </c>
      <c r="R3275">
        <f t="shared" si="310"/>
        <v>32200000</v>
      </c>
      <c r="S3275" t="str">
        <f t="shared" si="311"/>
        <v>Strong</v>
      </c>
    </row>
    <row r="3276" spans="1:19" x14ac:dyDescent="0.25">
      <c r="A3276">
        <v>3275</v>
      </c>
      <c r="B3276">
        <v>1</v>
      </c>
      <c r="C3276" t="s">
        <v>31</v>
      </c>
      <c r="D3276" t="s">
        <v>32</v>
      </c>
      <c r="E3276">
        <v>1000000</v>
      </c>
      <c r="F3276">
        <v>3400000</v>
      </c>
      <c r="G3276">
        <v>18</v>
      </c>
      <c r="H3276">
        <v>578</v>
      </c>
      <c r="I3276">
        <v>2300000</v>
      </c>
      <c r="J3276">
        <v>400000</v>
      </c>
      <c r="K3276">
        <v>3100000</v>
      </c>
      <c r="L3276">
        <v>1200000</v>
      </c>
      <c r="M3276" t="s">
        <v>34</v>
      </c>
      <c r="N3276">
        <f t="shared" si="307"/>
        <v>1</v>
      </c>
      <c r="O3276" t="str">
        <f t="shared" si="306"/>
        <v>Low</v>
      </c>
      <c r="P3276" t="str">
        <f t="shared" si="308"/>
        <v>High</v>
      </c>
      <c r="Q3276" t="str">
        <f t="shared" si="309"/>
        <v>Low Loan</v>
      </c>
      <c r="R3276">
        <f t="shared" si="310"/>
        <v>7000000</v>
      </c>
      <c r="S3276" t="str">
        <f t="shared" si="311"/>
        <v>Moderate</v>
      </c>
    </row>
    <row r="3277" spans="1:19" x14ac:dyDescent="0.25">
      <c r="A3277">
        <v>3276</v>
      </c>
      <c r="B3277">
        <v>0</v>
      </c>
      <c r="C3277" t="s">
        <v>30</v>
      </c>
      <c r="D3277" t="s">
        <v>32</v>
      </c>
      <c r="E3277">
        <v>9100000</v>
      </c>
      <c r="F3277">
        <v>21100000</v>
      </c>
      <c r="G3277">
        <v>20</v>
      </c>
      <c r="H3277">
        <v>578</v>
      </c>
      <c r="I3277">
        <v>5900000</v>
      </c>
      <c r="J3277">
        <v>6200000</v>
      </c>
      <c r="K3277">
        <v>33700000</v>
      </c>
      <c r="L3277">
        <v>5600000</v>
      </c>
      <c r="M3277" t="s">
        <v>34</v>
      </c>
      <c r="N3277">
        <f t="shared" si="307"/>
        <v>1</v>
      </c>
      <c r="O3277" t="str">
        <f t="shared" si="306"/>
        <v>Low</v>
      </c>
      <c r="P3277" t="str">
        <f t="shared" si="308"/>
        <v>High</v>
      </c>
      <c r="Q3277" t="str">
        <f t="shared" si="309"/>
        <v>High Loan</v>
      </c>
      <c r="R3277">
        <f t="shared" si="310"/>
        <v>51400000</v>
      </c>
      <c r="S3277" t="str">
        <f t="shared" si="311"/>
        <v>Strong</v>
      </c>
    </row>
    <row r="3278" spans="1:19" x14ac:dyDescent="0.25">
      <c r="A3278">
        <v>3277</v>
      </c>
      <c r="B3278">
        <v>0</v>
      </c>
      <c r="C3278" t="s">
        <v>30</v>
      </c>
      <c r="D3278" t="s">
        <v>32</v>
      </c>
      <c r="E3278">
        <v>4600000</v>
      </c>
      <c r="F3278">
        <v>18100000</v>
      </c>
      <c r="G3278">
        <v>14</v>
      </c>
      <c r="H3278">
        <v>442</v>
      </c>
      <c r="I3278">
        <v>2800000</v>
      </c>
      <c r="J3278">
        <v>200000</v>
      </c>
      <c r="K3278">
        <v>15600000</v>
      </c>
      <c r="L3278">
        <v>3300000</v>
      </c>
      <c r="M3278" t="s">
        <v>35</v>
      </c>
      <c r="N3278">
        <f t="shared" si="307"/>
        <v>0</v>
      </c>
      <c r="O3278" t="str">
        <f t="shared" si="306"/>
        <v>Low</v>
      </c>
      <c r="P3278" t="str">
        <f t="shared" si="308"/>
        <v>High</v>
      </c>
      <c r="Q3278" t="str">
        <f t="shared" si="309"/>
        <v>Low Loan</v>
      </c>
      <c r="R3278">
        <f t="shared" si="310"/>
        <v>21900000</v>
      </c>
      <c r="S3278" t="str">
        <f t="shared" si="311"/>
        <v>Strong</v>
      </c>
    </row>
    <row r="3279" spans="1:19" x14ac:dyDescent="0.25">
      <c r="A3279">
        <v>3278</v>
      </c>
      <c r="B3279">
        <v>2</v>
      </c>
      <c r="C3279" t="s">
        <v>31</v>
      </c>
      <c r="D3279" t="s">
        <v>32</v>
      </c>
      <c r="E3279">
        <v>7800000</v>
      </c>
      <c r="F3279">
        <v>16900000</v>
      </c>
      <c r="G3279">
        <v>6</v>
      </c>
      <c r="H3279">
        <v>751</v>
      </c>
      <c r="I3279">
        <v>17400000</v>
      </c>
      <c r="J3279">
        <v>6300000</v>
      </c>
      <c r="K3279">
        <v>20400000</v>
      </c>
      <c r="L3279">
        <v>11700000</v>
      </c>
      <c r="M3279" t="s">
        <v>34</v>
      </c>
      <c r="N3279">
        <f t="shared" si="307"/>
        <v>1</v>
      </c>
      <c r="O3279" t="str">
        <f t="shared" si="306"/>
        <v>Excellent</v>
      </c>
      <c r="P3279" t="str">
        <f t="shared" si="308"/>
        <v>High</v>
      </c>
      <c r="Q3279" t="str">
        <f t="shared" si="309"/>
        <v>Low Loan</v>
      </c>
      <c r="R3279">
        <f t="shared" si="310"/>
        <v>55800000</v>
      </c>
      <c r="S3279" t="str">
        <f t="shared" si="311"/>
        <v>Strong</v>
      </c>
    </row>
    <row r="3280" spans="1:19" x14ac:dyDescent="0.25">
      <c r="A3280">
        <v>3279</v>
      </c>
      <c r="B3280">
        <v>4</v>
      </c>
      <c r="C3280" t="s">
        <v>30</v>
      </c>
      <c r="D3280" t="s">
        <v>33</v>
      </c>
      <c r="E3280">
        <v>6600000</v>
      </c>
      <c r="F3280">
        <v>18800000</v>
      </c>
      <c r="G3280">
        <v>10</v>
      </c>
      <c r="H3280">
        <v>353</v>
      </c>
      <c r="I3280">
        <v>16500000</v>
      </c>
      <c r="J3280">
        <v>9500000</v>
      </c>
      <c r="K3280">
        <v>20000000</v>
      </c>
      <c r="L3280">
        <v>6200000</v>
      </c>
      <c r="M3280" t="s">
        <v>35</v>
      </c>
      <c r="N3280">
        <f t="shared" si="307"/>
        <v>0</v>
      </c>
      <c r="O3280" t="str">
        <f t="shared" si="306"/>
        <v>Low</v>
      </c>
      <c r="P3280" t="str">
        <f t="shared" si="308"/>
        <v>High</v>
      </c>
      <c r="Q3280" t="str">
        <f t="shared" si="309"/>
        <v>Low Loan</v>
      </c>
      <c r="R3280">
        <f t="shared" si="310"/>
        <v>52200000</v>
      </c>
      <c r="S3280" t="str">
        <f t="shared" si="311"/>
        <v>Strong</v>
      </c>
    </row>
    <row r="3281" spans="1:19" x14ac:dyDescent="0.25">
      <c r="A3281">
        <v>3280</v>
      </c>
      <c r="B3281">
        <v>5</v>
      </c>
      <c r="C3281" t="s">
        <v>31</v>
      </c>
      <c r="D3281" t="s">
        <v>32</v>
      </c>
      <c r="E3281">
        <v>9800000</v>
      </c>
      <c r="F3281">
        <v>26600000</v>
      </c>
      <c r="G3281">
        <v>12</v>
      </c>
      <c r="H3281">
        <v>664</v>
      </c>
      <c r="I3281">
        <v>5200000</v>
      </c>
      <c r="J3281">
        <v>2900000</v>
      </c>
      <c r="K3281">
        <v>22500000</v>
      </c>
      <c r="L3281">
        <v>14100000</v>
      </c>
      <c r="M3281" t="s">
        <v>34</v>
      </c>
      <c r="N3281">
        <f t="shared" si="307"/>
        <v>1</v>
      </c>
      <c r="O3281" t="str">
        <f t="shared" si="306"/>
        <v>Medium</v>
      </c>
      <c r="P3281" t="str">
        <f t="shared" si="308"/>
        <v>High</v>
      </c>
      <c r="Q3281" t="str">
        <f t="shared" si="309"/>
        <v>High Loan</v>
      </c>
      <c r="R3281">
        <f t="shared" si="310"/>
        <v>44700000</v>
      </c>
      <c r="S3281" t="str">
        <f t="shared" si="311"/>
        <v>Strong</v>
      </c>
    </row>
    <row r="3282" spans="1:19" x14ac:dyDescent="0.25">
      <c r="A3282">
        <v>3281</v>
      </c>
      <c r="B3282">
        <v>1</v>
      </c>
      <c r="C3282" t="s">
        <v>30</v>
      </c>
      <c r="D3282" t="s">
        <v>32</v>
      </c>
      <c r="E3282">
        <v>7400000</v>
      </c>
      <c r="F3282">
        <v>26600000</v>
      </c>
      <c r="G3282">
        <v>18</v>
      </c>
      <c r="H3282">
        <v>505</v>
      </c>
      <c r="I3282">
        <v>2200000</v>
      </c>
      <c r="J3282">
        <v>2400000</v>
      </c>
      <c r="K3282">
        <v>22400000</v>
      </c>
      <c r="L3282">
        <v>3900000</v>
      </c>
      <c r="M3282" t="s">
        <v>35</v>
      </c>
      <c r="N3282">
        <f t="shared" si="307"/>
        <v>0</v>
      </c>
      <c r="O3282" t="str">
        <f t="shared" si="306"/>
        <v>Low</v>
      </c>
      <c r="P3282" t="str">
        <f t="shared" si="308"/>
        <v>High</v>
      </c>
      <c r="Q3282" t="str">
        <f t="shared" si="309"/>
        <v>High Loan</v>
      </c>
      <c r="R3282">
        <f t="shared" si="310"/>
        <v>30900000</v>
      </c>
      <c r="S3282" t="str">
        <f t="shared" si="311"/>
        <v>Strong</v>
      </c>
    </row>
    <row r="3283" spans="1:19" x14ac:dyDescent="0.25">
      <c r="A3283">
        <v>3282</v>
      </c>
      <c r="B3283">
        <v>3</v>
      </c>
      <c r="C3283" t="s">
        <v>30</v>
      </c>
      <c r="D3283" t="s">
        <v>33</v>
      </c>
      <c r="E3283">
        <v>4300000</v>
      </c>
      <c r="F3283">
        <v>16600000</v>
      </c>
      <c r="G3283">
        <v>10</v>
      </c>
      <c r="H3283">
        <v>571</v>
      </c>
      <c r="I3283">
        <v>5700000</v>
      </c>
      <c r="J3283">
        <v>3700000</v>
      </c>
      <c r="K3283">
        <v>12800000</v>
      </c>
      <c r="L3283">
        <v>5800000</v>
      </c>
      <c r="M3283" t="s">
        <v>34</v>
      </c>
      <c r="N3283">
        <f t="shared" si="307"/>
        <v>1</v>
      </c>
      <c r="O3283" t="str">
        <f t="shared" si="306"/>
        <v>Low</v>
      </c>
      <c r="P3283" t="str">
        <f t="shared" si="308"/>
        <v>High</v>
      </c>
      <c r="Q3283" t="str">
        <f t="shared" si="309"/>
        <v>Low Loan</v>
      </c>
      <c r="R3283">
        <f t="shared" si="310"/>
        <v>28000000</v>
      </c>
      <c r="S3283" t="str">
        <f t="shared" si="311"/>
        <v>Strong</v>
      </c>
    </row>
    <row r="3284" spans="1:19" x14ac:dyDescent="0.25">
      <c r="A3284">
        <v>3283</v>
      </c>
      <c r="B3284">
        <v>2</v>
      </c>
      <c r="C3284" t="s">
        <v>31</v>
      </c>
      <c r="D3284" t="s">
        <v>33</v>
      </c>
      <c r="E3284">
        <v>9800000</v>
      </c>
      <c r="F3284">
        <v>34600000</v>
      </c>
      <c r="G3284">
        <v>16</v>
      </c>
      <c r="H3284">
        <v>754</v>
      </c>
      <c r="I3284">
        <v>12400000</v>
      </c>
      <c r="J3284">
        <v>14900000</v>
      </c>
      <c r="K3284">
        <v>34700000</v>
      </c>
      <c r="L3284">
        <v>6100000</v>
      </c>
      <c r="M3284" t="s">
        <v>34</v>
      </c>
      <c r="N3284">
        <f t="shared" si="307"/>
        <v>1</v>
      </c>
      <c r="O3284" t="str">
        <f t="shared" si="306"/>
        <v>Excellent</v>
      </c>
      <c r="P3284" t="str">
        <f t="shared" si="308"/>
        <v>High</v>
      </c>
      <c r="Q3284" t="str">
        <f t="shared" si="309"/>
        <v>High Loan</v>
      </c>
      <c r="R3284">
        <f t="shared" si="310"/>
        <v>68100000</v>
      </c>
      <c r="S3284" t="str">
        <f t="shared" si="311"/>
        <v>Strong</v>
      </c>
    </row>
    <row r="3285" spans="1:19" x14ac:dyDescent="0.25">
      <c r="A3285">
        <v>3284</v>
      </c>
      <c r="B3285">
        <v>5</v>
      </c>
      <c r="C3285" t="s">
        <v>31</v>
      </c>
      <c r="D3285" t="s">
        <v>32</v>
      </c>
      <c r="E3285">
        <v>1100000</v>
      </c>
      <c r="F3285">
        <v>3900000</v>
      </c>
      <c r="G3285">
        <v>20</v>
      </c>
      <c r="H3285">
        <v>858</v>
      </c>
      <c r="I3285">
        <v>3200000</v>
      </c>
      <c r="J3285">
        <v>1200000</v>
      </c>
      <c r="K3285">
        <v>3800000</v>
      </c>
      <c r="L3285">
        <v>1100000</v>
      </c>
      <c r="M3285" t="s">
        <v>34</v>
      </c>
      <c r="N3285">
        <f t="shared" si="307"/>
        <v>1</v>
      </c>
      <c r="O3285" t="str">
        <f t="shared" si="306"/>
        <v>Excellent</v>
      </c>
      <c r="P3285" t="str">
        <f t="shared" si="308"/>
        <v>High</v>
      </c>
      <c r="Q3285" t="str">
        <f t="shared" si="309"/>
        <v>Low Loan</v>
      </c>
      <c r="R3285">
        <f t="shared" si="310"/>
        <v>9300000</v>
      </c>
      <c r="S3285" t="str">
        <f t="shared" si="311"/>
        <v>Moderate</v>
      </c>
    </row>
    <row r="3286" spans="1:19" x14ac:dyDescent="0.25">
      <c r="A3286">
        <v>3285</v>
      </c>
      <c r="B3286">
        <v>3</v>
      </c>
      <c r="C3286" t="s">
        <v>30</v>
      </c>
      <c r="D3286" t="s">
        <v>33</v>
      </c>
      <c r="E3286">
        <v>8600000</v>
      </c>
      <c r="F3286">
        <v>21800000</v>
      </c>
      <c r="G3286">
        <v>20</v>
      </c>
      <c r="H3286">
        <v>641</v>
      </c>
      <c r="I3286">
        <v>5300000</v>
      </c>
      <c r="J3286">
        <v>8800000</v>
      </c>
      <c r="K3286">
        <v>24000000</v>
      </c>
      <c r="L3286">
        <v>9100000</v>
      </c>
      <c r="M3286" t="s">
        <v>34</v>
      </c>
      <c r="N3286">
        <f t="shared" si="307"/>
        <v>1</v>
      </c>
      <c r="O3286" t="str">
        <f t="shared" si="306"/>
        <v>Low</v>
      </c>
      <c r="P3286" t="str">
        <f t="shared" si="308"/>
        <v>High</v>
      </c>
      <c r="Q3286" t="str">
        <f t="shared" si="309"/>
        <v>High Loan</v>
      </c>
      <c r="R3286">
        <f t="shared" si="310"/>
        <v>47200000</v>
      </c>
      <c r="S3286" t="str">
        <f t="shared" si="311"/>
        <v>Strong</v>
      </c>
    </row>
    <row r="3287" spans="1:19" x14ac:dyDescent="0.25">
      <c r="A3287">
        <v>3286</v>
      </c>
      <c r="B3287">
        <v>0</v>
      </c>
      <c r="C3287" t="s">
        <v>31</v>
      </c>
      <c r="D3287" t="s">
        <v>33</v>
      </c>
      <c r="E3287">
        <v>9400000</v>
      </c>
      <c r="F3287">
        <v>35500000</v>
      </c>
      <c r="G3287">
        <v>16</v>
      </c>
      <c r="H3287">
        <v>592</v>
      </c>
      <c r="I3287">
        <v>9300000</v>
      </c>
      <c r="J3287">
        <v>11800000</v>
      </c>
      <c r="K3287">
        <v>30500000</v>
      </c>
      <c r="L3287">
        <v>5800000</v>
      </c>
      <c r="M3287" t="s">
        <v>34</v>
      </c>
      <c r="N3287">
        <f t="shared" si="307"/>
        <v>1</v>
      </c>
      <c r="O3287" t="str">
        <f t="shared" si="306"/>
        <v>Low</v>
      </c>
      <c r="P3287" t="str">
        <f t="shared" si="308"/>
        <v>High</v>
      </c>
      <c r="Q3287" t="str">
        <f t="shared" si="309"/>
        <v>High Loan</v>
      </c>
      <c r="R3287">
        <f t="shared" si="310"/>
        <v>57400000</v>
      </c>
      <c r="S3287" t="str">
        <f t="shared" si="311"/>
        <v>Strong</v>
      </c>
    </row>
    <row r="3288" spans="1:19" x14ac:dyDescent="0.25">
      <c r="A3288">
        <v>3287</v>
      </c>
      <c r="B3288">
        <v>3</v>
      </c>
      <c r="C3288" t="s">
        <v>30</v>
      </c>
      <c r="D3288" t="s">
        <v>33</v>
      </c>
      <c r="E3288">
        <v>5300000</v>
      </c>
      <c r="F3288">
        <v>20300000</v>
      </c>
      <c r="G3288">
        <v>14</v>
      </c>
      <c r="H3288">
        <v>432</v>
      </c>
      <c r="I3288">
        <v>15000000</v>
      </c>
      <c r="J3288">
        <v>0</v>
      </c>
      <c r="K3288">
        <v>17200000</v>
      </c>
      <c r="L3288">
        <v>5900000</v>
      </c>
      <c r="M3288" t="s">
        <v>35</v>
      </c>
      <c r="N3288">
        <f t="shared" si="307"/>
        <v>0</v>
      </c>
      <c r="O3288" t="str">
        <f t="shared" si="306"/>
        <v>Low</v>
      </c>
      <c r="P3288" t="str">
        <f t="shared" si="308"/>
        <v>High</v>
      </c>
      <c r="Q3288" t="str">
        <f t="shared" si="309"/>
        <v>High Loan</v>
      </c>
      <c r="R3288">
        <f t="shared" si="310"/>
        <v>38100000</v>
      </c>
      <c r="S3288" t="str">
        <f t="shared" si="311"/>
        <v>Strong</v>
      </c>
    </row>
    <row r="3289" spans="1:19" x14ac:dyDescent="0.25">
      <c r="A3289">
        <v>3288</v>
      </c>
      <c r="B3289">
        <v>1</v>
      </c>
      <c r="C3289" t="s">
        <v>31</v>
      </c>
      <c r="D3289" t="s">
        <v>33</v>
      </c>
      <c r="E3289">
        <v>8700000</v>
      </c>
      <c r="F3289">
        <v>33800000</v>
      </c>
      <c r="G3289">
        <v>18</v>
      </c>
      <c r="H3289">
        <v>558</v>
      </c>
      <c r="I3289">
        <v>18300000</v>
      </c>
      <c r="J3289">
        <v>11500000</v>
      </c>
      <c r="K3289">
        <v>31500000</v>
      </c>
      <c r="L3289">
        <v>5900000</v>
      </c>
      <c r="M3289" t="s">
        <v>34</v>
      </c>
      <c r="N3289">
        <f t="shared" si="307"/>
        <v>1</v>
      </c>
      <c r="O3289" t="str">
        <f t="shared" si="306"/>
        <v>Low</v>
      </c>
      <c r="P3289" t="str">
        <f t="shared" si="308"/>
        <v>High</v>
      </c>
      <c r="Q3289" t="str">
        <f t="shared" si="309"/>
        <v>High Loan</v>
      </c>
      <c r="R3289">
        <f t="shared" si="310"/>
        <v>67200000</v>
      </c>
      <c r="S3289" t="str">
        <f t="shared" si="311"/>
        <v>Strong</v>
      </c>
    </row>
    <row r="3290" spans="1:19" x14ac:dyDescent="0.25">
      <c r="A3290">
        <v>3289</v>
      </c>
      <c r="B3290">
        <v>3</v>
      </c>
      <c r="C3290" t="s">
        <v>30</v>
      </c>
      <c r="D3290" t="s">
        <v>33</v>
      </c>
      <c r="E3290">
        <v>4800000</v>
      </c>
      <c r="F3290">
        <v>14200000</v>
      </c>
      <c r="G3290">
        <v>12</v>
      </c>
      <c r="H3290">
        <v>547</v>
      </c>
      <c r="I3290">
        <v>10400000</v>
      </c>
      <c r="J3290">
        <v>700000</v>
      </c>
      <c r="K3290">
        <v>9800000</v>
      </c>
      <c r="L3290">
        <v>2400000</v>
      </c>
      <c r="M3290" t="s">
        <v>35</v>
      </c>
      <c r="N3290">
        <f t="shared" si="307"/>
        <v>0</v>
      </c>
      <c r="O3290" t="str">
        <f t="shared" si="306"/>
        <v>Low</v>
      </c>
      <c r="P3290" t="str">
        <f t="shared" si="308"/>
        <v>High</v>
      </c>
      <c r="Q3290" t="str">
        <f t="shared" si="309"/>
        <v>Low Loan</v>
      </c>
      <c r="R3290">
        <f t="shared" si="310"/>
        <v>23300000</v>
      </c>
      <c r="S3290" t="str">
        <f t="shared" si="311"/>
        <v>Strong</v>
      </c>
    </row>
    <row r="3291" spans="1:19" x14ac:dyDescent="0.25">
      <c r="A3291">
        <v>3290</v>
      </c>
      <c r="B3291">
        <v>4</v>
      </c>
      <c r="C3291" t="s">
        <v>31</v>
      </c>
      <c r="D3291" t="s">
        <v>32</v>
      </c>
      <c r="E3291">
        <v>4400000</v>
      </c>
      <c r="F3291">
        <v>9800000</v>
      </c>
      <c r="G3291">
        <v>18</v>
      </c>
      <c r="H3291">
        <v>732</v>
      </c>
      <c r="I3291">
        <v>2400000</v>
      </c>
      <c r="J3291">
        <v>2400000</v>
      </c>
      <c r="K3291">
        <v>15100000</v>
      </c>
      <c r="L3291">
        <v>4400000</v>
      </c>
      <c r="M3291" t="s">
        <v>34</v>
      </c>
      <c r="N3291">
        <f t="shared" si="307"/>
        <v>1</v>
      </c>
      <c r="O3291" t="str">
        <f t="shared" si="306"/>
        <v>Good</v>
      </c>
      <c r="P3291" t="str">
        <f t="shared" si="308"/>
        <v>High</v>
      </c>
      <c r="Q3291" t="str">
        <f t="shared" si="309"/>
        <v>Low Loan</v>
      </c>
      <c r="R3291">
        <f t="shared" si="310"/>
        <v>24300000</v>
      </c>
      <c r="S3291" t="str">
        <f t="shared" si="311"/>
        <v>Strong</v>
      </c>
    </row>
    <row r="3292" spans="1:19" x14ac:dyDescent="0.25">
      <c r="A3292">
        <v>3291</v>
      </c>
      <c r="B3292">
        <v>1</v>
      </c>
      <c r="C3292" t="s">
        <v>30</v>
      </c>
      <c r="D3292" t="s">
        <v>33</v>
      </c>
      <c r="E3292">
        <v>5400000</v>
      </c>
      <c r="F3292">
        <v>19300000</v>
      </c>
      <c r="G3292">
        <v>12</v>
      </c>
      <c r="H3292">
        <v>784</v>
      </c>
      <c r="I3292">
        <v>5000000</v>
      </c>
      <c r="J3292">
        <v>1800000</v>
      </c>
      <c r="K3292">
        <v>20300000</v>
      </c>
      <c r="L3292">
        <v>6500000</v>
      </c>
      <c r="M3292" t="s">
        <v>34</v>
      </c>
      <c r="N3292">
        <f t="shared" si="307"/>
        <v>1</v>
      </c>
      <c r="O3292" t="str">
        <f t="shared" si="306"/>
        <v>Excellent</v>
      </c>
      <c r="P3292" t="str">
        <f t="shared" si="308"/>
        <v>High</v>
      </c>
      <c r="Q3292" t="str">
        <f t="shared" si="309"/>
        <v>Low Loan</v>
      </c>
      <c r="R3292">
        <f t="shared" si="310"/>
        <v>33600000</v>
      </c>
      <c r="S3292" t="str">
        <f t="shared" si="311"/>
        <v>Strong</v>
      </c>
    </row>
    <row r="3293" spans="1:19" x14ac:dyDescent="0.25">
      <c r="A3293">
        <v>3292</v>
      </c>
      <c r="B3293">
        <v>5</v>
      </c>
      <c r="C3293" t="s">
        <v>31</v>
      </c>
      <c r="D3293" t="s">
        <v>33</v>
      </c>
      <c r="E3293">
        <v>8400000</v>
      </c>
      <c r="F3293">
        <v>31900000</v>
      </c>
      <c r="G3293">
        <v>10</v>
      </c>
      <c r="H3293">
        <v>605</v>
      </c>
      <c r="I3293">
        <v>18900000</v>
      </c>
      <c r="J3293">
        <v>10300000</v>
      </c>
      <c r="K3293">
        <v>22000000</v>
      </c>
      <c r="L3293">
        <v>9100000</v>
      </c>
      <c r="M3293" t="s">
        <v>34</v>
      </c>
      <c r="N3293">
        <f t="shared" si="307"/>
        <v>1</v>
      </c>
      <c r="O3293" t="str">
        <f t="shared" si="306"/>
        <v>Low</v>
      </c>
      <c r="P3293" t="str">
        <f t="shared" si="308"/>
        <v>High</v>
      </c>
      <c r="Q3293" t="str">
        <f t="shared" si="309"/>
        <v>High Loan</v>
      </c>
      <c r="R3293">
        <f t="shared" si="310"/>
        <v>60300000</v>
      </c>
      <c r="S3293" t="str">
        <f t="shared" si="311"/>
        <v>Strong</v>
      </c>
    </row>
    <row r="3294" spans="1:19" x14ac:dyDescent="0.25">
      <c r="A3294">
        <v>3293</v>
      </c>
      <c r="B3294">
        <v>1</v>
      </c>
      <c r="C3294" t="s">
        <v>30</v>
      </c>
      <c r="D3294" t="s">
        <v>33</v>
      </c>
      <c r="E3294">
        <v>5400000</v>
      </c>
      <c r="F3294">
        <v>19500000</v>
      </c>
      <c r="G3294">
        <v>18</v>
      </c>
      <c r="H3294">
        <v>688</v>
      </c>
      <c r="I3294">
        <v>12100000</v>
      </c>
      <c r="J3294">
        <v>800000</v>
      </c>
      <c r="K3294">
        <v>17000000</v>
      </c>
      <c r="L3294">
        <v>3500000</v>
      </c>
      <c r="M3294" t="s">
        <v>34</v>
      </c>
      <c r="N3294">
        <f t="shared" si="307"/>
        <v>1</v>
      </c>
      <c r="O3294" t="str">
        <f t="shared" si="306"/>
        <v>Medium</v>
      </c>
      <c r="P3294" t="str">
        <f t="shared" si="308"/>
        <v>High</v>
      </c>
      <c r="Q3294" t="str">
        <f t="shared" si="309"/>
        <v>Low Loan</v>
      </c>
      <c r="R3294">
        <f t="shared" si="310"/>
        <v>33400000</v>
      </c>
      <c r="S3294" t="str">
        <f t="shared" si="311"/>
        <v>Strong</v>
      </c>
    </row>
    <row r="3295" spans="1:19" x14ac:dyDescent="0.25">
      <c r="A3295">
        <v>3294</v>
      </c>
      <c r="B3295">
        <v>3</v>
      </c>
      <c r="C3295" t="s">
        <v>31</v>
      </c>
      <c r="D3295" t="s">
        <v>33</v>
      </c>
      <c r="E3295">
        <v>9400000</v>
      </c>
      <c r="F3295">
        <v>32100000</v>
      </c>
      <c r="G3295">
        <v>10</v>
      </c>
      <c r="H3295">
        <v>617</v>
      </c>
      <c r="I3295">
        <v>22700000</v>
      </c>
      <c r="J3295">
        <v>5800000</v>
      </c>
      <c r="K3295">
        <v>29400000</v>
      </c>
      <c r="L3295">
        <v>11400000</v>
      </c>
      <c r="M3295" t="s">
        <v>34</v>
      </c>
      <c r="N3295">
        <f t="shared" si="307"/>
        <v>1</v>
      </c>
      <c r="O3295" t="str">
        <f t="shared" si="306"/>
        <v>Low</v>
      </c>
      <c r="P3295" t="str">
        <f t="shared" si="308"/>
        <v>High</v>
      </c>
      <c r="Q3295" t="str">
        <f t="shared" si="309"/>
        <v>High Loan</v>
      </c>
      <c r="R3295">
        <f t="shared" si="310"/>
        <v>69300000</v>
      </c>
      <c r="S3295" t="str">
        <f t="shared" si="311"/>
        <v>Strong</v>
      </c>
    </row>
    <row r="3296" spans="1:19" x14ac:dyDescent="0.25">
      <c r="A3296">
        <v>3295</v>
      </c>
      <c r="B3296">
        <v>0</v>
      </c>
      <c r="C3296" t="s">
        <v>31</v>
      </c>
      <c r="D3296" t="s">
        <v>33</v>
      </c>
      <c r="E3296">
        <v>800000</v>
      </c>
      <c r="F3296">
        <v>2400000</v>
      </c>
      <c r="G3296">
        <v>4</v>
      </c>
      <c r="H3296">
        <v>518</v>
      </c>
      <c r="I3296">
        <v>500000</v>
      </c>
      <c r="J3296">
        <v>800000</v>
      </c>
      <c r="K3296">
        <v>2800000</v>
      </c>
      <c r="L3296">
        <v>500000</v>
      </c>
      <c r="M3296" t="s">
        <v>34</v>
      </c>
      <c r="N3296">
        <f t="shared" si="307"/>
        <v>1</v>
      </c>
      <c r="O3296" t="str">
        <f t="shared" si="306"/>
        <v>Low</v>
      </c>
      <c r="P3296" t="str">
        <f t="shared" si="308"/>
        <v>High</v>
      </c>
      <c r="Q3296" t="str">
        <f t="shared" si="309"/>
        <v>Low Loan</v>
      </c>
      <c r="R3296">
        <f t="shared" si="310"/>
        <v>4600000</v>
      </c>
      <c r="S3296" t="str">
        <f t="shared" si="311"/>
        <v>Weak</v>
      </c>
    </row>
    <row r="3297" spans="1:19" x14ac:dyDescent="0.25">
      <c r="A3297">
        <v>3296</v>
      </c>
      <c r="B3297">
        <v>0</v>
      </c>
      <c r="C3297" t="s">
        <v>31</v>
      </c>
      <c r="D3297" t="s">
        <v>32</v>
      </c>
      <c r="E3297">
        <v>3800000</v>
      </c>
      <c r="F3297">
        <v>14800000</v>
      </c>
      <c r="G3297">
        <v>10</v>
      </c>
      <c r="H3297">
        <v>390</v>
      </c>
      <c r="I3297">
        <v>5900000</v>
      </c>
      <c r="J3297">
        <v>5700000</v>
      </c>
      <c r="K3297">
        <v>9500000</v>
      </c>
      <c r="L3297">
        <v>4600000</v>
      </c>
      <c r="M3297" t="s">
        <v>35</v>
      </c>
      <c r="N3297">
        <f t="shared" si="307"/>
        <v>0</v>
      </c>
      <c r="O3297" t="str">
        <f t="shared" si="306"/>
        <v>Low</v>
      </c>
      <c r="P3297" t="str">
        <f t="shared" si="308"/>
        <v>High</v>
      </c>
      <c r="Q3297" t="str">
        <f t="shared" si="309"/>
        <v>Low Loan</v>
      </c>
      <c r="R3297">
        <f t="shared" si="310"/>
        <v>25700000</v>
      </c>
      <c r="S3297" t="str">
        <f t="shared" si="311"/>
        <v>Strong</v>
      </c>
    </row>
    <row r="3298" spans="1:19" x14ac:dyDescent="0.25">
      <c r="A3298">
        <v>3297</v>
      </c>
      <c r="B3298">
        <v>4</v>
      </c>
      <c r="C3298" t="s">
        <v>30</v>
      </c>
      <c r="D3298" t="s">
        <v>32</v>
      </c>
      <c r="E3298">
        <v>3100000</v>
      </c>
      <c r="F3298">
        <v>6300000</v>
      </c>
      <c r="G3298">
        <v>4</v>
      </c>
      <c r="H3298">
        <v>370</v>
      </c>
      <c r="I3298">
        <v>8600000</v>
      </c>
      <c r="J3298">
        <v>4100000</v>
      </c>
      <c r="K3298">
        <v>8800000</v>
      </c>
      <c r="L3298">
        <v>2800000</v>
      </c>
      <c r="M3298" t="s">
        <v>35</v>
      </c>
      <c r="N3298">
        <f t="shared" si="307"/>
        <v>0</v>
      </c>
      <c r="O3298" t="str">
        <f t="shared" si="306"/>
        <v>Low</v>
      </c>
      <c r="P3298" t="str">
        <f t="shared" si="308"/>
        <v>High</v>
      </c>
      <c r="Q3298" t="str">
        <f t="shared" si="309"/>
        <v>Low Loan</v>
      </c>
      <c r="R3298">
        <f t="shared" si="310"/>
        <v>24300000</v>
      </c>
      <c r="S3298" t="str">
        <f t="shared" si="311"/>
        <v>Strong</v>
      </c>
    </row>
    <row r="3299" spans="1:19" x14ac:dyDescent="0.25">
      <c r="A3299">
        <v>3298</v>
      </c>
      <c r="B3299">
        <v>3</v>
      </c>
      <c r="C3299" t="s">
        <v>31</v>
      </c>
      <c r="D3299" t="s">
        <v>33</v>
      </c>
      <c r="E3299">
        <v>6000000</v>
      </c>
      <c r="F3299">
        <v>21300000</v>
      </c>
      <c r="G3299">
        <v>4</v>
      </c>
      <c r="H3299">
        <v>802</v>
      </c>
      <c r="I3299">
        <v>4700000</v>
      </c>
      <c r="J3299">
        <v>8900000</v>
      </c>
      <c r="K3299">
        <v>17300000</v>
      </c>
      <c r="L3299">
        <v>7600000</v>
      </c>
      <c r="M3299" t="s">
        <v>34</v>
      </c>
      <c r="N3299">
        <f t="shared" si="307"/>
        <v>1</v>
      </c>
      <c r="O3299" t="str">
        <f t="shared" si="306"/>
        <v>Excellent</v>
      </c>
      <c r="P3299" t="str">
        <f t="shared" si="308"/>
        <v>High</v>
      </c>
      <c r="Q3299" t="str">
        <f t="shared" si="309"/>
        <v>High Loan</v>
      </c>
      <c r="R3299">
        <f t="shared" si="310"/>
        <v>38500000</v>
      </c>
      <c r="S3299" t="str">
        <f t="shared" si="311"/>
        <v>Strong</v>
      </c>
    </row>
    <row r="3300" spans="1:19" x14ac:dyDescent="0.25">
      <c r="A3300">
        <v>3299</v>
      </c>
      <c r="B3300">
        <v>2</v>
      </c>
      <c r="C3300" t="s">
        <v>31</v>
      </c>
      <c r="D3300" t="s">
        <v>33</v>
      </c>
      <c r="E3300">
        <v>6800000</v>
      </c>
      <c r="F3300">
        <v>15500000</v>
      </c>
      <c r="G3300">
        <v>12</v>
      </c>
      <c r="H3300">
        <v>338</v>
      </c>
      <c r="I3300">
        <v>9900000</v>
      </c>
      <c r="J3300">
        <v>1200000</v>
      </c>
      <c r="K3300">
        <v>21800000</v>
      </c>
      <c r="L3300">
        <v>8500000</v>
      </c>
      <c r="M3300" t="s">
        <v>35</v>
      </c>
      <c r="N3300">
        <f t="shared" si="307"/>
        <v>0</v>
      </c>
      <c r="O3300" t="str">
        <f t="shared" si="306"/>
        <v>Low</v>
      </c>
      <c r="P3300" t="str">
        <f t="shared" si="308"/>
        <v>High</v>
      </c>
      <c r="Q3300" t="str">
        <f t="shared" si="309"/>
        <v>Low Loan</v>
      </c>
      <c r="R3300">
        <f t="shared" si="310"/>
        <v>41400000</v>
      </c>
      <c r="S3300" t="str">
        <f t="shared" si="311"/>
        <v>Strong</v>
      </c>
    </row>
    <row r="3301" spans="1:19" x14ac:dyDescent="0.25">
      <c r="A3301">
        <v>3300</v>
      </c>
      <c r="B3301">
        <v>5</v>
      </c>
      <c r="C3301" t="s">
        <v>31</v>
      </c>
      <c r="D3301" t="s">
        <v>32</v>
      </c>
      <c r="E3301">
        <v>5200000</v>
      </c>
      <c r="F3301">
        <v>11700000</v>
      </c>
      <c r="G3301">
        <v>6</v>
      </c>
      <c r="H3301">
        <v>658</v>
      </c>
      <c r="I3301">
        <v>8100000</v>
      </c>
      <c r="J3301">
        <v>5100000</v>
      </c>
      <c r="K3301">
        <v>11400000</v>
      </c>
      <c r="L3301">
        <v>5600000</v>
      </c>
      <c r="M3301" t="s">
        <v>34</v>
      </c>
      <c r="N3301">
        <f t="shared" si="307"/>
        <v>1</v>
      </c>
      <c r="O3301" t="str">
        <f t="shared" si="306"/>
        <v>Medium</v>
      </c>
      <c r="P3301" t="str">
        <f t="shared" si="308"/>
        <v>High</v>
      </c>
      <c r="Q3301" t="str">
        <f t="shared" si="309"/>
        <v>Low Loan</v>
      </c>
      <c r="R3301">
        <f t="shared" si="310"/>
        <v>30200000</v>
      </c>
      <c r="S3301" t="str">
        <f t="shared" si="311"/>
        <v>Strong</v>
      </c>
    </row>
    <row r="3302" spans="1:19" x14ac:dyDescent="0.25">
      <c r="A3302">
        <v>3301</v>
      </c>
      <c r="B3302">
        <v>0</v>
      </c>
      <c r="C3302" t="s">
        <v>31</v>
      </c>
      <c r="D3302" t="s">
        <v>32</v>
      </c>
      <c r="E3302">
        <v>1900000</v>
      </c>
      <c r="F3302">
        <v>6700000</v>
      </c>
      <c r="G3302">
        <v>12</v>
      </c>
      <c r="H3302">
        <v>595</v>
      </c>
      <c r="I3302">
        <v>3000000</v>
      </c>
      <c r="J3302">
        <v>3200000</v>
      </c>
      <c r="K3302">
        <v>4900000</v>
      </c>
      <c r="L3302">
        <v>1700000</v>
      </c>
      <c r="M3302" t="s">
        <v>34</v>
      </c>
      <c r="N3302">
        <f t="shared" si="307"/>
        <v>1</v>
      </c>
      <c r="O3302" t="str">
        <f t="shared" si="306"/>
        <v>Low</v>
      </c>
      <c r="P3302" t="str">
        <f t="shared" si="308"/>
        <v>High</v>
      </c>
      <c r="Q3302" t="str">
        <f t="shared" si="309"/>
        <v>Low Loan</v>
      </c>
      <c r="R3302">
        <f t="shared" si="310"/>
        <v>12800000</v>
      </c>
      <c r="S3302" t="str">
        <f t="shared" si="311"/>
        <v>Strong</v>
      </c>
    </row>
    <row r="3303" spans="1:19" x14ac:dyDescent="0.25">
      <c r="A3303">
        <v>3302</v>
      </c>
      <c r="B3303">
        <v>5</v>
      </c>
      <c r="C3303" t="s">
        <v>30</v>
      </c>
      <c r="D3303" t="s">
        <v>33</v>
      </c>
      <c r="E3303">
        <v>3600000</v>
      </c>
      <c r="F3303">
        <v>8500000</v>
      </c>
      <c r="G3303">
        <v>20</v>
      </c>
      <c r="H3303">
        <v>594</v>
      </c>
      <c r="I3303">
        <v>4400000</v>
      </c>
      <c r="J3303">
        <v>6400000</v>
      </c>
      <c r="K3303">
        <v>7400000</v>
      </c>
      <c r="L3303">
        <v>4500000</v>
      </c>
      <c r="M3303" t="s">
        <v>34</v>
      </c>
      <c r="N3303">
        <f t="shared" si="307"/>
        <v>1</v>
      </c>
      <c r="O3303" t="str">
        <f t="shared" si="306"/>
        <v>Low</v>
      </c>
      <c r="P3303" t="str">
        <f t="shared" si="308"/>
        <v>High</v>
      </c>
      <c r="Q3303" t="str">
        <f t="shared" si="309"/>
        <v>Low Loan</v>
      </c>
      <c r="R3303">
        <f t="shared" si="310"/>
        <v>22700000</v>
      </c>
      <c r="S3303" t="str">
        <f t="shared" si="311"/>
        <v>Strong</v>
      </c>
    </row>
    <row r="3304" spans="1:19" x14ac:dyDescent="0.25">
      <c r="A3304">
        <v>3303</v>
      </c>
      <c r="B3304">
        <v>3</v>
      </c>
      <c r="C3304" t="s">
        <v>30</v>
      </c>
      <c r="D3304" t="s">
        <v>33</v>
      </c>
      <c r="E3304">
        <v>1500000</v>
      </c>
      <c r="F3304">
        <v>4100000</v>
      </c>
      <c r="G3304">
        <v>14</v>
      </c>
      <c r="H3304">
        <v>611</v>
      </c>
      <c r="I3304">
        <v>600000</v>
      </c>
      <c r="J3304">
        <v>2000000</v>
      </c>
      <c r="K3304">
        <v>4800000</v>
      </c>
      <c r="L3304">
        <v>2100000</v>
      </c>
      <c r="M3304" t="s">
        <v>34</v>
      </c>
      <c r="N3304">
        <f t="shared" si="307"/>
        <v>1</v>
      </c>
      <c r="O3304" t="str">
        <f t="shared" si="306"/>
        <v>Low</v>
      </c>
      <c r="P3304" t="str">
        <f t="shared" si="308"/>
        <v>High</v>
      </c>
      <c r="Q3304" t="str">
        <f t="shared" si="309"/>
        <v>Low Loan</v>
      </c>
      <c r="R3304">
        <f t="shared" si="310"/>
        <v>9500000</v>
      </c>
      <c r="S3304" t="str">
        <f t="shared" si="311"/>
        <v>Moderate</v>
      </c>
    </row>
    <row r="3305" spans="1:19" x14ac:dyDescent="0.25">
      <c r="A3305">
        <v>3304</v>
      </c>
      <c r="B3305">
        <v>3</v>
      </c>
      <c r="C3305" t="s">
        <v>31</v>
      </c>
      <c r="D3305" t="s">
        <v>32</v>
      </c>
      <c r="E3305">
        <v>2000000</v>
      </c>
      <c r="F3305">
        <v>5800000</v>
      </c>
      <c r="G3305">
        <v>8</v>
      </c>
      <c r="H3305">
        <v>799</v>
      </c>
      <c r="I3305">
        <v>3000000</v>
      </c>
      <c r="J3305">
        <v>3100000</v>
      </c>
      <c r="K3305">
        <v>5500000</v>
      </c>
      <c r="L3305">
        <v>1000000</v>
      </c>
      <c r="M3305" t="s">
        <v>34</v>
      </c>
      <c r="N3305">
        <f t="shared" si="307"/>
        <v>1</v>
      </c>
      <c r="O3305" t="str">
        <f t="shared" si="306"/>
        <v>Excellent</v>
      </c>
      <c r="P3305" t="str">
        <f t="shared" si="308"/>
        <v>High</v>
      </c>
      <c r="Q3305" t="str">
        <f t="shared" si="309"/>
        <v>Low Loan</v>
      </c>
      <c r="R3305">
        <f t="shared" si="310"/>
        <v>12600000</v>
      </c>
      <c r="S3305" t="str">
        <f t="shared" si="311"/>
        <v>Strong</v>
      </c>
    </row>
    <row r="3306" spans="1:19" x14ac:dyDescent="0.25">
      <c r="A3306">
        <v>3305</v>
      </c>
      <c r="B3306">
        <v>5</v>
      </c>
      <c r="C3306" t="s">
        <v>30</v>
      </c>
      <c r="D3306" t="s">
        <v>32</v>
      </c>
      <c r="E3306">
        <v>9200000</v>
      </c>
      <c r="F3306">
        <v>18600000</v>
      </c>
      <c r="G3306">
        <v>20</v>
      </c>
      <c r="H3306">
        <v>497</v>
      </c>
      <c r="I3306">
        <v>1000000</v>
      </c>
      <c r="J3306">
        <v>300000</v>
      </c>
      <c r="K3306">
        <v>24200000</v>
      </c>
      <c r="L3306">
        <v>10700000</v>
      </c>
      <c r="M3306" t="s">
        <v>35</v>
      </c>
      <c r="N3306">
        <f t="shared" si="307"/>
        <v>0</v>
      </c>
      <c r="O3306" t="str">
        <f t="shared" si="306"/>
        <v>Low</v>
      </c>
      <c r="P3306" t="str">
        <f t="shared" si="308"/>
        <v>High</v>
      </c>
      <c r="Q3306" t="str">
        <f t="shared" si="309"/>
        <v>Low Loan</v>
      </c>
      <c r="R3306">
        <f t="shared" si="310"/>
        <v>36200000</v>
      </c>
      <c r="S3306" t="str">
        <f t="shared" si="311"/>
        <v>Strong</v>
      </c>
    </row>
    <row r="3307" spans="1:19" x14ac:dyDescent="0.25">
      <c r="A3307">
        <v>3306</v>
      </c>
      <c r="B3307">
        <v>0</v>
      </c>
      <c r="C3307" t="s">
        <v>31</v>
      </c>
      <c r="D3307" t="s">
        <v>33</v>
      </c>
      <c r="E3307">
        <v>6100000</v>
      </c>
      <c r="F3307">
        <v>15900000</v>
      </c>
      <c r="G3307">
        <v>18</v>
      </c>
      <c r="H3307">
        <v>456</v>
      </c>
      <c r="I3307">
        <v>12900000</v>
      </c>
      <c r="J3307">
        <v>10800000</v>
      </c>
      <c r="K3307">
        <v>19100000</v>
      </c>
      <c r="L3307">
        <v>8800000</v>
      </c>
      <c r="M3307" t="s">
        <v>35</v>
      </c>
      <c r="N3307">
        <f t="shared" si="307"/>
        <v>0</v>
      </c>
      <c r="O3307" t="str">
        <f t="shared" si="306"/>
        <v>Low</v>
      </c>
      <c r="P3307" t="str">
        <f t="shared" si="308"/>
        <v>High</v>
      </c>
      <c r="Q3307" t="str">
        <f t="shared" si="309"/>
        <v>Low Loan</v>
      </c>
      <c r="R3307">
        <f t="shared" si="310"/>
        <v>51600000</v>
      </c>
      <c r="S3307" t="str">
        <f t="shared" si="311"/>
        <v>Strong</v>
      </c>
    </row>
    <row r="3308" spans="1:19" x14ac:dyDescent="0.25">
      <c r="A3308">
        <v>3307</v>
      </c>
      <c r="B3308">
        <v>5</v>
      </c>
      <c r="C3308" t="s">
        <v>31</v>
      </c>
      <c r="D3308" t="s">
        <v>32</v>
      </c>
      <c r="E3308">
        <v>300000</v>
      </c>
      <c r="F3308">
        <v>500000</v>
      </c>
      <c r="G3308">
        <v>8</v>
      </c>
      <c r="H3308">
        <v>396</v>
      </c>
      <c r="I3308">
        <v>400000</v>
      </c>
      <c r="J3308">
        <v>300000</v>
      </c>
      <c r="K3308">
        <v>1200000</v>
      </c>
      <c r="L3308">
        <v>200000</v>
      </c>
      <c r="M3308" t="s">
        <v>35</v>
      </c>
      <c r="N3308">
        <f t="shared" si="307"/>
        <v>0</v>
      </c>
      <c r="O3308" t="str">
        <f t="shared" si="306"/>
        <v>Low</v>
      </c>
      <c r="P3308" t="str">
        <f t="shared" si="308"/>
        <v>Middle</v>
      </c>
      <c r="Q3308" t="str">
        <f t="shared" si="309"/>
        <v>Low Loan</v>
      </c>
      <c r="R3308">
        <f t="shared" si="310"/>
        <v>2100000</v>
      </c>
      <c r="S3308" t="str">
        <f t="shared" si="311"/>
        <v>Weak</v>
      </c>
    </row>
    <row r="3309" spans="1:19" x14ac:dyDescent="0.25">
      <c r="A3309">
        <v>3308</v>
      </c>
      <c r="B3309">
        <v>1</v>
      </c>
      <c r="C3309" t="s">
        <v>30</v>
      </c>
      <c r="D3309" t="s">
        <v>32</v>
      </c>
      <c r="E3309">
        <v>800000</v>
      </c>
      <c r="F3309">
        <v>2300000</v>
      </c>
      <c r="G3309">
        <v>10</v>
      </c>
      <c r="H3309">
        <v>770</v>
      </c>
      <c r="I3309">
        <v>900000</v>
      </c>
      <c r="J3309">
        <v>900000</v>
      </c>
      <c r="K3309">
        <v>2900000</v>
      </c>
      <c r="L3309">
        <v>1100000</v>
      </c>
      <c r="M3309" t="s">
        <v>34</v>
      </c>
      <c r="N3309">
        <f t="shared" si="307"/>
        <v>1</v>
      </c>
      <c r="O3309" t="str">
        <f t="shared" si="306"/>
        <v>Excellent</v>
      </c>
      <c r="P3309" t="str">
        <f t="shared" si="308"/>
        <v>High</v>
      </c>
      <c r="Q3309" t="str">
        <f t="shared" si="309"/>
        <v>Low Loan</v>
      </c>
      <c r="R3309">
        <f t="shared" si="310"/>
        <v>5800000</v>
      </c>
      <c r="S3309" t="str">
        <f t="shared" si="311"/>
        <v>Moderate</v>
      </c>
    </row>
    <row r="3310" spans="1:19" x14ac:dyDescent="0.25">
      <c r="A3310">
        <v>3309</v>
      </c>
      <c r="B3310">
        <v>0</v>
      </c>
      <c r="C3310" t="s">
        <v>31</v>
      </c>
      <c r="D3310" t="s">
        <v>32</v>
      </c>
      <c r="E3310">
        <v>3300000</v>
      </c>
      <c r="F3310">
        <v>9000000</v>
      </c>
      <c r="G3310">
        <v>16</v>
      </c>
      <c r="H3310">
        <v>797</v>
      </c>
      <c r="I3310">
        <v>3000000</v>
      </c>
      <c r="J3310">
        <v>6400000</v>
      </c>
      <c r="K3310">
        <v>10300000</v>
      </c>
      <c r="L3310">
        <v>3300000</v>
      </c>
      <c r="M3310" t="s">
        <v>34</v>
      </c>
      <c r="N3310">
        <f t="shared" si="307"/>
        <v>1</v>
      </c>
      <c r="O3310" t="str">
        <f t="shared" si="306"/>
        <v>Excellent</v>
      </c>
      <c r="P3310" t="str">
        <f t="shared" si="308"/>
        <v>High</v>
      </c>
      <c r="Q3310" t="str">
        <f t="shared" si="309"/>
        <v>Low Loan</v>
      </c>
      <c r="R3310">
        <f t="shared" si="310"/>
        <v>23000000</v>
      </c>
      <c r="S3310" t="str">
        <f t="shared" si="311"/>
        <v>Strong</v>
      </c>
    </row>
    <row r="3311" spans="1:19" x14ac:dyDescent="0.25">
      <c r="A3311">
        <v>3310</v>
      </c>
      <c r="B3311">
        <v>1</v>
      </c>
      <c r="C3311" t="s">
        <v>31</v>
      </c>
      <c r="D3311" t="s">
        <v>32</v>
      </c>
      <c r="E3311">
        <v>5800000</v>
      </c>
      <c r="F3311">
        <v>18700000</v>
      </c>
      <c r="G3311">
        <v>20</v>
      </c>
      <c r="H3311">
        <v>586</v>
      </c>
      <c r="I3311">
        <v>14100000</v>
      </c>
      <c r="J3311">
        <v>3000000</v>
      </c>
      <c r="K3311">
        <v>15600000</v>
      </c>
      <c r="L3311">
        <v>6000000</v>
      </c>
      <c r="M3311" t="s">
        <v>34</v>
      </c>
      <c r="N3311">
        <f t="shared" si="307"/>
        <v>1</v>
      </c>
      <c r="O3311" t="str">
        <f t="shared" si="306"/>
        <v>Low</v>
      </c>
      <c r="P3311" t="str">
        <f t="shared" si="308"/>
        <v>High</v>
      </c>
      <c r="Q3311" t="str">
        <f t="shared" si="309"/>
        <v>Low Loan</v>
      </c>
      <c r="R3311">
        <f t="shared" si="310"/>
        <v>38700000</v>
      </c>
      <c r="S3311" t="str">
        <f t="shared" si="311"/>
        <v>Strong</v>
      </c>
    </row>
    <row r="3312" spans="1:19" x14ac:dyDescent="0.25">
      <c r="A3312">
        <v>3311</v>
      </c>
      <c r="B3312">
        <v>5</v>
      </c>
      <c r="C3312" t="s">
        <v>31</v>
      </c>
      <c r="D3312" t="s">
        <v>32</v>
      </c>
      <c r="E3312">
        <v>8500000</v>
      </c>
      <c r="F3312">
        <v>23400000</v>
      </c>
      <c r="G3312">
        <v>16</v>
      </c>
      <c r="H3312">
        <v>604</v>
      </c>
      <c r="I3312">
        <v>25100000</v>
      </c>
      <c r="J3312">
        <v>16500000</v>
      </c>
      <c r="K3312">
        <v>24500000</v>
      </c>
      <c r="L3312">
        <v>4800000</v>
      </c>
      <c r="M3312" t="s">
        <v>34</v>
      </c>
      <c r="N3312">
        <f t="shared" si="307"/>
        <v>1</v>
      </c>
      <c r="O3312" t="str">
        <f t="shared" si="306"/>
        <v>Low</v>
      </c>
      <c r="P3312" t="str">
        <f t="shared" si="308"/>
        <v>High</v>
      </c>
      <c r="Q3312" t="str">
        <f t="shared" si="309"/>
        <v>High Loan</v>
      </c>
      <c r="R3312">
        <f t="shared" si="310"/>
        <v>70900000</v>
      </c>
      <c r="S3312" t="str">
        <f t="shared" si="311"/>
        <v>Strong</v>
      </c>
    </row>
    <row r="3313" spans="1:19" x14ac:dyDescent="0.25">
      <c r="A3313">
        <v>3312</v>
      </c>
      <c r="B3313">
        <v>0</v>
      </c>
      <c r="C3313" t="s">
        <v>31</v>
      </c>
      <c r="D3313" t="s">
        <v>33</v>
      </c>
      <c r="E3313">
        <v>4100000</v>
      </c>
      <c r="F3313">
        <v>12800000</v>
      </c>
      <c r="G3313">
        <v>8</v>
      </c>
      <c r="H3313">
        <v>799</v>
      </c>
      <c r="I3313">
        <v>3700000</v>
      </c>
      <c r="J3313">
        <v>700000</v>
      </c>
      <c r="K3313">
        <v>9400000</v>
      </c>
      <c r="L3313">
        <v>2700000</v>
      </c>
      <c r="M3313" t="s">
        <v>34</v>
      </c>
      <c r="N3313">
        <f t="shared" si="307"/>
        <v>1</v>
      </c>
      <c r="O3313" t="str">
        <f t="shared" si="306"/>
        <v>Excellent</v>
      </c>
      <c r="P3313" t="str">
        <f t="shared" si="308"/>
        <v>High</v>
      </c>
      <c r="Q3313" t="str">
        <f t="shared" si="309"/>
        <v>Low Loan</v>
      </c>
      <c r="R3313">
        <f t="shared" si="310"/>
        <v>16500000</v>
      </c>
      <c r="S3313" t="str">
        <f t="shared" si="311"/>
        <v>Strong</v>
      </c>
    </row>
    <row r="3314" spans="1:19" x14ac:dyDescent="0.25">
      <c r="A3314">
        <v>3313</v>
      </c>
      <c r="B3314">
        <v>2</v>
      </c>
      <c r="C3314" t="s">
        <v>30</v>
      </c>
      <c r="D3314" t="s">
        <v>32</v>
      </c>
      <c r="E3314">
        <v>7800000</v>
      </c>
      <c r="F3314">
        <v>26400000</v>
      </c>
      <c r="G3314">
        <v>4</v>
      </c>
      <c r="H3314">
        <v>763</v>
      </c>
      <c r="I3314">
        <v>2200000</v>
      </c>
      <c r="J3314">
        <v>8400000</v>
      </c>
      <c r="K3314">
        <v>16600000</v>
      </c>
      <c r="L3314">
        <v>6700000</v>
      </c>
      <c r="M3314" t="s">
        <v>34</v>
      </c>
      <c r="N3314">
        <f t="shared" si="307"/>
        <v>1</v>
      </c>
      <c r="O3314" t="str">
        <f t="shared" si="306"/>
        <v>Excellent</v>
      </c>
      <c r="P3314" t="str">
        <f t="shared" si="308"/>
        <v>High</v>
      </c>
      <c r="Q3314" t="str">
        <f t="shared" si="309"/>
        <v>High Loan</v>
      </c>
      <c r="R3314">
        <f t="shared" si="310"/>
        <v>33900000</v>
      </c>
      <c r="S3314" t="str">
        <f t="shared" si="311"/>
        <v>Strong</v>
      </c>
    </row>
    <row r="3315" spans="1:19" x14ac:dyDescent="0.25">
      <c r="A3315">
        <v>3314</v>
      </c>
      <c r="B3315">
        <v>0</v>
      </c>
      <c r="C3315" t="s">
        <v>30</v>
      </c>
      <c r="D3315" t="s">
        <v>32</v>
      </c>
      <c r="E3315">
        <v>7500000</v>
      </c>
      <c r="F3315">
        <v>23000000</v>
      </c>
      <c r="G3315">
        <v>14</v>
      </c>
      <c r="H3315">
        <v>725</v>
      </c>
      <c r="I3315">
        <v>8900000</v>
      </c>
      <c r="J3315">
        <v>4800000</v>
      </c>
      <c r="K3315">
        <v>20200000</v>
      </c>
      <c r="L3315">
        <v>7100000</v>
      </c>
      <c r="M3315" t="s">
        <v>34</v>
      </c>
      <c r="N3315">
        <f t="shared" si="307"/>
        <v>1</v>
      </c>
      <c r="O3315" t="str">
        <f t="shared" si="306"/>
        <v>Good</v>
      </c>
      <c r="P3315" t="str">
        <f t="shared" si="308"/>
        <v>High</v>
      </c>
      <c r="Q3315" t="str">
        <f t="shared" si="309"/>
        <v>High Loan</v>
      </c>
      <c r="R3315">
        <f t="shared" si="310"/>
        <v>41000000</v>
      </c>
      <c r="S3315" t="str">
        <f t="shared" si="311"/>
        <v>Strong</v>
      </c>
    </row>
    <row r="3316" spans="1:19" x14ac:dyDescent="0.25">
      <c r="A3316">
        <v>3315</v>
      </c>
      <c r="B3316">
        <v>2</v>
      </c>
      <c r="C3316" t="s">
        <v>30</v>
      </c>
      <c r="D3316" t="s">
        <v>32</v>
      </c>
      <c r="E3316">
        <v>2300000</v>
      </c>
      <c r="F3316">
        <v>8800000</v>
      </c>
      <c r="G3316">
        <v>18</v>
      </c>
      <c r="H3316">
        <v>336</v>
      </c>
      <c r="I3316">
        <v>1800000</v>
      </c>
      <c r="J3316">
        <v>800000</v>
      </c>
      <c r="K3316">
        <v>5200000</v>
      </c>
      <c r="L3316">
        <v>1500000</v>
      </c>
      <c r="M3316" t="s">
        <v>35</v>
      </c>
      <c r="N3316">
        <f t="shared" si="307"/>
        <v>0</v>
      </c>
      <c r="O3316" t="str">
        <f t="shared" si="306"/>
        <v>Low</v>
      </c>
      <c r="P3316" t="str">
        <f t="shared" si="308"/>
        <v>High</v>
      </c>
      <c r="Q3316" t="str">
        <f t="shared" si="309"/>
        <v>Low Loan</v>
      </c>
      <c r="R3316">
        <f t="shared" si="310"/>
        <v>9300000</v>
      </c>
      <c r="S3316" t="str">
        <f t="shared" si="311"/>
        <v>Moderate</v>
      </c>
    </row>
    <row r="3317" spans="1:19" x14ac:dyDescent="0.25">
      <c r="A3317">
        <v>3316</v>
      </c>
      <c r="B3317">
        <v>4</v>
      </c>
      <c r="C3317" t="s">
        <v>30</v>
      </c>
      <c r="D3317" t="s">
        <v>33</v>
      </c>
      <c r="E3317">
        <v>600000</v>
      </c>
      <c r="F3317">
        <v>2300000</v>
      </c>
      <c r="G3317">
        <v>6</v>
      </c>
      <c r="H3317">
        <v>495</v>
      </c>
      <c r="I3317">
        <v>1700000</v>
      </c>
      <c r="J3317">
        <v>600000</v>
      </c>
      <c r="K3317">
        <v>2000000</v>
      </c>
      <c r="L3317">
        <v>300000</v>
      </c>
      <c r="M3317" t="s">
        <v>35</v>
      </c>
      <c r="N3317">
        <f t="shared" si="307"/>
        <v>0</v>
      </c>
      <c r="O3317" t="str">
        <f t="shared" si="306"/>
        <v>Low</v>
      </c>
      <c r="P3317" t="str">
        <f t="shared" si="308"/>
        <v>Middle</v>
      </c>
      <c r="Q3317" t="str">
        <f t="shared" si="309"/>
        <v>Low Loan</v>
      </c>
      <c r="R3317">
        <f t="shared" si="310"/>
        <v>4600000</v>
      </c>
      <c r="S3317" t="str">
        <f t="shared" si="311"/>
        <v>Weak</v>
      </c>
    </row>
    <row r="3318" spans="1:19" x14ac:dyDescent="0.25">
      <c r="A3318">
        <v>3317</v>
      </c>
      <c r="B3318">
        <v>1</v>
      </c>
      <c r="C3318" t="s">
        <v>31</v>
      </c>
      <c r="D3318" t="s">
        <v>32</v>
      </c>
      <c r="E3318">
        <v>2900000</v>
      </c>
      <c r="F3318">
        <v>11500000</v>
      </c>
      <c r="G3318">
        <v>20</v>
      </c>
      <c r="H3318">
        <v>431</v>
      </c>
      <c r="I3318">
        <v>3600000</v>
      </c>
      <c r="J3318">
        <v>3800000</v>
      </c>
      <c r="K3318">
        <v>5900000</v>
      </c>
      <c r="L3318">
        <v>3100000</v>
      </c>
      <c r="M3318" t="s">
        <v>35</v>
      </c>
      <c r="N3318">
        <f t="shared" si="307"/>
        <v>0</v>
      </c>
      <c r="O3318" t="str">
        <f t="shared" si="306"/>
        <v>Low</v>
      </c>
      <c r="P3318" t="str">
        <f t="shared" si="308"/>
        <v>High</v>
      </c>
      <c r="Q3318" t="str">
        <f t="shared" si="309"/>
        <v>Low Loan</v>
      </c>
      <c r="R3318">
        <f t="shared" si="310"/>
        <v>16400000</v>
      </c>
      <c r="S3318" t="str">
        <f t="shared" si="311"/>
        <v>Strong</v>
      </c>
    </row>
    <row r="3319" spans="1:19" x14ac:dyDescent="0.25">
      <c r="A3319">
        <v>3318</v>
      </c>
      <c r="B3319">
        <v>5</v>
      </c>
      <c r="C3319" t="s">
        <v>31</v>
      </c>
      <c r="D3319" t="s">
        <v>32</v>
      </c>
      <c r="E3319">
        <v>900000</v>
      </c>
      <c r="F3319">
        <v>2200000</v>
      </c>
      <c r="G3319">
        <v>2</v>
      </c>
      <c r="H3319">
        <v>415</v>
      </c>
      <c r="I3319">
        <v>600000</v>
      </c>
      <c r="J3319">
        <v>1700000</v>
      </c>
      <c r="K3319">
        <v>2900000</v>
      </c>
      <c r="L3319">
        <v>700000</v>
      </c>
      <c r="M3319" t="s">
        <v>35</v>
      </c>
      <c r="N3319">
        <f t="shared" si="307"/>
        <v>0</v>
      </c>
      <c r="O3319" t="str">
        <f t="shared" si="306"/>
        <v>Low</v>
      </c>
      <c r="P3319" t="str">
        <f t="shared" si="308"/>
        <v>High</v>
      </c>
      <c r="Q3319" t="str">
        <f t="shared" si="309"/>
        <v>Low Loan</v>
      </c>
      <c r="R3319">
        <f t="shared" si="310"/>
        <v>5900000</v>
      </c>
      <c r="S3319" t="str">
        <f t="shared" si="311"/>
        <v>Moderate</v>
      </c>
    </row>
    <row r="3320" spans="1:19" x14ac:dyDescent="0.25">
      <c r="A3320">
        <v>3319</v>
      </c>
      <c r="B3320">
        <v>5</v>
      </c>
      <c r="C3320" t="s">
        <v>30</v>
      </c>
      <c r="D3320" t="s">
        <v>33</v>
      </c>
      <c r="E3320">
        <v>9000000</v>
      </c>
      <c r="F3320">
        <v>20400000</v>
      </c>
      <c r="G3320">
        <v>6</v>
      </c>
      <c r="H3320">
        <v>451</v>
      </c>
      <c r="I3320">
        <v>5200000</v>
      </c>
      <c r="J3320">
        <v>11400000</v>
      </c>
      <c r="K3320">
        <v>28200000</v>
      </c>
      <c r="L3320">
        <v>9000000</v>
      </c>
      <c r="M3320" t="s">
        <v>35</v>
      </c>
      <c r="N3320">
        <f t="shared" si="307"/>
        <v>0</v>
      </c>
      <c r="O3320" t="str">
        <f t="shared" si="306"/>
        <v>Low</v>
      </c>
      <c r="P3320" t="str">
        <f t="shared" si="308"/>
        <v>High</v>
      </c>
      <c r="Q3320" t="str">
        <f t="shared" si="309"/>
        <v>High Loan</v>
      </c>
      <c r="R3320">
        <f t="shared" si="310"/>
        <v>53800000</v>
      </c>
      <c r="S3320" t="str">
        <f t="shared" si="311"/>
        <v>Strong</v>
      </c>
    </row>
    <row r="3321" spans="1:19" x14ac:dyDescent="0.25">
      <c r="A3321">
        <v>3320</v>
      </c>
      <c r="B3321">
        <v>1</v>
      </c>
      <c r="C3321" t="s">
        <v>31</v>
      </c>
      <c r="D3321" t="s">
        <v>32</v>
      </c>
      <c r="E3321">
        <v>4800000</v>
      </c>
      <c r="F3321">
        <v>14300000</v>
      </c>
      <c r="G3321">
        <v>4</v>
      </c>
      <c r="H3321">
        <v>489</v>
      </c>
      <c r="I3321">
        <v>12400000</v>
      </c>
      <c r="J3321">
        <v>7900000</v>
      </c>
      <c r="K3321">
        <v>17700000</v>
      </c>
      <c r="L3321">
        <v>3600000</v>
      </c>
      <c r="M3321" t="s">
        <v>35</v>
      </c>
      <c r="N3321">
        <f t="shared" si="307"/>
        <v>0</v>
      </c>
      <c r="O3321" t="str">
        <f t="shared" si="306"/>
        <v>Low</v>
      </c>
      <c r="P3321" t="str">
        <f t="shared" si="308"/>
        <v>High</v>
      </c>
      <c r="Q3321" t="str">
        <f t="shared" si="309"/>
        <v>Low Loan</v>
      </c>
      <c r="R3321">
        <f t="shared" si="310"/>
        <v>41600000</v>
      </c>
      <c r="S3321" t="str">
        <f t="shared" si="311"/>
        <v>Strong</v>
      </c>
    </row>
    <row r="3322" spans="1:19" x14ac:dyDescent="0.25">
      <c r="A3322">
        <v>3321</v>
      </c>
      <c r="B3322">
        <v>1</v>
      </c>
      <c r="C3322" t="s">
        <v>30</v>
      </c>
      <c r="D3322" t="s">
        <v>32</v>
      </c>
      <c r="E3322">
        <v>1600000</v>
      </c>
      <c r="F3322">
        <v>4600000</v>
      </c>
      <c r="G3322">
        <v>12</v>
      </c>
      <c r="H3322">
        <v>415</v>
      </c>
      <c r="I3322">
        <v>800000</v>
      </c>
      <c r="J3322">
        <v>600000</v>
      </c>
      <c r="K3322">
        <v>3900000</v>
      </c>
      <c r="L3322">
        <v>1500000</v>
      </c>
      <c r="M3322" t="s">
        <v>35</v>
      </c>
      <c r="N3322">
        <f t="shared" si="307"/>
        <v>0</v>
      </c>
      <c r="O3322" t="str">
        <f t="shared" si="306"/>
        <v>Low</v>
      </c>
      <c r="P3322" t="str">
        <f t="shared" si="308"/>
        <v>High</v>
      </c>
      <c r="Q3322" t="str">
        <f t="shared" si="309"/>
        <v>Low Loan</v>
      </c>
      <c r="R3322">
        <f t="shared" si="310"/>
        <v>6800000</v>
      </c>
      <c r="S3322" t="str">
        <f t="shared" si="311"/>
        <v>Moderate</v>
      </c>
    </row>
    <row r="3323" spans="1:19" x14ac:dyDescent="0.25">
      <c r="A3323">
        <v>3322</v>
      </c>
      <c r="B3323">
        <v>3</v>
      </c>
      <c r="C3323" t="s">
        <v>31</v>
      </c>
      <c r="D3323" t="s">
        <v>32</v>
      </c>
      <c r="E3323">
        <v>2600000</v>
      </c>
      <c r="F3323">
        <v>8100000</v>
      </c>
      <c r="G3323">
        <v>12</v>
      </c>
      <c r="H3323">
        <v>425</v>
      </c>
      <c r="I3323">
        <v>7300000</v>
      </c>
      <c r="J3323">
        <v>1900000</v>
      </c>
      <c r="K3323">
        <v>6800000</v>
      </c>
      <c r="L3323">
        <v>2200000</v>
      </c>
      <c r="M3323" t="s">
        <v>35</v>
      </c>
      <c r="N3323">
        <f t="shared" si="307"/>
        <v>0</v>
      </c>
      <c r="O3323" t="str">
        <f t="shared" si="306"/>
        <v>Low</v>
      </c>
      <c r="P3323" t="str">
        <f t="shared" si="308"/>
        <v>High</v>
      </c>
      <c r="Q3323" t="str">
        <f t="shared" si="309"/>
        <v>Low Loan</v>
      </c>
      <c r="R3323">
        <f t="shared" si="310"/>
        <v>18200000</v>
      </c>
      <c r="S3323" t="str">
        <f t="shared" si="311"/>
        <v>Strong</v>
      </c>
    </row>
    <row r="3324" spans="1:19" x14ac:dyDescent="0.25">
      <c r="A3324">
        <v>3323</v>
      </c>
      <c r="B3324">
        <v>4</v>
      </c>
      <c r="C3324" t="s">
        <v>30</v>
      </c>
      <c r="D3324" t="s">
        <v>33</v>
      </c>
      <c r="E3324">
        <v>1800000</v>
      </c>
      <c r="F3324">
        <v>4600000</v>
      </c>
      <c r="G3324">
        <v>14</v>
      </c>
      <c r="H3324">
        <v>453</v>
      </c>
      <c r="I3324">
        <v>1700000</v>
      </c>
      <c r="J3324">
        <v>2400000</v>
      </c>
      <c r="K3324">
        <v>4700000</v>
      </c>
      <c r="L3324">
        <v>1600000</v>
      </c>
      <c r="M3324" t="s">
        <v>35</v>
      </c>
      <c r="N3324">
        <f t="shared" si="307"/>
        <v>0</v>
      </c>
      <c r="O3324" t="str">
        <f t="shared" si="306"/>
        <v>Low</v>
      </c>
      <c r="P3324" t="str">
        <f t="shared" si="308"/>
        <v>High</v>
      </c>
      <c r="Q3324" t="str">
        <f t="shared" si="309"/>
        <v>Low Loan</v>
      </c>
      <c r="R3324">
        <f t="shared" si="310"/>
        <v>10400000</v>
      </c>
      <c r="S3324" t="str">
        <f t="shared" si="311"/>
        <v>Strong</v>
      </c>
    </row>
    <row r="3325" spans="1:19" x14ac:dyDescent="0.25">
      <c r="A3325">
        <v>3324</v>
      </c>
      <c r="B3325">
        <v>5</v>
      </c>
      <c r="C3325" t="s">
        <v>30</v>
      </c>
      <c r="D3325" t="s">
        <v>33</v>
      </c>
      <c r="E3325">
        <v>4400000</v>
      </c>
      <c r="F3325">
        <v>11800000</v>
      </c>
      <c r="G3325">
        <v>20</v>
      </c>
      <c r="H3325">
        <v>634</v>
      </c>
      <c r="I3325">
        <v>5900000</v>
      </c>
      <c r="J3325">
        <v>7300000</v>
      </c>
      <c r="K3325">
        <v>15200000</v>
      </c>
      <c r="L3325">
        <v>4300000</v>
      </c>
      <c r="M3325" t="s">
        <v>34</v>
      </c>
      <c r="N3325">
        <f t="shared" si="307"/>
        <v>1</v>
      </c>
      <c r="O3325" t="str">
        <f t="shared" si="306"/>
        <v>Low</v>
      </c>
      <c r="P3325" t="str">
        <f t="shared" si="308"/>
        <v>High</v>
      </c>
      <c r="Q3325" t="str">
        <f t="shared" si="309"/>
        <v>Low Loan</v>
      </c>
      <c r="R3325">
        <f t="shared" si="310"/>
        <v>32700000</v>
      </c>
      <c r="S3325" t="str">
        <f t="shared" si="311"/>
        <v>Strong</v>
      </c>
    </row>
    <row r="3326" spans="1:19" x14ac:dyDescent="0.25">
      <c r="A3326">
        <v>3325</v>
      </c>
      <c r="B3326">
        <v>2</v>
      </c>
      <c r="C3326" t="s">
        <v>31</v>
      </c>
      <c r="D3326" t="s">
        <v>32</v>
      </c>
      <c r="E3326">
        <v>200000</v>
      </c>
      <c r="F3326">
        <v>300000</v>
      </c>
      <c r="G3326">
        <v>20</v>
      </c>
      <c r="H3326">
        <v>519</v>
      </c>
      <c r="I3326">
        <v>0</v>
      </c>
      <c r="J3326">
        <v>0</v>
      </c>
      <c r="K3326">
        <v>400000</v>
      </c>
      <c r="L3326">
        <v>300000</v>
      </c>
      <c r="M3326" t="s">
        <v>35</v>
      </c>
      <c r="N3326">
        <f t="shared" si="307"/>
        <v>0</v>
      </c>
      <c r="O3326" t="str">
        <f t="shared" si="306"/>
        <v>Low</v>
      </c>
      <c r="P3326" t="str">
        <f t="shared" si="308"/>
        <v>Low</v>
      </c>
      <c r="Q3326" t="str">
        <f t="shared" si="309"/>
        <v>Low Loan</v>
      </c>
      <c r="R3326">
        <f t="shared" si="310"/>
        <v>700000</v>
      </c>
      <c r="S3326" t="str">
        <f t="shared" si="311"/>
        <v>Weak</v>
      </c>
    </row>
    <row r="3327" spans="1:19" x14ac:dyDescent="0.25">
      <c r="A3327">
        <v>3326</v>
      </c>
      <c r="B3327">
        <v>4</v>
      </c>
      <c r="C3327" t="s">
        <v>31</v>
      </c>
      <c r="D3327" t="s">
        <v>33</v>
      </c>
      <c r="E3327">
        <v>800000</v>
      </c>
      <c r="F3327">
        <v>2100000</v>
      </c>
      <c r="G3327">
        <v>6</v>
      </c>
      <c r="H3327">
        <v>353</v>
      </c>
      <c r="I3327">
        <v>700000</v>
      </c>
      <c r="J3327">
        <v>300000</v>
      </c>
      <c r="K3327">
        <v>2900000</v>
      </c>
      <c r="L3327">
        <v>1200000</v>
      </c>
      <c r="M3327" t="s">
        <v>35</v>
      </c>
      <c r="N3327">
        <f t="shared" si="307"/>
        <v>0</v>
      </c>
      <c r="O3327" t="str">
        <f t="shared" si="306"/>
        <v>Low</v>
      </c>
      <c r="P3327" t="str">
        <f t="shared" si="308"/>
        <v>High</v>
      </c>
      <c r="Q3327" t="str">
        <f t="shared" si="309"/>
        <v>Low Loan</v>
      </c>
      <c r="R3327">
        <f t="shared" si="310"/>
        <v>5100000</v>
      </c>
      <c r="S3327" t="str">
        <f t="shared" si="311"/>
        <v>Moderate</v>
      </c>
    </row>
    <row r="3328" spans="1:19" x14ac:dyDescent="0.25">
      <c r="A3328">
        <v>3327</v>
      </c>
      <c r="B3328">
        <v>3</v>
      </c>
      <c r="C3328" t="s">
        <v>30</v>
      </c>
      <c r="D3328" t="s">
        <v>32</v>
      </c>
      <c r="E3328">
        <v>1500000</v>
      </c>
      <c r="F3328">
        <v>3200000</v>
      </c>
      <c r="G3328">
        <v>4</v>
      </c>
      <c r="H3328">
        <v>767</v>
      </c>
      <c r="I3328">
        <v>2000000</v>
      </c>
      <c r="J3328">
        <v>400000</v>
      </c>
      <c r="K3328">
        <v>3700000</v>
      </c>
      <c r="L3328">
        <v>1400000</v>
      </c>
      <c r="M3328" t="s">
        <v>34</v>
      </c>
      <c r="N3328">
        <f t="shared" si="307"/>
        <v>1</v>
      </c>
      <c r="O3328" t="str">
        <f t="shared" si="306"/>
        <v>Excellent</v>
      </c>
      <c r="P3328" t="str">
        <f t="shared" si="308"/>
        <v>High</v>
      </c>
      <c r="Q3328" t="str">
        <f t="shared" si="309"/>
        <v>Low Loan</v>
      </c>
      <c r="R3328">
        <f t="shared" si="310"/>
        <v>7500000</v>
      </c>
      <c r="S3328" t="str">
        <f t="shared" si="311"/>
        <v>Moderate</v>
      </c>
    </row>
    <row r="3329" spans="1:19" x14ac:dyDescent="0.25">
      <c r="A3329">
        <v>3328</v>
      </c>
      <c r="B3329">
        <v>0</v>
      </c>
      <c r="C3329" t="s">
        <v>31</v>
      </c>
      <c r="D3329" t="s">
        <v>33</v>
      </c>
      <c r="E3329">
        <v>7700000</v>
      </c>
      <c r="F3329">
        <v>16900000</v>
      </c>
      <c r="G3329">
        <v>14</v>
      </c>
      <c r="H3329">
        <v>473</v>
      </c>
      <c r="I3329">
        <v>22100000</v>
      </c>
      <c r="J3329">
        <v>4000000</v>
      </c>
      <c r="K3329">
        <v>29000000</v>
      </c>
      <c r="L3329">
        <v>6400000</v>
      </c>
      <c r="M3329" t="s">
        <v>35</v>
      </c>
      <c r="N3329">
        <f t="shared" si="307"/>
        <v>0</v>
      </c>
      <c r="O3329" t="str">
        <f t="shared" si="306"/>
        <v>Low</v>
      </c>
      <c r="P3329" t="str">
        <f t="shared" si="308"/>
        <v>High</v>
      </c>
      <c r="Q3329" t="str">
        <f t="shared" si="309"/>
        <v>Low Loan</v>
      </c>
      <c r="R3329">
        <f t="shared" si="310"/>
        <v>61500000</v>
      </c>
      <c r="S3329" t="str">
        <f t="shared" si="311"/>
        <v>Strong</v>
      </c>
    </row>
    <row r="3330" spans="1:19" x14ac:dyDescent="0.25">
      <c r="A3330">
        <v>3329</v>
      </c>
      <c r="B3330">
        <v>5</v>
      </c>
      <c r="C3330" t="s">
        <v>30</v>
      </c>
      <c r="D3330" t="s">
        <v>33</v>
      </c>
      <c r="E3330">
        <v>7200000</v>
      </c>
      <c r="F3330">
        <v>21300000</v>
      </c>
      <c r="G3330">
        <v>2</v>
      </c>
      <c r="H3330">
        <v>801</v>
      </c>
      <c r="I3330">
        <v>9900000</v>
      </c>
      <c r="J3330">
        <v>1700000</v>
      </c>
      <c r="K3330">
        <v>20400000</v>
      </c>
      <c r="L3330">
        <v>7200000</v>
      </c>
      <c r="M3330" t="s">
        <v>34</v>
      </c>
      <c r="N3330">
        <f t="shared" si="307"/>
        <v>1</v>
      </c>
      <c r="O3330" t="str">
        <f t="shared" ref="O3330:O3393" si="312">IF(H3330&lt;650,"Low",
 IF(H3330&lt;700,"Medium",
 IF(H3330&lt;750,"Good","Excellent")))</f>
        <v>Excellent</v>
      </c>
      <c r="P3330" t="str">
        <f t="shared" si="308"/>
        <v>High</v>
      </c>
      <c r="Q3330" t="str">
        <f t="shared" si="309"/>
        <v>High Loan</v>
      </c>
      <c r="R3330">
        <f t="shared" si="310"/>
        <v>39200000</v>
      </c>
      <c r="S3330" t="str">
        <f t="shared" si="311"/>
        <v>Strong</v>
      </c>
    </row>
    <row r="3331" spans="1:19" x14ac:dyDescent="0.25">
      <c r="A3331">
        <v>3330</v>
      </c>
      <c r="B3331">
        <v>4</v>
      </c>
      <c r="C3331" t="s">
        <v>30</v>
      </c>
      <c r="D3331" t="s">
        <v>32</v>
      </c>
      <c r="E3331">
        <v>1000000</v>
      </c>
      <c r="F3331">
        <v>2300000</v>
      </c>
      <c r="G3331">
        <v>16</v>
      </c>
      <c r="H3331">
        <v>543</v>
      </c>
      <c r="I3331">
        <v>200000</v>
      </c>
      <c r="J3331">
        <v>100000</v>
      </c>
      <c r="K3331">
        <v>2000000</v>
      </c>
      <c r="L3331">
        <v>1000000</v>
      </c>
      <c r="M3331" t="s">
        <v>35</v>
      </c>
      <c r="N3331">
        <f t="shared" ref="N3331:N3394" si="313">IF(TRIM(CLEAN(M3331))="Approved",1,0)</f>
        <v>0</v>
      </c>
      <c r="O3331" t="str">
        <f t="shared" si="312"/>
        <v>Low</v>
      </c>
      <c r="P3331" t="str">
        <f t="shared" ref="P3331:P3394" si="314">IF(E3331&lt;300000,"Low",
 IF(E3331&lt;700000,"Middle","High"))</f>
        <v>High</v>
      </c>
      <c r="Q3331" t="str">
        <f t="shared" ref="Q3331:Q3394" si="315">IF(F3331&lt;20000000,"Low Loan","High Loan")</f>
        <v>Low Loan</v>
      </c>
      <c r="R3331">
        <f t="shared" ref="R3331:R3394" si="316">I3331+J3331+K3331+L3331</f>
        <v>3300000</v>
      </c>
      <c r="S3331" t="str">
        <f t="shared" ref="S3331:S3394" si="317">IF(R3331&lt;5000000,"Weak",
 IF(R3331&lt;10000000,"Moderate","Strong"))</f>
        <v>Weak</v>
      </c>
    </row>
    <row r="3332" spans="1:19" x14ac:dyDescent="0.25">
      <c r="A3332">
        <v>3331</v>
      </c>
      <c r="B3332">
        <v>1</v>
      </c>
      <c r="C3332" t="s">
        <v>30</v>
      </c>
      <c r="D3332" t="s">
        <v>32</v>
      </c>
      <c r="E3332">
        <v>6300000</v>
      </c>
      <c r="F3332">
        <v>17200000</v>
      </c>
      <c r="G3332">
        <v>12</v>
      </c>
      <c r="H3332">
        <v>714</v>
      </c>
      <c r="I3332">
        <v>10100000</v>
      </c>
      <c r="J3332">
        <v>4200000</v>
      </c>
      <c r="K3332">
        <v>24700000</v>
      </c>
      <c r="L3332">
        <v>8500000</v>
      </c>
      <c r="M3332" t="s">
        <v>34</v>
      </c>
      <c r="N3332">
        <f t="shared" si="313"/>
        <v>1</v>
      </c>
      <c r="O3332" t="str">
        <f t="shared" si="312"/>
        <v>Good</v>
      </c>
      <c r="P3332" t="str">
        <f t="shared" si="314"/>
        <v>High</v>
      </c>
      <c r="Q3332" t="str">
        <f t="shared" si="315"/>
        <v>Low Loan</v>
      </c>
      <c r="R3332">
        <f t="shared" si="316"/>
        <v>47500000</v>
      </c>
      <c r="S3332" t="str">
        <f t="shared" si="317"/>
        <v>Strong</v>
      </c>
    </row>
    <row r="3333" spans="1:19" x14ac:dyDescent="0.25">
      <c r="A3333">
        <v>3332</v>
      </c>
      <c r="B3333">
        <v>3</v>
      </c>
      <c r="C3333" t="s">
        <v>30</v>
      </c>
      <c r="D3333" t="s">
        <v>32</v>
      </c>
      <c r="E3333">
        <v>1900000</v>
      </c>
      <c r="F3333">
        <v>4100000</v>
      </c>
      <c r="G3333">
        <v>12</v>
      </c>
      <c r="H3333">
        <v>830</v>
      </c>
      <c r="I3333">
        <v>4600000</v>
      </c>
      <c r="J3333">
        <v>1100000</v>
      </c>
      <c r="K3333">
        <v>5300000</v>
      </c>
      <c r="L3333">
        <v>2100000</v>
      </c>
      <c r="M3333" t="s">
        <v>34</v>
      </c>
      <c r="N3333">
        <f t="shared" si="313"/>
        <v>1</v>
      </c>
      <c r="O3333" t="str">
        <f t="shared" si="312"/>
        <v>Excellent</v>
      </c>
      <c r="P3333" t="str">
        <f t="shared" si="314"/>
        <v>High</v>
      </c>
      <c r="Q3333" t="str">
        <f t="shared" si="315"/>
        <v>Low Loan</v>
      </c>
      <c r="R3333">
        <f t="shared" si="316"/>
        <v>13100000</v>
      </c>
      <c r="S3333" t="str">
        <f t="shared" si="317"/>
        <v>Strong</v>
      </c>
    </row>
    <row r="3334" spans="1:19" x14ac:dyDescent="0.25">
      <c r="A3334">
        <v>3333</v>
      </c>
      <c r="B3334">
        <v>5</v>
      </c>
      <c r="C3334" t="s">
        <v>30</v>
      </c>
      <c r="D3334" t="s">
        <v>32</v>
      </c>
      <c r="E3334">
        <v>4400000</v>
      </c>
      <c r="F3334">
        <v>15300000</v>
      </c>
      <c r="G3334">
        <v>4</v>
      </c>
      <c r="H3334">
        <v>401</v>
      </c>
      <c r="I3334">
        <v>200000</v>
      </c>
      <c r="J3334">
        <v>5400000</v>
      </c>
      <c r="K3334">
        <v>17500000</v>
      </c>
      <c r="L3334">
        <v>2400000</v>
      </c>
      <c r="M3334" t="s">
        <v>34</v>
      </c>
      <c r="N3334">
        <f t="shared" si="313"/>
        <v>1</v>
      </c>
      <c r="O3334" t="str">
        <f t="shared" si="312"/>
        <v>Low</v>
      </c>
      <c r="P3334" t="str">
        <f t="shared" si="314"/>
        <v>High</v>
      </c>
      <c r="Q3334" t="str">
        <f t="shared" si="315"/>
        <v>Low Loan</v>
      </c>
      <c r="R3334">
        <f t="shared" si="316"/>
        <v>25500000</v>
      </c>
      <c r="S3334" t="str">
        <f t="shared" si="317"/>
        <v>Strong</v>
      </c>
    </row>
    <row r="3335" spans="1:19" x14ac:dyDescent="0.25">
      <c r="A3335">
        <v>3334</v>
      </c>
      <c r="B3335">
        <v>0</v>
      </c>
      <c r="C3335" t="s">
        <v>31</v>
      </c>
      <c r="D3335" t="s">
        <v>32</v>
      </c>
      <c r="E3335">
        <v>9100000</v>
      </c>
      <c r="F3335">
        <v>26400000</v>
      </c>
      <c r="G3335">
        <v>6</v>
      </c>
      <c r="H3335">
        <v>518</v>
      </c>
      <c r="I3335">
        <v>15800000</v>
      </c>
      <c r="J3335">
        <v>1100000</v>
      </c>
      <c r="K3335">
        <v>35300000</v>
      </c>
      <c r="L3335">
        <v>5700000</v>
      </c>
      <c r="M3335" t="s">
        <v>35</v>
      </c>
      <c r="N3335">
        <f t="shared" si="313"/>
        <v>0</v>
      </c>
      <c r="O3335" t="str">
        <f t="shared" si="312"/>
        <v>Low</v>
      </c>
      <c r="P3335" t="str">
        <f t="shared" si="314"/>
        <v>High</v>
      </c>
      <c r="Q3335" t="str">
        <f t="shared" si="315"/>
        <v>High Loan</v>
      </c>
      <c r="R3335">
        <f t="shared" si="316"/>
        <v>57900000</v>
      </c>
      <c r="S3335" t="str">
        <f t="shared" si="317"/>
        <v>Strong</v>
      </c>
    </row>
    <row r="3336" spans="1:19" x14ac:dyDescent="0.25">
      <c r="A3336">
        <v>3335</v>
      </c>
      <c r="B3336">
        <v>2</v>
      </c>
      <c r="C3336" t="s">
        <v>30</v>
      </c>
      <c r="D3336" t="s">
        <v>33</v>
      </c>
      <c r="E3336">
        <v>900000</v>
      </c>
      <c r="F3336">
        <v>2300000</v>
      </c>
      <c r="G3336">
        <v>20</v>
      </c>
      <c r="H3336">
        <v>367</v>
      </c>
      <c r="I3336">
        <v>0</v>
      </c>
      <c r="J3336">
        <v>1200000</v>
      </c>
      <c r="K3336">
        <v>3400000</v>
      </c>
      <c r="L3336">
        <v>1300000</v>
      </c>
      <c r="M3336" t="s">
        <v>35</v>
      </c>
      <c r="N3336">
        <f t="shared" si="313"/>
        <v>0</v>
      </c>
      <c r="O3336" t="str">
        <f t="shared" si="312"/>
        <v>Low</v>
      </c>
      <c r="P3336" t="str">
        <f t="shared" si="314"/>
        <v>High</v>
      </c>
      <c r="Q3336" t="str">
        <f t="shared" si="315"/>
        <v>Low Loan</v>
      </c>
      <c r="R3336">
        <f t="shared" si="316"/>
        <v>5900000</v>
      </c>
      <c r="S3336" t="str">
        <f t="shared" si="317"/>
        <v>Moderate</v>
      </c>
    </row>
    <row r="3337" spans="1:19" x14ac:dyDescent="0.25">
      <c r="A3337">
        <v>3336</v>
      </c>
      <c r="B3337">
        <v>0</v>
      </c>
      <c r="C3337" t="s">
        <v>30</v>
      </c>
      <c r="D3337" t="s">
        <v>33</v>
      </c>
      <c r="E3337">
        <v>4600000</v>
      </c>
      <c r="F3337">
        <v>12000000</v>
      </c>
      <c r="G3337">
        <v>12</v>
      </c>
      <c r="H3337">
        <v>493</v>
      </c>
      <c r="I3337">
        <v>4500000</v>
      </c>
      <c r="J3337">
        <v>700000</v>
      </c>
      <c r="K3337">
        <v>16200000</v>
      </c>
      <c r="L3337">
        <v>3600000</v>
      </c>
      <c r="M3337" t="s">
        <v>35</v>
      </c>
      <c r="N3337">
        <f t="shared" si="313"/>
        <v>0</v>
      </c>
      <c r="O3337" t="str">
        <f t="shared" si="312"/>
        <v>Low</v>
      </c>
      <c r="P3337" t="str">
        <f t="shared" si="314"/>
        <v>High</v>
      </c>
      <c r="Q3337" t="str">
        <f t="shared" si="315"/>
        <v>Low Loan</v>
      </c>
      <c r="R3337">
        <f t="shared" si="316"/>
        <v>25000000</v>
      </c>
      <c r="S3337" t="str">
        <f t="shared" si="317"/>
        <v>Strong</v>
      </c>
    </row>
    <row r="3338" spans="1:19" x14ac:dyDescent="0.25">
      <c r="A3338">
        <v>3337</v>
      </c>
      <c r="B3338">
        <v>2</v>
      </c>
      <c r="C3338" t="s">
        <v>30</v>
      </c>
      <c r="D3338" t="s">
        <v>33</v>
      </c>
      <c r="E3338">
        <v>9400000</v>
      </c>
      <c r="F3338">
        <v>22700000</v>
      </c>
      <c r="G3338">
        <v>14</v>
      </c>
      <c r="H3338">
        <v>505</v>
      </c>
      <c r="I3338">
        <v>4000000</v>
      </c>
      <c r="J3338">
        <v>16900000</v>
      </c>
      <c r="K3338">
        <v>24700000</v>
      </c>
      <c r="L3338">
        <v>11500000</v>
      </c>
      <c r="M3338" t="s">
        <v>35</v>
      </c>
      <c r="N3338">
        <f t="shared" si="313"/>
        <v>0</v>
      </c>
      <c r="O3338" t="str">
        <f t="shared" si="312"/>
        <v>Low</v>
      </c>
      <c r="P3338" t="str">
        <f t="shared" si="314"/>
        <v>High</v>
      </c>
      <c r="Q3338" t="str">
        <f t="shared" si="315"/>
        <v>High Loan</v>
      </c>
      <c r="R3338">
        <f t="shared" si="316"/>
        <v>57100000</v>
      </c>
      <c r="S3338" t="str">
        <f t="shared" si="317"/>
        <v>Strong</v>
      </c>
    </row>
    <row r="3339" spans="1:19" x14ac:dyDescent="0.25">
      <c r="A3339">
        <v>3338</v>
      </c>
      <c r="B3339">
        <v>5</v>
      </c>
      <c r="C3339" t="s">
        <v>30</v>
      </c>
      <c r="D3339" t="s">
        <v>32</v>
      </c>
      <c r="E3339">
        <v>6900000</v>
      </c>
      <c r="F3339">
        <v>26500000</v>
      </c>
      <c r="G3339">
        <v>16</v>
      </c>
      <c r="H3339">
        <v>322</v>
      </c>
      <c r="I3339">
        <v>20500000</v>
      </c>
      <c r="J3339">
        <v>9800000</v>
      </c>
      <c r="K3339">
        <v>17100000</v>
      </c>
      <c r="L3339">
        <v>9400000</v>
      </c>
      <c r="M3339" t="s">
        <v>35</v>
      </c>
      <c r="N3339">
        <f t="shared" si="313"/>
        <v>0</v>
      </c>
      <c r="O3339" t="str">
        <f t="shared" si="312"/>
        <v>Low</v>
      </c>
      <c r="P3339" t="str">
        <f t="shared" si="314"/>
        <v>High</v>
      </c>
      <c r="Q3339" t="str">
        <f t="shared" si="315"/>
        <v>High Loan</v>
      </c>
      <c r="R3339">
        <f t="shared" si="316"/>
        <v>56800000</v>
      </c>
      <c r="S3339" t="str">
        <f t="shared" si="317"/>
        <v>Strong</v>
      </c>
    </row>
    <row r="3340" spans="1:19" x14ac:dyDescent="0.25">
      <c r="A3340">
        <v>3339</v>
      </c>
      <c r="B3340">
        <v>2</v>
      </c>
      <c r="C3340" t="s">
        <v>30</v>
      </c>
      <c r="D3340" t="s">
        <v>32</v>
      </c>
      <c r="E3340">
        <v>300000</v>
      </c>
      <c r="F3340">
        <v>900000</v>
      </c>
      <c r="G3340">
        <v>8</v>
      </c>
      <c r="H3340">
        <v>735</v>
      </c>
      <c r="I3340">
        <v>800000</v>
      </c>
      <c r="J3340">
        <v>400000</v>
      </c>
      <c r="K3340">
        <v>500000</v>
      </c>
      <c r="L3340">
        <v>100000</v>
      </c>
      <c r="M3340" t="s">
        <v>34</v>
      </c>
      <c r="N3340">
        <f t="shared" si="313"/>
        <v>1</v>
      </c>
      <c r="O3340" t="str">
        <f t="shared" si="312"/>
        <v>Good</v>
      </c>
      <c r="P3340" t="str">
        <f t="shared" si="314"/>
        <v>Middle</v>
      </c>
      <c r="Q3340" t="str">
        <f t="shared" si="315"/>
        <v>Low Loan</v>
      </c>
      <c r="R3340">
        <f t="shared" si="316"/>
        <v>1800000</v>
      </c>
      <c r="S3340" t="str">
        <f t="shared" si="317"/>
        <v>Weak</v>
      </c>
    </row>
    <row r="3341" spans="1:19" x14ac:dyDescent="0.25">
      <c r="A3341">
        <v>3340</v>
      </c>
      <c r="B3341">
        <v>5</v>
      </c>
      <c r="C3341" t="s">
        <v>30</v>
      </c>
      <c r="D3341" t="s">
        <v>33</v>
      </c>
      <c r="E3341">
        <v>1900000</v>
      </c>
      <c r="F3341">
        <v>6700000</v>
      </c>
      <c r="G3341">
        <v>2</v>
      </c>
      <c r="H3341">
        <v>622</v>
      </c>
      <c r="I3341">
        <v>4200000</v>
      </c>
      <c r="J3341">
        <v>200000</v>
      </c>
      <c r="K3341">
        <v>3900000</v>
      </c>
      <c r="L3341">
        <v>1700000</v>
      </c>
      <c r="M3341" t="s">
        <v>34</v>
      </c>
      <c r="N3341">
        <f t="shared" si="313"/>
        <v>1</v>
      </c>
      <c r="O3341" t="str">
        <f t="shared" si="312"/>
        <v>Low</v>
      </c>
      <c r="P3341" t="str">
        <f t="shared" si="314"/>
        <v>High</v>
      </c>
      <c r="Q3341" t="str">
        <f t="shared" si="315"/>
        <v>Low Loan</v>
      </c>
      <c r="R3341">
        <f t="shared" si="316"/>
        <v>10000000</v>
      </c>
      <c r="S3341" t="str">
        <f t="shared" si="317"/>
        <v>Strong</v>
      </c>
    </row>
    <row r="3342" spans="1:19" x14ac:dyDescent="0.25">
      <c r="A3342">
        <v>3341</v>
      </c>
      <c r="B3342">
        <v>4</v>
      </c>
      <c r="C3342" t="s">
        <v>30</v>
      </c>
      <c r="D3342" t="s">
        <v>33</v>
      </c>
      <c r="E3342">
        <v>4400000</v>
      </c>
      <c r="F3342">
        <v>16400000</v>
      </c>
      <c r="G3342">
        <v>6</v>
      </c>
      <c r="H3342">
        <v>513</v>
      </c>
      <c r="I3342">
        <v>5400000</v>
      </c>
      <c r="J3342">
        <v>7500000</v>
      </c>
      <c r="K3342">
        <v>13100000</v>
      </c>
      <c r="L3342">
        <v>5700000</v>
      </c>
      <c r="M3342" t="s">
        <v>35</v>
      </c>
      <c r="N3342">
        <f t="shared" si="313"/>
        <v>0</v>
      </c>
      <c r="O3342" t="str">
        <f t="shared" si="312"/>
        <v>Low</v>
      </c>
      <c r="P3342" t="str">
        <f t="shared" si="314"/>
        <v>High</v>
      </c>
      <c r="Q3342" t="str">
        <f t="shared" si="315"/>
        <v>Low Loan</v>
      </c>
      <c r="R3342">
        <f t="shared" si="316"/>
        <v>31700000</v>
      </c>
      <c r="S3342" t="str">
        <f t="shared" si="317"/>
        <v>Strong</v>
      </c>
    </row>
    <row r="3343" spans="1:19" x14ac:dyDescent="0.25">
      <c r="A3343">
        <v>3342</v>
      </c>
      <c r="B3343">
        <v>4</v>
      </c>
      <c r="C3343" t="s">
        <v>31</v>
      </c>
      <c r="D3343" t="s">
        <v>33</v>
      </c>
      <c r="E3343">
        <v>1200000</v>
      </c>
      <c r="F3343">
        <v>4100000</v>
      </c>
      <c r="G3343">
        <v>16</v>
      </c>
      <c r="H3343">
        <v>585</v>
      </c>
      <c r="I3343">
        <v>900000</v>
      </c>
      <c r="J3343">
        <v>900000</v>
      </c>
      <c r="K3343">
        <v>2300000</v>
      </c>
      <c r="L3343">
        <v>900000</v>
      </c>
      <c r="M3343" t="s">
        <v>34</v>
      </c>
      <c r="N3343">
        <f t="shared" si="313"/>
        <v>1</v>
      </c>
      <c r="O3343" t="str">
        <f t="shared" si="312"/>
        <v>Low</v>
      </c>
      <c r="P3343" t="str">
        <f t="shared" si="314"/>
        <v>High</v>
      </c>
      <c r="Q3343" t="str">
        <f t="shared" si="315"/>
        <v>Low Loan</v>
      </c>
      <c r="R3343">
        <f t="shared" si="316"/>
        <v>5000000</v>
      </c>
      <c r="S3343" t="str">
        <f t="shared" si="317"/>
        <v>Moderate</v>
      </c>
    </row>
    <row r="3344" spans="1:19" x14ac:dyDescent="0.25">
      <c r="A3344">
        <v>3343</v>
      </c>
      <c r="B3344">
        <v>1</v>
      </c>
      <c r="C3344" t="s">
        <v>30</v>
      </c>
      <c r="D3344" t="s">
        <v>33</v>
      </c>
      <c r="E3344">
        <v>1000000</v>
      </c>
      <c r="F3344">
        <v>3000000</v>
      </c>
      <c r="G3344">
        <v>10</v>
      </c>
      <c r="H3344">
        <v>813</v>
      </c>
      <c r="I3344">
        <v>2900000</v>
      </c>
      <c r="J3344">
        <v>500000</v>
      </c>
      <c r="K3344">
        <v>3300000</v>
      </c>
      <c r="L3344">
        <v>800000</v>
      </c>
      <c r="M3344" t="s">
        <v>34</v>
      </c>
      <c r="N3344">
        <f t="shared" si="313"/>
        <v>1</v>
      </c>
      <c r="O3344" t="str">
        <f t="shared" si="312"/>
        <v>Excellent</v>
      </c>
      <c r="P3344" t="str">
        <f t="shared" si="314"/>
        <v>High</v>
      </c>
      <c r="Q3344" t="str">
        <f t="shared" si="315"/>
        <v>Low Loan</v>
      </c>
      <c r="R3344">
        <f t="shared" si="316"/>
        <v>7500000</v>
      </c>
      <c r="S3344" t="str">
        <f t="shared" si="317"/>
        <v>Moderate</v>
      </c>
    </row>
    <row r="3345" spans="1:19" x14ac:dyDescent="0.25">
      <c r="A3345">
        <v>3344</v>
      </c>
      <c r="B3345">
        <v>0</v>
      </c>
      <c r="C3345" t="s">
        <v>30</v>
      </c>
      <c r="D3345" t="s">
        <v>32</v>
      </c>
      <c r="E3345">
        <v>3100000</v>
      </c>
      <c r="F3345">
        <v>10400000</v>
      </c>
      <c r="G3345">
        <v>18</v>
      </c>
      <c r="H3345">
        <v>622</v>
      </c>
      <c r="I3345">
        <v>1300000</v>
      </c>
      <c r="J3345">
        <v>5000000</v>
      </c>
      <c r="K3345">
        <v>7200000</v>
      </c>
      <c r="L3345">
        <v>1600000</v>
      </c>
      <c r="M3345" t="s">
        <v>34</v>
      </c>
      <c r="N3345">
        <f t="shared" si="313"/>
        <v>1</v>
      </c>
      <c r="O3345" t="str">
        <f t="shared" si="312"/>
        <v>Low</v>
      </c>
      <c r="P3345" t="str">
        <f t="shared" si="314"/>
        <v>High</v>
      </c>
      <c r="Q3345" t="str">
        <f t="shared" si="315"/>
        <v>Low Loan</v>
      </c>
      <c r="R3345">
        <f t="shared" si="316"/>
        <v>15100000</v>
      </c>
      <c r="S3345" t="str">
        <f t="shared" si="317"/>
        <v>Strong</v>
      </c>
    </row>
    <row r="3346" spans="1:19" x14ac:dyDescent="0.25">
      <c r="A3346">
        <v>3345</v>
      </c>
      <c r="B3346">
        <v>1</v>
      </c>
      <c r="C3346" t="s">
        <v>30</v>
      </c>
      <c r="D3346" t="s">
        <v>33</v>
      </c>
      <c r="E3346">
        <v>2100000</v>
      </c>
      <c r="F3346">
        <v>6300000</v>
      </c>
      <c r="G3346">
        <v>16</v>
      </c>
      <c r="H3346">
        <v>899</v>
      </c>
      <c r="I3346">
        <v>2400000</v>
      </c>
      <c r="J3346">
        <v>2200000</v>
      </c>
      <c r="K3346">
        <v>4400000</v>
      </c>
      <c r="L3346">
        <v>2200000</v>
      </c>
      <c r="M3346" t="s">
        <v>34</v>
      </c>
      <c r="N3346">
        <f t="shared" si="313"/>
        <v>1</v>
      </c>
      <c r="O3346" t="str">
        <f t="shared" si="312"/>
        <v>Excellent</v>
      </c>
      <c r="P3346" t="str">
        <f t="shared" si="314"/>
        <v>High</v>
      </c>
      <c r="Q3346" t="str">
        <f t="shared" si="315"/>
        <v>Low Loan</v>
      </c>
      <c r="R3346">
        <f t="shared" si="316"/>
        <v>11200000</v>
      </c>
      <c r="S3346" t="str">
        <f t="shared" si="317"/>
        <v>Strong</v>
      </c>
    </row>
    <row r="3347" spans="1:19" x14ac:dyDescent="0.25">
      <c r="A3347">
        <v>3346</v>
      </c>
      <c r="B3347">
        <v>0</v>
      </c>
      <c r="C3347" t="s">
        <v>31</v>
      </c>
      <c r="D3347" t="s">
        <v>32</v>
      </c>
      <c r="E3347">
        <v>2100000</v>
      </c>
      <c r="F3347">
        <v>4700000</v>
      </c>
      <c r="G3347">
        <v>2</v>
      </c>
      <c r="H3347">
        <v>459</v>
      </c>
      <c r="I3347">
        <v>4000000</v>
      </c>
      <c r="J3347">
        <v>1300000</v>
      </c>
      <c r="K3347">
        <v>8100000</v>
      </c>
      <c r="L3347">
        <v>1200000</v>
      </c>
      <c r="M3347" t="s">
        <v>35</v>
      </c>
      <c r="N3347">
        <f t="shared" si="313"/>
        <v>0</v>
      </c>
      <c r="O3347" t="str">
        <f t="shared" si="312"/>
        <v>Low</v>
      </c>
      <c r="P3347" t="str">
        <f t="shared" si="314"/>
        <v>High</v>
      </c>
      <c r="Q3347" t="str">
        <f t="shared" si="315"/>
        <v>Low Loan</v>
      </c>
      <c r="R3347">
        <f t="shared" si="316"/>
        <v>14600000</v>
      </c>
      <c r="S3347" t="str">
        <f t="shared" si="317"/>
        <v>Strong</v>
      </c>
    </row>
    <row r="3348" spans="1:19" x14ac:dyDescent="0.25">
      <c r="A3348">
        <v>3347</v>
      </c>
      <c r="B3348">
        <v>4</v>
      </c>
      <c r="C3348" t="s">
        <v>30</v>
      </c>
      <c r="D3348" t="s">
        <v>32</v>
      </c>
      <c r="E3348">
        <v>9400000</v>
      </c>
      <c r="F3348">
        <v>33300000</v>
      </c>
      <c r="G3348">
        <v>18</v>
      </c>
      <c r="H3348">
        <v>369</v>
      </c>
      <c r="I3348">
        <v>20600000</v>
      </c>
      <c r="J3348">
        <v>5600000</v>
      </c>
      <c r="K3348">
        <v>32200000</v>
      </c>
      <c r="L3348">
        <v>7200000</v>
      </c>
      <c r="M3348" t="s">
        <v>35</v>
      </c>
      <c r="N3348">
        <f t="shared" si="313"/>
        <v>0</v>
      </c>
      <c r="O3348" t="str">
        <f t="shared" si="312"/>
        <v>Low</v>
      </c>
      <c r="P3348" t="str">
        <f t="shared" si="314"/>
        <v>High</v>
      </c>
      <c r="Q3348" t="str">
        <f t="shared" si="315"/>
        <v>High Loan</v>
      </c>
      <c r="R3348">
        <f t="shared" si="316"/>
        <v>65600000</v>
      </c>
      <c r="S3348" t="str">
        <f t="shared" si="317"/>
        <v>Strong</v>
      </c>
    </row>
    <row r="3349" spans="1:19" x14ac:dyDescent="0.25">
      <c r="A3349">
        <v>3348</v>
      </c>
      <c r="B3349">
        <v>2</v>
      </c>
      <c r="C3349" t="s">
        <v>31</v>
      </c>
      <c r="D3349" t="s">
        <v>32</v>
      </c>
      <c r="E3349">
        <v>9700000</v>
      </c>
      <c r="F3349">
        <v>37700000</v>
      </c>
      <c r="G3349">
        <v>6</v>
      </c>
      <c r="H3349">
        <v>601</v>
      </c>
      <c r="I3349">
        <v>300000</v>
      </c>
      <c r="J3349">
        <v>3100000</v>
      </c>
      <c r="K3349">
        <v>23800000</v>
      </c>
      <c r="L3349">
        <v>11800000</v>
      </c>
      <c r="M3349" t="s">
        <v>34</v>
      </c>
      <c r="N3349">
        <f t="shared" si="313"/>
        <v>1</v>
      </c>
      <c r="O3349" t="str">
        <f t="shared" si="312"/>
        <v>Low</v>
      </c>
      <c r="P3349" t="str">
        <f t="shared" si="314"/>
        <v>High</v>
      </c>
      <c r="Q3349" t="str">
        <f t="shared" si="315"/>
        <v>High Loan</v>
      </c>
      <c r="R3349">
        <f t="shared" si="316"/>
        <v>39000000</v>
      </c>
      <c r="S3349" t="str">
        <f t="shared" si="317"/>
        <v>Strong</v>
      </c>
    </row>
    <row r="3350" spans="1:19" x14ac:dyDescent="0.25">
      <c r="A3350">
        <v>3349</v>
      </c>
      <c r="B3350">
        <v>4</v>
      </c>
      <c r="C3350" t="s">
        <v>30</v>
      </c>
      <c r="D3350" t="s">
        <v>32</v>
      </c>
      <c r="E3350">
        <v>1400000</v>
      </c>
      <c r="F3350">
        <v>2700000</v>
      </c>
      <c r="G3350">
        <v>18</v>
      </c>
      <c r="H3350">
        <v>703</v>
      </c>
      <c r="I3350">
        <v>600000</v>
      </c>
      <c r="J3350">
        <v>1300000</v>
      </c>
      <c r="K3350">
        <v>5400000</v>
      </c>
      <c r="L3350">
        <v>900000</v>
      </c>
      <c r="M3350" t="s">
        <v>34</v>
      </c>
      <c r="N3350">
        <f t="shared" si="313"/>
        <v>1</v>
      </c>
      <c r="O3350" t="str">
        <f t="shared" si="312"/>
        <v>Good</v>
      </c>
      <c r="P3350" t="str">
        <f t="shared" si="314"/>
        <v>High</v>
      </c>
      <c r="Q3350" t="str">
        <f t="shared" si="315"/>
        <v>Low Loan</v>
      </c>
      <c r="R3350">
        <f t="shared" si="316"/>
        <v>8200000</v>
      </c>
      <c r="S3350" t="str">
        <f t="shared" si="317"/>
        <v>Moderate</v>
      </c>
    </row>
    <row r="3351" spans="1:19" x14ac:dyDescent="0.25">
      <c r="A3351">
        <v>3350</v>
      </c>
      <c r="B3351">
        <v>2</v>
      </c>
      <c r="C3351" t="s">
        <v>31</v>
      </c>
      <c r="D3351" t="s">
        <v>32</v>
      </c>
      <c r="E3351">
        <v>4700000</v>
      </c>
      <c r="F3351">
        <v>14600000</v>
      </c>
      <c r="G3351">
        <v>20</v>
      </c>
      <c r="H3351">
        <v>597</v>
      </c>
      <c r="I3351">
        <v>8200000</v>
      </c>
      <c r="J3351">
        <v>6000000</v>
      </c>
      <c r="K3351">
        <v>14100000</v>
      </c>
      <c r="L3351">
        <v>6800000</v>
      </c>
      <c r="M3351" t="s">
        <v>34</v>
      </c>
      <c r="N3351">
        <f t="shared" si="313"/>
        <v>1</v>
      </c>
      <c r="O3351" t="str">
        <f t="shared" si="312"/>
        <v>Low</v>
      </c>
      <c r="P3351" t="str">
        <f t="shared" si="314"/>
        <v>High</v>
      </c>
      <c r="Q3351" t="str">
        <f t="shared" si="315"/>
        <v>Low Loan</v>
      </c>
      <c r="R3351">
        <f t="shared" si="316"/>
        <v>35100000</v>
      </c>
      <c r="S3351" t="str">
        <f t="shared" si="317"/>
        <v>Strong</v>
      </c>
    </row>
    <row r="3352" spans="1:19" x14ac:dyDescent="0.25">
      <c r="A3352">
        <v>3351</v>
      </c>
      <c r="B3352">
        <v>3</v>
      </c>
      <c r="C3352" t="s">
        <v>31</v>
      </c>
      <c r="D3352" t="s">
        <v>33</v>
      </c>
      <c r="E3352">
        <v>4100000</v>
      </c>
      <c r="F3352">
        <v>13300000</v>
      </c>
      <c r="G3352">
        <v>10</v>
      </c>
      <c r="H3352">
        <v>670</v>
      </c>
      <c r="I3352">
        <v>1900000</v>
      </c>
      <c r="J3352">
        <v>5500000</v>
      </c>
      <c r="K3352">
        <v>13200000</v>
      </c>
      <c r="L3352">
        <v>6100000</v>
      </c>
      <c r="M3352" t="s">
        <v>34</v>
      </c>
      <c r="N3352">
        <f t="shared" si="313"/>
        <v>1</v>
      </c>
      <c r="O3352" t="str">
        <f t="shared" si="312"/>
        <v>Medium</v>
      </c>
      <c r="P3352" t="str">
        <f t="shared" si="314"/>
        <v>High</v>
      </c>
      <c r="Q3352" t="str">
        <f t="shared" si="315"/>
        <v>Low Loan</v>
      </c>
      <c r="R3352">
        <f t="shared" si="316"/>
        <v>26700000</v>
      </c>
      <c r="S3352" t="str">
        <f t="shared" si="317"/>
        <v>Strong</v>
      </c>
    </row>
    <row r="3353" spans="1:19" x14ac:dyDescent="0.25">
      <c r="A3353">
        <v>3352</v>
      </c>
      <c r="B3353">
        <v>4</v>
      </c>
      <c r="C3353" t="s">
        <v>31</v>
      </c>
      <c r="D3353" t="s">
        <v>33</v>
      </c>
      <c r="E3353">
        <v>1200000</v>
      </c>
      <c r="F3353">
        <v>2800000</v>
      </c>
      <c r="G3353">
        <v>6</v>
      </c>
      <c r="H3353">
        <v>366</v>
      </c>
      <c r="I3353">
        <v>3300000</v>
      </c>
      <c r="J3353">
        <v>300000</v>
      </c>
      <c r="K3353">
        <v>4200000</v>
      </c>
      <c r="L3353">
        <v>1400000</v>
      </c>
      <c r="M3353" t="s">
        <v>35</v>
      </c>
      <c r="N3353">
        <f t="shared" si="313"/>
        <v>0</v>
      </c>
      <c r="O3353" t="str">
        <f t="shared" si="312"/>
        <v>Low</v>
      </c>
      <c r="P3353" t="str">
        <f t="shared" si="314"/>
        <v>High</v>
      </c>
      <c r="Q3353" t="str">
        <f t="shared" si="315"/>
        <v>Low Loan</v>
      </c>
      <c r="R3353">
        <f t="shared" si="316"/>
        <v>9200000</v>
      </c>
      <c r="S3353" t="str">
        <f t="shared" si="317"/>
        <v>Moderate</v>
      </c>
    </row>
    <row r="3354" spans="1:19" x14ac:dyDescent="0.25">
      <c r="A3354">
        <v>3353</v>
      </c>
      <c r="B3354">
        <v>5</v>
      </c>
      <c r="C3354" t="s">
        <v>31</v>
      </c>
      <c r="D3354" t="s">
        <v>32</v>
      </c>
      <c r="E3354">
        <v>7900000</v>
      </c>
      <c r="F3354">
        <v>27800000</v>
      </c>
      <c r="G3354">
        <v>16</v>
      </c>
      <c r="H3354">
        <v>857</v>
      </c>
      <c r="I3354">
        <v>23300000</v>
      </c>
      <c r="J3354">
        <v>12500000</v>
      </c>
      <c r="K3354">
        <v>17200000</v>
      </c>
      <c r="L3354">
        <v>10600000</v>
      </c>
      <c r="M3354" t="s">
        <v>34</v>
      </c>
      <c r="N3354">
        <f t="shared" si="313"/>
        <v>1</v>
      </c>
      <c r="O3354" t="str">
        <f t="shared" si="312"/>
        <v>Excellent</v>
      </c>
      <c r="P3354" t="str">
        <f t="shared" si="314"/>
        <v>High</v>
      </c>
      <c r="Q3354" t="str">
        <f t="shared" si="315"/>
        <v>High Loan</v>
      </c>
      <c r="R3354">
        <f t="shared" si="316"/>
        <v>63600000</v>
      </c>
      <c r="S3354" t="str">
        <f t="shared" si="317"/>
        <v>Strong</v>
      </c>
    </row>
    <row r="3355" spans="1:19" x14ac:dyDescent="0.25">
      <c r="A3355">
        <v>3354</v>
      </c>
      <c r="B3355">
        <v>2</v>
      </c>
      <c r="C3355" t="s">
        <v>31</v>
      </c>
      <c r="D3355" t="s">
        <v>32</v>
      </c>
      <c r="E3355">
        <v>6600000</v>
      </c>
      <c r="F3355">
        <v>15000000</v>
      </c>
      <c r="G3355">
        <v>16</v>
      </c>
      <c r="H3355">
        <v>401</v>
      </c>
      <c r="I3355">
        <v>13600000</v>
      </c>
      <c r="J3355">
        <v>6600000</v>
      </c>
      <c r="K3355">
        <v>23500000</v>
      </c>
      <c r="L3355">
        <v>3300000</v>
      </c>
      <c r="M3355" t="s">
        <v>35</v>
      </c>
      <c r="N3355">
        <f t="shared" si="313"/>
        <v>0</v>
      </c>
      <c r="O3355" t="str">
        <f t="shared" si="312"/>
        <v>Low</v>
      </c>
      <c r="P3355" t="str">
        <f t="shared" si="314"/>
        <v>High</v>
      </c>
      <c r="Q3355" t="str">
        <f t="shared" si="315"/>
        <v>Low Loan</v>
      </c>
      <c r="R3355">
        <f t="shared" si="316"/>
        <v>47000000</v>
      </c>
      <c r="S3355" t="str">
        <f t="shared" si="317"/>
        <v>Strong</v>
      </c>
    </row>
    <row r="3356" spans="1:19" x14ac:dyDescent="0.25">
      <c r="A3356">
        <v>3355</v>
      </c>
      <c r="B3356">
        <v>0</v>
      </c>
      <c r="C3356" t="s">
        <v>31</v>
      </c>
      <c r="D3356" t="s">
        <v>32</v>
      </c>
      <c r="E3356">
        <v>2200000</v>
      </c>
      <c r="F3356">
        <v>8800000</v>
      </c>
      <c r="G3356">
        <v>4</v>
      </c>
      <c r="H3356">
        <v>437</v>
      </c>
      <c r="I3356">
        <v>1600000</v>
      </c>
      <c r="J3356">
        <v>2300000</v>
      </c>
      <c r="K3356">
        <v>8300000</v>
      </c>
      <c r="L3356">
        <v>2000000</v>
      </c>
      <c r="M3356" t="s">
        <v>34</v>
      </c>
      <c r="N3356">
        <f t="shared" si="313"/>
        <v>1</v>
      </c>
      <c r="O3356" t="str">
        <f t="shared" si="312"/>
        <v>Low</v>
      </c>
      <c r="P3356" t="str">
        <f t="shared" si="314"/>
        <v>High</v>
      </c>
      <c r="Q3356" t="str">
        <f t="shared" si="315"/>
        <v>Low Loan</v>
      </c>
      <c r="R3356">
        <f t="shared" si="316"/>
        <v>14200000</v>
      </c>
      <c r="S3356" t="str">
        <f t="shared" si="317"/>
        <v>Strong</v>
      </c>
    </row>
    <row r="3357" spans="1:19" x14ac:dyDescent="0.25">
      <c r="A3357">
        <v>3356</v>
      </c>
      <c r="B3357">
        <v>3</v>
      </c>
      <c r="C3357" t="s">
        <v>31</v>
      </c>
      <c r="D3357" t="s">
        <v>32</v>
      </c>
      <c r="E3357">
        <v>5500000</v>
      </c>
      <c r="F3357">
        <v>17600000</v>
      </c>
      <c r="G3357">
        <v>8</v>
      </c>
      <c r="H3357">
        <v>882</v>
      </c>
      <c r="I3357">
        <v>5800000</v>
      </c>
      <c r="J3357">
        <v>7800000</v>
      </c>
      <c r="K3357">
        <v>20300000</v>
      </c>
      <c r="L3357">
        <v>3100000</v>
      </c>
      <c r="M3357" t="s">
        <v>34</v>
      </c>
      <c r="N3357">
        <f t="shared" si="313"/>
        <v>1</v>
      </c>
      <c r="O3357" t="str">
        <f t="shared" si="312"/>
        <v>Excellent</v>
      </c>
      <c r="P3357" t="str">
        <f t="shared" si="314"/>
        <v>High</v>
      </c>
      <c r="Q3357" t="str">
        <f t="shared" si="315"/>
        <v>Low Loan</v>
      </c>
      <c r="R3357">
        <f t="shared" si="316"/>
        <v>37000000</v>
      </c>
      <c r="S3357" t="str">
        <f t="shared" si="317"/>
        <v>Strong</v>
      </c>
    </row>
    <row r="3358" spans="1:19" x14ac:dyDescent="0.25">
      <c r="A3358">
        <v>3357</v>
      </c>
      <c r="B3358">
        <v>4</v>
      </c>
      <c r="C3358" t="s">
        <v>30</v>
      </c>
      <c r="D3358" t="s">
        <v>32</v>
      </c>
      <c r="E3358">
        <v>5100000</v>
      </c>
      <c r="F3358">
        <v>15500000</v>
      </c>
      <c r="G3358">
        <v>8</v>
      </c>
      <c r="H3358">
        <v>392</v>
      </c>
      <c r="I3358">
        <v>6700000</v>
      </c>
      <c r="J3358">
        <v>8100000</v>
      </c>
      <c r="K3358">
        <v>13600000</v>
      </c>
      <c r="L3358">
        <v>6700000</v>
      </c>
      <c r="M3358" t="s">
        <v>35</v>
      </c>
      <c r="N3358">
        <f t="shared" si="313"/>
        <v>0</v>
      </c>
      <c r="O3358" t="str">
        <f t="shared" si="312"/>
        <v>Low</v>
      </c>
      <c r="P3358" t="str">
        <f t="shared" si="314"/>
        <v>High</v>
      </c>
      <c r="Q3358" t="str">
        <f t="shared" si="315"/>
        <v>Low Loan</v>
      </c>
      <c r="R3358">
        <f t="shared" si="316"/>
        <v>35100000</v>
      </c>
      <c r="S3358" t="str">
        <f t="shared" si="317"/>
        <v>Strong</v>
      </c>
    </row>
    <row r="3359" spans="1:19" x14ac:dyDescent="0.25">
      <c r="A3359">
        <v>3358</v>
      </c>
      <c r="B3359">
        <v>2</v>
      </c>
      <c r="C3359" t="s">
        <v>31</v>
      </c>
      <c r="D3359" t="s">
        <v>33</v>
      </c>
      <c r="E3359">
        <v>3900000</v>
      </c>
      <c r="F3359">
        <v>7700000</v>
      </c>
      <c r="G3359">
        <v>10</v>
      </c>
      <c r="H3359">
        <v>421</v>
      </c>
      <c r="I3359">
        <v>9700000</v>
      </c>
      <c r="J3359">
        <v>7500000</v>
      </c>
      <c r="K3359">
        <v>14100000</v>
      </c>
      <c r="L3359">
        <v>2100000</v>
      </c>
      <c r="M3359" t="s">
        <v>35</v>
      </c>
      <c r="N3359">
        <f t="shared" si="313"/>
        <v>0</v>
      </c>
      <c r="O3359" t="str">
        <f t="shared" si="312"/>
        <v>Low</v>
      </c>
      <c r="P3359" t="str">
        <f t="shared" si="314"/>
        <v>High</v>
      </c>
      <c r="Q3359" t="str">
        <f t="shared" si="315"/>
        <v>Low Loan</v>
      </c>
      <c r="R3359">
        <f t="shared" si="316"/>
        <v>33400000</v>
      </c>
      <c r="S3359" t="str">
        <f t="shared" si="317"/>
        <v>Strong</v>
      </c>
    </row>
    <row r="3360" spans="1:19" x14ac:dyDescent="0.25">
      <c r="A3360">
        <v>3359</v>
      </c>
      <c r="B3360">
        <v>5</v>
      </c>
      <c r="C3360" t="s">
        <v>30</v>
      </c>
      <c r="D3360" t="s">
        <v>32</v>
      </c>
      <c r="E3360">
        <v>200000</v>
      </c>
      <c r="F3360">
        <v>400000</v>
      </c>
      <c r="G3360">
        <v>6</v>
      </c>
      <c r="H3360">
        <v>722</v>
      </c>
      <c r="I3360">
        <v>300000</v>
      </c>
      <c r="J3360">
        <v>300000</v>
      </c>
      <c r="K3360">
        <v>400000</v>
      </c>
      <c r="L3360">
        <v>100000</v>
      </c>
      <c r="M3360" t="s">
        <v>34</v>
      </c>
      <c r="N3360">
        <f t="shared" si="313"/>
        <v>1</v>
      </c>
      <c r="O3360" t="str">
        <f t="shared" si="312"/>
        <v>Good</v>
      </c>
      <c r="P3360" t="str">
        <f t="shared" si="314"/>
        <v>Low</v>
      </c>
      <c r="Q3360" t="str">
        <f t="shared" si="315"/>
        <v>Low Loan</v>
      </c>
      <c r="R3360">
        <f t="shared" si="316"/>
        <v>1100000</v>
      </c>
      <c r="S3360" t="str">
        <f t="shared" si="317"/>
        <v>Weak</v>
      </c>
    </row>
    <row r="3361" spans="1:19" x14ac:dyDescent="0.25">
      <c r="A3361">
        <v>3360</v>
      </c>
      <c r="B3361">
        <v>4</v>
      </c>
      <c r="C3361" t="s">
        <v>30</v>
      </c>
      <c r="D3361" t="s">
        <v>32</v>
      </c>
      <c r="E3361">
        <v>5800000</v>
      </c>
      <c r="F3361">
        <v>14700000</v>
      </c>
      <c r="G3361">
        <v>10</v>
      </c>
      <c r="H3361">
        <v>692</v>
      </c>
      <c r="I3361">
        <v>2300000</v>
      </c>
      <c r="J3361">
        <v>10100000</v>
      </c>
      <c r="K3361">
        <v>17700000</v>
      </c>
      <c r="L3361">
        <v>3900000</v>
      </c>
      <c r="M3361" t="s">
        <v>34</v>
      </c>
      <c r="N3361">
        <f t="shared" si="313"/>
        <v>1</v>
      </c>
      <c r="O3361" t="str">
        <f t="shared" si="312"/>
        <v>Medium</v>
      </c>
      <c r="P3361" t="str">
        <f t="shared" si="314"/>
        <v>High</v>
      </c>
      <c r="Q3361" t="str">
        <f t="shared" si="315"/>
        <v>Low Loan</v>
      </c>
      <c r="R3361">
        <f t="shared" si="316"/>
        <v>34000000</v>
      </c>
      <c r="S3361" t="str">
        <f t="shared" si="317"/>
        <v>Strong</v>
      </c>
    </row>
    <row r="3362" spans="1:19" x14ac:dyDescent="0.25">
      <c r="A3362">
        <v>3361</v>
      </c>
      <c r="B3362">
        <v>5</v>
      </c>
      <c r="C3362" t="s">
        <v>31</v>
      </c>
      <c r="D3362" t="s">
        <v>32</v>
      </c>
      <c r="E3362">
        <v>8300000</v>
      </c>
      <c r="F3362">
        <v>20700000</v>
      </c>
      <c r="G3362">
        <v>2</v>
      </c>
      <c r="H3362">
        <v>537</v>
      </c>
      <c r="I3362">
        <v>8400000</v>
      </c>
      <c r="J3362">
        <v>14300000</v>
      </c>
      <c r="K3362">
        <v>19700000</v>
      </c>
      <c r="L3362">
        <v>7800000</v>
      </c>
      <c r="M3362" t="s">
        <v>35</v>
      </c>
      <c r="N3362">
        <f t="shared" si="313"/>
        <v>0</v>
      </c>
      <c r="O3362" t="str">
        <f t="shared" si="312"/>
        <v>Low</v>
      </c>
      <c r="P3362" t="str">
        <f t="shared" si="314"/>
        <v>High</v>
      </c>
      <c r="Q3362" t="str">
        <f t="shared" si="315"/>
        <v>High Loan</v>
      </c>
      <c r="R3362">
        <f t="shared" si="316"/>
        <v>50200000</v>
      </c>
      <c r="S3362" t="str">
        <f t="shared" si="317"/>
        <v>Strong</v>
      </c>
    </row>
    <row r="3363" spans="1:19" x14ac:dyDescent="0.25">
      <c r="A3363">
        <v>3362</v>
      </c>
      <c r="B3363">
        <v>5</v>
      </c>
      <c r="C3363" t="s">
        <v>30</v>
      </c>
      <c r="D3363" t="s">
        <v>33</v>
      </c>
      <c r="E3363">
        <v>2600000</v>
      </c>
      <c r="F3363">
        <v>5500000</v>
      </c>
      <c r="G3363">
        <v>8</v>
      </c>
      <c r="H3363">
        <v>676</v>
      </c>
      <c r="I3363">
        <v>6700000</v>
      </c>
      <c r="J3363">
        <v>800000</v>
      </c>
      <c r="K3363">
        <v>7200000</v>
      </c>
      <c r="L3363">
        <v>1300000</v>
      </c>
      <c r="M3363" t="s">
        <v>34</v>
      </c>
      <c r="N3363">
        <f t="shared" si="313"/>
        <v>1</v>
      </c>
      <c r="O3363" t="str">
        <f t="shared" si="312"/>
        <v>Medium</v>
      </c>
      <c r="P3363" t="str">
        <f t="shared" si="314"/>
        <v>High</v>
      </c>
      <c r="Q3363" t="str">
        <f t="shared" si="315"/>
        <v>Low Loan</v>
      </c>
      <c r="R3363">
        <f t="shared" si="316"/>
        <v>16000000</v>
      </c>
      <c r="S3363" t="str">
        <f t="shared" si="317"/>
        <v>Strong</v>
      </c>
    </row>
    <row r="3364" spans="1:19" x14ac:dyDescent="0.25">
      <c r="A3364">
        <v>3363</v>
      </c>
      <c r="B3364">
        <v>1</v>
      </c>
      <c r="C3364" t="s">
        <v>30</v>
      </c>
      <c r="D3364" t="s">
        <v>32</v>
      </c>
      <c r="E3364">
        <v>2100000</v>
      </c>
      <c r="F3364">
        <v>8100000</v>
      </c>
      <c r="G3364">
        <v>6</v>
      </c>
      <c r="H3364">
        <v>817</v>
      </c>
      <c r="I3364">
        <v>4600000</v>
      </c>
      <c r="J3364">
        <v>2900000</v>
      </c>
      <c r="K3364">
        <v>4900000</v>
      </c>
      <c r="L3364">
        <v>2900000</v>
      </c>
      <c r="M3364" t="s">
        <v>34</v>
      </c>
      <c r="N3364">
        <f t="shared" si="313"/>
        <v>1</v>
      </c>
      <c r="O3364" t="str">
        <f t="shared" si="312"/>
        <v>Excellent</v>
      </c>
      <c r="P3364" t="str">
        <f t="shared" si="314"/>
        <v>High</v>
      </c>
      <c r="Q3364" t="str">
        <f t="shared" si="315"/>
        <v>Low Loan</v>
      </c>
      <c r="R3364">
        <f t="shared" si="316"/>
        <v>15300000</v>
      </c>
      <c r="S3364" t="str">
        <f t="shared" si="317"/>
        <v>Strong</v>
      </c>
    </row>
    <row r="3365" spans="1:19" x14ac:dyDescent="0.25">
      <c r="A3365">
        <v>3364</v>
      </c>
      <c r="B3365">
        <v>4</v>
      </c>
      <c r="C3365" t="s">
        <v>31</v>
      </c>
      <c r="D3365" t="s">
        <v>32</v>
      </c>
      <c r="E3365">
        <v>3900000</v>
      </c>
      <c r="F3365">
        <v>10800000</v>
      </c>
      <c r="G3365">
        <v>20</v>
      </c>
      <c r="H3365">
        <v>433</v>
      </c>
      <c r="I3365">
        <v>4700000</v>
      </c>
      <c r="J3365">
        <v>1600000</v>
      </c>
      <c r="K3365">
        <v>14500000</v>
      </c>
      <c r="L3365">
        <v>2300000</v>
      </c>
      <c r="M3365" t="s">
        <v>35</v>
      </c>
      <c r="N3365">
        <f t="shared" si="313"/>
        <v>0</v>
      </c>
      <c r="O3365" t="str">
        <f t="shared" si="312"/>
        <v>Low</v>
      </c>
      <c r="P3365" t="str">
        <f t="shared" si="314"/>
        <v>High</v>
      </c>
      <c r="Q3365" t="str">
        <f t="shared" si="315"/>
        <v>Low Loan</v>
      </c>
      <c r="R3365">
        <f t="shared" si="316"/>
        <v>23100000</v>
      </c>
      <c r="S3365" t="str">
        <f t="shared" si="317"/>
        <v>Strong</v>
      </c>
    </row>
    <row r="3366" spans="1:19" x14ac:dyDescent="0.25">
      <c r="A3366">
        <v>3365</v>
      </c>
      <c r="B3366">
        <v>1</v>
      </c>
      <c r="C3366" t="s">
        <v>30</v>
      </c>
      <c r="D3366" t="s">
        <v>33</v>
      </c>
      <c r="E3366">
        <v>5200000</v>
      </c>
      <c r="F3366">
        <v>16300000</v>
      </c>
      <c r="G3366">
        <v>6</v>
      </c>
      <c r="H3366">
        <v>524</v>
      </c>
      <c r="I3366">
        <v>11000000</v>
      </c>
      <c r="J3366">
        <v>3400000</v>
      </c>
      <c r="K3366">
        <v>20700000</v>
      </c>
      <c r="L3366">
        <v>4600000</v>
      </c>
      <c r="M3366" t="s">
        <v>35</v>
      </c>
      <c r="N3366">
        <f t="shared" si="313"/>
        <v>0</v>
      </c>
      <c r="O3366" t="str">
        <f t="shared" si="312"/>
        <v>Low</v>
      </c>
      <c r="P3366" t="str">
        <f t="shared" si="314"/>
        <v>High</v>
      </c>
      <c r="Q3366" t="str">
        <f t="shared" si="315"/>
        <v>Low Loan</v>
      </c>
      <c r="R3366">
        <f t="shared" si="316"/>
        <v>39700000</v>
      </c>
      <c r="S3366" t="str">
        <f t="shared" si="317"/>
        <v>Strong</v>
      </c>
    </row>
    <row r="3367" spans="1:19" x14ac:dyDescent="0.25">
      <c r="A3367">
        <v>3366</v>
      </c>
      <c r="B3367">
        <v>3</v>
      </c>
      <c r="C3367" t="s">
        <v>31</v>
      </c>
      <c r="D3367" t="s">
        <v>33</v>
      </c>
      <c r="E3367">
        <v>7800000</v>
      </c>
      <c r="F3367">
        <v>24400000</v>
      </c>
      <c r="G3367">
        <v>20</v>
      </c>
      <c r="H3367">
        <v>490</v>
      </c>
      <c r="I3367">
        <v>6700000</v>
      </c>
      <c r="J3367">
        <v>5100000</v>
      </c>
      <c r="K3367">
        <v>17700000</v>
      </c>
      <c r="L3367">
        <v>4100000</v>
      </c>
      <c r="M3367" t="s">
        <v>35</v>
      </c>
      <c r="N3367">
        <f t="shared" si="313"/>
        <v>0</v>
      </c>
      <c r="O3367" t="str">
        <f t="shared" si="312"/>
        <v>Low</v>
      </c>
      <c r="P3367" t="str">
        <f t="shared" si="314"/>
        <v>High</v>
      </c>
      <c r="Q3367" t="str">
        <f t="shared" si="315"/>
        <v>High Loan</v>
      </c>
      <c r="R3367">
        <f t="shared" si="316"/>
        <v>33600000</v>
      </c>
      <c r="S3367" t="str">
        <f t="shared" si="317"/>
        <v>Strong</v>
      </c>
    </row>
    <row r="3368" spans="1:19" x14ac:dyDescent="0.25">
      <c r="A3368">
        <v>3367</v>
      </c>
      <c r="B3368">
        <v>3</v>
      </c>
      <c r="C3368" t="s">
        <v>31</v>
      </c>
      <c r="D3368" t="s">
        <v>33</v>
      </c>
      <c r="E3368">
        <v>5400000</v>
      </c>
      <c r="F3368">
        <v>14300000</v>
      </c>
      <c r="G3368">
        <v>4</v>
      </c>
      <c r="H3368">
        <v>595</v>
      </c>
      <c r="I3368">
        <v>4100000</v>
      </c>
      <c r="J3368">
        <v>2800000</v>
      </c>
      <c r="K3368">
        <v>19300000</v>
      </c>
      <c r="L3368">
        <v>4900000</v>
      </c>
      <c r="M3368" t="s">
        <v>34</v>
      </c>
      <c r="N3368">
        <f t="shared" si="313"/>
        <v>1</v>
      </c>
      <c r="O3368" t="str">
        <f t="shared" si="312"/>
        <v>Low</v>
      </c>
      <c r="P3368" t="str">
        <f t="shared" si="314"/>
        <v>High</v>
      </c>
      <c r="Q3368" t="str">
        <f t="shared" si="315"/>
        <v>Low Loan</v>
      </c>
      <c r="R3368">
        <f t="shared" si="316"/>
        <v>31100000</v>
      </c>
      <c r="S3368" t="str">
        <f t="shared" si="317"/>
        <v>Strong</v>
      </c>
    </row>
    <row r="3369" spans="1:19" x14ac:dyDescent="0.25">
      <c r="A3369">
        <v>3368</v>
      </c>
      <c r="B3369">
        <v>2</v>
      </c>
      <c r="C3369" t="s">
        <v>31</v>
      </c>
      <c r="D3369" t="s">
        <v>32</v>
      </c>
      <c r="E3369">
        <v>2900000</v>
      </c>
      <c r="F3369">
        <v>11000000</v>
      </c>
      <c r="G3369">
        <v>2</v>
      </c>
      <c r="H3369">
        <v>835</v>
      </c>
      <c r="I3369">
        <v>4900000</v>
      </c>
      <c r="J3369">
        <v>3200000</v>
      </c>
      <c r="K3369">
        <v>11500000</v>
      </c>
      <c r="L3369">
        <v>1400000</v>
      </c>
      <c r="M3369" t="s">
        <v>34</v>
      </c>
      <c r="N3369">
        <f t="shared" si="313"/>
        <v>1</v>
      </c>
      <c r="O3369" t="str">
        <f t="shared" si="312"/>
        <v>Excellent</v>
      </c>
      <c r="P3369" t="str">
        <f t="shared" si="314"/>
        <v>High</v>
      </c>
      <c r="Q3369" t="str">
        <f t="shared" si="315"/>
        <v>Low Loan</v>
      </c>
      <c r="R3369">
        <f t="shared" si="316"/>
        <v>21000000</v>
      </c>
      <c r="S3369" t="str">
        <f t="shared" si="317"/>
        <v>Strong</v>
      </c>
    </row>
    <row r="3370" spans="1:19" x14ac:dyDescent="0.25">
      <c r="A3370">
        <v>3369</v>
      </c>
      <c r="B3370">
        <v>4</v>
      </c>
      <c r="C3370" t="s">
        <v>30</v>
      </c>
      <c r="D3370" t="s">
        <v>32</v>
      </c>
      <c r="E3370">
        <v>7100000</v>
      </c>
      <c r="F3370">
        <v>28300000</v>
      </c>
      <c r="G3370">
        <v>6</v>
      </c>
      <c r="H3370">
        <v>850</v>
      </c>
      <c r="I3370">
        <v>5600000</v>
      </c>
      <c r="J3370">
        <v>7100000</v>
      </c>
      <c r="K3370">
        <v>26000000</v>
      </c>
      <c r="L3370">
        <v>9700000</v>
      </c>
      <c r="M3370" t="s">
        <v>34</v>
      </c>
      <c r="N3370">
        <f t="shared" si="313"/>
        <v>1</v>
      </c>
      <c r="O3370" t="str">
        <f t="shared" si="312"/>
        <v>Excellent</v>
      </c>
      <c r="P3370" t="str">
        <f t="shared" si="314"/>
        <v>High</v>
      </c>
      <c r="Q3370" t="str">
        <f t="shared" si="315"/>
        <v>High Loan</v>
      </c>
      <c r="R3370">
        <f t="shared" si="316"/>
        <v>48400000</v>
      </c>
      <c r="S3370" t="str">
        <f t="shared" si="317"/>
        <v>Strong</v>
      </c>
    </row>
    <row r="3371" spans="1:19" x14ac:dyDescent="0.25">
      <c r="A3371">
        <v>3370</v>
      </c>
      <c r="B3371">
        <v>1</v>
      </c>
      <c r="C3371" t="s">
        <v>30</v>
      </c>
      <c r="D3371" t="s">
        <v>33</v>
      </c>
      <c r="E3371">
        <v>800000</v>
      </c>
      <c r="F3371">
        <v>2500000</v>
      </c>
      <c r="G3371">
        <v>4</v>
      </c>
      <c r="H3371">
        <v>409</v>
      </c>
      <c r="I3371">
        <v>1300000</v>
      </c>
      <c r="J3371">
        <v>1000000</v>
      </c>
      <c r="K3371">
        <v>3100000</v>
      </c>
      <c r="L3371">
        <v>900000</v>
      </c>
      <c r="M3371" t="s">
        <v>34</v>
      </c>
      <c r="N3371">
        <f t="shared" si="313"/>
        <v>1</v>
      </c>
      <c r="O3371" t="str">
        <f t="shared" si="312"/>
        <v>Low</v>
      </c>
      <c r="P3371" t="str">
        <f t="shared" si="314"/>
        <v>High</v>
      </c>
      <c r="Q3371" t="str">
        <f t="shared" si="315"/>
        <v>Low Loan</v>
      </c>
      <c r="R3371">
        <f t="shared" si="316"/>
        <v>6300000</v>
      </c>
      <c r="S3371" t="str">
        <f t="shared" si="317"/>
        <v>Moderate</v>
      </c>
    </row>
    <row r="3372" spans="1:19" x14ac:dyDescent="0.25">
      <c r="A3372">
        <v>3371</v>
      </c>
      <c r="B3372">
        <v>5</v>
      </c>
      <c r="C3372" t="s">
        <v>30</v>
      </c>
      <c r="D3372" t="s">
        <v>33</v>
      </c>
      <c r="E3372">
        <v>3400000</v>
      </c>
      <c r="F3372">
        <v>12800000</v>
      </c>
      <c r="G3372">
        <v>10</v>
      </c>
      <c r="H3372">
        <v>760</v>
      </c>
      <c r="I3372">
        <v>9800000</v>
      </c>
      <c r="J3372">
        <v>4300000</v>
      </c>
      <c r="K3372">
        <v>11000000</v>
      </c>
      <c r="L3372">
        <v>4600000</v>
      </c>
      <c r="M3372" t="s">
        <v>34</v>
      </c>
      <c r="N3372">
        <f t="shared" si="313"/>
        <v>1</v>
      </c>
      <c r="O3372" t="str">
        <f t="shared" si="312"/>
        <v>Excellent</v>
      </c>
      <c r="P3372" t="str">
        <f t="shared" si="314"/>
        <v>High</v>
      </c>
      <c r="Q3372" t="str">
        <f t="shared" si="315"/>
        <v>Low Loan</v>
      </c>
      <c r="R3372">
        <f t="shared" si="316"/>
        <v>29700000</v>
      </c>
      <c r="S3372" t="str">
        <f t="shared" si="317"/>
        <v>Strong</v>
      </c>
    </row>
    <row r="3373" spans="1:19" x14ac:dyDescent="0.25">
      <c r="A3373">
        <v>3372</v>
      </c>
      <c r="B3373">
        <v>1</v>
      </c>
      <c r="C3373" t="s">
        <v>30</v>
      </c>
      <c r="D3373" t="s">
        <v>33</v>
      </c>
      <c r="E3373">
        <v>6800000</v>
      </c>
      <c r="F3373">
        <v>17600000</v>
      </c>
      <c r="G3373">
        <v>14</v>
      </c>
      <c r="H3373">
        <v>344</v>
      </c>
      <c r="I3373">
        <v>5500000</v>
      </c>
      <c r="J3373">
        <v>5600000</v>
      </c>
      <c r="K3373">
        <v>18100000</v>
      </c>
      <c r="L3373">
        <v>7700000</v>
      </c>
      <c r="M3373" t="s">
        <v>35</v>
      </c>
      <c r="N3373">
        <f t="shared" si="313"/>
        <v>0</v>
      </c>
      <c r="O3373" t="str">
        <f t="shared" si="312"/>
        <v>Low</v>
      </c>
      <c r="P3373" t="str">
        <f t="shared" si="314"/>
        <v>High</v>
      </c>
      <c r="Q3373" t="str">
        <f t="shared" si="315"/>
        <v>Low Loan</v>
      </c>
      <c r="R3373">
        <f t="shared" si="316"/>
        <v>36900000</v>
      </c>
      <c r="S3373" t="str">
        <f t="shared" si="317"/>
        <v>Strong</v>
      </c>
    </row>
    <row r="3374" spans="1:19" x14ac:dyDescent="0.25">
      <c r="A3374">
        <v>3373</v>
      </c>
      <c r="B3374">
        <v>4</v>
      </c>
      <c r="C3374" t="s">
        <v>30</v>
      </c>
      <c r="D3374" t="s">
        <v>33</v>
      </c>
      <c r="E3374">
        <v>7000000</v>
      </c>
      <c r="F3374">
        <v>27100000</v>
      </c>
      <c r="G3374">
        <v>12</v>
      </c>
      <c r="H3374">
        <v>881</v>
      </c>
      <c r="I3374">
        <v>8300000</v>
      </c>
      <c r="J3374">
        <v>9400000</v>
      </c>
      <c r="K3374">
        <v>17200000</v>
      </c>
      <c r="L3374">
        <v>9500000</v>
      </c>
      <c r="M3374" t="s">
        <v>34</v>
      </c>
      <c r="N3374">
        <f t="shared" si="313"/>
        <v>1</v>
      </c>
      <c r="O3374" t="str">
        <f t="shared" si="312"/>
        <v>Excellent</v>
      </c>
      <c r="P3374" t="str">
        <f t="shared" si="314"/>
        <v>High</v>
      </c>
      <c r="Q3374" t="str">
        <f t="shared" si="315"/>
        <v>High Loan</v>
      </c>
      <c r="R3374">
        <f t="shared" si="316"/>
        <v>44400000</v>
      </c>
      <c r="S3374" t="str">
        <f t="shared" si="317"/>
        <v>Strong</v>
      </c>
    </row>
    <row r="3375" spans="1:19" x14ac:dyDescent="0.25">
      <c r="A3375">
        <v>3374</v>
      </c>
      <c r="B3375">
        <v>0</v>
      </c>
      <c r="C3375" t="s">
        <v>30</v>
      </c>
      <c r="D3375" t="s">
        <v>33</v>
      </c>
      <c r="E3375">
        <v>9300000</v>
      </c>
      <c r="F3375">
        <v>24500000</v>
      </c>
      <c r="G3375">
        <v>10</v>
      </c>
      <c r="H3375">
        <v>600</v>
      </c>
      <c r="I3375">
        <v>20200000</v>
      </c>
      <c r="J3375">
        <v>700000</v>
      </c>
      <c r="K3375">
        <v>32600000</v>
      </c>
      <c r="L3375">
        <v>5400000</v>
      </c>
      <c r="M3375" t="s">
        <v>34</v>
      </c>
      <c r="N3375">
        <f t="shared" si="313"/>
        <v>1</v>
      </c>
      <c r="O3375" t="str">
        <f t="shared" si="312"/>
        <v>Low</v>
      </c>
      <c r="P3375" t="str">
        <f t="shared" si="314"/>
        <v>High</v>
      </c>
      <c r="Q3375" t="str">
        <f t="shared" si="315"/>
        <v>High Loan</v>
      </c>
      <c r="R3375">
        <f t="shared" si="316"/>
        <v>58900000</v>
      </c>
      <c r="S3375" t="str">
        <f t="shared" si="317"/>
        <v>Strong</v>
      </c>
    </row>
    <row r="3376" spans="1:19" x14ac:dyDescent="0.25">
      <c r="A3376">
        <v>3375</v>
      </c>
      <c r="B3376">
        <v>2</v>
      </c>
      <c r="C3376" t="s">
        <v>30</v>
      </c>
      <c r="D3376" t="s">
        <v>32</v>
      </c>
      <c r="E3376">
        <v>7500000</v>
      </c>
      <c r="F3376">
        <v>19900000</v>
      </c>
      <c r="G3376">
        <v>10</v>
      </c>
      <c r="H3376">
        <v>790</v>
      </c>
      <c r="I3376">
        <v>3500000</v>
      </c>
      <c r="J3376">
        <v>13000000</v>
      </c>
      <c r="K3376">
        <v>19900000</v>
      </c>
      <c r="L3376">
        <v>5900000</v>
      </c>
      <c r="M3376" t="s">
        <v>34</v>
      </c>
      <c r="N3376">
        <f t="shared" si="313"/>
        <v>1</v>
      </c>
      <c r="O3376" t="str">
        <f t="shared" si="312"/>
        <v>Excellent</v>
      </c>
      <c r="P3376" t="str">
        <f t="shared" si="314"/>
        <v>High</v>
      </c>
      <c r="Q3376" t="str">
        <f t="shared" si="315"/>
        <v>Low Loan</v>
      </c>
      <c r="R3376">
        <f t="shared" si="316"/>
        <v>42300000</v>
      </c>
      <c r="S3376" t="str">
        <f t="shared" si="317"/>
        <v>Strong</v>
      </c>
    </row>
    <row r="3377" spans="1:19" x14ac:dyDescent="0.25">
      <c r="A3377">
        <v>3376</v>
      </c>
      <c r="B3377">
        <v>3</v>
      </c>
      <c r="C3377" t="s">
        <v>30</v>
      </c>
      <c r="D3377" t="s">
        <v>33</v>
      </c>
      <c r="E3377">
        <v>8000000</v>
      </c>
      <c r="F3377">
        <v>31200000</v>
      </c>
      <c r="G3377">
        <v>20</v>
      </c>
      <c r="H3377">
        <v>392</v>
      </c>
      <c r="I3377">
        <v>7300000</v>
      </c>
      <c r="J3377">
        <v>8400000</v>
      </c>
      <c r="K3377">
        <v>16000000</v>
      </c>
      <c r="L3377">
        <v>6000000</v>
      </c>
      <c r="M3377" t="s">
        <v>35</v>
      </c>
      <c r="N3377">
        <f t="shared" si="313"/>
        <v>0</v>
      </c>
      <c r="O3377" t="str">
        <f t="shared" si="312"/>
        <v>Low</v>
      </c>
      <c r="P3377" t="str">
        <f t="shared" si="314"/>
        <v>High</v>
      </c>
      <c r="Q3377" t="str">
        <f t="shared" si="315"/>
        <v>High Loan</v>
      </c>
      <c r="R3377">
        <f t="shared" si="316"/>
        <v>37700000</v>
      </c>
      <c r="S3377" t="str">
        <f t="shared" si="317"/>
        <v>Strong</v>
      </c>
    </row>
    <row r="3378" spans="1:19" x14ac:dyDescent="0.25">
      <c r="A3378">
        <v>3377</v>
      </c>
      <c r="B3378">
        <v>5</v>
      </c>
      <c r="C3378" t="s">
        <v>30</v>
      </c>
      <c r="D3378" t="s">
        <v>33</v>
      </c>
      <c r="E3378">
        <v>1600000</v>
      </c>
      <c r="F3378">
        <v>4100000</v>
      </c>
      <c r="G3378">
        <v>2</v>
      </c>
      <c r="H3378">
        <v>748</v>
      </c>
      <c r="I3378">
        <v>1400000</v>
      </c>
      <c r="J3378">
        <v>1000000</v>
      </c>
      <c r="K3378">
        <v>4200000</v>
      </c>
      <c r="L3378">
        <v>1000000</v>
      </c>
      <c r="M3378" t="s">
        <v>34</v>
      </c>
      <c r="N3378">
        <f t="shared" si="313"/>
        <v>1</v>
      </c>
      <c r="O3378" t="str">
        <f t="shared" si="312"/>
        <v>Good</v>
      </c>
      <c r="P3378" t="str">
        <f t="shared" si="314"/>
        <v>High</v>
      </c>
      <c r="Q3378" t="str">
        <f t="shared" si="315"/>
        <v>Low Loan</v>
      </c>
      <c r="R3378">
        <f t="shared" si="316"/>
        <v>7600000</v>
      </c>
      <c r="S3378" t="str">
        <f t="shared" si="317"/>
        <v>Moderate</v>
      </c>
    </row>
    <row r="3379" spans="1:19" x14ac:dyDescent="0.25">
      <c r="A3379">
        <v>3378</v>
      </c>
      <c r="B3379">
        <v>1</v>
      </c>
      <c r="C3379" t="s">
        <v>30</v>
      </c>
      <c r="D3379" t="s">
        <v>33</v>
      </c>
      <c r="E3379">
        <v>6700000</v>
      </c>
      <c r="F3379">
        <v>18800000</v>
      </c>
      <c r="G3379">
        <v>6</v>
      </c>
      <c r="H3379">
        <v>798</v>
      </c>
      <c r="I3379">
        <v>8700000</v>
      </c>
      <c r="J3379">
        <v>5900000</v>
      </c>
      <c r="K3379">
        <v>18000000</v>
      </c>
      <c r="L3379">
        <v>6100000</v>
      </c>
      <c r="M3379" t="s">
        <v>34</v>
      </c>
      <c r="N3379">
        <f t="shared" si="313"/>
        <v>1</v>
      </c>
      <c r="O3379" t="str">
        <f t="shared" si="312"/>
        <v>Excellent</v>
      </c>
      <c r="P3379" t="str">
        <f t="shared" si="314"/>
        <v>High</v>
      </c>
      <c r="Q3379" t="str">
        <f t="shared" si="315"/>
        <v>Low Loan</v>
      </c>
      <c r="R3379">
        <f t="shared" si="316"/>
        <v>38700000</v>
      </c>
      <c r="S3379" t="str">
        <f t="shared" si="317"/>
        <v>Strong</v>
      </c>
    </row>
    <row r="3380" spans="1:19" x14ac:dyDescent="0.25">
      <c r="A3380">
        <v>3379</v>
      </c>
      <c r="B3380">
        <v>3</v>
      </c>
      <c r="C3380" t="s">
        <v>31</v>
      </c>
      <c r="D3380" t="s">
        <v>32</v>
      </c>
      <c r="E3380">
        <v>3800000</v>
      </c>
      <c r="F3380">
        <v>11400000</v>
      </c>
      <c r="G3380">
        <v>4</v>
      </c>
      <c r="H3380">
        <v>323</v>
      </c>
      <c r="I3380">
        <v>5800000</v>
      </c>
      <c r="J3380">
        <v>4000000</v>
      </c>
      <c r="K3380">
        <v>9600000</v>
      </c>
      <c r="L3380">
        <v>4400000</v>
      </c>
      <c r="M3380" t="s">
        <v>34</v>
      </c>
      <c r="N3380">
        <f t="shared" si="313"/>
        <v>1</v>
      </c>
      <c r="O3380" t="str">
        <f t="shared" si="312"/>
        <v>Low</v>
      </c>
      <c r="P3380" t="str">
        <f t="shared" si="314"/>
        <v>High</v>
      </c>
      <c r="Q3380" t="str">
        <f t="shared" si="315"/>
        <v>Low Loan</v>
      </c>
      <c r="R3380">
        <f t="shared" si="316"/>
        <v>23800000</v>
      </c>
      <c r="S3380" t="str">
        <f t="shared" si="317"/>
        <v>Strong</v>
      </c>
    </row>
    <row r="3381" spans="1:19" x14ac:dyDescent="0.25">
      <c r="A3381">
        <v>3380</v>
      </c>
      <c r="B3381">
        <v>1</v>
      </c>
      <c r="C3381" t="s">
        <v>31</v>
      </c>
      <c r="D3381" t="s">
        <v>33</v>
      </c>
      <c r="E3381">
        <v>2700000</v>
      </c>
      <c r="F3381">
        <v>5400000</v>
      </c>
      <c r="G3381">
        <v>6</v>
      </c>
      <c r="H3381">
        <v>413</v>
      </c>
      <c r="I3381">
        <v>4800000</v>
      </c>
      <c r="J3381">
        <v>1500000</v>
      </c>
      <c r="K3381">
        <v>6100000</v>
      </c>
      <c r="L3381">
        <v>2600000</v>
      </c>
      <c r="M3381" t="s">
        <v>35</v>
      </c>
      <c r="N3381">
        <f t="shared" si="313"/>
        <v>0</v>
      </c>
      <c r="O3381" t="str">
        <f t="shared" si="312"/>
        <v>Low</v>
      </c>
      <c r="P3381" t="str">
        <f t="shared" si="314"/>
        <v>High</v>
      </c>
      <c r="Q3381" t="str">
        <f t="shared" si="315"/>
        <v>Low Loan</v>
      </c>
      <c r="R3381">
        <f t="shared" si="316"/>
        <v>15000000</v>
      </c>
      <c r="S3381" t="str">
        <f t="shared" si="317"/>
        <v>Strong</v>
      </c>
    </row>
    <row r="3382" spans="1:19" x14ac:dyDescent="0.25">
      <c r="A3382">
        <v>3381</v>
      </c>
      <c r="B3382">
        <v>3</v>
      </c>
      <c r="C3382" t="s">
        <v>30</v>
      </c>
      <c r="D3382" t="s">
        <v>32</v>
      </c>
      <c r="E3382">
        <v>1300000</v>
      </c>
      <c r="F3382">
        <v>2900000</v>
      </c>
      <c r="G3382">
        <v>8</v>
      </c>
      <c r="H3382">
        <v>733</v>
      </c>
      <c r="I3382">
        <v>3800000</v>
      </c>
      <c r="J3382">
        <v>1900000</v>
      </c>
      <c r="K3382">
        <v>3800000</v>
      </c>
      <c r="L3382">
        <v>1800000</v>
      </c>
      <c r="M3382" t="s">
        <v>34</v>
      </c>
      <c r="N3382">
        <f t="shared" si="313"/>
        <v>1</v>
      </c>
      <c r="O3382" t="str">
        <f t="shared" si="312"/>
        <v>Good</v>
      </c>
      <c r="P3382" t="str">
        <f t="shared" si="314"/>
        <v>High</v>
      </c>
      <c r="Q3382" t="str">
        <f t="shared" si="315"/>
        <v>Low Loan</v>
      </c>
      <c r="R3382">
        <f t="shared" si="316"/>
        <v>11300000</v>
      </c>
      <c r="S3382" t="str">
        <f t="shared" si="317"/>
        <v>Strong</v>
      </c>
    </row>
    <row r="3383" spans="1:19" x14ac:dyDescent="0.25">
      <c r="A3383">
        <v>3382</v>
      </c>
      <c r="B3383">
        <v>4</v>
      </c>
      <c r="C3383" t="s">
        <v>31</v>
      </c>
      <c r="D3383" t="s">
        <v>32</v>
      </c>
      <c r="E3383">
        <v>3400000</v>
      </c>
      <c r="F3383">
        <v>10500000</v>
      </c>
      <c r="G3383">
        <v>16</v>
      </c>
      <c r="H3383">
        <v>543</v>
      </c>
      <c r="I3383">
        <v>3100000</v>
      </c>
      <c r="J3383">
        <v>4500000</v>
      </c>
      <c r="K3383">
        <v>11100000</v>
      </c>
      <c r="L3383">
        <v>4500000</v>
      </c>
      <c r="M3383" t="s">
        <v>35</v>
      </c>
      <c r="N3383">
        <f t="shared" si="313"/>
        <v>0</v>
      </c>
      <c r="O3383" t="str">
        <f t="shared" si="312"/>
        <v>Low</v>
      </c>
      <c r="P3383" t="str">
        <f t="shared" si="314"/>
        <v>High</v>
      </c>
      <c r="Q3383" t="str">
        <f t="shared" si="315"/>
        <v>Low Loan</v>
      </c>
      <c r="R3383">
        <f t="shared" si="316"/>
        <v>23200000</v>
      </c>
      <c r="S3383" t="str">
        <f t="shared" si="317"/>
        <v>Strong</v>
      </c>
    </row>
    <row r="3384" spans="1:19" x14ac:dyDescent="0.25">
      <c r="A3384">
        <v>3383</v>
      </c>
      <c r="B3384">
        <v>3</v>
      </c>
      <c r="C3384" t="s">
        <v>30</v>
      </c>
      <c r="D3384" t="s">
        <v>32</v>
      </c>
      <c r="E3384">
        <v>3400000</v>
      </c>
      <c r="F3384">
        <v>10900000</v>
      </c>
      <c r="G3384">
        <v>14</v>
      </c>
      <c r="H3384">
        <v>757</v>
      </c>
      <c r="I3384">
        <v>5400000</v>
      </c>
      <c r="J3384">
        <v>1600000</v>
      </c>
      <c r="K3384">
        <v>7700000</v>
      </c>
      <c r="L3384">
        <v>3000000</v>
      </c>
      <c r="M3384" t="s">
        <v>34</v>
      </c>
      <c r="N3384">
        <f t="shared" si="313"/>
        <v>1</v>
      </c>
      <c r="O3384" t="str">
        <f t="shared" si="312"/>
        <v>Excellent</v>
      </c>
      <c r="P3384" t="str">
        <f t="shared" si="314"/>
        <v>High</v>
      </c>
      <c r="Q3384" t="str">
        <f t="shared" si="315"/>
        <v>Low Loan</v>
      </c>
      <c r="R3384">
        <f t="shared" si="316"/>
        <v>17700000</v>
      </c>
      <c r="S3384" t="str">
        <f t="shared" si="317"/>
        <v>Strong</v>
      </c>
    </row>
    <row r="3385" spans="1:19" x14ac:dyDescent="0.25">
      <c r="A3385">
        <v>3384</v>
      </c>
      <c r="B3385">
        <v>5</v>
      </c>
      <c r="C3385" t="s">
        <v>30</v>
      </c>
      <c r="D3385" t="s">
        <v>33</v>
      </c>
      <c r="E3385">
        <v>2400000</v>
      </c>
      <c r="F3385">
        <v>6800000</v>
      </c>
      <c r="G3385">
        <v>8</v>
      </c>
      <c r="H3385">
        <v>464</v>
      </c>
      <c r="I3385">
        <v>1900000</v>
      </c>
      <c r="J3385">
        <v>1300000</v>
      </c>
      <c r="K3385">
        <v>9500000</v>
      </c>
      <c r="L3385">
        <v>1900000</v>
      </c>
      <c r="M3385" t="s">
        <v>35</v>
      </c>
      <c r="N3385">
        <f t="shared" si="313"/>
        <v>0</v>
      </c>
      <c r="O3385" t="str">
        <f t="shared" si="312"/>
        <v>Low</v>
      </c>
      <c r="P3385" t="str">
        <f t="shared" si="314"/>
        <v>High</v>
      </c>
      <c r="Q3385" t="str">
        <f t="shared" si="315"/>
        <v>Low Loan</v>
      </c>
      <c r="R3385">
        <f t="shared" si="316"/>
        <v>14600000</v>
      </c>
      <c r="S3385" t="str">
        <f t="shared" si="317"/>
        <v>Strong</v>
      </c>
    </row>
    <row r="3386" spans="1:19" x14ac:dyDescent="0.25">
      <c r="A3386">
        <v>3385</v>
      </c>
      <c r="B3386">
        <v>0</v>
      </c>
      <c r="C3386" t="s">
        <v>31</v>
      </c>
      <c r="D3386" t="s">
        <v>32</v>
      </c>
      <c r="E3386">
        <v>1900000</v>
      </c>
      <c r="F3386">
        <v>6900000</v>
      </c>
      <c r="G3386">
        <v>4</v>
      </c>
      <c r="H3386">
        <v>749</v>
      </c>
      <c r="I3386">
        <v>2100000</v>
      </c>
      <c r="J3386">
        <v>3700000</v>
      </c>
      <c r="K3386">
        <v>4300000</v>
      </c>
      <c r="L3386">
        <v>2200000</v>
      </c>
      <c r="M3386" t="s">
        <v>34</v>
      </c>
      <c r="N3386">
        <f t="shared" si="313"/>
        <v>1</v>
      </c>
      <c r="O3386" t="str">
        <f t="shared" si="312"/>
        <v>Good</v>
      </c>
      <c r="P3386" t="str">
        <f t="shared" si="314"/>
        <v>High</v>
      </c>
      <c r="Q3386" t="str">
        <f t="shared" si="315"/>
        <v>Low Loan</v>
      </c>
      <c r="R3386">
        <f t="shared" si="316"/>
        <v>12300000</v>
      </c>
      <c r="S3386" t="str">
        <f t="shared" si="317"/>
        <v>Strong</v>
      </c>
    </row>
    <row r="3387" spans="1:19" x14ac:dyDescent="0.25">
      <c r="A3387">
        <v>3386</v>
      </c>
      <c r="B3387">
        <v>4</v>
      </c>
      <c r="C3387" t="s">
        <v>30</v>
      </c>
      <c r="D3387" t="s">
        <v>32</v>
      </c>
      <c r="E3387">
        <v>700000</v>
      </c>
      <c r="F3387">
        <v>2200000</v>
      </c>
      <c r="G3387">
        <v>6</v>
      </c>
      <c r="H3387">
        <v>680</v>
      </c>
      <c r="I3387">
        <v>300000</v>
      </c>
      <c r="J3387">
        <v>200000</v>
      </c>
      <c r="K3387">
        <v>2500000</v>
      </c>
      <c r="L3387">
        <v>300000</v>
      </c>
      <c r="M3387" t="s">
        <v>34</v>
      </c>
      <c r="N3387">
        <f t="shared" si="313"/>
        <v>1</v>
      </c>
      <c r="O3387" t="str">
        <f t="shared" si="312"/>
        <v>Medium</v>
      </c>
      <c r="P3387" t="str">
        <f t="shared" si="314"/>
        <v>High</v>
      </c>
      <c r="Q3387" t="str">
        <f t="shared" si="315"/>
        <v>Low Loan</v>
      </c>
      <c r="R3387">
        <f t="shared" si="316"/>
        <v>3300000</v>
      </c>
      <c r="S3387" t="str">
        <f t="shared" si="317"/>
        <v>Weak</v>
      </c>
    </row>
    <row r="3388" spans="1:19" x14ac:dyDescent="0.25">
      <c r="A3388">
        <v>3387</v>
      </c>
      <c r="B3388">
        <v>1</v>
      </c>
      <c r="C3388" t="s">
        <v>31</v>
      </c>
      <c r="D3388" t="s">
        <v>32</v>
      </c>
      <c r="E3388">
        <v>6900000</v>
      </c>
      <c r="F3388">
        <v>20900000</v>
      </c>
      <c r="G3388">
        <v>4</v>
      </c>
      <c r="H3388">
        <v>574</v>
      </c>
      <c r="I3388">
        <v>3200000</v>
      </c>
      <c r="J3388">
        <v>1800000</v>
      </c>
      <c r="K3388">
        <v>25000000</v>
      </c>
      <c r="L3388">
        <v>5200000</v>
      </c>
      <c r="M3388" t="s">
        <v>34</v>
      </c>
      <c r="N3388">
        <f t="shared" si="313"/>
        <v>1</v>
      </c>
      <c r="O3388" t="str">
        <f t="shared" si="312"/>
        <v>Low</v>
      </c>
      <c r="P3388" t="str">
        <f t="shared" si="314"/>
        <v>High</v>
      </c>
      <c r="Q3388" t="str">
        <f t="shared" si="315"/>
        <v>High Loan</v>
      </c>
      <c r="R3388">
        <f t="shared" si="316"/>
        <v>35200000</v>
      </c>
      <c r="S3388" t="str">
        <f t="shared" si="317"/>
        <v>Strong</v>
      </c>
    </row>
    <row r="3389" spans="1:19" x14ac:dyDescent="0.25">
      <c r="A3389">
        <v>3388</v>
      </c>
      <c r="B3389">
        <v>5</v>
      </c>
      <c r="C3389" t="s">
        <v>30</v>
      </c>
      <c r="D3389" t="s">
        <v>33</v>
      </c>
      <c r="E3389">
        <v>300000</v>
      </c>
      <c r="F3389">
        <v>800000</v>
      </c>
      <c r="G3389">
        <v>18</v>
      </c>
      <c r="H3389">
        <v>774</v>
      </c>
      <c r="I3389">
        <v>400000</v>
      </c>
      <c r="J3389">
        <v>200000</v>
      </c>
      <c r="K3389">
        <v>900000</v>
      </c>
      <c r="L3389">
        <v>400000</v>
      </c>
      <c r="M3389" t="s">
        <v>34</v>
      </c>
      <c r="N3389">
        <f t="shared" si="313"/>
        <v>1</v>
      </c>
      <c r="O3389" t="str">
        <f t="shared" si="312"/>
        <v>Excellent</v>
      </c>
      <c r="P3389" t="str">
        <f t="shared" si="314"/>
        <v>Middle</v>
      </c>
      <c r="Q3389" t="str">
        <f t="shared" si="315"/>
        <v>Low Loan</v>
      </c>
      <c r="R3389">
        <f t="shared" si="316"/>
        <v>1900000</v>
      </c>
      <c r="S3389" t="str">
        <f t="shared" si="317"/>
        <v>Weak</v>
      </c>
    </row>
    <row r="3390" spans="1:19" x14ac:dyDescent="0.25">
      <c r="A3390">
        <v>3389</v>
      </c>
      <c r="B3390">
        <v>3</v>
      </c>
      <c r="C3390" t="s">
        <v>31</v>
      </c>
      <c r="D3390" t="s">
        <v>32</v>
      </c>
      <c r="E3390">
        <v>6000000</v>
      </c>
      <c r="F3390">
        <v>18700000</v>
      </c>
      <c r="G3390">
        <v>10</v>
      </c>
      <c r="H3390">
        <v>387</v>
      </c>
      <c r="I3390">
        <v>6600000</v>
      </c>
      <c r="J3390">
        <v>6200000</v>
      </c>
      <c r="K3390">
        <v>23300000</v>
      </c>
      <c r="L3390">
        <v>6700000</v>
      </c>
      <c r="M3390" t="s">
        <v>35</v>
      </c>
      <c r="N3390">
        <f t="shared" si="313"/>
        <v>0</v>
      </c>
      <c r="O3390" t="str">
        <f t="shared" si="312"/>
        <v>Low</v>
      </c>
      <c r="P3390" t="str">
        <f t="shared" si="314"/>
        <v>High</v>
      </c>
      <c r="Q3390" t="str">
        <f t="shared" si="315"/>
        <v>Low Loan</v>
      </c>
      <c r="R3390">
        <f t="shared" si="316"/>
        <v>42800000</v>
      </c>
      <c r="S3390" t="str">
        <f t="shared" si="317"/>
        <v>Strong</v>
      </c>
    </row>
    <row r="3391" spans="1:19" x14ac:dyDescent="0.25">
      <c r="A3391">
        <v>3390</v>
      </c>
      <c r="B3391">
        <v>1</v>
      </c>
      <c r="C3391" t="s">
        <v>31</v>
      </c>
      <c r="D3391" t="s">
        <v>32</v>
      </c>
      <c r="E3391">
        <v>4300000</v>
      </c>
      <c r="F3391">
        <v>16400000</v>
      </c>
      <c r="G3391">
        <v>20</v>
      </c>
      <c r="H3391">
        <v>397</v>
      </c>
      <c r="I3391">
        <v>6700000</v>
      </c>
      <c r="J3391">
        <v>6200000</v>
      </c>
      <c r="K3391">
        <v>10200000</v>
      </c>
      <c r="L3391">
        <v>5700000</v>
      </c>
      <c r="M3391" t="s">
        <v>35</v>
      </c>
      <c r="N3391">
        <f t="shared" si="313"/>
        <v>0</v>
      </c>
      <c r="O3391" t="str">
        <f t="shared" si="312"/>
        <v>Low</v>
      </c>
      <c r="P3391" t="str">
        <f t="shared" si="314"/>
        <v>High</v>
      </c>
      <c r="Q3391" t="str">
        <f t="shared" si="315"/>
        <v>Low Loan</v>
      </c>
      <c r="R3391">
        <f t="shared" si="316"/>
        <v>28800000</v>
      </c>
      <c r="S3391" t="str">
        <f t="shared" si="317"/>
        <v>Strong</v>
      </c>
    </row>
    <row r="3392" spans="1:19" x14ac:dyDescent="0.25">
      <c r="A3392">
        <v>3391</v>
      </c>
      <c r="B3392">
        <v>4</v>
      </c>
      <c r="C3392" t="s">
        <v>30</v>
      </c>
      <c r="D3392" t="s">
        <v>32</v>
      </c>
      <c r="E3392">
        <v>5800000</v>
      </c>
      <c r="F3392">
        <v>13500000</v>
      </c>
      <c r="G3392">
        <v>14</v>
      </c>
      <c r="H3392">
        <v>816</v>
      </c>
      <c r="I3392">
        <v>13800000</v>
      </c>
      <c r="J3392">
        <v>9300000</v>
      </c>
      <c r="K3392">
        <v>20400000</v>
      </c>
      <c r="L3392">
        <v>7900000</v>
      </c>
      <c r="M3392" t="s">
        <v>34</v>
      </c>
      <c r="N3392">
        <f t="shared" si="313"/>
        <v>1</v>
      </c>
      <c r="O3392" t="str">
        <f t="shared" si="312"/>
        <v>Excellent</v>
      </c>
      <c r="P3392" t="str">
        <f t="shared" si="314"/>
        <v>High</v>
      </c>
      <c r="Q3392" t="str">
        <f t="shared" si="315"/>
        <v>Low Loan</v>
      </c>
      <c r="R3392">
        <f t="shared" si="316"/>
        <v>51400000</v>
      </c>
      <c r="S3392" t="str">
        <f t="shared" si="317"/>
        <v>Strong</v>
      </c>
    </row>
    <row r="3393" spans="1:19" x14ac:dyDescent="0.25">
      <c r="A3393">
        <v>3392</v>
      </c>
      <c r="B3393">
        <v>2</v>
      </c>
      <c r="C3393" t="s">
        <v>30</v>
      </c>
      <c r="D3393" t="s">
        <v>33</v>
      </c>
      <c r="E3393">
        <v>3300000</v>
      </c>
      <c r="F3393">
        <v>6700000</v>
      </c>
      <c r="G3393">
        <v>8</v>
      </c>
      <c r="H3393">
        <v>845</v>
      </c>
      <c r="I3393">
        <v>1300000</v>
      </c>
      <c r="J3393">
        <v>4600000</v>
      </c>
      <c r="K3393">
        <v>12300000</v>
      </c>
      <c r="L3393">
        <v>3200000</v>
      </c>
      <c r="M3393" t="s">
        <v>34</v>
      </c>
      <c r="N3393">
        <f t="shared" si="313"/>
        <v>1</v>
      </c>
      <c r="O3393" t="str">
        <f t="shared" si="312"/>
        <v>Excellent</v>
      </c>
      <c r="P3393" t="str">
        <f t="shared" si="314"/>
        <v>High</v>
      </c>
      <c r="Q3393" t="str">
        <f t="shared" si="315"/>
        <v>Low Loan</v>
      </c>
      <c r="R3393">
        <f t="shared" si="316"/>
        <v>21400000</v>
      </c>
      <c r="S3393" t="str">
        <f t="shared" si="317"/>
        <v>Strong</v>
      </c>
    </row>
    <row r="3394" spans="1:19" x14ac:dyDescent="0.25">
      <c r="A3394">
        <v>3393</v>
      </c>
      <c r="B3394">
        <v>2</v>
      </c>
      <c r="C3394" t="s">
        <v>31</v>
      </c>
      <c r="D3394" t="s">
        <v>32</v>
      </c>
      <c r="E3394">
        <v>400000</v>
      </c>
      <c r="F3394">
        <v>1500000</v>
      </c>
      <c r="G3394">
        <v>4</v>
      </c>
      <c r="H3394">
        <v>743</v>
      </c>
      <c r="I3394">
        <v>700000</v>
      </c>
      <c r="J3394">
        <v>500000</v>
      </c>
      <c r="K3394">
        <v>1200000</v>
      </c>
      <c r="L3394">
        <v>300000</v>
      </c>
      <c r="M3394" t="s">
        <v>34</v>
      </c>
      <c r="N3394">
        <f t="shared" si="313"/>
        <v>1</v>
      </c>
      <c r="O3394" t="str">
        <f t="shared" ref="O3394:O3457" si="318">IF(H3394&lt;650,"Low",
 IF(H3394&lt;700,"Medium",
 IF(H3394&lt;750,"Good","Excellent")))</f>
        <v>Good</v>
      </c>
      <c r="P3394" t="str">
        <f t="shared" si="314"/>
        <v>Middle</v>
      </c>
      <c r="Q3394" t="str">
        <f t="shared" si="315"/>
        <v>Low Loan</v>
      </c>
      <c r="R3394">
        <f t="shared" si="316"/>
        <v>2700000</v>
      </c>
      <c r="S3394" t="str">
        <f t="shared" si="317"/>
        <v>Weak</v>
      </c>
    </row>
    <row r="3395" spans="1:19" x14ac:dyDescent="0.25">
      <c r="A3395">
        <v>3394</v>
      </c>
      <c r="B3395">
        <v>5</v>
      </c>
      <c r="C3395" t="s">
        <v>31</v>
      </c>
      <c r="D3395" t="s">
        <v>32</v>
      </c>
      <c r="E3395">
        <v>300000</v>
      </c>
      <c r="F3395">
        <v>600000</v>
      </c>
      <c r="G3395">
        <v>4</v>
      </c>
      <c r="H3395">
        <v>418</v>
      </c>
      <c r="I3395">
        <v>500000</v>
      </c>
      <c r="J3395">
        <v>200000</v>
      </c>
      <c r="K3395">
        <v>700000</v>
      </c>
      <c r="L3395">
        <v>200000</v>
      </c>
      <c r="M3395" t="s">
        <v>35</v>
      </c>
      <c r="N3395">
        <f t="shared" ref="N3395:N3458" si="319">IF(TRIM(CLEAN(M3395))="Approved",1,0)</f>
        <v>0</v>
      </c>
      <c r="O3395" t="str">
        <f t="shared" si="318"/>
        <v>Low</v>
      </c>
      <c r="P3395" t="str">
        <f t="shared" ref="P3395:P3458" si="320">IF(E3395&lt;300000,"Low",
 IF(E3395&lt;700000,"Middle","High"))</f>
        <v>Middle</v>
      </c>
      <c r="Q3395" t="str">
        <f t="shared" ref="Q3395:Q3458" si="321">IF(F3395&lt;20000000,"Low Loan","High Loan")</f>
        <v>Low Loan</v>
      </c>
      <c r="R3395">
        <f t="shared" ref="R3395:R3458" si="322">I3395+J3395+K3395+L3395</f>
        <v>1600000</v>
      </c>
      <c r="S3395" t="str">
        <f t="shared" ref="S3395:S3458" si="323">IF(R3395&lt;5000000,"Weak",
 IF(R3395&lt;10000000,"Moderate","Strong"))</f>
        <v>Weak</v>
      </c>
    </row>
    <row r="3396" spans="1:19" x14ac:dyDescent="0.25">
      <c r="A3396">
        <v>3395</v>
      </c>
      <c r="B3396">
        <v>1</v>
      </c>
      <c r="C3396" t="s">
        <v>31</v>
      </c>
      <c r="D3396" t="s">
        <v>32</v>
      </c>
      <c r="E3396">
        <v>4200000</v>
      </c>
      <c r="F3396">
        <v>10700000</v>
      </c>
      <c r="G3396">
        <v>6</v>
      </c>
      <c r="H3396">
        <v>466</v>
      </c>
      <c r="I3396">
        <v>7400000</v>
      </c>
      <c r="J3396">
        <v>7000000</v>
      </c>
      <c r="K3396">
        <v>14000000</v>
      </c>
      <c r="L3396">
        <v>4700000</v>
      </c>
      <c r="M3396" t="s">
        <v>35</v>
      </c>
      <c r="N3396">
        <f t="shared" si="319"/>
        <v>0</v>
      </c>
      <c r="O3396" t="str">
        <f t="shared" si="318"/>
        <v>Low</v>
      </c>
      <c r="P3396" t="str">
        <f t="shared" si="320"/>
        <v>High</v>
      </c>
      <c r="Q3396" t="str">
        <f t="shared" si="321"/>
        <v>Low Loan</v>
      </c>
      <c r="R3396">
        <f t="shared" si="322"/>
        <v>33100000</v>
      </c>
      <c r="S3396" t="str">
        <f t="shared" si="323"/>
        <v>Strong</v>
      </c>
    </row>
    <row r="3397" spans="1:19" x14ac:dyDescent="0.25">
      <c r="A3397">
        <v>3396</v>
      </c>
      <c r="B3397">
        <v>2</v>
      </c>
      <c r="C3397" t="s">
        <v>31</v>
      </c>
      <c r="D3397" t="s">
        <v>33</v>
      </c>
      <c r="E3397">
        <v>600000</v>
      </c>
      <c r="F3397">
        <v>2300000</v>
      </c>
      <c r="G3397">
        <v>12</v>
      </c>
      <c r="H3397">
        <v>335</v>
      </c>
      <c r="I3397">
        <v>400000</v>
      </c>
      <c r="J3397">
        <v>900000</v>
      </c>
      <c r="K3397">
        <v>1200000</v>
      </c>
      <c r="L3397">
        <v>400000</v>
      </c>
      <c r="M3397" t="s">
        <v>35</v>
      </c>
      <c r="N3397">
        <f t="shared" si="319"/>
        <v>0</v>
      </c>
      <c r="O3397" t="str">
        <f t="shared" si="318"/>
        <v>Low</v>
      </c>
      <c r="P3397" t="str">
        <f t="shared" si="320"/>
        <v>Middle</v>
      </c>
      <c r="Q3397" t="str">
        <f t="shared" si="321"/>
        <v>Low Loan</v>
      </c>
      <c r="R3397">
        <f t="shared" si="322"/>
        <v>2900000</v>
      </c>
      <c r="S3397" t="str">
        <f t="shared" si="323"/>
        <v>Weak</v>
      </c>
    </row>
    <row r="3398" spans="1:19" x14ac:dyDescent="0.25">
      <c r="A3398">
        <v>3397</v>
      </c>
      <c r="B3398">
        <v>5</v>
      </c>
      <c r="C3398" t="s">
        <v>31</v>
      </c>
      <c r="D3398" t="s">
        <v>33</v>
      </c>
      <c r="E3398">
        <v>4400000</v>
      </c>
      <c r="F3398">
        <v>15200000</v>
      </c>
      <c r="G3398">
        <v>6</v>
      </c>
      <c r="H3398">
        <v>446</v>
      </c>
      <c r="I3398">
        <v>9500000</v>
      </c>
      <c r="J3398">
        <v>2200000</v>
      </c>
      <c r="K3398">
        <v>16700000</v>
      </c>
      <c r="L3398">
        <v>5800000</v>
      </c>
      <c r="M3398" t="s">
        <v>35</v>
      </c>
      <c r="N3398">
        <f t="shared" si="319"/>
        <v>0</v>
      </c>
      <c r="O3398" t="str">
        <f t="shared" si="318"/>
        <v>Low</v>
      </c>
      <c r="P3398" t="str">
        <f t="shared" si="320"/>
        <v>High</v>
      </c>
      <c r="Q3398" t="str">
        <f t="shared" si="321"/>
        <v>Low Loan</v>
      </c>
      <c r="R3398">
        <f t="shared" si="322"/>
        <v>34200000</v>
      </c>
      <c r="S3398" t="str">
        <f t="shared" si="323"/>
        <v>Strong</v>
      </c>
    </row>
    <row r="3399" spans="1:19" x14ac:dyDescent="0.25">
      <c r="A3399">
        <v>3398</v>
      </c>
      <c r="B3399">
        <v>0</v>
      </c>
      <c r="C3399" t="s">
        <v>30</v>
      </c>
      <c r="D3399" t="s">
        <v>33</v>
      </c>
      <c r="E3399">
        <v>9200000</v>
      </c>
      <c r="F3399">
        <v>29400000</v>
      </c>
      <c r="G3399">
        <v>2</v>
      </c>
      <c r="H3399">
        <v>868</v>
      </c>
      <c r="I3399">
        <v>9200000</v>
      </c>
      <c r="J3399">
        <v>13800000</v>
      </c>
      <c r="K3399">
        <v>32000000</v>
      </c>
      <c r="L3399">
        <v>5300000</v>
      </c>
      <c r="M3399" t="s">
        <v>34</v>
      </c>
      <c r="N3399">
        <f t="shared" si="319"/>
        <v>1</v>
      </c>
      <c r="O3399" t="str">
        <f t="shared" si="318"/>
        <v>Excellent</v>
      </c>
      <c r="P3399" t="str">
        <f t="shared" si="320"/>
        <v>High</v>
      </c>
      <c r="Q3399" t="str">
        <f t="shared" si="321"/>
        <v>High Loan</v>
      </c>
      <c r="R3399">
        <f t="shared" si="322"/>
        <v>60300000</v>
      </c>
      <c r="S3399" t="str">
        <f t="shared" si="323"/>
        <v>Strong</v>
      </c>
    </row>
    <row r="3400" spans="1:19" x14ac:dyDescent="0.25">
      <c r="A3400">
        <v>3399</v>
      </c>
      <c r="B3400">
        <v>2</v>
      </c>
      <c r="C3400" t="s">
        <v>30</v>
      </c>
      <c r="D3400" t="s">
        <v>33</v>
      </c>
      <c r="E3400">
        <v>6900000</v>
      </c>
      <c r="F3400">
        <v>25300000</v>
      </c>
      <c r="G3400">
        <v>4</v>
      </c>
      <c r="H3400">
        <v>763</v>
      </c>
      <c r="I3400">
        <v>9000000</v>
      </c>
      <c r="J3400">
        <v>3600000</v>
      </c>
      <c r="K3400">
        <v>21300000</v>
      </c>
      <c r="L3400">
        <v>5500000</v>
      </c>
      <c r="M3400" t="s">
        <v>34</v>
      </c>
      <c r="N3400">
        <f t="shared" si="319"/>
        <v>1</v>
      </c>
      <c r="O3400" t="str">
        <f t="shared" si="318"/>
        <v>Excellent</v>
      </c>
      <c r="P3400" t="str">
        <f t="shared" si="320"/>
        <v>High</v>
      </c>
      <c r="Q3400" t="str">
        <f t="shared" si="321"/>
        <v>High Loan</v>
      </c>
      <c r="R3400">
        <f t="shared" si="322"/>
        <v>39400000</v>
      </c>
      <c r="S3400" t="str">
        <f t="shared" si="323"/>
        <v>Strong</v>
      </c>
    </row>
    <row r="3401" spans="1:19" x14ac:dyDescent="0.25">
      <c r="A3401">
        <v>3400</v>
      </c>
      <c r="B3401">
        <v>5</v>
      </c>
      <c r="C3401" t="s">
        <v>31</v>
      </c>
      <c r="D3401" t="s">
        <v>33</v>
      </c>
      <c r="E3401">
        <v>5100000</v>
      </c>
      <c r="F3401">
        <v>13700000</v>
      </c>
      <c r="G3401">
        <v>14</v>
      </c>
      <c r="H3401">
        <v>527</v>
      </c>
      <c r="I3401">
        <v>12100000</v>
      </c>
      <c r="J3401">
        <v>8900000</v>
      </c>
      <c r="K3401">
        <v>19400000</v>
      </c>
      <c r="L3401">
        <v>4700000</v>
      </c>
      <c r="M3401" t="s">
        <v>35</v>
      </c>
      <c r="N3401">
        <f t="shared" si="319"/>
        <v>0</v>
      </c>
      <c r="O3401" t="str">
        <f t="shared" si="318"/>
        <v>Low</v>
      </c>
      <c r="P3401" t="str">
        <f t="shared" si="320"/>
        <v>High</v>
      </c>
      <c r="Q3401" t="str">
        <f t="shared" si="321"/>
        <v>Low Loan</v>
      </c>
      <c r="R3401">
        <f t="shared" si="322"/>
        <v>45100000</v>
      </c>
      <c r="S3401" t="str">
        <f t="shared" si="323"/>
        <v>Strong</v>
      </c>
    </row>
    <row r="3402" spans="1:19" x14ac:dyDescent="0.25">
      <c r="A3402">
        <v>3401</v>
      </c>
      <c r="B3402">
        <v>4</v>
      </c>
      <c r="C3402" t="s">
        <v>30</v>
      </c>
      <c r="D3402" t="s">
        <v>32</v>
      </c>
      <c r="E3402">
        <v>3400000</v>
      </c>
      <c r="F3402">
        <v>12700000</v>
      </c>
      <c r="G3402">
        <v>2</v>
      </c>
      <c r="H3402">
        <v>741</v>
      </c>
      <c r="I3402">
        <v>3300000</v>
      </c>
      <c r="J3402">
        <v>6100000</v>
      </c>
      <c r="K3402">
        <v>7700000</v>
      </c>
      <c r="L3402">
        <v>3700000</v>
      </c>
      <c r="M3402" t="s">
        <v>34</v>
      </c>
      <c r="N3402">
        <f t="shared" si="319"/>
        <v>1</v>
      </c>
      <c r="O3402" t="str">
        <f t="shared" si="318"/>
        <v>Good</v>
      </c>
      <c r="P3402" t="str">
        <f t="shared" si="320"/>
        <v>High</v>
      </c>
      <c r="Q3402" t="str">
        <f t="shared" si="321"/>
        <v>Low Loan</v>
      </c>
      <c r="R3402">
        <f t="shared" si="322"/>
        <v>20800000</v>
      </c>
      <c r="S3402" t="str">
        <f t="shared" si="323"/>
        <v>Strong</v>
      </c>
    </row>
    <row r="3403" spans="1:19" x14ac:dyDescent="0.25">
      <c r="A3403">
        <v>3402</v>
      </c>
      <c r="B3403">
        <v>4</v>
      </c>
      <c r="C3403" t="s">
        <v>31</v>
      </c>
      <c r="D3403" t="s">
        <v>33</v>
      </c>
      <c r="E3403">
        <v>8600000</v>
      </c>
      <c r="F3403">
        <v>26800000</v>
      </c>
      <c r="G3403">
        <v>12</v>
      </c>
      <c r="H3403">
        <v>802</v>
      </c>
      <c r="I3403">
        <v>7400000</v>
      </c>
      <c r="J3403">
        <v>2800000</v>
      </c>
      <c r="K3403">
        <v>32100000</v>
      </c>
      <c r="L3403">
        <v>11700000</v>
      </c>
      <c r="M3403" t="s">
        <v>34</v>
      </c>
      <c r="N3403">
        <f t="shared" si="319"/>
        <v>1</v>
      </c>
      <c r="O3403" t="str">
        <f t="shared" si="318"/>
        <v>Excellent</v>
      </c>
      <c r="P3403" t="str">
        <f t="shared" si="320"/>
        <v>High</v>
      </c>
      <c r="Q3403" t="str">
        <f t="shared" si="321"/>
        <v>High Loan</v>
      </c>
      <c r="R3403">
        <f t="shared" si="322"/>
        <v>54000000</v>
      </c>
      <c r="S3403" t="str">
        <f t="shared" si="323"/>
        <v>Strong</v>
      </c>
    </row>
    <row r="3404" spans="1:19" x14ac:dyDescent="0.25">
      <c r="A3404">
        <v>3403</v>
      </c>
      <c r="B3404">
        <v>3</v>
      </c>
      <c r="C3404" t="s">
        <v>31</v>
      </c>
      <c r="D3404" t="s">
        <v>33</v>
      </c>
      <c r="E3404">
        <v>9200000</v>
      </c>
      <c r="F3404">
        <v>28900000</v>
      </c>
      <c r="G3404">
        <v>8</v>
      </c>
      <c r="H3404">
        <v>538</v>
      </c>
      <c r="I3404">
        <v>13900000</v>
      </c>
      <c r="J3404">
        <v>8300000</v>
      </c>
      <c r="K3404">
        <v>32400000</v>
      </c>
      <c r="L3404">
        <v>4900000</v>
      </c>
      <c r="M3404" t="s">
        <v>35</v>
      </c>
      <c r="N3404">
        <f t="shared" si="319"/>
        <v>0</v>
      </c>
      <c r="O3404" t="str">
        <f t="shared" si="318"/>
        <v>Low</v>
      </c>
      <c r="P3404" t="str">
        <f t="shared" si="320"/>
        <v>High</v>
      </c>
      <c r="Q3404" t="str">
        <f t="shared" si="321"/>
        <v>High Loan</v>
      </c>
      <c r="R3404">
        <f t="shared" si="322"/>
        <v>59500000</v>
      </c>
      <c r="S3404" t="str">
        <f t="shared" si="323"/>
        <v>Strong</v>
      </c>
    </row>
    <row r="3405" spans="1:19" x14ac:dyDescent="0.25">
      <c r="A3405">
        <v>3404</v>
      </c>
      <c r="B3405">
        <v>5</v>
      </c>
      <c r="C3405" t="s">
        <v>30</v>
      </c>
      <c r="D3405" t="s">
        <v>33</v>
      </c>
      <c r="E3405">
        <v>4800000</v>
      </c>
      <c r="F3405">
        <v>16300000</v>
      </c>
      <c r="G3405">
        <v>4</v>
      </c>
      <c r="H3405">
        <v>523</v>
      </c>
      <c r="I3405">
        <v>8800000</v>
      </c>
      <c r="J3405">
        <v>2300000</v>
      </c>
      <c r="K3405">
        <v>10000000</v>
      </c>
      <c r="L3405">
        <v>2800000</v>
      </c>
      <c r="M3405" t="s">
        <v>34</v>
      </c>
      <c r="N3405">
        <f t="shared" si="319"/>
        <v>1</v>
      </c>
      <c r="O3405" t="str">
        <f t="shared" si="318"/>
        <v>Low</v>
      </c>
      <c r="P3405" t="str">
        <f t="shared" si="320"/>
        <v>High</v>
      </c>
      <c r="Q3405" t="str">
        <f t="shared" si="321"/>
        <v>Low Loan</v>
      </c>
      <c r="R3405">
        <f t="shared" si="322"/>
        <v>23900000</v>
      </c>
      <c r="S3405" t="str">
        <f t="shared" si="323"/>
        <v>Strong</v>
      </c>
    </row>
    <row r="3406" spans="1:19" x14ac:dyDescent="0.25">
      <c r="A3406">
        <v>3405</v>
      </c>
      <c r="B3406">
        <v>4</v>
      </c>
      <c r="C3406" t="s">
        <v>31</v>
      </c>
      <c r="D3406" t="s">
        <v>32</v>
      </c>
      <c r="E3406">
        <v>2800000</v>
      </c>
      <c r="F3406">
        <v>8300000</v>
      </c>
      <c r="G3406">
        <v>14</v>
      </c>
      <c r="H3406">
        <v>381</v>
      </c>
      <c r="I3406">
        <v>3200000</v>
      </c>
      <c r="J3406">
        <v>1100000</v>
      </c>
      <c r="K3406">
        <v>9100000</v>
      </c>
      <c r="L3406">
        <v>1500000</v>
      </c>
      <c r="M3406" t="s">
        <v>35</v>
      </c>
      <c r="N3406">
        <f t="shared" si="319"/>
        <v>0</v>
      </c>
      <c r="O3406" t="str">
        <f t="shared" si="318"/>
        <v>Low</v>
      </c>
      <c r="P3406" t="str">
        <f t="shared" si="320"/>
        <v>High</v>
      </c>
      <c r="Q3406" t="str">
        <f t="shared" si="321"/>
        <v>Low Loan</v>
      </c>
      <c r="R3406">
        <f t="shared" si="322"/>
        <v>14900000</v>
      </c>
      <c r="S3406" t="str">
        <f t="shared" si="323"/>
        <v>Strong</v>
      </c>
    </row>
    <row r="3407" spans="1:19" x14ac:dyDescent="0.25">
      <c r="A3407">
        <v>3406</v>
      </c>
      <c r="B3407">
        <v>1</v>
      </c>
      <c r="C3407" t="s">
        <v>30</v>
      </c>
      <c r="D3407" t="s">
        <v>33</v>
      </c>
      <c r="E3407">
        <v>3400000</v>
      </c>
      <c r="F3407">
        <v>7000000</v>
      </c>
      <c r="G3407">
        <v>4</v>
      </c>
      <c r="H3407">
        <v>534</v>
      </c>
      <c r="I3407">
        <v>3100000</v>
      </c>
      <c r="J3407">
        <v>1600000</v>
      </c>
      <c r="K3407">
        <v>13000000</v>
      </c>
      <c r="L3407">
        <v>4000000</v>
      </c>
      <c r="M3407" t="s">
        <v>35</v>
      </c>
      <c r="N3407">
        <f t="shared" si="319"/>
        <v>0</v>
      </c>
      <c r="O3407" t="str">
        <f t="shared" si="318"/>
        <v>Low</v>
      </c>
      <c r="P3407" t="str">
        <f t="shared" si="320"/>
        <v>High</v>
      </c>
      <c r="Q3407" t="str">
        <f t="shared" si="321"/>
        <v>Low Loan</v>
      </c>
      <c r="R3407">
        <f t="shared" si="322"/>
        <v>21700000</v>
      </c>
      <c r="S3407" t="str">
        <f t="shared" si="323"/>
        <v>Strong</v>
      </c>
    </row>
    <row r="3408" spans="1:19" x14ac:dyDescent="0.25">
      <c r="A3408">
        <v>3407</v>
      </c>
      <c r="B3408">
        <v>5</v>
      </c>
      <c r="C3408" t="s">
        <v>31</v>
      </c>
      <c r="D3408" t="s">
        <v>33</v>
      </c>
      <c r="E3408">
        <v>800000</v>
      </c>
      <c r="F3408">
        <v>2200000</v>
      </c>
      <c r="G3408">
        <v>14</v>
      </c>
      <c r="H3408">
        <v>574</v>
      </c>
      <c r="I3408">
        <v>2200000</v>
      </c>
      <c r="J3408">
        <v>1200000</v>
      </c>
      <c r="K3408">
        <v>1700000</v>
      </c>
      <c r="L3408">
        <v>1100000</v>
      </c>
      <c r="M3408" t="s">
        <v>34</v>
      </c>
      <c r="N3408">
        <f t="shared" si="319"/>
        <v>1</v>
      </c>
      <c r="O3408" t="str">
        <f t="shared" si="318"/>
        <v>Low</v>
      </c>
      <c r="P3408" t="str">
        <f t="shared" si="320"/>
        <v>High</v>
      </c>
      <c r="Q3408" t="str">
        <f t="shared" si="321"/>
        <v>Low Loan</v>
      </c>
      <c r="R3408">
        <f t="shared" si="322"/>
        <v>6200000</v>
      </c>
      <c r="S3408" t="str">
        <f t="shared" si="323"/>
        <v>Moderate</v>
      </c>
    </row>
    <row r="3409" spans="1:19" x14ac:dyDescent="0.25">
      <c r="A3409">
        <v>3408</v>
      </c>
      <c r="B3409">
        <v>1</v>
      </c>
      <c r="C3409" t="s">
        <v>31</v>
      </c>
      <c r="D3409" t="s">
        <v>32</v>
      </c>
      <c r="E3409">
        <v>4100000</v>
      </c>
      <c r="F3409">
        <v>11100000</v>
      </c>
      <c r="G3409">
        <v>6</v>
      </c>
      <c r="H3409">
        <v>405</v>
      </c>
      <c r="I3409">
        <v>12000000</v>
      </c>
      <c r="J3409">
        <v>2900000</v>
      </c>
      <c r="K3409">
        <v>9000000</v>
      </c>
      <c r="L3409">
        <v>5900000</v>
      </c>
      <c r="M3409" t="s">
        <v>35</v>
      </c>
      <c r="N3409">
        <f t="shared" si="319"/>
        <v>0</v>
      </c>
      <c r="O3409" t="str">
        <f t="shared" si="318"/>
        <v>Low</v>
      </c>
      <c r="P3409" t="str">
        <f t="shared" si="320"/>
        <v>High</v>
      </c>
      <c r="Q3409" t="str">
        <f t="shared" si="321"/>
        <v>Low Loan</v>
      </c>
      <c r="R3409">
        <f t="shared" si="322"/>
        <v>29800000</v>
      </c>
      <c r="S3409" t="str">
        <f t="shared" si="323"/>
        <v>Strong</v>
      </c>
    </row>
    <row r="3410" spans="1:19" x14ac:dyDescent="0.25">
      <c r="A3410">
        <v>3409</v>
      </c>
      <c r="B3410">
        <v>0</v>
      </c>
      <c r="C3410" t="s">
        <v>31</v>
      </c>
      <c r="D3410" t="s">
        <v>32</v>
      </c>
      <c r="E3410">
        <v>1900000</v>
      </c>
      <c r="F3410">
        <v>3800000</v>
      </c>
      <c r="G3410">
        <v>16</v>
      </c>
      <c r="H3410">
        <v>542</v>
      </c>
      <c r="I3410">
        <v>800000</v>
      </c>
      <c r="J3410">
        <v>500000</v>
      </c>
      <c r="K3410">
        <v>4000000</v>
      </c>
      <c r="L3410">
        <v>2100000</v>
      </c>
      <c r="M3410" t="s">
        <v>35</v>
      </c>
      <c r="N3410">
        <f t="shared" si="319"/>
        <v>0</v>
      </c>
      <c r="O3410" t="str">
        <f t="shared" si="318"/>
        <v>Low</v>
      </c>
      <c r="P3410" t="str">
        <f t="shared" si="320"/>
        <v>High</v>
      </c>
      <c r="Q3410" t="str">
        <f t="shared" si="321"/>
        <v>Low Loan</v>
      </c>
      <c r="R3410">
        <f t="shared" si="322"/>
        <v>7400000</v>
      </c>
      <c r="S3410" t="str">
        <f t="shared" si="323"/>
        <v>Moderate</v>
      </c>
    </row>
    <row r="3411" spans="1:19" x14ac:dyDescent="0.25">
      <c r="A3411">
        <v>3410</v>
      </c>
      <c r="B3411">
        <v>5</v>
      </c>
      <c r="C3411" t="s">
        <v>30</v>
      </c>
      <c r="D3411" t="s">
        <v>33</v>
      </c>
      <c r="E3411">
        <v>6700000</v>
      </c>
      <c r="F3411">
        <v>25400000</v>
      </c>
      <c r="G3411">
        <v>14</v>
      </c>
      <c r="H3411">
        <v>820</v>
      </c>
      <c r="I3411">
        <v>10300000</v>
      </c>
      <c r="J3411">
        <v>8100000</v>
      </c>
      <c r="K3411">
        <v>18500000</v>
      </c>
      <c r="L3411">
        <v>3900000</v>
      </c>
      <c r="M3411" t="s">
        <v>34</v>
      </c>
      <c r="N3411">
        <f t="shared" si="319"/>
        <v>1</v>
      </c>
      <c r="O3411" t="str">
        <f t="shared" si="318"/>
        <v>Excellent</v>
      </c>
      <c r="P3411" t="str">
        <f t="shared" si="320"/>
        <v>High</v>
      </c>
      <c r="Q3411" t="str">
        <f t="shared" si="321"/>
        <v>High Loan</v>
      </c>
      <c r="R3411">
        <f t="shared" si="322"/>
        <v>40800000</v>
      </c>
      <c r="S3411" t="str">
        <f t="shared" si="323"/>
        <v>Strong</v>
      </c>
    </row>
    <row r="3412" spans="1:19" x14ac:dyDescent="0.25">
      <c r="A3412">
        <v>3411</v>
      </c>
      <c r="B3412">
        <v>0</v>
      </c>
      <c r="C3412" t="s">
        <v>30</v>
      </c>
      <c r="D3412" t="s">
        <v>32</v>
      </c>
      <c r="E3412">
        <v>5200000</v>
      </c>
      <c r="F3412">
        <v>13400000</v>
      </c>
      <c r="G3412">
        <v>2</v>
      </c>
      <c r="H3412">
        <v>505</v>
      </c>
      <c r="I3412">
        <v>12000000</v>
      </c>
      <c r="J3412">
        <v>7900000</v>
      </c>
      <c r="K3412">
        <v>20400000</v>
      </c>
      <c r="L3412">
        <v>6200000</v>
      </c>
      <c r="M3412" t="s">
        <v>35</v>
      </c>
      <c r="N3412">
        <f t="shared" si="319"/>
        <v>0</v>
      </c>
      <c r="O3412" t="str">
        <f t="shared" si="318"/>
        <v>Low</v>
      </c>
      <c r="P3412" t="str">
        <f t="shared" si="320"/>
        <v>High</v>
      </c>
      <c r="Q3412" t="str">
        <f t="shared" si="321"/>
        <v>Low Loan</v>
      </c>
      <c r="R3412">
        <f t="shared" si="322"/>
        <v>46500000</v>
      </c>
      <c r="S3412" t="str">
        <f t="shared" si="323"/>
        <v>Strong</v>
      </c>
    </row>
    <row r="3413" spans="1:19" x14ac:dyDescent="0.25">
      <c r="A3413">
        <v>3412</v>
      </c>
      <c r="B3413">
        <v>3</v>
      </c>
      <c r="C3413" t="s">
        <v>30</v>
      </c>
      <c r="D3413" t="s">
        <v>33</v>
      </c>
      <c r="E3413">
        <v>6700000</v>
      </c>
      <c r="F3413">
        <v>16400000</v>
      </c>
      <c r="G3413">
        <v>2</v>
      </c>
      <c r="H3413">
        <v>508</v>
      </c>
      <c r="I3413">
        <v>4400000</v>
      </c>
      <c r="J3413">
        <v>10900000</v>
      </c>
      <c r="K3413">
        <v>25300000</v>
      </c>
      <c r="L3413">
        <v>9200000</v>
      </c>
      <c r="M3413" t="s">
        <v>35</v>
      </c>
      <c r="N3413">
        <f t="shared" si="319"/>
        <v>0</v>
      </c>
      <c r="O3413" t="str">
        <f t="shared" si="318"/>
        <v>Low</v>
      </c>
      <c r="P3413" t="str">
        <f t="shared" si="320"/>
        <v>High</v>
      </c>
      <c r="Q3413" t="str">
        <f t="shared" si="321"/>
        <v>Low Loan</v>
      </c>
      <c r="R3413">
        <f t="shared" si="322"/>
        <v>49800000</v>
      </c>
      <c r="S3413" t="str">
        <f t="shared" si="323"/>
        <v>Strong</v>
      </c>
    </row>
    <row r="3414" spans="1:19" x14ac:dyDescent="0.25">
      <c r="A3414">
        <v>3413</v>
      </c>
      <c r="B3414">
        <v>1</v>
      </c>
      <c r="C3414" t="s">
        <v>31</v>
      </c>
      <c r="D3414" t="s">
        <v>33</v>
      </c>
      <c r="E3414">
        <v>4700000</v>
      </c>
      <c r="F3414">
        <v>15000000</v>
      </c>
      <c r="G3414">
        <v>20</v>
      </c>
      <c r="H3414">
        <v>835</v>
      </c>
      <c r="I3414">
        <v>2100000</v>
      </c>
      <c r="J3414">
        <v>2500000</v>
      </c>
      <c r="K3414">
        <v>10100000</v>
      </c>
      <c r="L3414">
        <v>3800000</v>
      </c>
      <c r="M3414" t="s">
        <v>34</v>
      </c>
      <c r="N3414">
        <f t="shared" si="319"/>
        <v>1</v>
      </c>
      <c r="O3414" t="str">
        <f t="shared" si="318"/>
        <v>Excellent</v>
      </c>
      <c r="P3414" t="str">
        <f t="shared" si="320"/>
        <v>High</v>
      </c>
      <c r="Q3414" t="str">
        <f t="shared" si="321"/>
        <v>Low Loan</v>
      </c>
      <c r="R3414">
        <f t="shared" si="322"/>
        <v>18500000</v>
      </c>
      <c r="S3414" t="str">
        <f t="shared" si="323"/>
        <v>Strong</v>
      </c>
    </row>
    <row r="3415" spans="1:19" x14ac:dyDescent="0.25">
      <c r="A3415">
        <v>3414</v>
      </c>
      <c r="B3415">
        <v>0</v>
      </c>
      <c r="C3415" t="s">
        <v>31</v>
      </c>
      <c r="D3415" t="s">
        <v>32</v>
      </c>
      <c r="E3415">
        <v>6000000</v>
      </c>
      <c r="F3415">
        <v>22000000</v>
      </c>
      <c r="G3415">
        <v>12</v>
      </c>
      <c r="H3415">
        <v>826</v>
      </c>
      <c r="I3415">
        <v>1400000</v>
      </c>
      <c r="J3415">
        <v>2000000</v>
      </c>
      <c r="K3415">
        <v>14100000</v>
      </c>
      <c r="L3415">
        <v>7000000</v>
      </c>
      <c r="M3415" t="s">
        <v>34</v>
      </c>
      <c r="N3415">
        <f t="shared" si="319"/>
        <v>1</v>
      </c>
      <c r="O3415" t="str">
        <f t="shared" si="318"/>
        <v>Excellent</v>
      </c>
      <c r="P3415" t="str">
        <f t="shared" si="320"/>
        <v>High</v>
      </c>
      <c r="Q3415" t="str">
        <f t="shared" si="321"/>
        <v>High Loan</v>
      </c>
      <c r="R3415">
        <f t="shared" si="322"/>
        <v>24500000</v>
      </c>
      <c r="S3415" t="str">
        <f t="shared" si="323"/>
        <v>Strong</v>
      </c>
    </row>
    <row r="3416" spans="1:19" x14ac:dyDescent="0.25">
      <c r="A3416">
        <v>3415</v>
      </c>
      <c r="B3416">
        <v>5</v>
      </c>
      <c r="C3416" t="s">
        <v>31</v>
      </c>
      <c r="D3416" t="s">
        <v>33</v>
      </c>
      <c r="E3416">
        <v>6500000</v>
      </c>
      <c r="F3416">
        <v>18900000</v>
      </c>
      <c r="G3416">
        <v>12</v>
      </c>
      <c r="H3416">
        <v>427</v>
      </c>
      <c r="I3416">
        <v>5100000</v>
      </c>
      <c r="J3416">
        <v>1900000</v>
      </c>
      <c r="K3416">
        <v>18200000</v>
      </c>
      <c r="L3416">
        <v>7800000</v>
      </c>
      <c r="M3416" t="s">
        <v>35</v>
      </c>
      <c r="N3416">
        <f t="shared" si="319"/>
        <v>0</v>
      </c>
      <c r="O3416" t="str">
        <f t="shared" si="318"/>
        <v>Low</v>
      </c>
      <c r="P3416" t="str">
        <f t="shared" si="320"/>
        <v>High</v>
      </c>
      <c r="Q3416" t="str">
        <f t="shared" si="321"/>
        <v>Low Loan</v>
      </c>
      <c r="R3416">
        <f t="shared" si="322"/>
        <v>33000000</v>
      </c>
      <c r="S3416" t="str">
        <f t="shared" si="323"/>
        <v>Strong</v>
      </c>
    </row>
    <row r="3417" spans="1:19" x14ac:dyDescent="0.25">
      <c r="A3417">
        <v>3416</v>
      </c>
      <c r="B3417">
        <v>3</v>
      </c>
      <c r="C3417" t="s">
        <v>30</v>
      </c>
      <c r="D3417" t="s">
        <v>32</v>
      </c>
      <c r="E3417">
        <v>500000</v>
      </c>
      <c r="F3417">
        <v>2000000</v>
      </c>
      <c r="G3417">
        <v>12</v>
      </c>
      <c r="H3417">
        <v>890</v>
      </c>
      <c r="I3417">
        <v>800000</v>
      </c>
      <c r="J3417">
        <v>700000</v>
      </c>
      <c r="K3417">
        <v>1800000</v>
      </c>
      <c r="L3417">
        <v>400000</v>
      </c>
      <c r="M3417" t="s">
        <v>34</v>
      </c>
      <c r="N3417">
        <f t="shared" si="319"/>
        <v>1</v>
      </c>
      <c r="O3417" t="str">
        <f t="shared" si="318"/>
        <v>Excellent</v>
      </c>
      <c r="P3417" t="str">
        <f t="shared" si="320"/>
        <v>Middle</v>
      </c>
      <c r="Q3417" t="str">
        <f t="shared" si="321"/>
        <v>Low Loan</v>
      </c>
      <c r="R3417">
        <f t="shared" si="322"/>
        <v>3700000</v>
      </c>
      <c r="S3417" t="str">
        <f t="shared" si="323"/>
        <v>Weak</v>
      </c>
    </row>
    <row r="3418" spans="1:19" x14ac:dyDescent="0.25">
      <c r="A3418">
        <v>3417</v>
      </c>
      <c r="B3418">
        <v>4</v>
      </c>
      <c r="C3418" t="s">
        <v>31</v>
      </c>
      <c r="D3418" t="s">
        <v>32</v>
      </c>
      <c r="E3418">
        <v>5700000</v>
      </c>
      <c r="F3418">
        <v>13300000</v>
      </c>
      <c r="G3418">
        <v>2</v>
      </c>
      <c r="H3418">
        <v>333</v>
      </c>
      <c r="I3418">
        <v>9400000</v>
      </c>
      <c r="J3418">
        <v>3000000</v>
      </c>
      <c r="K3418">
        <v>11800000</v>
      </c>
      <c r="L3418">
        <v>8200000</v>
      </c>
      <c r="M3418" t="s">
        <v>35</v>
      </c>
      <c r="N3418">
        <f t="shared" si="319"/>
        <v>0</v>
      </c>
      <c r="O3418" t="str">
        <f t="shared" si="318"/>
        <v>Low</v>
      </c>
      <c r="P3418" t="str">
        <f t="shared" si="320"/>
        <v>High</v>
      </c>
      <c r="Q3418" t="str">
        <f t="shared" si="321"/>
        <v>Low Loan</v>
      </c>
      <c r="R3418">
        <f t="shared" si="322"/>
        <v>32400000</v>
      </c>
      <c r="S3418" t="str">
        <f t="shared" si="323"/>
        <v>Strong</v>
      </c>
    </row>
    <row r="3419" spans="1:19" x14ac:dyDescent="0.25">
      <c r="A3419">
        <v>3418</v>
      </c>
      <c r="B3419">
        <v>4</v>
      </c>
      <c r="C3419" t="s">
        <v>31</v>
      </c>
      <c r="D3419" t="s">
        <v>33</v>
      </c>
      <c r="E3419">
        <v>6800000</v>
      </c>
      <c r="F3419">
        <v>20000000</v>
      </c>
      <c r="G3419">
        <v>12</v>
      </c>
      <c r="H3419">
        <v>679</v>
      </c>
      <c r="I3419">
        <v>20200000</v>
      </c>
      <c r="J3419">
        <v>10900000</v>
      </c>
      <c r="K3419">
        <v>26900000</v>
      </c>
      <c r="L3419">
        <v>6600000</v>
      </c>
      <c r="M3419" t="s">
        <v>34</v>
      </c>
      <c r="N3419">
        <f t="shared" si="319"/>
        <v>1</v>
      </c>
      <c r="O3419" t="str">
        <f t="shared" si="318"/>
        <v>Medium</v>
      </c>
      <c r="P3419" t="str">
        <f t="shared" si="320"/>
        <v>High</v>
      </c>
      <c r="Q3419" t="str">
        <f t="shared" si="321"/>
        <v>High Loan</v>
      </c>
      <c r="R3419">
        <f t="shared" si="322"/>
        <v>64600000</v>
      </c>
      <c r="S3419" t="str">
        <f t="shared" si="323"/>
        <v>Strong</v>
      </c>
    </row>
    <row r="3420" spans="1:19" x14ac:dyDescent="0.25">
      <c r="A3420">
        <v>3419</v>
      </c>
      <c r="B3420">
        <v>5</v>
      </c>
      <c r="C3420" t="s">
        <v>31</v>
      </c>
      <c r="D3420" t="s">
        <v>32</v>
      </c>
      <c r="E3420">
        <v>3100000</v>
      </c>
      <c r="F3420">
        <v>12300000</v>
      </c>
      <c r="G3420">
        <v>18</v>
      </c>
      <c r="H3420">
        <v>805</v>
      </c>
      <c r="I3420">
        <v>4900000</v>
      </c>
      <c r="J3420">
        <v>1900000</v>
      </c>
      <c r="K3420">
        <v>6100000</v>
      </c>
      <c r="L3420">
        <v>2800000</v>
      </c>
      <c r="M3420" t="s">
        <v>34</v>
      </c>
      <c r="N3420">
        <f t="shared" si="319"/>
        <v>1</v>
      </c>
      <c r="O3420" t="str">
        <f t="shared" si="318"/>
        <v>Excellent</v>
      </c>
      <c r="P3420" t="str">
        <f t="shared" si="320"/>
        <v>High</v>
      </c>
      <c r="Q3420" t="str">
        <f t="shared" si="321"/>
        <v>Low Loan</v>
      </c>
      <c r="R3420">
        <f t="shared" si="322"/>
        <v>15700000</v>
      </c>
      <c r="S3420" t="str">
        <f t="shared" si="323"/>
        <v>Strong</v>
      </c>
    </row>
    <row r="3421" spans="1:19" x14ac:dyDescent="0.25">
      <c r="A3421">
        <v>3420</v>
      </c>
      <c r="B3421">
        <v>3</v>
      </c>
      <c r="C3421" t="s">
        <v>31</v>
      </c>
      <c r="D3421" t="s">
        <v>32</v>
      </c>
      <c r="E3421">
        <v>5100000</v>
      </c>
      <c r="F3421">
        <v>11000000</v>
      </c>
      <c r="G3421">
        <v>16</v>
      </c>
      <c r="H3421">
        <v>826</v>
      </c>
      <c r="I3421">
        <v>11800000</v>
      </c>
      <c r="J3421">
        <v>2900000</v>
      </c>
      <c r="K3421">
        <v>12900000</v>
      </c>
      <c r="L3421">
        <v>2700000</v>
      </c>
      <c r="M3421" t="s">
        <v>34</v>
      </c>
      <c r="N3421">
        <f t="shared" si="319"/>
        <v>1</v>
      </c>
      <c r="O3421" t="str">
        <f t="shared" si="318"/>
        <v>Excellent</v>
      </c>
      <c r="P3421" t="str">
        <f t="shared" si="320"/>
        <v>High</v>
      </c>
      <c r="Q3421" t="str">
        <f t="shared" si="321"/>
        <v>Low Loan</v>
      </c>
      <c r="R3421">
        <f t="shared" si="322"/>
        <v>30300000</v>
      </c>
      <c r="S3421" t="str">
        <f t="shared" si="323"/>
        <v>Strong</v>
      </c>
    </row>
    <row r="3422" spans="1:19" x14ac:dyDescent="0.25">
      <c r="A3422">
        <v>3421</v>
      </c>
      <c r="B3422">
        <v>1</v>
      </c>
      <c r="C3422" t="s">
        <v>31</v>
      </c>
      <c r="D3422" t="s">
        <v>33</v>
      </c>
      <c r="E3422">
        <v>6300000</v>
      </c>
      <c r="F3422">
        <v>23900000</v>
      </c>
      <c r="G3422">
        <v>10</v>
      </c>
      <c r="H3422">
        <v>844</v>
      </c>
      <c r="I3422">
        <v>16300000</v>
      </c>
      <c r="J3422">
        <v>4900000</v>
      </c>
      <c r="K3422">
        <v>16800000</v>
      </c>
      <c r="L3422">
        <v>4500000</v>
      </c>
      <c r="M3422" t="s">
        <v>34</v>
      </c>
      <c r="N3422">
        <f t="shared" si="319"/>
        <v>1</v>
      </c>
      <c r="O3422" t="str">
        <f t="shared" si="318"/>
        <v>Excellent</v>
      </c>
      <c r="P3422" t="str">
        <f t="shared" si="320"/>
        <v>High</v>
      </c>
      <c r="Q3422" t="str">
        <f t="shared" si="321"/>
        <v>High Loan</v>
      </c>
      <c r="R3422">
        <f t="shared" si="322"/>
        <v>42500000</v>
      </c>
      <c r="S3422" t="str">
        <f t="shared" si="323"/>
        <v>Strong</v>
      </c>
    </row>
    <row r="3423" spans="1:19" x14ac:dyDescent="0.25">
      <c r="A3423">
        <v>3422</v>
      </c>
      <c r="B3423">
        <v>5</v>
      </c>
      <c r="C3423" t="s">
        <v>30</v>
      </c>
      <c r="D3423" t="s">
        <v>33</v>
      </c>
      <c r="E3423">
        <v>4400000</v>
      </c>
      <c r="F3423">
        <v>14100000</v>
      </c>
      <c r="G3423">
        <v>10</v>
      </c>
      <c r="H3423">
        <v>663</v>
      </c>
      <c r="I3423">
        <v>5300000</v>
      </c>
      <c r="J3423">
        <v>4900000</v>
      </c>
      <c r="K3423">
        <v>17500000</v>
      </c>
      <c r="L3423">
        <v>2600000</v>
      </c>
      <c r="M3423" t="s">
        <v>34</v>
      </c>
      <c r="N3423">
        <f t="shared" si="319"/>
        <v>1</v>
      </c>
      <c r="O3423" t="str">
        <f t="shared" si="318"/>
        <v>Medium</v>
      </c>
      <c r="P3423" t="str">
        <f t="shared" si="320"/>
        <v>High</v>
      </c>
      <c r="Q3423" t="str">
        <f t="shared" si="321"/>
        <v>Low Loan</v>
      </c>
      <c r="R3423">
        <f t="shared" si="322"/>
        <v>30300000</v>
      </c>
      <c r="S3423" t="str">
        <f t="shared" si="323"/>
        <v>Strong</v>
      </c>
    </row>
    <row r="3424" spans="1:19" x14ac:dyDescent="0.25">
      <c r="A3424">
        <v>3423</v>
      </c>
      <c r="B3424">
        <v>1</v>
      </c>
      <c r="C3424" t="s">
        <v>31</v>
      </c>
      <c r="D3424" t="s">
        <v>32</v>
      </c>
      <c r="E3424">
        <v>8100000</v>
      </c>
      <c r="F3424">
        <v>21900000</v>
      </c>
      <c r="G3424">
        <v>6</v>
      </c>
      <c r="H3424">
        <v>884</v>
      </c>
      <c r="I3424">
        <v>15100000</v>
      </c>
      <c r="J3424">
        <v>5400000</v>
      </c>
      <c r="K3424">
        <v>27500000</v>
      </c>
      <c r="L3424">
        <v>6600000</v>
      </c>
      <c r="M3424" t="s">
        <v>34</v>
      </c>
      <c r="N3424">
        <f t="shared" si="319"/>
        <v>1</v>
      </c>
      <c r="O3424" t="str">
        <f t="shared" si="318"/>
        <v>Excellent</v>
      </c>
      <c r="P3424" t="str">
        <f t="shared" si="320"/>
        <v>High</v>
      </c>
      <c r="Q3424" t="str">
        <f t="shared" si="321"/>
        <v>High Loan</v>
      </c>
      <c r="R3424">
        <f t="shared" si="322"/>
        <v>54600000</v>
      </c>
      <c r="S3424" t="str">
        <f t="shared" si="323"/>
        <v>Strong</v>
      </c>
    </row>
    <row r="3425" spans="1:19" x14ac:dyDescent="0.25">
      <c r="A3425">
        <v>3424</v>
      </c>
      <c r="B3425">
        <v>1</v>
      </c>
      <c r="C3425" t="s">
        <v>31</v>
      </c>
      <c r="D3425" t="s">
        <v>32</v>
      </c>
      <c r="E3425">
        <v>1100000</v>
      </c>
      <c r="F3425">
        <v>3700000</v>
      </c>
      <c r="G3425">
        <v>2</v>
      </c>
      <c r="H3425">
        <v>508</v>
      </c>
      <c r="I3425">
        <v>200000</v>
      </c>
      <c r="J3425">
        <v>0</v>
      </c>
      <c r="K3425">
        <v>2200000</v>
      </c>
      <c r="L3425">
        <v>1300000</v>
      </c>
      <c r="M3425" t="s">
        <v>34</v>
      </c>
      <c r="N3425">
        <f t="shared" si="319"/>
        <v>1</v>
      </c>
      <c r="O3425" t="str">
        <f t="shared" si="318"/>
        <v>Low</v>
      </c>
      <c r="P3425" t="str">
        <f t="shared" si="320"/>
        <v>High</v>
      </c>
      <c r="Q3425" t="str">
        <f t="shared" si="321"/>
        <v>Low Loan</v>
      </c>
      <c r="R3425">
        <f t="shared" si="322"/>
        <v>3700000</v>
      </c>
      <c r="S3425" t="str">
        <f t="shared" si="323"/>
        <v>Weak</v>
      </c>
    </row>
    <row r="3426" spans="1:19" x14ac:dyDescent="0.25">
      <c r="A3426">
        <v>3425</v>
      </c>
      <c r="B3426">
        <v>0</v>
      </c>
      <c r="C3426" t="s">
        <v>30</v>
      </c>
      <c r="D3426" t="s">
        <v>33</v>
      </c>
      <c r="E3426">
        <v>2400000</v>
      </c>
      <c r="F3426">
        <v>6900000</v>
      </c>
      <c r="G3426">
        <v>4</v>
      </c>
      <c r="H3426">
        <v>581</v>
      </c>
      <c r="I3426">
        <v>5100000</v>
      </c>
      <c r="J3426">
        <v>4500000</v>
      </c>
      <c r="K3426">
        <v>6000000</v>
      </c>
      <c r="L3426">
        <v>3400000</v>
      </c>
      <c r="M3426" t="s">
        <v>34</v>
      </c>
      <c r="N3426">
        <f t="shared" si="319"/>
        <v>1</v>
      </c>
      <c r="O3426" t="str">
        <f t="shared" si="318"/>
        <v>Low</v>
      </c>
      <c r="P3426" t="str">
        <f t="shared" si="320"/>
        <v>High</v>
      </c>
      <c r="Q3426" t="str">
        <f t="shared" si="321"/>
        <v>Low Loan</v>
      </c>
      <c r="R3426">
        <f t="shared" si="322"/>
        <v>19000000</v>
      </c>
      <c r="S3426" t="str">
        <f t="shared" si="323"/>
        <v>Strong</v>
      </c>
    </row>
    <row r="3427" spans="1:19" x14ac:dyDescent="0.25">
      <c r="A3427">
        <v>3426</v>
      </c>
      <c r="B3427">
        <v>3</v>
      </c>
      <c r="C3427" t="s">
        <v>30</v>
      </c>
      <c r="D3427" t="s">
        <v>33</v>
      </c>
      <c r="E3427">
        <v>7000000</v>
      </c>
      <c r="F3427">
        <v>26300000</v>
      </c>
      <c r="G3427">
        <v>12</v>
      </c>
      <c r="H3427">
        <v>481</v>
      </c>
      <c r="I3427">
        <v>14300000</v>
      </c>
      <c r="J3427">
        <v>12800000</v>
      </c>
      <c r="K3427">
        <v>15100000</v>
      </c>
      <c r="L3427">
        <v>9900000</v>
      </c>
      <c r="M3427" t="s">
        <v>35</v>
      </c>
      <c r="N3427">
        <f t="shared" si="319"/>
        <v>0</v>
      </c>
      <c r="O3427" t="str">
        <f t="shared" si="318"/>
        <v>Low</v>
      </c>
      <c r="P3427" t="str">
        <f t="shared" si="320"/>
        <v>High</v>
      </c>
      <c r="Q3427" t="str">
        <f t="shared" si="321"/>
        <v>High Loan</v>
      </c>
      <c r="R3427">
        <f t="shared" si="322"/>
        <v>52100000</v>
      </c>
      <c r="S3427" t="str">
        <f t="shared" si="323"/>
        <v>Strong</v>
      </c>
    </row>
    <row r="3428" spans="1:19" x14ac:dyDescent="0.25">
      <c r="A3428">
        <v>3427</v>
      </c>
      <c r="B3428">
        <v>1</v>
      </c>
      <c r="C3428" t="s">
        <v>30</v>
      </c>
      <c r="D3428" t="s">
        <v>33</v>
      </c>
      <c r="E3428">
        <v>8700000</v>
      </c>
      <c r="F3428">
        <v>30000000</v>
      </c>
      <c r="G3428">
        <v>12</v>
      </c>
      <c r="H3428">
        <v>543</v>
      </c>
      <c r="I3428">
        <v>21900000</v>
      </c>
      <c r="J3428">
        <v>12700000</v>
      </c>
      <c r="K3428">
        <v>30600000</v>
      </c>
      <c r="L3428">
        <v>12700000</v>
      </c>
      <c r="M3428" t="s">
        <v>35</v>
      </c>
      <c r="N3428">
        <f t="shared" si="319"/>
        <v>0</v>
      </c>
      <c r="O3428" t="str">
        <f t="shared" si="318"/>
        <v>Low</v>
      </c>
      <c r="P3428" t="str">
        <f t="shared" si="320"/>
        <v>High</v>
      </c>
      <c r="Q3428" t="str">
        <f t="shared" si="321"/>
        <v>High Loan</v>
      </c>
      <c r="R3428">
        <f t="shared" si="322"/>
        <v>77900000</v>
      </c>
      <c r="S3428" t="str">
        <f t="shared" si="323"/>
        <v>Strong</v>
      </c>
    </row>
    <row r="3429" spans="1:19" x14ac:dyDescent="0.25">
      <c r="A3429">
        <v>3428</v>
      </c>
      <c r="B3429">
        <v>0</v>
      </c>
      <c r="C3429" t="s">
        <v>31</v>
      </c>
      <c r="D3429" t="s">
        <v>33</v>
      </c>
      <c r="E3429">
        <v>3500000</v>
      </c>
      <c r="F3429">
        <v>12600000</v>
      </c>
      <c r="G3429">
        <v>10</v>
      </c>
      <c r="H3429">
        <v>448</v>
      </c>
      <c r="I3429">
        <v>1200000</v>
      </c>
      <c r="J3429">
        <v>2500000</v>
      </c>
      <c r="K3429">
        <v>10400000</v>
      </c>
      <c r="L3429">
        <v>3600000</v>
      </c>
      <c r="M3429" t="s">
        <v>35</v>
      </c>
      <c r="N3429">
        <f t="shared" si="319"/>
        <v>0</v>
      </c>
      <c r="O3429" t="str">
        <f t="shared" si="318"/>
        <v>Low</v>
      </c>
      <c r="P3429" t="str">
        <f t="shared" si="320"/>
        <v>High</v>
      </c>
      <c r="Q3429" t="str">
        <f t="shared" si="321"/>
        <v>Low Loan</v>
      </c>
      <c r="R3429">
        <f t="shared" si="322"/>
        <v>17700000</v>
      </c>
      <c r="S3429" t="str">
        <f t="shared" si="323"/>
        <v>Strong</v>
      </c>
    </row>
    <row r="3430" spans="1:19" x14ac:dyDescent="0.25">
      <c r="A3430">
        <v>3429</v>
      </c>
      <c r="B3430">
        <v>1</v>
      </c>
      <c r="C3430" t="s">
        <v>30</v>
      </c>
      <c r="D3430" t="s">
        <v>33</v>
      </c>
      <c r="E3430">
        <v>1600000</v>
      </c>
      <c r="F3430">
        <v>5300000</v>
      </c>
      <c r="G3430">
        <v>4</v>
      </c>
      <c r="H3430">
        <v>713</v>
      </c>
      <c r="I3430">
        <v>1400000</v>
      </c>
      <c r="J3430">
        <v>1400000</v>
      </c>
      <c r="K3430">
        <v>4900000</v>
      </c>
      <c r="L3430">
        <v>1300000</v>
      </c>
      <c r="M3430" t="s">
        <v>34</v>
      </c>
      <c r="N3430">
        <f t="shared" si="319"/>
        <v>1</v>
      </c>
      <c r="O3430" t="str">
        <f t="shared" si="318"/>
        <v>Good</v>
      </c>
      <c r="P3430" t="str">
        <f t="shared" si="320"/>
        <v>High</v>
      </c>
      <c r="Q3430" t="str">
        <f t="shared" si="321"/>
        <v>Low Loan</v>
      </c>
      <c r="R3430">
        <f t="shared" si="322"/>
        <v>9000000</v>
      </c>
      <c r="S3430" t="str">
        <f t="shared" si="323"/>
        <v>Moderate</v>
      </c>
    </row>
    <row r="3431" spans="1:19" x14ac:dyDescent="0.25">
      <c r="A3431">
        <v>3430</v>
      </c>
      <c r="B3431">
        <v>5</v>
      </c>
      <c r="C3431" t="s">
        <v>31</v>
      </c>
      <c r="D3431" t="s">
        <v>33</v>
      </c>
      <c r="E3431">
        <v>7800000</v>
      </c>
      <c r="F3431">
        <v>17300000</v>
      </c>
      <c r="G3431">
        <v>16</v>
      </c>
      <c r="H3431">
        <v>493</v>
      </c>
      <c r="I3431">
        <v>800000</v>
      </c>
      <c r="J3431">
        <v>4500000</v>
      </c>
      <c r="K3431">
        <v>16300000</v>
      </c>
      <c r="L3431">
        <v>9300000</v>
      </c>
      <c r="M3431" t="s">
        <v>35</v>
      </c>
      <c r="N3431">
        <f t="shared" si="319"/>
        <v>0</v>
      </c>
      <c r="O3431" t="str">
        <f t="shared" si="318"/>
        <v>Low</v>
      </c>
      <c r="P3431" t="str">
        <f t="shared" si="320"/>
        <v>High</v>
      </c>
      <c r="Q3431" t="str">
        <f t="shared" si="321"/>
        <v>Low Loan</v>
      </c>
      <c r="R3431">
        <f t="shared" si="322"/>
        <v>30900000</v>
      </c>
      <c r="S3431" t="str">
        <f t="shared" si="323"/>
        <v>Strong</v>
      </c>
    </row>
    <row r="3432" spans="1:19" x14ac:dyDescent="0.25">
      <c r="A3432">
        <v>3431</v>
      </c>
      <c r="B3432">
        <v>2</v>
      </c>
      <c r="C3432" t="s">
        <v>31</v>
      </c>
      <c r="D3432" t="s">
        <v>32</v>
      </c>
      <c r="E3432">
        <v>3700000</v>
      </c>
      <c r="F3432">
        <v>9200000</v>
      </c>
      <c r="G3432">
        <v>10</v>
      </c>
      <c r="H3432">
        <v>819</v>
      </c>
      <c r="I3432">
        <v>8500000</v>
      </c>
      <c r="J3432">
        <v>2000000</v>
      </c>
      <c r="K3432">
        <v>10200000</v>
      </c>
      <c r="L3432">
        <v>3100000</v>
      </c>
      <c r="M3432" t="s">
        <v>34</v>
      </c>
      <c r="N3432">
        <f t="shared" si="319"/>
        <v>1</v>
      </c>
      <c r="O3432" t="str">
        <f t="shared" si="318"/>
        <v>Excellent</v>
      </c>
      <c r="P3432" t="str">
        <f t="shared" si="320"/>
        <v>High</v>
      </c>
      <c r="Q3432" t="str">
        <f t="shared" si="321"/>
        <v>Low Loan</v>
      </c>
      <c r="R3432">
        <f t="shared" si="322"/>
        <v>23800000</v>
      </c>
      <c r="S3432" t="str">
        <f t="shared" si="323"/>
        <v>Strong</v>
      </c>
    </row>
    <row r="3433" spans="1:19" x14ac:dyDescent="0.25">
      <c r="A3433">
        <v>3432</v>
      </c>
      <c r="B3433">
        <v>4</v>
      </c>
      <c r="C3433" t="s">
        <v>30</v>
      </c>
      <c r="D3433" t="s">
        <v>32</v>
      </c>
      <c r="E3433">
        <v>400000</v>
      </c>
      <c r="F3433">
        <v>1400000</v>
      </c>
      <c r="G3433">
        <v>18</v>
      </c>
      <c r="H3433">
        <v>827</v>
      </c>
      <c r="I3433">
        <v>-100000</v>
      </c>
      <c r="J3433">
        <v>0</v>
      </c>
      <c r="K3433">
        <v>900000</v>
      </c>
      <c r="L3433">
        <v>600000</v>
      </c>
      <c r="M3433" t="s">
        <v>34</v>
      </c>
      <c r="N3433">
        <f t="shared" si="319"/>
        <v>1</v>
      </c>
      <c r="O3433" t="str">
        <f t="shared" si="318"/>
        <v>Excellent</v>
      </c>
      <c r="P3433" t="str">
        <f t="shared" si="320"/>
        <v>Middle</v>
      </c>
      <c r="Q3433" t="str">
        <f t="shared" si="321"/>
        <v>Low Loan</v>
      </c>
      <c r="R3433">
        <f t="shared" si="322"/>
        <v>1400000</v>
      </c>
      <c r="S3433" t="str">
        <f t="shared" si="323"/>
        <v>Weak</v>
      </c>
    </row>
    <row r="3434" spans="1:19" x14ac:dyDescent="0.25">
      <c r="A3434">
        <v>3433</v>
      </c>
      <c r="B3434">
        <v>0</v>
      </c>
      <c r="C3434" t="s">
        <v>31</v>
      </c>
      <c r="D3434" t="s">
        <v>32</v>
      </c>
      <c r="E3434">
        <v>4800000</v>
      </c>
      <c r="F3434">
        <v>15700000</v>
      </c>
      <c r="G3434">
        <v>10</v>
      </c>
      <c r="H3434">
        <v>398</v>
      </c>
      <c r="I3434">
        <v>4900000</v>
      </c>
      <c r="J3434">
        <v>7400000</v>
      </c>
      <c r="K3434">
        <v>17100000</v>
      </c>
      <c r="L3434">
        <v>6400000</v>
      </c>
      <c r="M3434" t="s">
        <v>35</v>
      </c>
      <c r="N3434">
        <f t="shared" si="319"/>
        <v>0</v>
      </c>
      <c r="O3434" t="str">
        <f t="shared" si="318"/>
        <v>Low</v>
      </c>
      <c r="P3434" t="str">
        <f t="shared" si="320"/>
        <v>High</v>
      </c>
      <c r="Q3434" t="str">
        <f t="shared" si="321"/>
        <v>Low Loan</v>
      </c>
      <c r="R3434">
        <f t="shared" si="322"/>
        <v>35800000</v>
      </c>
      <c r="S3434" t="str">
        <f t="shared" si="323"/>
        <v>Strong</v>
      </c>
    </row>
    <row r="3435" spans="1:19" x14ac:dyDescent="0.25">
      <c r="A3435">
        <v>3434</v>
      </c>
      <c r="B3435">
        <v>0</v>
      </c>
      <c r="C3435" t="s">
        <v>30</v>
      </c>
      <c r="D3435" t="s">
        <v>33</v>
      </c>
      <c r="E3435">
        <v>2900000</v>
      </c>
      <c r="F3435">
        <v>7500000</v>
      </c>
      <c r="G3435">
        <v>18</v>
      </c>
      <c r="H3435">
        <v>692</v>
      </c>
      <c r="I3435">
        <v>3200000</v>
      </c>
      <c r="J3435">
        <v>300000</v>
      </c>
      <c r="K3435">
        <v>7500000</v>
      </c>
      <c r="L3435">
        <v>4000000</v>
      </c>
      <c r="M3435" t="s">
        <v>34</v>
      </c>
      <c r="N3435">
        <f t="shared" si="319"/>
        <v>1</v>
      </c>
      <c r="O3435" t="str">
        <f t="shared" si="318"/>
        <v>Medium</v>
      </c>
      <c r="P3435" t="str">
        <f t="shared" si="320"/>
        <v>High</v>
      </c>
      <c r="Q3435" t="str">
        <f t="shared" si="321"/>
        <v>Low Loan</v>
      </c>
      <c r="R3435">
        <f t="shared" si="322"/>
        <v>15000000</v>
      </c>
      <c r="S3435" t="str">
        <f t="shared" si="323"/>
        <v>Strong</v>
      </c>
    </row>
    <row r="3436" spans="1:19" x14ac:dyDescent="0.25">
      <c r="A3436">
        <v>3435</v>
      </c>
      <c r="B3436">
        <v>5</v>
      </c>
      <c r="C3436" t="s">
        <v>30</v>
      </c>
      <c r="D3436" t="s">
        <v>33</v>
      </c>
      <c r="E3436">
        <v>5000000</v>
      </c>
      <c r="F3436">
        <v>14600000</v>
      </c>
      <c r="G3436">
        <v>18</v>
      </c>
      <c r="H3436">
        <v>509</v>
      </c>
      <c r="I3436">
        <v>11800000</v>
      </c>
      <c r="J3436">
        <v>2500000</v>
      </c>
      <c r="K3436">
        <v>19800000</v>
      </c>
      <c r="L3436">
        <v>4900000</v>
      </c>
      <c r="M3436" t="s">
        <v>35</v>
      </c>
      <c r="N3436">
        <f t="shared" si="319"/>
        <v>0</v>
      </c>
      <c r="O3436" t="str">
        <f t="shared" si="318"/>
        <v>Low</v>
      </c>
      <c r="P3436" t="str">
        <f t="shared" si="320"/>
        <v>High</v>
      </c>
      <c r="Q3436" t="str">
        <f t="shared" si="321"/>
        <v>Low Loan</v>
      </c>
      <c r="R3436">
        <f t="shared" si="322"/>
        <v>39000000</v>
      </c>
      <c r="S3436" t="str">
        <f t="shared" si="323"/>
        <v>Strong</v>
      </c>
    </row>
    <row r="3437" spans="1:19" x14ac:dyDescent="0.25">
      <c r="A3437">
        <v>3436</v>
      </c>
      <c r="B3437">
        <v>0</v>
      </c>
      <c r="C3437" t="s">
        <v>30</v>
      </c>
      <c r="D3437" t="s">
        <v>33</v>
      </c>
      <c r="E3437">
        <v>7600000</v>
      </c>
      <c r="F3437">
        <v>18100000</v>
      </c>
      <c r="G3437">
        <v>16</v>
      </c>
      <c r="H3437">
        <v>439</v>
      </c>
      <c r="I3437">
        <v>12800000</v>
      </c>
      <c r="J3437">
        <v>5900000</v>
      </c>
      <c r="K3437">
        <v>29800000</v>
      </c>
      <c r="L3437">
        <v>10600000</v>
      </c>
      <c r="M3437" t="s">
        <v>35</v>
      </c>
      <c r="N3437">
        <f t="shared" si="319"/>
        <v>0</v>
      </c>
      <c r="O3437" t="str">
        <f t="shared" si="318"/>
        <v>Low</v>
      </c>
      <c r="P3437" t="str">
        <f t="shared" si="320"/>
        <v>High</v>
      </c>
      <c r="Q3437" t="str">
        <f t="shared" si="321"/>
        <v>Low Loan</v>
      </c>
      <c r="R3437">
        <f t="shared" si="322"/>
        <v>59100000</v>
      </c>
      <c r="S3437" t="str">
        <f t="shared" si="323"/>
        <v>Strong</v>
      </c>
    </row>
    <row r="3438" spans="1:19" x14ac:dyDescent="0.25">
      <c r="A3438">
        <v>3437</v>
      </c>
      <c r="B3438">
        <v>1</v>
      </c>
      <c r="C3438" t="s">
        <v>30</v>
      </c>
      <c r="D3438" t="s">
        <v>32</v>
      </c>
      <c r="E3438">
        <v>3000000</v>
      </c>
      <c r="F3438">
        <v>9400000</v>
      </c>
      <c r="G3438">
        <v>4</v>
      </c>
      <c r="H3438">
        <v>622</v>
      </c>
      <c r="I3438">
        <v>600000</v>
      </c>
      <c r="J3438">
        <v>3500000</v>
      </c>
      <c r="K3438">
        <v>9600000</v>
      </c>
      <c r="L3438">
        <v>2000000</v>
      </c>
      <c r="M3438" t="s">
        <v>34</v>
      </c>
      <c r="N3438">
        <f t="shared" si="319"/>
        <v>1</v>
      </c>
      <c r="O3438" t="str">
        <f t="shared" si="318"/>
        <v>Low</v>
      </c>
      <c r="P3438" t="str">
        <f t="shared" si="320"/>
        <v>High</v>
      </c>
      <c r="Q3438" t="str">
        <f t="shared" si="321"/>
        <v>Low Loan</v>
      </c>
      <c r="R3438">
        <f t="shared" si="322"/>
        <v>15700000</v>
      </c>
      <c r="S3438" t="str">
        <f t="shared" si="323"/>
        <v>Strong</v>
      </c>
    </row>
    <row r="3439" spans="1:19" x14ac:dyDescent="0.25">
      <c r="A3439">
        <v>3438</v>
      </c>
      <c r="B3439">
        <v>3</v>
      </c>
      <c r="C3439" t="s">
        <v>31</v>
      </c>
      <c r="D3439" t="s">
        <v>33</v>
      </c>
      <c r="E3439">
        <v>200000</v>
      </c>
      <c r="F3439">
        <v>700000</v>
      </c>
      <c r="G3439">
        <v>18</v>
      </c>
      <c r="H3439">
        <v>526</v>
      </c>
      <c r="I3439">
        <v>400000</v>
      </c>
      <c r="J3439">
        <v>100000</v>
      </c>
      <c r="K3439">
        <v>500000</v>
      </c>
      <c r="L3439">
        <v>0</v>
      </c>
      <c r="M3439" t="s">
        <v>35</v>
      </c>
      <c r="N3439">
        <f t="shared" si="319"/>
        <v>0</v>
      </c>
      <c r="O3439" t="str">
        <f t="shared" si="318"/>
        <v>Low</v>
      </c>
      <c r="P3439" t="str">
        <f t="shared" si="320"/>
        <v>Low</v>
      </c>
      <c r="Q3439" t="str">
        <f t="shared" si="321"/>
        <v>Low Loan</v>
      </c>
      <c r="R3439">
        <f t="shared" si="322"/>
        <v>1000000</v>
      </c>
      <c r="S3439" t="str">
        <f t="shared" si="323"/>
        <v>Weak</v>
      </c>
    </row>
    <row r="3440" spans="1:19" x14ac:dyDescent="0.25">
      <c r="A3440">
        <v>3439</v>
      </c>
      <c r="B3440">
        <v>5</v>
      </c>
      <c r="C3440" t="s">
        <v>31</v>
      </c>
      <c r="D3440" t="s">
        <v>33</v>
      </c>
      <c r="E3440">
        <v>6800000</v>
      </c>
      <c r="F3440">
        <v>19000000</v>
      </c>
      <c r="G3440">
        <v>8</v>
      </c>
      <c r="H3440">
        <v>865</v>
      </c>
      <c r="I3440">
        <v>9500000</v>
      </c>
      <c r="J3440">
        <v>7200000</v>
      </c>
      <c r="K3440">
        <v>25000000</v>
      </c>
      <c r="L3440">
        <v>6300000</v>
      </c>
      <c r="M3440" t="s">
        <v>34</v>
      </c>
      <c r="N3440">
        <f t="shared" si="319"/>
        <v>1</v>
      </c>
      <c r="O3440" t="str">
        <f t="shared" si="318"/>
        <v>Excellent</v>
      </c>
      <c r="P3440" t="str">
        <f t="shared" si="320"/>
        <v>High</v>
      </c>
      <c r="Q3440" t="str">
        <f t="shared" si="321"/>
        <v>Low Loan</v>
      </c>
      <c r="R3440">
        <f t="shared" si="322"/>
        <v>48000000</v>
      </c>
      <c r="S3440" t="str">
        <f t="shared" si="323"/>
        <v>Strong</v>
      </c>
    </row>
    <row r="3441" spans="1:19" x14ac:dyDescent="0.25">
      <c r="A3441">
        <v>3440</v>
      </c>
      <c r="B3441">
        <v>5</v>
      </c>
      <c r="C3441" t="s">
        <v>31</v>
      </c>
      <c r="D3441" t="s">
        <v>33</v>
      </c>
      <c r="E3441">
        <v>9700000</v>
      </c>
      <c r="F3441">
        <v>27400000</v>
      </c>
      <c r="G3441">
        <v>2</v>
      </c>
      <c r="H3441">
        <v>328</v>
      </c>
      <c r="I3441">
        <v>0</v>
      </c>
      <c r="J3441">
        <v>18400000</v>
      </c>
      <c r="K3441">
        <v>22000000</v>
      </c>
      <c r="L3441">
        <v>7900000</v>
      </c>
      <c r="M3441" t="s">
        <v>35</v>
      </c>
      <c r="N3441">
        <f t="shared" si="319"/>
        <v>0</v>
      </c>
      <c r="O3441" t="str">
        <f t="shared" si="318"/>
        <v>Low</v>
      </c>
      <c r="P3441" t="str">
        <f t="shared" si="320"/>
        <v>High</v>
      </c>
      <c r="Q3441" t="str">
        <f t="shared" si="321"/>
        <v>High Loan</v>
      </c>
      <c r="R3441">
        <f t="shared" si="322"/>
        <v>48300000</v>
      </c>
      <c r="S3441" t="str">
        <f t="shared" si="323"/>
        <v>Strong</v>
      </c>
    </row>
    <row r="3442" spans="1:19" x14ac:dyDescent="0.25">
      <c r="A3442">
        <v>3441</v>
      </c>
      <c r="B3442">
        <v>0</v>
      </c>
      <c r="C3442" t="s">
        <v>30</v>
      </c>
      <c r="D3442" t="s">
        <v>33</v>
      </c>
      <c r="E3442">
        <v>1200000</v>
      </c>
      <c r="F3442">
        <v>4200000</v>
      </c>
      <c r="G3442">
        <v>4</v>
      </c>
      <c r="H3442">
        <v>768</v>
      </c>
      <c r="I3442">
        <v>2800000</v>
      </c>
      <c r="J3442">
        <v>2200000</v>
      </c>
      <c r="K3442">
        <v>2800000</v>
      </c>
      <c r="L3442">
        <v>1500000</v>
      </c>
      <c r="M3442" t="s">
        <v>34</v>
      </c>
      <c r="N3442">
        <f t="shared" si="319"/>
        <v>1</v>
      </c>
      <c r="O3442" t="str">
        <f t="shared" si="318"/>
        <v>Excellent</v>
      </c>
      <c r="P3442" t="str">
        <f t="shared" si="320"/>
        <v>High</v>
      </c>
      <c r="Q3442" t="str">
        <f t="shared" si="321"/>
        <v>Low Loan</v>
      </c>
      <c r="R3442">
        <f t="shared" si="322"/>
        <v>9300000</v>
      </c>
      <c r="S3442" t="str">
        <f t="shared" si="323"/>
        <v>Moderate</v>
      </c>
    </row>
    <row r="3443" spans="1:19" x14ac:dyDescent="0.25">
      <c r="A3443">
        <v>3442</v>
      </c>
      <c r="B3443">
        <v>5</v>
      </c>
      <c r="C3443" t="s">
        <v>31</v>
      </c>
      <c r="D3443" t="s">
        <v>33</v>
      </c>
      <c r="E3443">
        <v>7400000</v>
      </c>
      <c r="F3443">
        <v>24000000</v>
      </c>
      <c r="G3443">
        <v>16</v>
      </c>
      <c r="H3443">
        <v>854</v>
      </c>
      <c r="I3443">
        <v>4300000</v>
      </c>
      <c r="J3443">
        <v>6700000</v>
      </c>
      <c r="K3443">
        <v>20600000</v>
      </c>
      <c r="L3443">
        <v>8700000</v>
      </c>
      <c r="M3443" t="s">
        <v>34</v>
      </c>
      <c r="N3443">
        <f t="shared" si="319"/>
        <v>1</v>
      </c>
      <c r="O3443" t="str">
        <f t="shared" si="318"/>
        <v>Excellent</v>
      </c>
      <c r="P3443" t="str">
        <f t="shared" si="320"/>
        <v>High</v>
      </c>
      <c r="Q3443" t="str">
        <f t="shared" si="321"/>
        <v>High Loan</v>
      </c>
      <c r="R3443">
        <f t="shared" si="322"/>
        <v>40300000</v>
      </c>
      <c r="S3443" t="str">
        <f t="shared" si="323"/>
        <v>Strong</v>
      </c>
    </row>
    <row r="3444" spans="1:19" x14ac:dyDescent="0.25">
      <c r="A3444">
        <v>3443</v>
      </c>
      <c r="B3444">
        <v>4</v>
      </c>
      <c r="C3444" t="s">
        <v>30</v>
      </c>
      <c r="D3444" t="s">
        <v>32</v>
      </c>
      <c r="E3444">
        <v>6900000</v>
      </c>
      <c r="F3444">
        <v>20800000</v>
      </c>
      <c r="G3444">
        <v>4</v>
      </c>
      <c r="H3444">
        <v>839</v>
      </c>
      <c r="I3444">
        <v>2600000</v>
      </c>
      <c r="J3444">
        <v>2400000</v>
      </c>
      <c r="K3444">
        <v>16100000</v>
      </c>
      <c r="L3444">
        <v>7400000</v>
      </c>
      <c r="M3444" t="s">
        <v>34</v>
      </c>
      <c r="N3444">
        <f t="shared" si="319"/>
        <v>1</v>
      </c>
      <c r="O3444" t="str">
        <f t="shared" si="318"/>
        <v>Excellent</v>
      </c>
      <c r="P3444" t="str">
        <f t="shared" si="320"/>
        <v>High</v>
      </c>
      <c r="Q3444" t="str">
        <f t="shared" si="321"/>
        <v>High Loan</v>
      </c>
      <c r="R3444">
        <f t="shared" si="322"/>
        <v>28500000</v>
      </c>
      <c r="S3444" t="str">
        <f t="shared" si="323"/>
        <v>Strong</v>
      </c>
    </row>
    <row r="3445" spans="1:19" x14ac:dyDescent="0.25">
      <c r="A3445">
        <v>3444</v>
      </c>
      <c r="B3445">
        <v>0</v>
      </c>
      <c r="C3445" t="s">
        <v>31</v>
      </c>
      <c r="D3445" t="s">
        <v>33</v>
      </c>
      <c r="E3445">
        <v>9100000</v>
      </c>
      <c r="F3445">
        <v>23300000</v>
      </c>
      <c r="G3445">
        <v>18</v>
      </c>
      <c r="H3445">
        <v>414</v>
      </c>
      <c r="I3445">
        <v>17700000</v>
      </c>
      <c r="J3445">
        <v>2500000</v>
      </c>
      <c r="K3445">
        <v>33800000</v>
      </c>
      <c r="L3445">
        <v>6400000</v>
      </c>
      <c r="M3445" t="s">
        <v>35</v>
      </c>
      <c r="N3445">
        <f t="shared" si="319"/>
        <v>0</v>
      </c>
      <c r="O3445" t="str">
        <f t="shared" si="318"/>
        <v>Low</v>
      </c>
      <c r="P3445" t="str">
        <f t="shared" si="320"/>
        <v>High</v>
      </c>
      <c r="Q3445" t="str">
        <f t="shared" si="321"/>
        <v>High Loan</v>
      </c>
      <c r="R3445">
        <f t="shared" si="322"/>
        <v>60400000</v>
      </c>
      <c r="S3445" t="str">
        <f t="shared" si="323"/>
        <v>Strong</v>
      </c>
    </row>
    <row r="3446" spans="1:19" x14ac:dyDescent="0.25">
      <c r="A3446">
        <v>3445</v>
      </c>
      <c r="B3446">
        <v>0</v>
      </c>
      <c r="C3446" t="s">
        <v>30</v>
      </c>
      <c r="D3446" t="s">
        <v>33</v>
      </c>
      <c r="E3446">
        <v>1300000</v>
      </c>
      <c r="F3446">
        <v>4700000</v>
      </c>
      <c r="G3446">
        <v>16</v>
      </c>
      <c r="H3446">
        <v>530</v>
      </c>
      <c r="I3446">
        <v>3200000</v>
      </c>
      <c r="J3446">
        <v>1000000</v>
      </c>
      <c r="K3446">
        <v>3800000</v>
      </c>
      <c r="L3446">
        <v>800000</v>
      </c>
      <c r="M3446" t="s">
        <v>35</v>
      </c>
      <c r="N3446">
        <f t="shared" si="319"/>
        <v>0</v>
      </c>
      <c r="O3446" t="str">
        <f t="shared" si="318"/>
        <v>Low</v>
      </c>
      <c r="P3446" t="str">
        <f t="shared" si="320"/>
        <v>High</v>
      </c>
      <c r="Q3446" t="str">
        <f t="shared" si="321"/>
        <v>Low Loan</v>
      </c>
      <c r="R3446">
        <f t="shared" si="322"/>
        <v>8800000</v>
      </c>
      <c r="S3446" t="str">
        <f t="shared" si="323"/>
        <v>Moderate</v>
      </c>
    </row>
    <row r="3447" spans="1:19" x14ac:dyDescent="0.25">
      <c r="A3447">
        <v>3446</v>
      </c>
      <c r="B3447">
        <v>3</v>
      </c>
      <c r="C3447" t="s">
        <v>30</v>
      </c>
      <c r="D3447" t="s">
        <v>32</v>
      </c>
      <c r="E3447">
        <v>6600000</v>
      </c>
      <c r="F3447">
        <v>14600000</v>
      </c>
      <c r="G3447">
        <v>10</v>
      </c>
      <c r="H3447">
        <v>841</v>
      </c>
      <c r="I3447">
        <v>15300000</v>
      </c>
      <c r="J3447">
        <v>12100000</v>
      </c>
      <c r="K3447">
        <v>14800000</v>
      </c>
      <c r="L3447">
        <v>6000000</v>
      </c>
      <c r="M3447" t="s">
        <v>34</v>
      </c>
      <c r="N3447">
        <f t="shared" si="319"/>
        <v>1</v>
      </c>
      <c r="O3447" t="str">
        <f t="shared" si="318"/>
        <v>Excellent</v>
      </c>
      <c r="P3447" t="str">
        <f t="shared" si="320"/>
        <v>High</v>
      </c>
      <c r="Q3447" t="str">
        <f t="shared" si="321"/>
        <v>Low Loan</v>
      </c>
      <c r="R3447">
        <f t="shared" si="322"/>
        <v>48200000</v>
      </c>
      <c r="S3447" t="str">
        <f t="shared" si="323"/>
        <v>Strong</v>
      </c>
    </row>
    <row r="3448" spans="1:19" x14ac:dyDescent="0.25">
      <c r="A3448">
        <v>3447</v>
      </c>
      <c r="B3448">
        <v>3</v>
      </c>
      <c r="C3448" t="s">
        <v>31</v>
      </c>
      <c r="D3448" t="s">
        <v>33</v>
      </c>
      <c r="E3448">
        <v>1800000</v>
      </c>
      <c r="F3448">
        <v>5700000</v>
      </c>
      <c r="G3448">
        <v>14</v>
      </c>
      <c r="H3448">
        <v>670</v>
      </c>
      <c r="I3448">
        <v>5300000</v>
      </c>
      <c r="J3448">
        <v>3100000</v>
      </c>
      <c r="K3448">
        <v>3500000</v>
      </c>
      <c r="L3448">
        <v>2700000</v>
      </c>
      <c r="M3448" t="s">
        <v>34</v>
      </c>
      <c r="N3448">
        <f t="shared" si="319"/>
        <v>1</v>
      </c>
      <c r="O3448" t="str">
        <f t="shared" si="318"/>
        <v>Medium</v>
      </c>
      <c r="P3448" t="str">
        <f t="shared" si="320"/>
        <v>High</v>
      </c>
      <c r="Q3448" t="str">
        <f t="shared" si="321"/>
        <v>Low Loan</v>
      </c>
      <c r="R3448">
        <f t="shared" si="322"/>
        <v>14600000</v>
      </c>
      <c r="S3448" t="str">
        <f t="shared" si="323"/>
        <v>Strong</v>
      </c>
    </row>
    <row r="3449" spans="1:19" x14ac:dyDescent="0.25">
      <c r="A3449">
        <v>3448</v>
      </c>
      <c r="B3449">
        <v>5</v>
      </c>
      <c r="C3449" t="s">
        <v>31</v>
      </c>
      <c r="D3449" t="s">
        <v>33</v>
      </c>
      <c r="E3449">
        <v>8200000</v>
      </c>
      <c r="F3449">
        <v>20900000</v>
      </c>
      <c r="G3449">
        <v>14</v>
      </c>
      <c r="H3449">
        <v>726</v>
      </c>
      <c r="I3449">
        <v>11400000</v>
      </c>
      <c r="J3449">
        <v>4800000</v>
      </c>
      <c r="K3449">
        <v>26000000</v>
      </c>
      <c r="L3449">
        <v>8400000</v>
      </c>
      <c r="M3449" t="s">
        <v>34</v>
      </c>
      <c r="N3449">
        <f t="shared" si="319"/>
        <v>1</v>
      </c>
      <c r="O3449" t="str">
        <f t="shared" si="318"/>
        <v>Good</v>
      </c>
      <c r="P3449" t="str">
        <f t="shared" si="320"/>
        <v>High</v>
      </c>
      <c r="Q3449" t="str">
        <f t="shared" si="321"/>
        <v>High Loan</v>
      </c>
      <c r="R3449">
        <f t="shared" si="322"/>
        <v>50600000</v>
      </c>
      <c r="S3449" t="str">
        <f t="shared" si="323"/>
        <v>Strong</v>
      </c>
    </row>
    <row r="3450" spans="1:19" x14ac:dyDescent="0.25">
      <c r="A3450">
        <v>3449</v>
      </c>
      <c r="B3450">
        <v>4</v>
      </c>
      <c r="C3450" t="s">
        <v>31</v>
      </c>
      <c r="D3450" t="s">
        <v>32</v>
      </c>
      <c r="E3450">
        <v>2800000</v>
      </c>
      <c r="F3450">
        <v>8300000</v>
      </c>
      <c r="G3450">
        <v>14</v>
      </c>
      <c r="H3450">
        <v>352</v>
      </c>
      <c r="I3450">
        <v>4900000</v>
      </c>
      <c r="J3450">
        <v>2600000</v>
      </c>
      <c r="K3450">
        <v>7100000</v>
      </c>
      <c r="L3450">
        <v>3700000</v>
      </c>
      <c r="M3450" t="s">
        <v>35</v>
      </c>
      <c r="N3450">
        <f t="shared" si="319"/>
        <v>0</v>
      </c>
      <c r="O3450" t="str">
        <f t="shared" si="318"/>
        <v>Low</v>
      </c>
      <c r="P3450" t="str">
        <f t="shared" si="320"/>
        <v>High</v>
      </c>
      <c r="Q3450" t="str">
        <f t="shared" si="321"/>
        <v>Low Loan</v>
      </c>
      <c r="R3450">
        <f t="shared" si="322"/>
        <v>18300000</v>
      </c>
      <c r="S3450" t="str">
        <f t="shared" si="323"/>
        <v>Strong</v>
      </c>
    </row>
    <row r="3451" spans="1:19" x14ac:dyDescent="0.25">
      <c r="A3451">
        <v>3450</v>
      </c>
      <c r="B3451">
        <v>1</v>
      </c>
      <c r="C3451" t="s">
        <v>30</v>
      </c>
      <c r="D3451" t="s">
        <v>33</v>
      </c>
      <c r="E3451">
        <v>7000000</v>
      </c>
      <c r="F3451">
        <v>16000000</v>
      </c>
      <c r="G3451">
        <v>4</v>
      </c>
      <c r="H3451">
        <v>554</v>
      </c>
      <c r="I3451">
        <v>13000000</v>
      </c>
      <c r="J3451">
        <v>8600000</v>
      </c>
      <c r="K3451">
        <v>26600000</v>
      </c>
      <c r="L3451">
        <v>7900000</v>
      </c>
      <c r="M3451" t="s">
        <v>34</v>
      </c>
      <c r="N3451">
        <f t="shared" si="319"/>
        <v>1</v>
      </c>
      <c r="O3451" t="str">
        <f t="shared" si="318"/>
        <v>Low</v>
      </c>
      <c r="P3451" t="str">
        <f t="shared" si="320"/>
        <v>High</v>
      </c>
      <c r="Q3451" t="str">
        <f t="shared" si="321"/>
        <v>Low Loan</v>
      </c>
      <c r="R3451">
        <f t="shared" si="322"/>
        <v>56100000</v>
      </c>
      <c r="S3451" t="str">
        <f t="shared" si="323"/>
        <v>Strong</v>
      </c>
    </row>
    <row r="3452" spans="1:19" x14ac:dyDescent="0.25">
      <c r="A3452">
        <v>3451</v>
      </c>
      <c r="B3452">
        <v>4</v>
      </c>
      <c r="C3452" t="s">
        <v>30</v>
      </c>
      <c r="D3452" t="s">
        <v>32</v>
      </c>
      <c r="E3452">
        <v>700000</v>
      </c>
      <c r="F3452">
        <v>1800000</v>
      </c>
      <c r="G3452">
        <v>18</v>
      </c>
      <c r="H3452">
        <v>728</v>
      </c>
      <c r="I3452">
        <v>400000</v>
      </c>
      <c r="J3452">
        <v>1300000</v>
      </c>
      <c r="K3452">
        <v>2200000</v>
      </c>
      <c r="L3452">
        <v>600000</v>
      </c>
      <c r="M3452" t="s">
        <v>34</v>
      </c>
      <c r="N3452">
        <f t="shared" si="319"/>
        <v>1</v>
      </c>
      <c r="O3452" t="str">
        <f t="shared" si="318"/>
        <v>Good</v>
      </c>
      <c r="P3452" t="str">
        <f t="shared" si="320"/>
        <v>High</v>
      </c>
      <c r="Q3452" t="str">
        <f t="shared" si="321"/>
        <v>Low Loan</v>
      </c>
      <c r="R3452">
        <f t="shared" si="322"/>
        <v>4500000</v>
      </c>
      <c r="S3452" t="str">
        <f t="shared" si="323"/>
        <v>Weak</v>
      </c>
    </row>
    <row r="3453" spans="1:19" x14ac:dyDescent="0.25">
      <c r="A3453">
        <v>3452</v>
      </c>
      <c r="B3453">
        <v>0</v>
      </c>
      <c r="C3453" t="s">
        <v>31</v>
      </c>
      <c r="D3453" t="s">
        <v>32</v>
      </c>
      <c r="E3453">
        <v>7400000</v>
      </c>
      <c r="F3453">
        <v>25500000</v>
      </c>
      <c r="G3453">
        <v>6</v>
      </c>
      <c r="H3453">
        <v>463</v>
      </c>
      <c r="I3453">
        <v>2300000</v>
      </c>
      <c r="J3453">
        <v>5600000</v>
      </c>
      <c r="K3453">
        <v>26800000</v>
      </c>
      <c r="L3453">
        <v>8400000</v>
      </c>
      <c r="M3453" t="s">
        <v>35</v>
      </c>
      <c r="N3453">
        <f t="shared" si="319"/>
        <v>0</v>
      </c>
      <c r="O3453" t="str">
        <f t="shared" si="318"/>
        <v>Low</v>
      </c>
      <c r="P3453" t="str">
        <f t="shared" si="320"/>
        <v>High</v>
      </c>
      <c r="Q3453" t="str">
        <f t="shared" si="321"/>
        <v>High Loan</v>
      </c>
      <c r="R3453">
        <f t="shared" si="322"/>
        <v>43100000</v>
      </c>
      <c r="S3453" t="str">
        <f t="shared" si="323"/>
        <v>Strong</v>
      </c>
    </row>
    <row r="3454" spans="1:19" x14ac:dyDescent="0.25">
      <c r="A3454">
        <v>3453</v>
      </c>
      <c r="B3454">
        <v>5</v>
      </c>
      <c r="C3454" t="s">
        <v>31</v>
      </c>
      <c r="D3454" t="s">
        <v>33</v>
      </c>
      <c r="E3454">
        <v>2300000</v>
      </c>
      <c r="F3454">
        <v>5000000</v>
      </c>
      <c r="G3454">
        <v>10</v>
      </c>
      <c r="H3454">
        <v>431</v>
      </c>
      <c r="I3454">
        <v>300000</v>
      </c>
      <c r="J3454">
        <v>3700000</v>
      </c>
      <c r="K3454">
        <v>8700000</v>
      </c>
      <c r="L3454">
        <v>2900000</v>
      </c>
      <c r="M3454" t="s">
        <v>35</v>
      </c>
      <c r="N3454">
        <f t="shared" si="319"/>
        <v>0</v>
      </c>
      <c r="O3454" t="str">
        <f t="shared" si="318"/>
        <v>Low</v>
      </c>
      <c r="P3454" t="str">
        <f t="shared" si="320"/>
        <v>High</v>
      </c>
      <c r="Q3454" t="str">
        <f t="shared" si="321"/>
        <v>Low Loan</v>
      </c>
      <c r="R3454">
        <f t="shared" si="322"/>
        <v>15600000</v>
      </c>
      <c r="S3454" t="str">
        <f t="shared" si="323"/>
        <v>Strong</v>
      </c>
    </row>
    <row r="3455" spans="1:19" x14ac:dyDescent="0.25">
      <c r="A3455">
        <v>3454</v>
      </c>
      <c r="B3455">
        <v>1</v>
      </c>
      <c r="C3455" t="s">
        <v>30</v>
      </c>
      <c r="D3455" t="s">
        <v>33</v>
      </c>
      <c r="E3455">
        <v>600000</v>
      </c>
      <c r="F3455">
        <v>1900000</v>
      </c>
      <c r="G3455">
        <v>8</v>
      </c>
      <c r="H3455">
        <v>445</v>
      </c>
      <c r="I3455">
        <v>1200000</v>
      </c>
      <c r="J3455">
        <v>100000</v>
      </c>
      <c r="K3455">
        <v>1600000</v>
      </c>
      <c r="L3455">
        <v>300000</v>
      </c>
      <c r="M3455" t="s">
        <v>35</v>
      </c>
      <c r="N3455">
        <f t="shared" si="319"/>
        <v>0</v>
      </c>
      <c r="O3455" t="str">
        <f t="shared" si="318"/>
        <v>Low</v>
      </c>
      <c r="P3455" t="str">
        <f t="shared" si="320"/>
        <v>Middle</v>
      </c>
      <c r="Q3455" t="str">
        <f t="shared" si="321"/>
        <v>Low Loan</v>
      </c>
      <c r="R3455">
        <f t="shared" si="322"/>
        <v>3200000</v>
      </c>
      <c r="S3455" t="str">
        <f t="shared" si="323"/>
        <v>Weak</v>
      </c>
    </row>
    <row r="3456" spans="1:19" x14ac:dyDescent="0.25">
      <c r="A3456">
        <v>3455</v>
      </c>
      <c r="B3456">
        <v>5</v>
      </c>
      <c r="C3456" t="s">
        <v>30</v>
      </c>
      <c r="D3456" t="s">
        <v>32</v>
      </c>
      <c r="E3456">
        <v>1000000</v>
      </c>
      <c r="F3456">
        <v>3000000</v>
      </c>
      <c r="G3456">
        <v>4</v>
      </c>
      <c r="H3456">
        <v>896</v>
      </c>
      <c r="I3456">
        <v>2800000</v>
      </c>
      <c r="J3456">
        <v>1100000</v>
      </c>
      <c r="K3456">
        <v>2000000</v>
      </c>
      <c r="L3456">
        <v>1100000</v>
      </c>
      <c r="M3456" t="s">
        <v>34</v>
      </c>
      <c r="N3456">
        <f t="shared" si="319"/>
        <v>1</v>
      </c>
      <c r="O3456" t="str">
        <f t="shared" si="318"/>
        <v>Excellent</v>
      </c>
      <c r="P3456" t="str">
        <f t="shared" si="320"/>
        <v>High</v>
      </c>
      <c r="Q3456" t="str">
        <f t="shared" si="321"/>
        <v>Low Loan</v>
      </c>
      <c r="R3456">
        <f t="shared" si="322"/>
        <v>7000000</v>
      </c>
      <c r="S3456" t="str">
        <f t="shared" si="323"/>
        <v>Moderate</v>
      </c>
    </row>
    <row r="3457" spans="1:19" x14ac:dyDescent="0.25">
      <c r="A3457">
        <v>3456</v>
      </c>
      <c r="B3457">
        <v>1</v>
      </c>
      <c r="C3457" t="s">
        <v>31</v>
      </c>
      <c r="D3457" t="s">
        <v>33</v>
      </c>
      <c r="E3457">
        <v>2200000</v>
      </c>
      <c r="F3457">
        <v>5200000</v>
      </c>
      <c r="G3457">
        <v>8</v>
      </c>
      <c r="H3457">
        <v>420</v>
      </c>
      <c r="I3457">
        <v>2900000</v>
      </c>
      <c r="J3457">
        <v>100000</v>
      </c>
      <c r="K3457">
        <v>5000000</v>
      </c>
      <c r="L3457">
        <v>2300000</v>
      </c>
      <c r="M3457" t="s">
        <v>35</v>
      </c>
      <c r="N3457">
        <f t="shared" si="319"/>
        <v>0</v>
      </c>
      <c r="O3457" t="str">
        <f t="shared" si="318"/>
        <v>Low</v>
      </c>
      <c r="P3457" t="str">
        <f t="shared" si="320"/>
        <v>High</v>
      </c>
      <c r="Q3457" t="str">
        <f t="shared" si="321"/>
        <v>Low Loan</v>
      </c>
      <c r="R3457">
        <f t="shared" si="322"/>
        <v>10300000</v>
      </c>
      <c r="S3457" t="str">
        <f t="shared" si="323"/>
        <v>Strong</v>
      </c>
    </row>
    <row r="3458" spans="1:19" x14ac:dyDescent="0.25">
      <c r="A3458">
        <v>3457</v>
      </c>
      <c r="B3458">
        <v>1</v>
      </c>
      <c r="C3458" t="s">
        <v>31</v>
      </c>
      <c r="D3458" t="s">
        <v>32</v>
      </c>
      <c r="E3458">
        <v>8000000</v>
      </c>
      <c r="F3458">
        <v>30900000</v>
      </c>
      <c r="G3458">
        <v>2</v>
      </c>
      <c r="H3458">
        <v>315</v>
      </c>
      <c r="I3458">
        <v>23500000</v>
      </c>
      <c r="J3458">
        <v>1200000</v>
      </c>
      <c r="K3458">
        <v>19500000</v>
      </c>
      <c r="L3458">
        <v>7300000</v>
      </c>
      <c r="M3458" t="s">
        <v>34</v>
      </c>
      <c r="N3458">
        <f t="shared" si="319"/>
        <v>1</v>
      </c>
      <c r="O3458" t="str">
        <f t="shared" ref="O3458:O3521" si="324">IF(H3458&lt;650,"Low",
 IF(H3458&lt;700,"Medium",
 IF(H3458&lt;750,"Good","Excellent")))</f>
        <v>Low</v>
      </c>
      <c r="P3458" t="str">
        <f t="shared" si="320"/>
        <v>High</v>
      </c>
      <c r="Q3458" t="str">
        <f t="shared" si="321"/>
        <v>High Loan</v>
      </c>
      <c r="R3458">
        <f t="shared" si="322"/>
        <v>51500000</v>
      </c>
      <c r="S3458" t="str">
        <f t="shared" si="323"/>
        <v>Strong</v>
      </c>
    </row>
    <row r="3459" spans="1:19" x14ac:dyDescent="0.25">
      <c r="A3459">
        <v>3458</v>
      </c>
      <c r="B3459">
        <v>4</v>
      </c>
      <c r="C3459" t="s">
        <v>31</v>
      </c>
      <c r="D3459" t="s">
        <v>32</v>
      </c>
      <c r="E3459">
        <v>8600000</v>
      </c>
      <c r="F3459">
        <v>20900000</v>
      </c>
      <c r="G3459">
        <v>10</v>
      </c>
      <c r="H3459">
        <v>867</v>
      </c>
      <c r="I3459">
        <v>24300000</v>
      </c>
      <c r="J3459">
        <v>7200000</v>
      </c>
      <c r="K3459">
        <v>23700000</v>
      </c>
      <c r="L3459">
        <v>9900000</v>
      </c>
      <c r="M3459" t="s">
        <v>34</v>
      </c>
      <c r="N3459">
        <f t="shared" ref="N3459:N3522" si="325">IF(TRIM(CLEAN(M3459))="Approved",1,0)</f>
        <v>1</v>
      </c>
      <c r="O3459" t="str">
        <f t="shared" si="324"/>
        <v>Excellent</v>
      </c>
      <c r="P3459" t="str">
        <f t="shared" ref="P3459:P3522" si="326">IF(E3459&lt;300000,"Low",
 IF(E3459&lt;700000,"Middle","High"))</f>
        <v>High</v>
      </c>
      <c r="Q3459" t="str">
        <f t="shared" ref="Q3459:Q3522" si="327">IF(F3459&lt;20000000,"Low Loan","High Loan")</f>
        <v>High Loan</v>
      </c>
      <c r="R3459">
        <f t="shared" ref="R3459:R3522" si="328">I3459+J3459+K3459+L3459</f>
        <v>65100000</v>
      </c>
      <c r="S3459" t="str">
        <f t="shared" ref="S3459:S3522" si="329">IF(R3459&lt;5000000,"Weak",
 IF(R3459&lt;10000000,"Moderate","Strong"))</f>
        <v>Strong</v>
      </c>
    </row>
    <row r="3460" spans="1:19" x14ac:dyDescent="0.25">
      <c r="A3460">
        <v>3459</v>
      </c>
      <c r="B3460">
        <v>3</v>
      </c>
      <c r="C3460" t="s">
        <v>31</v>
      </c>
      <c r="D3460" t="s">
        <v>33</v>
      </c>
      <c r="E3460">
        <v>7500000</v>
      </c>
      <c r="F3460">
        <v>26000000</v>
      </c>
      <c r="G3460">
        <v>2</v>
      </c>
      <c r="H3460">
        <v>342</v>
      </c>
      <c r="I3460">
        <v>13900000</v>
      </c>
      <c r="J3460">
        <v>1900000</v>
      </c>
      <c r="K3460">
        <v>26900000</v>
      </c>
      <c r="L3460">
        <v>11200000</v>
      </c>
      <c r="M3460" t="s">
        <v>34</v>
      </c>
      <c r="N3460">
        <f t="shared" si="325"/>
        <v>1</v>
      </c>
      <c r="O3460" t="str">
        <f t="shared" si="324"/>
        <v>Low</v>
      </c>
      <c r="P3460" t="str">
        <f t="shared" si="326"/>
        <v>High</v>
      </c>
      <c r="Q3460" t="str">
        <f t="shared" si="327"/>
        <v>High Loan</v>
      </c>
      <c r="R3460">
        <f t="shared" si="328"/>
        <v>53900000</v>
      </c>
      <c r="S3460" t="str">
        <f t="shared" si="329"/>
        <v>Strong</v>
      </c>
    </row>
    <row r="3461" spans="1:19" x14ac:dyDescent="0.25">
      <c r="A3461">
        <v>3460</v>
      </c>
      <c r="B3461">
        <v>5</v>
      </c>
      <c r="C3461" t="s">
        <v>31</v>
      </c>
      <c r="D3461" t="s">
        <v>33</v>
      </c>
      <c r="E3461">
        <v>5200000</v>
      </c>
      <c r="F3461">
        <v>11800000</v>
      </c>
      <c r="G3461">
        <v>18</v>
      </c>
      <c r="H3461">
        <v>711</v>
      </c>
      <c r="I3461">
        <v>14300000</v>
      </c>
      <c r="J3461">
        <v>5100000</v>
      </c>
      <c r="K3461">
        <v>15500000</v>
      </c>
      <c r="L3461">
        <v>4500000</v>
      </c>
      <c r="M3461" t="s">
        <v>34</v>
      </c>
      <c r="N3461">
        <f t="shared" si="325"/>
        <v>1</v>
      </c>
      <c r="O3461" t="str">
        <f t="shared" si="324"/>
        <v>Good</v>
      </c>
      <c r="P3461" t="str">
        <f t="shared" si="326"/>
        <v>High</v>
      </c>
      <c r="Q3461" t="str">
        <f t="shared" si="327"/>
        <v>Low Loan</v>
      </c>
      <c r="R3461">
        <f t="shared" si="328"/>
        <v>39400000</v>
      </c>
      <c r="S3461" t="str">
        <f t="shared" si="329"/>
        <v>Strong</v>
      </c>
    </row>
    <row r="3462" spans="1:19" x14ac:dyDescent="0.25">
      <c r="A3462">
        <v>3461</v>
      </c>
      <c r="B3462">
        <v>2</v>
      </c>
      <c r="C3462" t="s">
        <v>31</v>
      </c>
      <c r="D3462" t="s">
        <v>32</v>
      </c>
      <c r="E3462">
        <v>7900000</v>
      </c>
      <c r="F3462">
        <v>20900000</v>
      </c>
      <c r="G3462">
        <v>2</v>
      </c>
      <c r="H3462">
        <v>723</v>
      </c>
      <c r="I3462">
        <v>1700000</v>
      </c>
      <c r="J3462">
        <v>1800000</v>
      </c>
      <c r="K3462">
        <v>16300000</v>
      </c>
      <c r="L3462">
        <v>7100000</v>
      </c>
      <c r="M3462" t="s">
        <v>34</v>
      </c>
      <c r="N3462">
        <f t="shared" si="325"/>
        <v>1</v>
      </c>
      <c r="O3462" t="str">
        <f t="shared" si="324"/>
        <v>Good</v>
      </c>
      <c r="P3462" t="str">
        <f t="shared" si="326"/>
        <v>High</v>
      </c>
      <c r="Q3462" t="str">
        <f t="shared" si="327"/>
        <v>High Loan</v>
      </c>
      <c r="R3462">
        <f t="shared" si="328"/>
        <v>26900000</v>
      </c>
      <c r="S3462" t="str">
        <f t="shared" si="329"/>
        <v>Strong</v>
      </c>
    </row>
    <row r="3463" spans="1:19" x14ac:dyDescent="0.25">
      <c r="A3463">
        <v>3462</v>
      </c>
      <c r="B3463">
        <v>1</v>
      </c>
      <c r="C3463" t="s">
        <v>30</v>
      </c>
      <c r="D3463" t="s">
        <v>33</v>
      </c>
      <c r="E3463">
        <v>4200000</v>
      </c>
      <c r="F3463">
        <v>11300000</v>
      </c>
      <c r="G3463">
        <v>4</v>
      </c>
      <c r="H3463">
        <v>704</v>
      </c>
      <c r="I3463">
        <v>4700000</v>
      </c>
      <c r="J3463">
        <v>2800000</v>
      </c>
      <c r="K3463">
        <v>14900000</v>
      </c>
      <c r="L3463">
        <v>4000000</v>
      </c>
      <c r="M3463" t="s">
        <v>34</v>
      </c>
      <c r="N3463">
        <f t="shared" si="325"/>
        <v>1</v>
      </c>
      <c r="O3463" t="str">
        <f t="shared" si="324"/>
        <v>Good</v>
      </c>
      <c r="P3463" t="str">
        <f t="shared" si="326"/>
        <v>High</v>
      </c>
      <c r="Q3463" t="str">
        <f t="shared" si="327"/>
        <v>Low Loan</v>
      </c>
      <c r="R3463">
        <f t="shared" si="328"/>
        <v>26400000</v>
      </c>
      <c r="S3463" t="str">
        <f t="shared" si="329"/>
        <v>Strong</v>
      </c>
    </row>
    <row r="3464" spans="1:19" x14ac:dyDescent="0.25">
      <c r="A3464">
        <v>3463</v>
      </c>
      <c r="B3464">
        <v>0</v>
      </c>
      <c r="C3464" t="s">
        <v>30</v>
      </c>
      <c r="D3464" t="s">
        <v>32</v>
      </c>
      <c r="E3464">
        <v>6500000</v>
      </c>
      <c r="F3464">
        <v>20200000</v>
      </c>
      <c r="G3464">
        <v>16</v>
      </c>
      <c r="H3464">
        <v>842</v>
      </c>
      <c r="I3464">
        <v>8300000</v>
      </c>
      <c r="J3464">
        <v>12200000</v>
      </c>
      <c r="K3464">
        <v>14300000</v>
      </c>
      <c r="L3464">
        <v>9600000</v>
      </c>
      <c r="M3464" t="s">
        <v>34</v>
      </c>
      <c r="N3464">
        <f t="shared" si="325"/>
        <v>1</v>
      </c>
      <c r="O3464" t="str">
        <f t="shared" si="324"/>
        <v>Excellent</v>
      </c>
      <c r="P3464" t="str">
        <f t="shared" si="326"/>
        <v>High</v>
      </c>
      <c r="Q3464" t="str">
        <f t="shared" si="327"/>
        <v>High Loan</v>
      </c>
      <c r="R3464">
        <f t="shared" si="328"/>
        <v>44400000</v>
      </c>
      <c r="S3464" t="str">
        <f t="shared" si="329"/>
        <v>Strong</v>
      </c>
    </row>
    <row r="3465" spans="1:19" x14ac:dyDescent="0.25">
      <c r="A3465">
        <v>3464</v>
      </c>
      <c r="B3465">
        <v>0</v>
      </c>
      <c r="C3465" t="s">
        <v>30</v>
      </c>
      <c r="D3465" t="s">
        <v>33</v>
      </c>
      <c r="E3465">
        <v>7400000</v>
      </c>
      <c r="F3465">
        <v>15200000</v>
      </c>
      <c r="G3465">
        <v>12</v>
      </c>
      <c r="H3465">
        <v>600</v>
      </c>
      <c r="I3465">
        <v>6200000</v>
      </c>
      <c r="J3465">
        <v>8500000</v>
      </c>
      <c r="K3465">
        <v>18800000</v>
      </c>
      <c r="L3465">
        <v>4100000</v>
      </c>
      <c r="M3465" t="s">
        <v>34</v>
      </c>
      <c r="N3465">
        <f t="shared" si="325"/>
        <v>1</v>
      </c>
      <c r="O3465" t="str">
        <f t="shared" si="324"/>
        <v>Low</v>
      </c>
      <c r="P3465" t="str">
        <f t="shared" si="326"/>
        <v>High</v>
      </c>
      <c r="Q3465" t="str">
        <f t="shared" si="327"/>
        <v>Low Loan</v>
      </c>
      <c r="R3465">
        <f t="shared" si="328"/>
        <v>37600000</v>
      </c>
      <c r="S3465" t="str">
        <f t="shared" si="329"/>
        <v>Strong</v>
      </c>
    </row>
    <row r="3466" spans="1:19" x14ac:dyDescent="0.25">
      <c r="A3466">
        <v>3465</v>
      </c>
      <c r="B3466">
        <v>3</v>
      </c>
      <c r="C3466" t="s">
        <v>31</v>
      </c>
      <c r="D3466" t="s">
        <v>32</v>
      </c>
      <c r="E3466">
        <v>9100000</v>
      </c>
      <c r="F3466">
        <v>25600000</v>
      </c>
      <c r="G3466">
        <v>12</v>
      </c>
      <c r="H3466">
        <v>688</v>
      </c>
      <c r="I3466">
        <v>8900000</v>
      </c>
      <c r="J3466">
        <v>16300000</v>
      </c>
      <c r="K3466">
        <v>27900000</v>
      </c>
      <c r="L3466">
        <v>11100000</v>
      </c>
      <c r="M3466" t="s">
        <v>34</v>
      </c>
      <c r="N3466">
        <f t="shared" si="325"/>
        <v>1</v>
      </c>
      <c r="O3466" t="str">
        <f t="shared" si="324"/>
        <v>Medium</v>
      </c>
      <c r="P3466" t="str">
        <f t="shared" si="326"/>
        <v>High</v>
      </c>
      <c r="Q3466" t="str">
        <f t="shared" si="327"/>
        <v>High Loan</v>
      </c>
      <c r="R3466">
        <f t="shared" si="328"/>
        <v>64200000</v>
      </c>
      <c r="S3466" t="str">
        <f t="shared" si="329"/>
        <v>Strong</v>
      </c>
    </row>
    <row r="3467" spans="1:19" x14ac:dyDescent="0.25">
      <c r="A3467">
        <v>3466</v>
      </c>
      <c r="B3467">
        <v>0</v>
      </c>
      <c r="C3467" t="s">
        <v>31</v>
      </c>
      <c r="D3467" t="s">
        <v>32</v>
      </c>
      <c r="E3467">
        <v>800000</v>
      </c>
      <c r="F3467">
        <v>2300000</v>
      </c>
      <c r="G3467">
        <v>16</v>
      </c>
      <c r="H3467">
        <v>739</v>
      </c>
      <c r="I3467">
        <v>1800000</v>
      </c>
      <c r="J3467">
        <v>600000</v>
      </c>
      <c r="K3467">
        <v>2000000</v>
      </c>
      <c r="L3467">
        <v>400000</v>
      </c>
      <c r="M3467" t="s">
        <v>34</v>
      </c>
      <c r="N3467">
        <f t="shared" si="325"/>
        <v>1</v>
      </c>
      <c r="O3467" t="str">
        <f t="shared" si="324"/>
        <v>Good</v>
      </c>
      <c r="P3467" t="str">
        <f t="shared" si="326"/>
        <v>High</v>
      </c>
      <c r="Q3467" t="str">
        <f t="shared" si="327"/>
        <v>Low Loan</v>
      </c>
      <c r="R3467">
        <f t="shared" si="328"/>
        <v>4800000</v>
      </c>
      <c r="S3467" t="str">
        <f t="shared" si="329"/>
        <v>Weak</v>
      </c>
    </row>
    <row r="3468" spans="1:19" x14ac:dyDescent="0.25">
      <c r="A3468">
        <v>3467</v>
      </c>
      <c r="B3468">
        <v>1</v>
      </c>
      <c r="C3468" t="s">
        <v>30</v>
      </c>
      <c r="D3468" t="s">
        <v>33</v>
      </c>
      <c r="E3468">
        <v>800000</v>
      </c>
      <c r="F3468">
        <v>2800000</v>
      </c>
      <c r="G3468">
        <v>10</v>
      </c>
      <c r="H3468">
        <v>798</v>
      </c>
      <c r="I3468">
        <v>1300000</v>
      </c>
      <c r="J3468">
        <v>1300000</v>
      </c>
      <c r="K3468">
        <v>2500000</v>
      </c>
      <c r="L3468">
        <v>400000</v>
      </c>
      <c r="M3468" t="s">
        <v>34</v>
      </c>
      <c r="N3468">
        <f t="shared" si="325"/>
        <v>1</v>
      </c>
      <c r="O3468" t="str">
        <f t="shared" si="324"/>
        <v>Excellent</v>
      </c>
      <c r="P3468" t="str">
        <f t="shared" si="326"/>
        <v>High</v>
      </c>
      <c r="Q3468" t="str">
        <f t="shared" si="327"/>
        <v>Low Loan</v>
      </c>
      <c r="R3468">
        <f t="shared" si="328"/>
        <v>5500000</v>
      </c>
      <c r="S3468" t="str">
        <f t="shared" si="329"/>
        <v>Moderate</v>
      </c>
    </row>
    <row r="3469" spans="1:19" x14ac:dyDescent="0.25">
      <c r="A3469">
        <v>3468</v>
      </c>
      <c r="B3469">
        <v>5</v>
      </c>
      <c r="C3469" t="s">
        <v>30</v>
      </c>
      <c r="D3469" t="s">
        <v>33</v>
      </c>
      <c r="E3469">
        <v>4100000</v>
      </c>
      <c r="F3469">
        <v>9900000</v>
      </c>
      <c r="G3469">
        <v>4</v>
      </c>
      <c r="H3469">
        <v>319</v>
      </c>
      <c r="I3469">
        <v>7600000</v>
      </c>
      <c r="J3469">
        <v>7400000</v>
      </c>
      <c r="K3469">
        <v>12000000</v>
      </c>
      <c r="L3469">
        <v>5500000</v>
      </c>
      <c r="M3469" t="s">
        <v>35</v>
      </c>
      <c r="N3469">
        <f t="shared" si="325"/>
        <v>0</v>
      </c>
      <c r="O3469" t="str">
        <f t="shared" si="324"/>
        <v>Low</v>
      </c>
      <c r="P3469" t="str">
        <f t="shared" si="326"/>
        <v>High</v>
      </c>
      <c r="Q3469" t="str">
        <f t="shared" si="327"/>
        <v>Low Loan</v>
      </c>
      <c r="R3469">
        <f t="shared" si="328"/>
        <v>32500000</v>
      </c>
      <c r="S3469" t="str">
        <f t="shared" si="329"/>
        <v>Strong</v>
      </c>
    </row>
    <row r="3470" spans="1:19" x14ac:dyDescent="0.25">
      <c r="A3470">
        <v>3469</v>
      </c>
      <c r="B3470">
        <v>5</v>
      </c>
      <c r="C3470" t="s">
        <v>30</v>
      </c>
      <c r="D3470" t="s">
        <v>33</v>
      </c>
      <c r="E3470">
        <v>4200000</v>
      </c>
      <c r="F3470">
        <v>8700000</v>
      </c>
      <c r="G3470">
        <v>6</v>
      </c>
      <c r="H3470">
        <v>583</v>
      </c>
      <c r="I3470">
        <v>6000000</v>
      </c>
      <c r="J3470">
        <v>800000</v>
      </c>
      <c r="K3470">
        <v>8500000</v>
      </c>
      <c r="L3470">
        <v>2500000</v>
      </c>
      <c r="M3470" t="s">
        <v>34</v>
      </c>
      <c r="N3470">
        <f t="shared" si="325"/>
        <v>1</v>
      </c>
      <c r="O3470" t="str">
        <f t="shared" si="324"/>
        <v>Low</v>
      </c>
      <c r="P3470" t="str">
        <f t="shared" si="326"/>
        <v>High</v>
      </c>
      <c r="Q3470" t="str">
        <f t="shared" si="327"/>
        <v>Low Loan</v>
      </c>
      <c r="R3470">
        <f t="shared" si="328"/>
        <v>17800000</v>
      </c>
      <c r="S3470" t="str">
        <f t="shared" si="329"/>
        <v>Strong</v>
      </c>
    </row>
    <row r="3471" spans="1:19" x14ac:dyDescent="0.25">
      <c r="A3471">
        <v>3470</v>
      </c>
      <c r="B3471">
        <v>3</v>
      </c>
      <c r="C3471" t="s">
        <v>30</v>
      </c>
      <c r="D3471" t="s">
        <v>33</v>
      </c>
      <c r="E3471">
        <v>4800000</v>
      </c>
      <c r="F3471">
        <v>11500000</v>
      </c>
      <c r="G3471">
        <v>12</v>
      </c>
      <c r="H3471">
        <v>535</v>
      </c>
      <c r="I3471">
        <v>3600000</v>
      </c>
      <c r="J3471">
        <v>8000000</v>
      </c>
      <c r="K3471">
        <v>15600000</v>
      </c>
      <c r="L3471">
        <v>5400000</v>
      </c>
      <c r="M3471" t="s">
        <v>35</v>
      </c>
      <c r="N3471">
        <f t="shared" si="325"/>
        <v>0</v>
      </c>
      <c r="O3471" t="str">
        <f t="shared" si="324"/>
        <v>Low</v>
      </c>
      <c r="P3471" t="str">
        <f t="shared" si="326"/>
        <v>High</v>
      </c>
      <c r="Q3471" t="str">
        <f t="shared" si="327"/>
        <v>Low Loan</v>
      </c>
      <c r="R3471">
        <f t="shared" si="328"/>
        <v>32600000</v>
      </c>
      <c r="S3471" t="str">
        <f t="shared" si="329"/>
        <v>Strong</v>
      </c>
    </row>
    <row r="3472" spans="1:19" x14ac:dyDescent="0.25">
      <c r="A3472">
        <v>3471</v>
      </c>
      <c r="B3472">
        <v>3</v>
      </c>
      <c r="C3472" t="s">
        <v>31</v>
      </c>
      <c r="D3472" t="s">
        <v>33</v>
      </c>
      <c r="E3472">
        <v>8300000</v>
      </c>
      <c r="F3472">
        <v>25900000</v>
      </c>
      <c r="G3472">
        <v>8</v>
      </c>
      <c r="H3472">
        <v>696</v>
      </c>
      <c r="I3472">
        <v>14400000</v>
      </c>
      <c r="J3472">
        <v>12200000</v>
      </c>
      <c r="K3472">
        <v>23500000</v>
      </c>
      <c r="L3472">
        <v>7100000</v>
      </c>
      <c r="M3472" t="s">
        <v>34</v>
      </c>
      <c r="N3472">
        <f t="shared" si="325"/>
        <v>1</v>
      </c>
      <c r="O3472" t="str">
        <f t="shared" si="324"/>
        <v>Medium</v>
      </c>
      <c r="P3472" t="str">
        <f t="shared" si="326"/>
        <v>High</v>
      </c>
      <c r="Q3472" t="str">
        <f t="shared" si="327"/>
        <v>High Loan</v>
      </c>
      <c r="R3472">
        <f t="shared" si="328"/>
        <v>57200000</v>
      </c>
      <c r="S3472" t="str">
        <f t="shared" si="329"/>
        <v>Strong</v>
      </c>
    </row>
    <row r="3473" spans="1:19" x14ac:dyDescent="0.25">
      <c r="A3473">
        <v>3472</v>
      </c>
      <c r="B3473">
        <v>4</v>
      </c>
      <c r="C3473" t="s">
        <v>31</v>
      </c>
      <c r="D3473" t="s">
        <v>32</v>
      </c>
      <c r="E3473">
        <v>7600000</v>
      </c>
      <c r="F3473">
        <v>23900000</v>
      </c>
      <c r="G3473">
        <v>8</v>
      </c>
      <c r="H3473">
        <v>672</v>
      </c>
      <c r="I3473">
        <v>2500000</v>
      </c>
      <c r="J3473">
        <v>1600000</v>
      </c>
      <c r="K3473">
        <v>20200000</v>
      </c>
      <c r="L3473">
        <v>6700000</v>
      </c>
      <c r="M3473" t="s">
        <v>34</v>
      </c>
      <c r="N3473">
        <f t="shared" si="325"/>
        <v>1</v>
      </c>
      <c r="O3473" t="str">
        <f t="shared" si="324"/>
        <v>Medium</v>
      </c>
      <c r="P3473" t="str">
        <f t="shared" si="326"/>
        <v>High</v>
      </c>
      <c r="Q3473" t="str">
        <f t="shared" si="327"/>
        <v>High Loan</v>
      </c>
      <c r="R3473">
        <f t="shared" si="328"/>
        <v>31000000</v>
      </c>
      <c r="S3473" t="str">
        <f t="shared" si="329"/>
        <v>Strong</v>
      </c>
    </row>
    <row r="3474" spans="1:19" x14ac:dyDescent="0.25">
      <c r="A3474">
        <v>3473</v>
      </c>
      <c r="B3474">
        <v>4</v>
      </c>
      <c r="C3474" t="s">
        <v>30</v>
      </c>
      <c r="D3474" t="s">
        <v>32</v>
      </c>
      <c r="E3474">
        <v>5100000</v>
      </c>
      <c r="F3474">
        <v>12300000</v>
      </c>
      <c r="G3474">
        <v>20</v>
      </c>
      <c r="H3474">
        <v>410</v>
      </c>
      <c r="I3474">
        <v>9200000</v>
      </c>
      <c r="J3474">
        <v>9200000</v>
      </c>
      <c r="K3474">
        <v>18700000</v>
      </c>
      <c r="L3474">
        <v>5600000</v>
      </c>
      <c r="M3474" t="s">
        <v>35</v>
      </c>
      <c r="N3474">
        <f t="shared" si="325"/>
        <v>0</v>
      </c>
      <c r="O3474" t="str">
        <f t="shared" si="324"/>
        <v>Low</v>
      </c>
      <c r="P3474" t="str">
        <f t="shared" si="326"/>
        <v>High</v>
      </c>
      <c r="Q3474" t="str">
        <f t="shared" si="327"/>
        <v>Low Loan</v>
      </c>
      <c r="R3474">
        <f t="shared" si="328"/>
        <v>42700000</v>
      </c>
      <c r="S3474" t="str">
        <f t="shared" si="329"/>
        <v>Strong</v>
      </c>
    </row>
    <row r="3475" spans="1:19" x14ac:dyDescent="0.25">
      <c r="A3475">
        <v>3474</v>
      </c>
      <c r="B3475">
        <v>5</v>
      </c>
      <c r="C3475" t="s">
        <v>30</v>
      </c>
      <c r="D3475" t="s">
        <v>32</v>
      </c>
      <c r="E3475">
        <v>3600000</v>
      </c>
      <c r="F3475">
        <v>11600000</v>
      </c>
      <c r="G3475">
        <v>14</v>
      </c>
      <c r="H3475">
        <v>546</v>
      </c>
      <c r="I3475">
        <v>8500000</v>
      </c>
      <c r="J3475">
        <v>300000</v>
      </c>
      <c r="K3475">
        <v>12000000</v>
      </c>
      <c r="L3475">
        <v>4800000</v>
      </c>
      <c r="M3475" t="s">
        <v>35</v>
      </c>
      <c r="N3475">
        <f t="shared" si="325"/>
        <v>0</v>
      </c>
      <c r="O3475" t="str">
        <f t="shared" si="324"/>
        <v>Low</v>
      </c>
      <c r="P3475" t="str">
        <f t="shared" si="326"/>
        <v>High</v>
      </c>
      <c r="Q3475" t="str">
        <f t="shared" si="327"/>
        <v>Low Loan</v>
      </c>
      <c r="R3475">
        <f t="shared" si="328"/>
        <v>25600000</v>
      </c>
      <c r="S3475" t="str">
        <f t="shared" si="329"/>
        <v>Strong</v>
      </c>
    </row>
    <row r="3476" spans="1:19" x14ac:dyDescent="0.25">
      <c r="A3476">
        <v>3475</v>
      </c>
      <c r="B3476">
        <v>3</v>
      </c>
      <c r="C3476" t="s">
        <v>31</v>
      </c>
      <c r="D3476" t="s">
        <v>33</v>
      </c>
      <c r="E3476">
        <v>5400000</v>
      </c>
      <c r="F3476">
        <v>16800000</v>
      </c>
      <c r="G3476">
        <v>16</v>
      </c>
      <c r="H3476">
        <v>550</v>
      </c>
      <c r="I3476">
        <v>10700000</v>
      </c>
      <c r="J3476">
        <v>6400000</v>
      </c>
      <c r="K3476">
        <v>13400000</v>
      </c>
      <c r="L3476">
        <v>7000000</v>
      </c>
      <c r="M3476" t="s">
        <v>34</v>
      </c>
      <c r="N3476">
        <f t="shared" si="325"/>
        <v>1</v>
      </c>
      <c r="O3476" t="str">
        <f t="shared" si="324"/>
        <v>Low</v>
      </c>
      <c r="P3476" t="str">
        <f t="shared" si="326"/>
        <v>High</v>
      </c>
      <c r="Q3476" t="str">
        <f t="shared" si="327"/>
        <v>Low Loan</v>
      </c>
      <c r="R3476">
        <f t="shared" si="328"/>
        <v>37500000</v>
      </c>
      <c r="S3476" t="str">
        <f t="shared" si="329"/>
        <v>Strong</v>
      </c>
    </row>
    <row r="3477" spans="1:19" x14ac:dyDescent="0.25">
      <c r="A3477">
        <v>3476</v>
      </c>
      <c r="B3477">
        <v>5</v>
      </c>
      <c r="C3477" t="s">
        <v>31</v>
      </c>
      <c r="D3477" t="s">
        <v>32</v>
      </c>
      <c r="E3477">
        <v>700000</v>
      </c>
      <c r="F3477">
        <v>1400000</v>
      </c>
      <c r="G3477">
        <v>4</v>
      </c>
      <c r="H3477">
        <v>344</v>
      </c>
      <c r="I3477">
        <v>1500000</v>
      </c>
      <c r="J3477">
        <v>800000</v>
      </c>
      <c r="K3477">
        <v>2600000</v>
      </c>
      <c r="L3477">
        <v>300000</v>
      </c>
      <c r="M3477" t="s">
        <v>35</v>
      </c>
      <c r="N3477">
        <f t="shared" si="325"/>
        <v>0</v>
      </c>
      <c r="O3477" t="str">
        <f t="shared" si="324"/>
        <v>Low</v>
      </c>
      <c r="P3477" t="str">
        <f t="shared" si="326"/>
        <v>High</v>
      </c>
      <c r="Q3477" t="str">
        <f t="shared" si="327"/>
        <v>Low Loan</v>
      </c>
      <c r="R3477">
        <f t="shared" si="328"/>
        <v>5200000</v>
      </c>
      <c r="S3477" t="str">
        <f t="shared" si="329"/>
        <v>Moderate</v>
      </c>
    </row>
    <row r="3478" spans="1:19" x14ac:dyDescent="0.25">
      <c r="A3478">
        <v>3477</v>
      </c>
      <c r="B3478">
        <v>2</v>
      </c>
      <c r="C3478" t="s">
        <v>31</v>
      </c>
      <c r="D3478" t="s">
        <v>33</v>
      </c>
      <c r="E3478">
        <v>9800000</v>
      </c>
      <c r="F3478">
        <v>38200000</v>
      </c>
      <c r="G3478">
        <v>10</v>
      </c>
      <c r="H3478">
        <v>743</v>
      </c>
      <c r="I3478">
        <v>5400000</v>
      </c>
      <c r="J3478">
        <v>14800000</v>
      </c>
      <c r="K3478">
        <v>24300000</v>
      </c>
      <c r="L3478">
        <v>5300000</v>
      </c>
      <c r="M3478" t="s">
        <v>34</v>
      </c>
      <c r="N3478">
        <f t="shared" si="325"/>
        <v>1</v>
      </c>
      <c r="O3478" t="str">
        <f t="shared" si="324"/>
        <v>Good</v>
      </c>
      <c r="P3478" t="str">
        <f t="shared" si="326"/>
        <v>High</v>
      </c>
      <c r="Q3478" t="str">
        <f t="shared" si="327"/>
        <v>High Loan</v>
      </c>
      <c r="R3478">
        <f t="shared" si="328"/>
        <v>49800000</v>
      </c>
      <c r="S3478" t="str">
        <f t="shared" si="329"/>
        <v>Strong</v>
      </c>
    </row>
    <row r="3479" spans="1:19" x14ac:dyDescent="0.25">
      <c r="A3479">
        <v>3478</v>
      </c>
      <c r="B3479">
        <v>4</v>
      </c>
      <c r="C3479" t="s">
        <v>30</v>
      </c>
      <c r="D3479" t="s">
        <v>32</v>
      </c>
      <c r="E3479">
        <v>9700000</v>
      </c>
      <c r="F3479">
        <v>36400000</v>
      </c>
      <c r="G3479">
        <v>4</v>
      </c>
      <c r="H3479">
        <v>772</v>
      </c>
      <c r="I3479">
        <v>13800000</v>
      </c>
      <c r="J3479">
        <v>11300000</v>
      </c>
      <c r="K3479">
        <v>38100000</v>
      </c>
      <c r="L3479">
        <v>13500000</v>
      </c>
      <c r="M3479" t="s">
        <v>34</v>
      </c>
      <c r="N3479">
        <f t="shared" si="325"/>
        <v>1</v>
      </c>
      <c r="O3479" t="str">
        <f t="shared" si="324"/>
        <v>Excellent</v>
      </c>
      <c r="P3479" t="str">
        <f t="shared" si="326"/>
        <v>High</v>
      </c>
      <c r="Q3479" t="str">
        <f t="shared" si="327"/>
        <v>High Loan</v>
      </c>
      <c r="R3479">
        <f t="shared" si="328"/>
        <v>76700000</v>
      </c>
      <c r="S3479" t="str">
        <f t="shared" si="329"/>
        <v>Strong</v>
      </c>
    </row>
    <row r="3480" spans="1:19" x14ac:dyDescent="0.25">
      <c r="A3480">
        <v>3479</v>
      </c>
      <c r="B3480">
        <v>0</v>
      </c>
      <c r="C3480" t="s">
        <v>30</v>
      </c>
      <c r="D3480" t="s">
        <v>33</v>
      </c>
      <c r="E3480">
        <v>9400000</v>
      </c>
      <c r="F3480">
        <v>29900000</v>
      </c>
      <c r="G3480">
        <v>12</v>
      </c>
      <c r="H3480">
        <v>302</v>
      </c>
      <c r="I3480">
        <v>12300000</v>
      </c>
      <c r="J3480">
        <v>1500000</v>
      </c>
      <c r="K3480">
        <v>35700000</v>
      </c>
      <c r="L3480">
        <v>8200000</v>
      </c>
      <c r="M3480" t="s">
        <v>35</v>
      </c>
      <c r="N3480">
        <f t="shared" si="325"/>
        <v>0</v>
      </c>
      <c r="O3480" t="str">
        <f t="shared" si="324"/>
        <v>Low</v>
      </c>
      <c r="P3480" t="str">
        <f t="shared" si="326"/>
        <v>High</v>
      </c>
      <c r="Q3480" t="str">
        <f t="shared" si="327"/>
        <v>High Loan</v>
      </c>
      <c r="R3480">
        <f t="shared" si="328"/>
        <v>57700000</v>
      </c>
      <c r="S3480" t="str">
        <f t="shared" si="329"/>
        <v>Strong</v>
      </c>
    </row>
    <row r="3481" spans="1:19" x14ac:dyDescent="0.25">
      <c r="A3481">
        <v>3480</v>
      </c>
      <c r="B3481">
        <v>3</v>
      </c>
      <c r="C3481" t="s">
        <v>30</v>
      </c>
      <c r="D3481" t="s">
        <v>33</v>
      </c>
      <c r="E3481">
        <v>3200000</v>
      </c>
      <c r="F3481">
        <v>9100000</v>
      </c>
      <c r="G3481">
        <v>18</v>
      </c>
      <c r="H3481">
        <v>376</v>
      </c>
      <c r="I3481">
        <v>4500000</v>
      </c>
      <c r="J3481">
        <v>800000</v>
      </c>
      <c r="K3481">
        <v>9000000</v>
      </c>
      <c r="L3481">
        <v>1700000</v>
      </c>
      <c r="M3481" t="s">
        <v>35</v>
      </c>
      <c r="N3481">
        <f t="shared" si="325"/>
        <v>0</v>
      </c>
      <c r="O3481" t="str">
        <f t="shared" si="324"/>
        <v>Low</v>
      </c>
      <c r="P3481" t="str">
        <f t="shared" si="326"/>
        <v>High</v>
      </c>
      <c r="Q3481" t="str">
        <f t="shared" si="327"/>
        <v>Low Loan</v>
      </c>
      <c r="R3481">
        <f t="shared" si="328"/>
        <v>16000000</v>
      </c>
      <c r="S3481" t="str">
        <f t="shared" si="329"/>
        <v>Strong</v>
      </c>
    </row>
    <row r="3482" spans="1:19" x14ac:dyDescent="0.25">
      <c r="A3482">
        <v>3481</v>
      </c>
      <c r="B3482">
        <v>0</v>
      </c>
      <c r="C3482" t="s">
        <v>30</v>
      </c>
      <c r="D3482" t="s">
        <v>33</v>
      </c>
      <c r="E3482">
        <v>3700000</v>
      </c>
      <c r="F3482">
        <v>11600000</v>
      </c>
      <c r="G3482">
        <v>10</v>
      </c>
      <c r="H3482">
        <v>747</v>
      </c>
      <c r="I3482">
        <v>0</v>
      </c>
      <c r="J3482">
        <v>4500000</v>
      </c>
      <c r="K3482">
        <v>9000000</v>
      </c>
      <c r="L3482">
        <v>3500000</v>
      </c>
      <c r="M3482" t="s">
        <v>34</v>
      </c>
      <c r="N3482">
        <f t="shared" si="325"/>
        <v>1</v>
      </c>
      <c r="O3482" t="str">
        <f t="shared" si="324"/>
        <v>Good</v>
      </c>
      <c r="P3482" t="str">
        <f t="shared" si="326"/>
        <v>High</v>
      </c>
      <c r="Q3482" t="str">
        <f t="shared" si="327"/>
        <v>Low Loan</v>
      </c>
      <c r="R3482">
        <f t="shared" si="328"/>
        <v>17000000</v>
      </c>
      <c r="S3482" t="str">
        <f t="shared" si="329"/>
        <v>Strong</v>
      </c>
    </row>
    <row r="3483" spans="1:19" x14ac:dyDescent="0.25">
      <c r="A3483">
        <v>3482</v>
      </c>
      <c r="B3483">
        <v>2</v>
      </c>
      <c r="C3483" t="s">
        <v>30</v>
      </c>
      <c r="D3483" t="s">
        <v>33</v>
      </c>
      <c r="E3483">
        <v>4200000</v>
      </c>
      <c r="F3483">
        <v>15800000</v>
      </c>
      <c r="G3483">
        <v>6</v>
      </c>
      <c r="H3483">
        <v>710</v>
      </c>
      <c r="I3483">
        <v>12300000</v>
      </c>
      <c r="J3483">
        <v>3700000</v>
      </c>
      <c r="K3483">
        <v>12600000</v>
      </c>
      <c r="L3483">
        <v>4600000</v>
      </c>
      <c r="M3483" t="s">
        <v>34</v>
      </c>
      <c r="N3483">
        <f t="shared" si="325"/>
        <v>1</v>
      </c>
      <c r="O3483" t="str">
        <f t="shared" si="324"/>
        <v>Good</v>
      </c>
      <c r="P3483" t="str">
        <f t="shared" si="326"/>
        <v>High</v>
      </c>
      <c r="Q3483" t="str">
        <f t="shared" si="327"/>
        <v>Low Loan</v>
      </c>
      <c r="R3483">
        <f t="shared" si="328"/>
        <v>33200000</v>
      </c>
      <c r="S3483" t="str">
        <f t="shared" si="329"/>
        <v>Strong</v>
      </c>
    </row>
    <row r="3484" spans="1:19" x14ac:dyDescent="0.25">
      <c r="A3484">
        <v>3483</v>
      </c>
      <c r="B3484">
        <v>2</v>
      </c>
      <c r="C3484" t="s">
        <v>31</v>
      </c>
      <c r="D3484" t="s">
        <v>32</v>
      </c>
      <c r="E3484">
        <v>7000000</v>
      </c>
      <c r="F3484">
        <v>24200000</v>
      </c>
      <c r="G3484">
        <v>6</v>
      </c>
      <c r="H3484">
        <v>892</v>
      </c>
      <c r="I3484">
        <v>20600000</v>
      </c>
      <c r="J3484">
        <v>500000</v>
      </c>
      <c r="K3484">
        <v>21400000</v>
      </c>
      <c r="L3484">
        <v>9200000</v>
      </c>
      <c r="M3484" t="s">
        <v>34</v>
      </c>
      <c r="N3484">
        <f t="shared" si="325"/>
        <v>1</v>
      </c>
      <c r="O3484" t="str">
        <f t="shared" si="324"/>
        <v>Excellent</v>
      </c>
      <c r="P3484" t="str">
        <f t="shared" si="326"/>
        <v>High</v>
      </c>
      <c r="Q3484" t="str">
        <f t="shared" si="327"/>
        <v>High Loan</v>
      </c>
      <c r="R3484">
        <f t="shared" si="328"/>
        <v>51700000</v>
      </c>
      <c r="S3484" t="str">
        <f t="shared" si="329"/>
        <v>Strong</v>
      </c>
    </row>
    <row r="3485" spans="1:19" x14ac:dyDescent="0.25">
      <c r="A3485">
        <v>3484</v>
      </c>
      <c r="B3485">
        <v>3</v>
      </c>
      <c r="C3485" t="s">
        <v>31</v>
      </c>
      <c r="D3485" t="s">
        <v>32</v>
      </c>
      <c r="E3485">
        <v>3200000</v>
      </c>
      <c r="F3485">
        <v>11500000</v>
      </c>
      <c r="G3485">
        <v>16</v>
      </c>
      <c r="H3485">
        <v>492</v>
      </c>
      <c r="I3485">
        <v>4800000</v>
      </c>
      <c r="J3485">
        <v>2300000</v>
      </c>
      <c r="K3485">
        <v>10400000</v>
      </c>
      <c r="L3485">
        <v>3200000</v>
      </c>
      <c r="M3485" t="s">
        <v>35</v>
      </c>
      <c r="N3485">
        <f t="shared" si="325"/>
        <v>0</v>
      </c>
      <c r="O3485" t="str">
        <f t="shared" si="324"/>
        <v>Low</v>
      </c>
      <c r="P3485" t="str">
        <f t="shared" si="326"/>
        <v>High</v>
      </c>
      <c r="Q3485" t="str">
        <f t="shared" si="327"/>
        <v>Low Loan</v>
      </c>
      <c r="R3485">
        <f t="shared" si="328"/>
        <v>20700000</v>
      </c>
      <c r="S3485" t="str">
        <f t="shared" si="329"/>
        <v>Strong</v>
      </c>
    </row>
    <row r="3486" spans="1:19" x14ac:dyDescent="0.25">
      <c r="A3486">
        <v>3485</v>
      </c>
      <c r="B3486">
        <v>5</v>
      </c>
      <c r="C3486" t="s">
        <v>30</v>
      </c>
      <c r="D3486" t="s">
        <v>32</v>
      </c>
      <c r="E3486">
        <v>7900000</v>
      </c>
      <c r="F3486">
        <v>17700000</v>
      </c>
      <c r="G3486">
        <v>2</v>
      </c>
      <c r="H3486">
        <v>559</v>
      </c>
      <c r="I3486">
        <v>19700000</v>
      </c>
      <c r="J3486">
        <v>2800000</v>
      </c>
      <c r="K3486">
        <v>28900000</v>
      </c>
      <c r="L3486">
        <v>5400000</v>
      </c>
      <c r="M3486" t="s">
        <v>34</v>
      </c>
      <c r="N3486">
        <f t="shared" si="325"/>
        <v>1</v>
      </c>
      <c r="O3486" t="str">
        <f t="shared" si="324"/>
        <v>Low</v>
      </c>
      <c r="P3486" t="str">
        <f t="shared" si="326"/>
        <v>High</v>
      </c>
      <c r="Q3486" t="str">
        <f t="shared" si="327"/>
        <v>Low Loan</v>
      </c>
      <c r="R3486">
        <f t="shared" si="328"/>
        <v>56800000</v>
      </c>
      <c r="S3486" t="str">
        <f t="shared" si="329"/>
        <v>Strong</v>
      </c>
    </row>
    <row r="3487" spans="1:19" x14ac:dyDescent="0.25">
      <c r="A3487">
        <v>3486</v>
      </c>
      <c r="B3487">
        <v>3</v>
      </c>
      <c r="C3487" t="s">
        <v>31</v>
      </c>
      <c r="D3487" t="s">
        <v>32</v>
      </c>
      <c r="E3487">
        <v>2200000</v>
      </c>
      <c r="F3487">
        <v>8300000</v>
      </c>
      <c r="G3487">
        <v>18</v>
      </c>
      <c r="H3487">
        <v>314</v>
      </c>
      <c r="I3487">
        <v>1100000</v>
      </c>
      <c r="J3487">
        <v>900000</v>
      </c>
      <c r="K3487">
        <v>5800000</v>
      </c>
      <c r="L3487">
        <v>2000000</v>
      </c>
      <c r="M3487" t="s">
        <v>35</v>
      </c>
      <c r="N3487">
        <f t="shared" si="325"/>
        <v>0</v>
      </c>
      <c r="O3487" t="str">
        <f t="shared" si="324"/>
        <v>Low</v>
      </c>
      <c r="P3487" t="str">
        <f t="shared" si="326"/>
        <v>High</v>
      </c>
      <c r="Q3487" t="str">
        <f t="shared" si="327"/>
        <v>Low Loan</v>
      </c>
      <c r="R3487">
        <f t="shared" si="328"/>
        <v>9800000</v>
      </c>
      <c r="S3487" t="str">
        <f t="shared" si="329"/>
        <v>Moderate</v>
      </c>
    </row>
    <row r="3488" spans="1:19" x14ac:dyDescent="0.25">
      <c r="A3488">
        <v>3487</v>
      </c>
      <c r="B3488">
        <v>0</v>
      </c>
      <c r="C3488" t="s">
        <v>30</v>
      </c>
      <c r="D3488" t="s">
        <v>33</v>
      </c>
      <c r="E3488">
        <v>2700000</v>
      </c>
      <c r="F3488">
        <v>8400000</v>
      </c>
      <c r="G3488">
        <v>6</v>
      </c>
      <c r="H3488">
        <v>744</v>
      </c>
      <c r="I3488">
        <v>1200000</v>
      </c>
      <c r="J3488">
        <v>4100000</v>
      </c>
      <c r="K3488">
        <v>7500000</v>
      </c>
      <c r="L3488">
        <v>2000000</v>
      </c>
      <c r="M3488" t="s">
        <v>34</v>
      </c>
      <c r="N3488">
        <f t="shared" si="325"/>
        <v>1</v>
      </c>
      <c r="O3488" t="str">
        <f t="shared" si="324"/>
        <v>Good</v>
      </c>
      <c r="P3488" t="str">
        <f t="shared" si="326"/>
        <v>High</v>
      </c>
      <c r="Q3488" t="str">
        <f t="shared" si="327"/>
        <v>Low Loan</v>
      </c>
      <c r="R3488">
        <f t="shared" si="328"/>
        <v>14800000</v>
      </c>
      <c r="S3488" t="str">
        <f t="shared" si="329"/>
        <v>Strong</v>
      </c>
    </row>
    <row r="3489" spans="1:19" x14ac:dyDescent="0.25">
      <c r="A3489">
        <v>3488</v>
      </c>
      <c r="B3489">
        <v>5</v>
      </c>
      <c r="C3489" t="s">
        <v>31</v>
      </c>
      <c r="D3489" t="s">
        <v>32</v>
      </c>
      <c r="E3489">
        <v>6800000</v>
      </c>
      <c r="F3489">
        <v>18000000</v>
      </c>
      <c r="G3489">
        <v>12</v>
      </c>
      <c r="H3489">
        <v>690</v>
      </c>
      <c r="I3489">
        <v>17800000</v>
      </c>
      <c r="J3489">
        <v>11800000</v>
      </c>
      <c r="K3489">
        <v>25000000</v>
      </c>
      <c r="L3489">
        <v>9300000</v>
      </c>
      <c r="M3489" t="s">
        <v>34</v>
      </c>
      <c r="N3489">
        <f t="shared" si="325"/>
        <v>1</v>
      </c>
      <c r="O3489" t="str">
        <f t="shared" si="324"/>
        <v>Medium</v>
      </c>
      <c r="P3489" t="str">
        <f t="shared" si="326"/>
        <v>High</v>
      </c>
      <c r="Q3489" t="str">
        <f t="shared" si="327"/>
        <v>Low Loan</v>
      </c>
      <c r="R3489">
        <f t="shared" si="328"/>
        <v>63900000</v>
      </c>
      <c r="S3489" t="str">
        <f t="shared" si="329"/>
        <v>Strong</v>
      </c>
    </row>
    <row r="3490" spans="1:19" x14ac:dyDescent="0.25">
      <c r="A3490">
        <v>3489</v>
      </c>
      <c r="B3490">
        <v>3</v>
      </c>
      <c r="C3490" t="s">
        <v>30</v>
      </c>
      <c r="D3490" t="s">
        <v>33</v>
      </c>
      <c r="E3490">
        <v>6300000</v>
      </c>
      <c r="F3490">
        <v>23300000</v>
      </c>
      <c r="G3490">
        <v>4</v>
      </c>
      <c r="H3490">
        <v>347</v>
      </c>
      <c r="I3490">
        <v>18300000</v>
      </c>
      <c r="J3490">
        <v>12200000</v>
      </c>
      <c r="K3490">
        <v>21100000</v>
      </c>
      <c r="L3490">
        <v>8100000</v>
      </c>
      <c r="M3490" t="s">
        <v>34</v>
      </c>
      <c r="N3490">
        <f t="shared" si="325"/>
        <v>1</v>
      </c>
      <c r="O3490" t="str">
        <f t="shared" si="324"/>
        <v>Low</v>
      </c>
      <c r="P3490" t="str">
        <f t="shared" si="326"/>
        <v>High</v>
      </c>
      <c r="Q3490" t="str">
        <f t="shared" si="327"/>
        <v>High Loan</v>
      </c>
      <c r="R3490">
        <f t="shared" si="328"/>
        <v>59700000</v>
      </c>
      <c r="S3490" t="str">
        <f t="shared" si="329"/>
        <v>Strong</v>
      </c>
    </row>
    <row r="3491" spans="1:19" x14ac:dyDescent="0.25">
      <c r="A3491">
        <v>3490</v>
      </c>
      <c r="B3491">
        <v>5</v>
      </c>
      <c r="C3491" t="s">
        <v>30</v>
      </c>
      <c r="D3491" t="s">
        <v>33</v>
      </c>
      <c r="E3491">
        <v>9000000</v>
      </c>
      <c r="F3491">
        <v>31400000</v>
      </c>
      <c r="G3491">
        <v>2</v>
      </c>
      <c r="H3491">
        <v>677</v>
      </c>
      <c r="I3491">
        <v>12000000</v>
      </c>
      <c r="J3491">
        <v>10800000</v>
      </c>
      <c r="K3491">
        <v>20700000</v>
      </c>
      <c r="L3491">
        <v>8700000</v>
      </c>
      <c r="M3491" t="s">
        <v>34</v>
      </c>
      <c r="N3491">
        <f t="shared" si="325"/>
        <v>1</v>
      </c>
      <c r="O3491" t="str">
        <f t="shared" si="324"/>
        <v>Medium</v>
      </c>
      <c r="P3491" t="str">
        <f t="shared" si="326"/>
        <v>High</v>
      </c>
      <c r="Q3491" t="str">
        <f t="shared" si="327"/>
        <v>High Loan</v>
      </c>
      <c r="R3491">
        <f t="shared" si="328"/>
        <v>52200000</v>
      </c>
      <c r="S3491" t="str">
        <f t="shared" si="329"/>
        <v>Strong</v>
      </c>
    </row>
    <row r="3492" spans="1:19" x14ac:dyDescent="0.25">
      <c r="A3492">
        <v>3491</v>
      </c>
      <c r="B3492">
        <v>1</v>
      </c>
      <c r="C3492" t="s">
        <v>30</v>
      </c>
      <c r="D3492" t="s">
        <v>32</v>
      </c>
      <c r="E3492">
        <v>4700000</v>
      </c>
      <c r="F3492">
        <v>15700000</v>
      </c>
      <c r="G3492">
        <v>4</v>
      </c>
      <c r="H3492">
        <v>468</v>
      </c>
      <c r="I3492">
        <v>13300000</v>
      </c>
      <c r="J3492">
        <v>5100000</v>
      </c>
      <c r="K3492">
        <v>16200000</v>
      </c>
      <c r="L3492">
        <v>3600000</v>
      </c>
      <c r="M3492" t="s">
        <v>34</v>
      </c>
      <c r="N3492">
        <f t="shared" si="325"/>
        <v>1</v>
      </c>
      <c r="O3492" t="str">
        <f t="shared" si="324"/>
        <v>Low</v>
      </c>
      <c r="P3492" t="str">
        <f t="shared" si="326"/>
        <v>High</v>
      </c>
      <c r="Q3492" t="str">
        <f t="shared" si="327"/>
        <v>Low Loan</v>
      </c>
      <c r="R3492">
        <f t="shared" si="328"/>
        <v>38200000</v>
      </c>
      <c r="S3492" t="str">
        <f t="shared" si="329"/>
        <v>Strong</v>
      </c>
    </row>
    <row r="3493" spans="1:19" x14ac:dyDescent="0.25">
      <c r="A3493">
        <v>3492</v>
      </c>
      <c r="B3493">
        <v>2</v>
      </c>
      <c r="C3493" t="s">
        <v>31</v>
      </c>
      <c r="D3493" t="s">
        <v>32</v>
      </c>
      <c r="E3493">
        <v>8100000</v>
      </c>
      <c r="F3493">
        <v>17500000</v>
      </c>
      <c r="G3493">
        <v>4</v>
      </c>
      <c r="H3493">
        <v>674</v>
      </c>
      <c r="I3493">
        <v>10800000</v>
      </c>
      <c r="J3493">
        <v>12700000</v>
      </c>
      <c r="K3493">
        <v>23200000</v>
      </c>
      <c r="L3493">
        <v>9300000</v>
      </c>
      <c r="M3493" t="s">
        <v>34</v>
      </c>
      <c r="N3493">
        <f t="shared" si="325"/>
        <v>1</v>
      </c>
      <c r="O3493" t="str">
        <f t="shared" si="324"/>
        <v>Medium</v>
      </c>
      <c r="P3493" t="str">
        <f t="shared" si="326"/>
        <v>High</v>
      </c>
      <c r="Q3493" t="str">
        <f t="shared" si="327"/>
        <v>Low Loan</v>
      </c>
      <c r="R3493">
        <f t="shared" si="328"/>
        <v>56000000</v>
      </c>
      <c r="S3493" t="str">
        <f t="shared" si="329"/>
        <v>Strong</v>
      </c>
    </row>
    <row r="3494" spans="1:19" x14ac:dyDescent="0.25">
      <c r="A3494">
        <v>3493</v>
      </c>
      <c r="B3494">
        <v>2</v>
      </c>
      <c r="C3494" t="s">
        <v>31</v>
      </c>
      <c r="D3494" t="s">
        <v>32</v>
      </c>
      <c r="E3494">
        <v>9000000</v>
      </c>
      <c r="F3494">
        <v>27300000</v>
      </c>
      <c r="G3494">
        <v>14</v>
      </c>
      <c r="H3494">
        <v>353</v>
      </c>
      <c r="I3494">
        <v>22600000</v>
      </c>
      <c r="J3494">
        <v>4400000</v>
      </c>
      <c r="K3494">
        <v>26900000</v>
      </c>
      <c r="L3494">
        <v>7200000</v>
      </c>
      <c r="M3494" t="s">
        <v>35</v>
      </c>
      <c r="N3494">
        <f t="shared" si="325"/>
        <v>0</v>
      </c>
      <c r="O3494" t="str">
        <f t="shared" si="324"/>
        <v>Low</v>
      </c>
      <c r="P3494" t="str">
        <f t="shared" si="326"/>
        <v>High</v>
      </c>
      <c r="Q3494" t="str">
        <f t="shared" si="327"/>
        <v>High Loan</v>
      </c>
      <c r="R3494">
        <f t="shared" si="328"/>
        <v>61100000</v>
      </c>
      <c r="S3494" t="str">
        <f t="shared" si="329"/>
        <v>Strong</v>
      </c>
    </row>
    <row r="3495" spans="1:19" x14ac:dyDescent="0.25">
      <c r="A3495">
        <v>3494</v>
      </c>
      <c r="B3495">
        <v>4</v>
      </c>
      <c r="C3495" t="s">
        <v>31</v>
      </c>
      <c r="D3495" t="s">
        <v>32</v>
      </c>
      <c r="E3495">
        <v>3800000</v>
      </c>
      <c r="F3495">
        <v>14100000</v>
      </c>
      <c r="G3495">
        <v>8</v>
      </c>
      <c r="H3495">
        <v>727</v>
      </c>
      <c r="I3495">
        <v>3900000</v>
      </c>
      <c r="J3495">
        <v>4900000</v>
      </c>
      <c r="K3495">
        <v>8200000</v>
      </c>
      <c r="L3495">
        <v>5400000</v>
      </c>
      <c r="M3495" t="s">
        <v>34</v>
      </c>
      <c r="N3495">
        <f t="shared" si="325"/>
        <v>1</v>
      </c>
      <c r="O3495" t="str">
        <f t="shared" si="324"/>
        <v>Good</v>
      </c>
      <c r="P3495" t="str">
        <f t="shared" si="326"/>
        <v>High</v>
      </c>
      <c r="Q3495" t="str">
        <f t="shared" si="327"/>
        <v>Low Loan</v>
      </c>
      <c r="R3495">
        <f t="shared" si="328"/>
        <v>22400000</v>
      </c>
      <c r="S3495" t="str">
        <f t="shared" si="329"/>
        <v>Strong</v>
      </c>
    </row>
    <row r="3496" spans="1:19" x14ac:dyDescent="0.25">
      <c r="A3496">
        <v>3495</v>
      </c>
      <c r="B3496">
        <v>4</v>
      </c>
      <c r="C3496" t="s">
        <v>31</v>
      </c>
      <c r="D3496" t="s">
        <v>33</v>
      </c>
      <c r="E3496">
        <v>8800000</v>
      </c>
      <c r="F3496">
        <v>22200000</v>
      </c>
      <c r="G3496">
        <v>10</v>
      </c>
      <c r="H3496">
        <v>512</v>
      </c>
      <c r="I3496">
        <v>6800000</v>
      </c>
      <c r="J3496">
        <v>4000000</v>
      </c>
      <c r="K3496">
        <v>31900000</v>
      </c>
      <c r="L3496">
        <v>9900000</v>
      </c>
      <c r="M3496" t="s">
        <v>35</v>
      </c>
      <c r="N3496">
        <f t="shared" si="325"/>
        <v>0</v>
      </c>
      <c r="O3496" t="str">
        <f t="shared" si="324"/>
        <v>Low</v>
      </c>
      <c r="P3496" t="str">
        <f t="shared" si="326"/>
        <v>High</v>
      </c>
      <c r="Q3496" t="str">
        <f t="shared" si="327"/>
        <v>High Loan</v>
      </c>
      <c r="R3496">
        <f t="shared" si="328"/>
        <v>52600000</v>
      </c>
      <c r="S3496" t="str">
        <f t="shared" si="329"/>
        <v>Strong</v>
      </c>
    </row>
    <row r="3497" spans="1:19" x14ac:dyDescent="0.25">
      <c r="A3497">
        <v>3496</v>
      </c>
      <c r="B3497">
        <v>3</v>
      </c>
      <c r="C3497" t="s">
        <v>31</v>
      </c>
      <c r="D3497" t="s">
        <v>33</v>
      </c>
      <c r="E3497">
        <v>8700000</v>
      </c>
      <c r="F3497">
        <v>27200000</v>
      </c>
      <c r="G3497">
        <v>18</v>
      </c>
      <c r="H3497">
        <v>454</v>
      </c>
      <c r="I3497">
        <v>9100000</v>
      </c>
      <c r="J3497">
        <v>9300000</v>
      </c>
      <c r="K3497">
        <v>30900000</v>
      </c>
      <c r="L3497">
        <v>12000000</v>
      </c>
      <c r="M3497" t="s">
        <v>35</v>
      </c>
      <c r="N3497">
        <f t="shared" si="325"/>
        <v>0</v>
      </c>
      <c r="O3497" t="str">
        <f t="shared" si="324"/>
        <v>Low</v>
      </c>
      <c r="P3497" t="str">
        <f t="shared" si="326"/>
        <v>High</v>
      </c>
      <c r="Q3497" t="str">
        <f t="shared" si="327"/>
        <v>High Loan</v>
      </c>
      <c r="R3497">
        <f t="shared" si="328"/>
        <v>61300000</v>
      </c>
      <c r="S3497" t="str">
        <f t="shared" si="329"/>
        <v>Strong</v>
      </c>
    </row>
    <row r="3498" spans="1:19" x14ac:dyDescent="0.25">
      <c r="A3498">
        <v>3497</v>
      </c>
      <c r="B3498">
        <v>5</v>
      </c>
      <c r="C3498" t="s">
        <v>31</v>
      </c>
      <c r="D3498" t="s">
        <v>32</v>
      </c>
      <c r="E3498">
        <v>5000000</v>
      </c>
      <c r="F3498">
        <v>12400000</v>
      </c>
      <c r="G3498">
        <v>14</v>
      </c>
      <c r="H3498">
        <v>315</v>
      </c>
      <c r="I3498">
        <v>7400000</v>
      </c>
      <c r="J3498">
        <v>8600000</v>
      </c>
      <c r="K3498">
        <v>17000000</v>
      </c>
      <c r="L3498">
        <v>4000000</v>
      </c>
      <c r="M3498" t="s">
        <v>35</v>
      </c>
      <c r="N3498">
        <f t="shared" si="325"/>
        <v>0</v>
      </c>
      <c r="O3498" t="str">
        <f t="shared" si="324"/>
        <v>Low</v>
      </c>
      <c r="P3498" t="str">
        <f t="shared" si="326"/>
        <v>High</v>
      </c>
      <c r="Q3498" t="str">
        <f t="shared" si="327"/>
        <v>Low Loan</v>
      </c>
      <c r="R3498">
        <f t="shared" si="328"/>
        <v>37000000</v>
      </c>
      <c r="S3498" t="str">
        <f t="shared" si="329"/>
        <v>Strong</v>
      </c>
    </row>
    <row r="3499" spans="1:19" x14ac:dyDescent="0.25">
      <c r="A3499">
        <v>3498</v>
      </c>
      <c r="B3499">
        <v>0</v>
      </c>
      <c r="C3499" t="s">
        <v>31</v>
      </c>
      <c r="D3499" t="s">
        <v>33</v>
      </c>
      <c r="E3499">
        <v>6000000</v>
      </c>
      <c r="F3499">
        <v>22700000</v>
      </c>
      <c r="G3499">
        <v>10</v>
      </c>
      <c r="H3499">
        <v>480</v>
      </c>
      <c r="I3499">
        <v>200000</v>
      </c>
      <c r="J3499">
        <v>11900000</v>
      </c>
      <c r="K3499">
        <v>13700000</v>
      </c>
      <c r="L3499">
        <v>8700000</v>
      </c>
      <c r="M3499" t="s">
        <v>35</v>
      </c>
      <c r="N3499">
        <f t="shared" si="325"/>
        <v>0</v>
      </c>
      <c r="O3499" t="str">
        <f t="shared" si="324"/>
        <v>Low</v>
      </c>
      <c r="P3499" t="str">
        <f t="shared" si="326"/>
        <v>High</v>
      </c>
      <c r="Q3499" t="str">
        <f t="shared" si="327"/>
        <v>High Loan</v>
      </c>
      <c r="R3499">
        <f t="shared" si="328"/>
        <v>34500000</v>
      </c>
      <c r="S3499" t="str">
        <f t="shared" si="329"/>
        <v>Strong</v>
      </c>
    </row>
    <row r="3500" spans="1:19" x14ac:dyDescent="0.25">
      <c r="A3500">
        <v>3499</v>
      </c>
      <c r="B3500">
        <v>2</v>
      </c>
      <c r="C3500" t="s">
        <v>30</v>
      </c>
      <c r="D3500" t="s">
        <v>33</v>
      </c>
      <c r="E3500">
        <v>9100000</v>
      </c>
      <c r="F3500">
        <v>24200000</v>
      </c>
      <c r="G3500">
        <v>16</v>
      </c>
      <c r="H3500">
        <v>685</v>
      </c>
      <c r="I3500">
        <v>25600000</v>
      </c>
      <c r="J3500">
        <v>1900000</v>
      </c>
      <c r="K3500">
        <v>31100000</v>
      </c>
      <c r="L3500">
        <v>9100000</v>
      </c>
      <c r="M3500" t="s">
        <v>34</v>
      </c>
      <c r="N3500">
        <f t="shared" si="325"/>
        <v>1</v>
      </c>
      <c r="O3500" t="str">
        <f t="shared" si="324"/>
        <v>Medium</v>
      </c>
      <c r="P3500" t="str">
        <f t="shared" si="326"/>
        <v>High</v>
      </c>
      <c r="Q3500" t="str">
        <f t="shared" si="327"/>
        <v>High Loan</v>
      </c>
      <c r="R3500">
        <f t="shared" si="328"/>
        <v>67700000</v>
      </c>
      <c r="S3500" t="str">
        <f t="shared" si="329"/>
        <v>Strong</v>
      </c>
    </row>
    <row r="3501" spans="1:19" x14ac:dyDescent="0.25">
      <c r="A3501">
        <v>3500</v>
      </c>
      <c r="B3501">
        <v>1</v>
      </c>
      <c r="C3501" t="s">
        <v>30</v>
      </c>
      <c r="D3501" t="s">
        <v>32</v>
      </c>
      <c r="E3501">
        <v>7400000</v>
      </c>
      <c r="F3501">
        <v>17900000</v>
      </c>
      <c r="G3501">
        <v>6</v>
      </c>
      <c r="H3501">
        <v>460</v>
      </c>
      <c r="I3501">
        <v>2600000</v>
      </c>
      <c r="J3501">
        <v>1300000</v>
      </c>
      <c r="K3501">
        <v>25900000</v>
      </c>
      <c r="L3501">
        <v>5000000</v>
      </c>
      <c r="M3501" t="s">
        <v>35</v>
      </c>
      <c r="N3501">
        <f t="shared" si="325"/>
        <v>0</v>
      </c>
      <c r="O3501" t="str">
        <f t="shared" si="324"/>
        <v>Low</v>
      </c>
      <c r="P3501" t="str">
        <f t="shared" si="326"/>
        <v>High</v>
      </c>
      <c r="Q3501" t="str">
        <f t="shared" si="327"/>
        <v>Low Loan</v>
      </c>
      <c r="R3501">
        <f t="shared" si="328"/>
        <v>34800000</v>
      </c>
      <c r="S3501" t="str">
        <f t="shared" si="329"/>
        <v>Strong</v>
      </c>
    </row>
    <row r="3502" spans="1:19" x14ac:dyDescent="0.25">
      <c r="A3502">
        <v>3501</v>
      </c>
      <c r="B3502">
        <v>1</v>
      </c>
      <c r="C3502" t="s">
        <v>31</v>
      </c>
      <c r="D3502" t="s">
        <v>33</v>
      </c>
      <c r="E3502">
        <v>8300000</v>
      </c>
      <c r="F3502">
        <v>28400000</v>
      </c>
      <c r="G3502">
        <v>16</v>
      </c>
      <c r="H3502">
        <v>704</v>
      </c>
      <c r="I3502">
        <v>1400000</v>
      </c>
      <c r="J3502">
        <v>11700000</v>
      </c>
      <c r="K3502">
        <v>16900000</v>
      </c>
      <c r="L3502">
        <v>11400000</v>
      </c>
      <c r="M3502" t="s">
        <v>34</v>
      </c>
      <c r="N3502">
        <f t="shared" si="325"/>
        <v>1</v>
      </c>
      <c r="O3502" t="str">
        <f t="shared" si="324"/>
        <v>Good</v>
      </c>
      <c r="P3502" t="str">
        <f t="shared" si="326"/>
        <v>High</v>
      </c>
      <c r="Q3502" t="str">
        <f t="shared" si="327"/>
        <v>High Loan</v>
      </c>
      <c r="R3502">
        <f t="shared" si="328"/>
        <v>41400000</v>
      </c>
      <c r="S3502" t="str">
        <f t="shared" si="329"/>
        <v>Strong</v>
      </c>
    </row>
    <row r="3503" spans="1:19" x14ac:dyDescent="0.25">
      <c r="A3503">
        <v>3502</v>
      </c>
      <c r="B3503">
        <v>1</v>
      </c>
      <c r="C3503" t="s">
        <v>30</v>
      </c>
      <c r="D3503" t="s">
        <v>33</v>
      </c>
      <c r="E3503">
        <v>7600000</v>
      </c>
      <c r="F3503">
        <v>23900000</v>
      </c>
      <c r="G3503">
        <v>12</v>
      </c>
      <c r="H3503">
        <v>692</v>
      </c>
      <c r="I3503">
        <v>500000</v>
      </c>
      <c r="J3503">
        <v>12200000</v>
      </c>
      <c r="K3503">
        <v>27000000</v>
      </c>
      <c r="L3503">
        <v>5000000</v>
      </c>
      <c r="M3503" t="s">
        <v>34</v>
      </c>
      <c r="N3503">
        <f t="shared" si="325"/>
        <v>1</v>
      </c>
      <c r="O3503" t="str">
        <f t="shared" si="324"/>
        <v>Medium</v>
      </c>
      <c r="P3503" t="str">
        <f t="shared" si="326"/>
        <v>High</v>
      </c>
      <c r="Q3503" t="str">
        <f t="shared" si="327"/>
        <v>High Loan</v>
      </c>
      <c r="R3503">
        <f t="shared" si="328"/>
        <v>44700000</v>
      </c>
      <c r="S3503" t="str">
        <f t="shared" si="329"/>
        <v>Strong</v>
      </c>
    </row>
    <row r="3504" spans="1:19" x14ac:dyDescent="0.25">
      <c r="A3504">
        <v>3503</v>
      </c>
      <c r="B3504">
        <v>1</v>
      </c>
      <c r="C3504" t="s">
        <v>31</v>
      </c>
      <c r="D3504" t="s">
        <v>33</v>
      </c>
      <c r="E3504">
        <v>3500000</v>
      </c>
      <c r="F3504">
        <v>9600000</v>
      </c>
      <c r="G3504">
        <v>4</v>
      </c>
      <c r="H3504">
        <v>398</v>
      </c>
      <c r="I3504">
        <v>1700000</v>
      </c>
      <c r="J3504">
        <v>6000000</v>
      </c>
      <c r="K3504">
        <v>7900000</v>
      </c>
      <c r="L3504">
        <v>4600000</v>
      </c>
      <c r="M3504" t="s">
        <v>35</v>
      </c>
      <c r="N3504">
        <f t="shared" si="325"/>
        <v>0</v>
      </c>
      <c r="O3504" t="str">
        <f t="shared" si="324"/>
        <v>Low</v>
      </c>
      <c r="P3504" t="str">
        <f t="shared" si="326"/>
        <v>High</v>
      </c>
      <c r="Q3504" t="str">
        <f t="shared" si="327"/>
        <v>Low Loan</v>
      </c>
      <c r="R3504">
        <f t="shared" si="328"/>
        <v>20200000</v>
      </c>
      <c r="S3504" t="str">
        <f t="shared" si="329"/>
        <v>Strong</v>
      </c>
    </row>
    <row r="3505" spans="1:19" x14ac:dyDescent="0.25">
      <c r="A3505">
        <v>3504</v>
      </c>
      <c r="B3505">
        <v>5</v>
      </c>
      <c r="C3505" t="s">
        <v>30</v>
      </c>
      <c r="D3505" t="s">
        <v>33</v>
      </c>
      <c r="E3505">
        <v>1000000</v>
      </c>
      <c r="F3505">
        <v>3500000</v>
      </c>
      <c r="G3505">
        <v>18</v>
      </c>
      <c r="H3505">
        <v>882</v>
      </c>
      <c r="I3505">
        <v>900000</v>
      </c>
      <c r="J3505">
        <v>500000</v>
      </c>
      <c r="K3505">
        <v>2900000</v>
      </c>
      <c r="L3505">
        <v>600000</v>
      </c>
      <c r="M3505" t="s">
        <v>34</v>
      </c>
      <c r="N3505">
        <f t="shared" si="325"/>
        <v>1</v>
      </c>
      <c r="O3505" t="str">
        <f t="shared" si="324"/>
        <v>Excellent</v>
      </c>
      <c r="P3505" t="str">
        <f t="shared" si="326"/>
        <v>High</v>
      </c>
      <c r="Q3505" t="str">
        <f t="shared" si="327"/>
        <v>Low Loan</v>
      </c>
      <c r="R3505">
        <f t="shared" si="328"/>
        <v>4900000</v>
      </c>
      <c r="S3505" t="str">
        <f t="shared" si="329"/>
        <v>Weak</v>
      </c>
    </row>
    <row r="3506" spans="1:19" x14ac:dyDescent="0.25">
      <c r="A3506">
        <v>3505</v>
      </c>
      <c r="B3506">
        <v>5</v>
      </c>
      <c r="C3506" t="s">
        <v>30</v>
      </c>
      <c r="D3506" t="s">
        <v>33</v>
      </c>
      <c r="E3506">
        <v>9900000</v>
      </c>
      <c r="F3506">
        <v>25900000</v>
      </c>
      <c r="G3506">
        <v>4</v>
      </c>
      <c r="H3506">
        <v>860</v>
      </c>
      <c r="I3506">
        <v>7800000</v>
      </c>
      <c r="J3506">
        <v>200000</v>
      </c>
      <c r="K3506">
        <v>38000000</v>
      </c>
      <c r="L3506">
        <v>5400000</v>
      </c>
      <c r="M3506" t="s">
        <v>34</v>
      </c>
      <c r="N3506">
        <f t="shared" si="325"/>
        <v>1</v>
      </c>
      <c r="O3506" t="str">
        <f t="shared" si="324"/>
        <v>Excellent</v>
      </c>
      <c r="P3506" t="str">
        <f t="shared" si="326"/>
        <v>High</v>
      </c>
      <c r="Q3506" t="str">
        <f t="shared" si="327"/>
        <v>High Loan</v>
      </c>
      <c r="R3506">
        <f t="shared" si="328"/>
        <v>51400000</v>
      </c>
      <c r="S3506" t="str">
        <f t="shared" si="329"/>
        <v>Strong</v>
      </c>
    </row>
    <row r="3507" spans="1:19" x14ac:dyDescent="0.25">
      <c r="A3507">
        <v>3506</v>
      </c>
      <c r="B3507">
        <v>2</v>
      </c>
      <c r="C3507" t="s">
        <v>30</v>
      </c>
      <c r="D3507" t="s">
        <v>33</v>
      </c>
      <c r="E3507">
        <v>5700000</v>
      </c>
      <c r="F3507">
        <v>15100000</v>
      </c>
      <c r="G3507">
        <v>18</v>
      </c>
      <c r="H3507">
        <v>330</v>
      </c>
      <c r="I3507">
        <v>5900000</v>
      </c>
      <c r="J3507">
        <v>3800000</v>
      </c>
      <c r="K3507">
        <v>16600000</v>
      </c>
      <c r="L3507">
        <v>6200000</v>
      </c>
      <c r="M3507" t="s">
        <v>35</v>
      </c>
      <c r="N3507">
        <f t="shared" si="325"/>
        <v>0</v>
      </c>
      <c r="O3507" t="str">
        <f t="shared" si="324"/>
        <v>Low</v>
      </c>
      <c r="P3507" t="str">
        <f t="shared" si="326"/>
        <v>High</v>
      </c>
      <c r="Q3507" t="str">
        <f t="shared" si="327"/>
        <v>Low Loan</v>
      </c>
      <c r="R3507">
        <f t="shared" si="328"/>
        <v>32500000</v>
      </c>
      <c r="S3507" t="str">
        <f t="shared" si="329"/>
        <v>Strong</v>
      </c>
    </row>
    <row r="3508" spans="1:19" x14ac:dyDescent="0.25">
      <c r="A3508">
        <v>3507</v>
      </c>
      <c r="B3508">
        <v>5</v>
      </c>
      <c r="C3508" t="s">
        <v>30</v>
      </c>
      <c r="D3508" t="s">
        <v>32</v>
      </c>
      <c r="E3508">
        <v>700000</v>
      </c>
      <c r="F3508">
        <v>2400000</v>
      </c>
      <c r="G3508">
        <v>16</v>
      </c>
      <c r="H3508">
        <v>447</v>
      </c>
      <c r="I3508">
        <v>1300000</v>
      </c>
      <c r="J3508">
        <v>700000</v>
      </c>
      <c r="K3508">
        <v>2600000</v>
      </c>
      <c r="L3508">
        <v>800000</v>
      </c>
      <c r="M3508" t="s">
        <v>35</v>
      </c>
      <c r="N3508">
        <f t="shared" si="325"/>
        <v>0</v>
      </c>
      <c r="O3508" t="str">
        <f t="shared" si="324"/>
        <v>Low</v>
      </c>
      <c r="P3508" t="str">
        <f t="shared" si="326"/>
        <v>High</v>
      </c>
      <c r="Q3508" t="str">
        <f t="shared" si="327"/>
        <v>Low Loan</v>
      </c>
      <c r="R3508">
        <f t="shared" si="328"/>
        <v>5400000</v>
      </c>
      <c r="S3508" t="str">
        <f t="shared" si="329"/>
        <v>Moderate</v>
      </c>
    </row>
    <row r="3509" spans="1:19" x14ac:dyDescent="0.25">
      <c r="A3509">
        <v>3508</v>
      </c>
      <c r="B3509">
        <v>0</v>
      </c>
      <c r="C3509" t="s">
        <v>31</v>
      </c>
      <c r="D3509" t="s">
        <v>33</v>
      </c>
      <c r="E3509">
        <v>9600000</v>
      </c>
      <c r="F3509">
        <v>23800000</v>
      </c>
      <c r="G3509">
        <v>12</v>
      </c>
      <c r="H3509">
        <v>788</v>
      </c>
      <c r="I3509">
        <v>9900000</v>
      </c>
      <c r="J3509">
        <v>14400000</v>
      </c>
      <c r="K3509">
        <v>21200000</v>
      </c>
      <c r="L3509">
        <v>10400000</v>
      </c>
      <c r="M3509" t="s">
        <v>34</v>
      </c>
      <c r="N3509">
        <f t="shared" si="325"/>
        <v>1</v>
      </c>
      <c r="O3509" t="str">
        <f t="shared" si="324"/>
        <v>Excellent</v>
      </c>
      <c r="P3509" t="str">
        <f t="shared" si="326"/>
        <v>High</v>
      </c>
      <c r="Q3509" t="str">
        <f t="shared" si="327"/>
        <v>High Loan</v>
      </c>
      <c r="R3509">
        <f t="shared" si="328"/>
        <v>55900000</v>
      </c>
      <c r="S3509" t="str">
        <f t="shared" si="329"/>
        <v>Strong</v>
      </c>
    </row>
    <row r="3510" spans="1:19" x14ac:dyDescent="0.25">
      <c r="A3510">
        <v>3509</v>
      </c>
      <c r="B3510">
        <v>1</v>
      </c>
      <c r="C3510" t="s">
        <v>31</v>
      </c>
      <c r="D3510" t="s">
        <v>32</v>
      </c>
      <c r="E3510">
        <v>9300000</v>
      </c>
      <c r="F3510">
        <v>28900000</v>
      </c>
      <c r="G3510">
        <v>6</v>
      </c>
      <c r="H3510">
        <v>526</v>
      </c>
      <c r="I3510">
        <v>11100000</v>
      </c>
      <c r="J3510">
        <v>1600000</v>
      </c>
      <c r="K3510">
        <v>19700000</v>
      </c>
      <c r="L3510">
        <v>11000000</v>
      </c>
      <c r="M3510" t="s">
        <v>35</v>
      </c>
      <c r="N3510">
        <f t="shared" si="325"/>
        <v>0</v>
      </c>
      <c r="O3510" t="str">
        <f t="shared" si="324"/>
        <v>Low</v>
      </c>
      <c r="P3510" t="str">
        <f t="shared" si="326"/>
        <v>High</v>
      </c>
      <c r="Q3510" t="str">
        <f t="shared" si="327"/>
        <v>High Loan</v>
      </c>
      <c r="R3510">
        <f t="shared" si="328"/>
        <v>43400000</v>
      </c>
      <c r="S3510" t="str">
        <f t="shared" si="329"/>
        <v>Strong</v>
      </c>
    </row>
    <row r="3511" spans="1:19" x14ac:dyDescent="0.25">
      <c r="A3511">
        <v>3510</v>
      </c>
      <c r="B3511">
        <v>0</v>
      </c>
      <c r="C3511" t="s">
        <v>30</v>
      </c>
      <c r="D3511" t="s">
        <v>32</v>
      </c>
      <c r="E3511">
        <v>9500000</v>
      </c>
      <c r="F3511">
        <v>28400000</v>
      </c>
      <c r="G3511">
        <v>18</v>
      </c>
      <c r="H3511">
        <v>577</v>
      </c>
      <c r="I3511">
        <v>6200000</v>
      </c>
      <c r="J3511">
        <v>10300000</v>
      </c>
      <c r="K3511">
        <v>30200000</v>
      </c>
      <c r="L3511">
        <v>14100000</v>
      </c>
      <c r="M3511" t="s">
        <v>34</v>
      </c>
      <c r="N3511">
        <f t="shared" si="325"/>
        <v>1</v>
      </c>
      <c r="O3511" t="str">
        <f t="shared" si="324"/>
        <v>Low</v>
      </c>
      <c r="P3511" t="str">
        <f t="shared" si="326"/>
        <v>High</v>
      </c>
      <c r="Q3511" t="str">
        <f t="shared" si="327"/>
        <v>High Loan</v>
      </c>
      <c r="R3511">
        <f t="shared" si="328"/>
        <v>60800000</v>
      </c>
      <c r="S3511" t="str">
        <f t="shared" si="329"/>
        <v>Strong</v>
      </c>
    </row>
    <row r="3512" spans="1:19" x14ac:dyDescent="0.25">
      <c r="A3512">
        <v>3511</v>
      </c>
      <c r="B3512">
        <v>4</v>
      </c>
      <c r="C3512" t="s">
        <v>30</v>
      </c>
      <c r="D3512" t="s">
        <v>33</v>
      </c>
      <c r="E3512">
        <v>8700000</v>
      </c>
      <c r="F3512">
        <v>23400000</v>
      </c>
      <c r="G3512">
        <v>16</v>
      </c>
      <c r="H3512">
        <v>372</v>
      </c>
      <c r="I3512">
        <v>10600000</v>
      </c>
      <c r="J3512">
        <v>11700000</v>
      </c>
      <c r="K3512">
        <v>20000000</v>
      </c>
      <c r="L3512">
        <v>8000000</v>
      </c>
      <c r="M3512" t="s">
        <v>35</v>
      </c>
      <c r="N3512">
        <f t="shared" si="325"/>
        <v>0</v>
      </c>
      <c r="O3512" t="str">
        <f t="shared" si="324"/>
        <v>Low</v>
      </c>
      <c r="P3512" t="str">
        <f t="shared" si="326"/>
        <v>High</v>
      </c>
      <c r="Q3512" t="str">
        <f t="shared" si="327"/>
        <v>High Loan</v>
      </c>
      <c r="R3512">
        <f t="shared" si="328"/>
        <v>50300000</v>
      </c>
      <c r="S3512" t="str">
        <f t="shared" si="329"/>
        <v>Strong</v>
      </c>
    </row>
    <row r="3513" spans="1:19" x14ac:dyDescent="0.25">
      <c r="A3513">
        <v>3512</v>
      </c>
      <c r="B3513">
        <v>5</v>
      </c>
      <c r="C3513" t="s">
        <v>30</v>
      </c>
      <c r="D3513" t="s">
        <v>33</v>
      </c>
      <c r="E3513">
        <v>7300000</v>
      </c>
      <c r="F3513">
        <v>21000000</v>
      </c>
      <c r="G3513">
        <v>14</v>
      </c>
      <c r="H3513">
        <v>759</v>
      </c>
      <c r="I3513">
        <v>15500000</v>
      </c>
      <c r="J3513">
        <v>8000000</v>
      </c>
      <c r="K3513">
        <v>20300000</v>
      </c>
      <c r="L3513">
        <v>10800000</v>
      </c>
      <c r="M3513" t="s">
        <v>34</v>
      </c>
      <c r="N3513">
        <f t="shared" si="325"/>
        <v>1</v>
      </c>
      <c r="O3513" t="str">
        <f t="shared" si="324"/>
        <v>Excellent</v>
      </c>
      <c r="P3513" t="str">
        <f t="shared" si="326"/>
        <v>High</v>
      </c>
      <c r="Q3513" t="str">
        <f t="shared" si="327"/>
        <v>High Loan</v>
      </c>
      <c r="R3513">
        <f t="shared" si="328"/>
        <v>54600000</v>
      </c>
      <c r="S3513" t="str">
        <f t="shared" si="329"/>
        <v>Strong</v>
      </c>
    </row>
    <row r="3514" spans="1:19" x14ac:dyDescent="0.25">
      <c r="A3514">
        <v>3513</v>
      </c>
      <c r="B3514">
        <v>3</v>
      </c>
      <c r="C3514" t="s">
        <v>30</v>
      </c>
      <c r="D3514" t="s">
        <v>33</v>
      </c>
      <c r="E3514">
        <v>4100000</v>
      </c>
      <c r="F3514">
        <v>12700000</v>
      </c>
      <c r="G3514">
        <v>10</v>
      </c>
      <c r="H3514">
        <v>465</v>
      </c>
      <c r="I3514">
        <v>6400000</v>
      </c>
      <c r="J3514">
        <v>1900000</v>
      </c>
      <c r="K3514">
        <v>14100000</v>
      </c>
      <c r="L3514">
        <v>3200000</v>
      </c>
      <c r="M3514" t="s">
        <v>35</v>
      </c>
      <c r="N3514">
        <f t="shared" si="325"/>
        <v>0</v>
      </c>
      <c r="O3514" t="str">
        <f t="shared" si="324"/>
        <v>Low</v>
      </c>
      <c r="P3514" t="str">
        <f t="shared" si="326"/>
        <v>High</v>
      </c>
      <c r="Q3514" t="str">
        <f t="shared" si="327"/>
        <v>Low Loan</v>
      </c>
      <c r="R3514">
        <f t="shared" si="328"/>
        <v>25600000</v>
      </c>
      <c r="S3514" t="str">
        <f t="shared" si="329"/>
        <v>Strong</v>
      </c>
    </row>
    <row r="3515" spans="1:19" x14ac:dyDescent="0.25">
      <c r="A3515">
        <v>3514</v>
      </c>
      <c r="B3515">
        <v>2</v>
      </c>
      <c r="C3515" t="s">
        <v>30</v>
      </c>
      <c r="D3515" t="s">
        <v>32</v>
      </c>
      <c r="E3515">
        <v>2900000</v>
      </c>
      <c r="F3515">
        <v>10200000</v>
      </c>
      <c r="G3515">
        <v>4</v>
      </c>
      <c r="H3515">
        <v>789</v>
      </c>
      <c r="I3515">
        <v>1200000</v>
      </c>
      <c r="J3515">
        <v>4100000</v>
      </c>
      <c r="K3515">
        <v>6100000</v>
      </c>
      <c r="L3515">
        <v>3600000</v>
      </c>
      <c r="M3515" t="s">
        <v>34</v>
      </c>
      <c r="N3515">
        <f t="shared" si="325"/>
        <v>1</v>
      </c>
      <c r="O3515" t="str">
        <f t="shared" si="324"/>
        <v>Excellent</v>
      </c>
      <c r="P3515" t="str">
        <f t="shared" si="326"/>
        <v>High</v>
      </c>
      <c r="Q3515" t="str">
        <f t="shared" si="327"/>
        <v>Low Loan</v>
      </c>
      <c r="R3515">
        <f t="shared" si="328"/>
        <v>15000000</v>
      </c>
      <c r="S3515" t="str">
        <f t="shared" si="329"/>
        <v>Strong</v>
      </c>
    </row>
    <row r="3516" spans="1:19" x14ac:dyDescent="0.25">
      <c r="A3516">
        <v>3515</v>
      </c>
      <c r="B3516">
        <v>3</v>
      </c>
      <c r="C3516" t="s">
        <v>30</v>
      </c>
      <c r="D3516" t="s">
        <v>33</v>
      </c>
      <c r="E3516">
        <v>7500000</v>
      </c>
      <c r="F3516">
        <v>17900000</v>
      </c>
      <c r="G3516">
        <v>2</v>
      </c>
      <c r="H3516">
        <v>680</v>
      </c>
      <c r="I3516">
        <v>7000000</v>
      </c>
      <c r="J3516">
        <v>11800000</v>
      </c>
      <c r="K3516">
        <v>25000000</v>
      </c>
      <c r="L3516">
        <v>6300000</v>
      </c>
      <c r="M3516" t="s">
        <v>34</v>
      </c>
      <c r="N3516">
        <f t="shared" si="325"/>
        <v>1</v>
      </c>
      <c r="O3516" t="str">
        <f t="shared" si="324"/>
        <v>Medium</v>
      </c>
      <c r="P3516" t="str">
        <f t="shared" si="326"/>
        <v>High</v>
      </c>
      <c r="Q3516" t="str">
        <f t="shared" si="327"/>
        <v>Low Loan</v>
      </c>
      <c r="R3516">
        <f t="shared" si="328"/>
        <v>50100000</v>
      </c>
      <c r="S3516" t="str">
        <f t="shared" si="329"/>
        <v>Strong</v>
      </c>
    </row>
    <row r="3517" spans="1:19" x14ac:dyDescent="0.25">
      <c r="A3517">
        <v>3516</v>
      </c>
      <c r="B3517">
        <v>1</v>
      </c>
      <c r="C3517" t="s">
        <v>30</v>
      </c>
      <c r="D3517" t="s">
        <v>32</v>
      </c>
      <c r="E3517">
        <v>7900000</v>
      </c>
      <c r="F3517">
        <v>25700000</v>
      </c>
      <c r="G3517">
        <v>20</v>
      </c>
      <c r="H3517">
        <v>681</v>
      </c>
      <c r="I3517">
        <v>14900000</v>
      </c>
      <c r="J3517">
        <v>3000000</v>
      </c>
      <c r="K3517">
        <v>18100000</v>
      </c>
      <c r="L3517">
        <v>8800000</v>
      </c>
      <c r="M3517" t="s">
        <v>34</v>
      </c>
      <c r="N3517">
        <f t="shared" si="325"/>
        <v>1</v>
      </c>
      <c r="O3517" t="str">
        <f t="shared" si="324"/>
        <v>Medium</v>
      </c>
      <c r="P3517" t="str">
        <f t="shared" si="326"/>
        <v>High</v>
      </c>
      <c r="Q3517" t="str">
        <f t="shared" si="327"/>
        <v>High Loan</v>
      </c>
      <c r="R3517">
        <f t="shared" si="328"/>
        <v>44800000</v>
      </c>
      <c r="S3517" t="str">
        <f t="shared" si="329"/>
        <v>Strong</v>
      </c>
    </row>
    <row r="3518" spans="1:19" x14ac:dyDescent="0.25">
      <c r="A3518">
        <v>3517</v>
      </c>
      <c r="B3518">
        <v>1</v>
      </c>
      <c r="C3518" t="s">
        <v>30</v>
      </c>
      <c r="D3518" t="s">
        <v>33</v>
      </c>
      <c r="E3518">
        <v>6900000</v>
      </c>
      <c r="F3518">
        <v>22300000</v>
      </c>
      <c r="G3518">
        <v>16</v>
      </c>
      <c r="H3518">
        <v>673</v>
      </c>
      <c r="I3518">
        <v>17400000</v>
      </c>
      <c r="J3518">
        <v>100000</v>
      </c>
      <c r="K3518">
        <v>21300000</v>
      </c>
      <c r="L3518">
        <v>9000000</v>
      </c>
      <c r="M3518" t="s">
        <v>34</v>
      </c>
      <c r="N3518">
        <f t="shared" si="325"/>
        <v>1</v>
      </c>
      <c r="O3518" t="str">
        <f t="shared" si="324"/>
        <v>Medium</v>
      </c>
      <c r="P3518" t="str">
        <f t="shared" si="326"/>
        <v>High</v>
      </c>
      <c r="Q3518" t="str">
        <f t="shared" si="327"/>
        <v>High Loan</v>
      </c>
      <c r="R3518">
        <f t="shared" si="328"/>
        <v>47800000</v>
      </c>
      <c r="S3518" t="str">
        <f t="shared" si="329"/>
        <v>Strong</v>
      </c>
    </row>
    <row r="3519" spans="1:19" x14ac:dyDescent="0.25">
      <c r="A3519">
        <v>3518</v>
      </c>
      <c r="B3519">
        <v>0</v>
      </c>
      <c r="C3519" t="s">
        <v>31</v>
      </c>
      <c r="D3519" t="s">
        <v>32</v>
      </c>
      <c r="E3519">
        <v>6900000</v>
      </c>
      <c r="F3519">
        <v>22900000</v>
      </c>
      <c r="G3519">
        <v>10</v>
      </c>
      <c r="H3519">
        <v>313</v>
      </c>
      <c r="I3519">
        <v>5600000</v>
      </c>
      <c r="J3519">
        <v>9300000</v>
      </c>
      <c r="K3519">
        <v>26200000</v>
      </c>
      <c r="L3519">
        <v>8000000</v>
      </c>
      <c r="M3519" t="s">
        <v>35</v>
      </c>
      <c r="N3519">
        <f t="shared" si="325"/>
        <v>0</v>
      </c>
      <c r="O3519" t="str">
        <f t="shared" si="324"/>
        <v>Low</v>
      </c>
      <c r="P3519" t="str">
        <f t="shared" si="326"/>
        <v>High</v>
      </c>
      <c r="Q3519" t="str">
        <f t="shared" si="327"/>
        <v>High Loan</v>
      </c>
      <c r="R3519">
        <f t="shared" si="328"/>
        <v>49100000</v>
      </c>
      <c r="S3519" t="str">
        <f t="shared" si="329"/>
        <v>Strong</v>
      </c>
    </row>
    <row r="3520" spans="1:19" x14ac:dyDescent="0.25">
      <c r="A3520">
        <v>3519</v>
      </c>
      <c r="B3520">
        <v>0</v>
      </c>
      <c r="C3520" t="s">
        <v>31</v>
      </c>
      <c r="D3520" t="s">
        <v>32</v>
      </c>
      <c r="E3520">
        <v>4800000</v>
      </c>
      <c r="F3520">
        <v>18800000</v>
      </c>
      <c r="G3520">
        <v>16</v>
      </c>
      <c r="H3520">
        <v>551</v>
      </c>
      <c r="I3520">
        <v>7900000</v>
      </c>
      <c r="J3520">
        <v>9400000</v>
      </c>
      <c r="K3520">
        <v>17300000</v>
      </c>
      <c r="L3520">
        <v>5500000</v>
      </c>
      <c r="M3520" t="s">
        <v>34</v>
      </c>
      <c r="N3520">
        <f t="shared" si="325"/>
        <v>1</v>
      </c>
      <c r="O3520" t="str">
        <f t="shared" si="324"/>
        <v>Low</v>
      </c>
      <c r="P3520" t="str">
        <f t="shared" si="326"/>
        <v>High</v>
      </c>
      <c r="Q3520" t="str">
        <f t="shared" si="327"/>
        <v>Low Loan</v>
      </c>
      <c r="R3520">
        <f t="shared" si="328"/>
        <v>40100000</v>
      </c>
      <c r="S3520" t="str">
        <f t="shared" si="329"/>
        <v>Strong</v>
      </c>
    </row>
    <row r="3521" spans="1:19" x14ac:dyDescent="0.25">
      <c r="A3521">
        <v>3520</v>
      </c>
      <c r="B3521">
        <v>5</v>
      </c>
      <c r="C3521" t="s">
        <v>30</v>
      </c>
      <c r="D3521" t="s">
        <v>33</v>
      </c>
      <c r="E3521">
        <v>7700000</v>
      </c>
      <c r="F3521">
        <v>24400000</v>
      </c>
      <c r="G3521">
        <v>8</v>
      </c>
      <c r="H3521">
        <v>453</v>
      </c>
      <c r="I3521">
        <v>1400000</v>
      </c>
      <c r="J3521">
        <v>7700000</v>
      </c>
      <c r="K3521">
        <v>22000000</v>
      </c>
      <c r="L3521">
        <v>10000000</v>
      </c>
      <c r="M3521" t="s">
        <v>35</v>
      </c>
      <c r="N3521">
        <f t="shared" si="325"/>
        <v>0</v>
      </c>
      <c r="O3521" t="str">
        <f t="shared" si="324"/>
        <v>Low</v>
      </c>
      <c r="P3521" t="str">
        <f t="shared" si="326"/>
        <v>High</v>
      </c>
      <c r="Q3521" t="str">
        <f t="shared" si="327"/>
        <v>High Loan</v>
      </c>
      <c r="R3521">
        <f t="shared" si="328"/>
        <v>41100000</v>
      </c>
      <c r="S3521" t="str">
        <f t="shared" si="329"/>
        <v>Strong</v>
      </c>
    </row>
    <row r="3522" spans="1:19" x14ac:dyDescent="0.25">
      <c r="A3522">
        <v>3521</v>
      </c>
      <c r="B3522">
        <v>3</v>
      </c>
      <c r="C3522" t="s">
        <v>31</v>
      </c>
      <c r="D3522" t="s">
        <v>32</v>
      </c>
      <c r="E3522">
        <v>6900000</v>
      </c>
      <c r="F3522">
        <v>22700000</v>
      </c>
      <c r="G3522">
        <v>4</v>
      </c>
      <c r="H3522">
        <v>650</v>
      </c>
      <c r="I3522">
        <v>900000</v>
      </c>
      <c r="J3522">
        <v>13400000</v>
      </c>
      <c r="K3522">
        <v>15500000</v>
      </c>
      <c r="L3522">
        <v>6400000</v>
      </c>
      <c r="M3522" t="s">
        <v>34</v>
      </c>
      <c r="N3522">
        <f t="shared" si="325"/>
        <v>1</v>
      </c>
      <c r="O3522" t="str">
        <f t="shared" ref="O3522:O3585" si="330">IF(H3522&lt;650,"Low",
 IF(H3522&lt;700,"Medium",
 IF(H3522&lt;750,"Good","Excellent")))</f>
        <v>Medium</v>
      </c>
      <c r="P3522" t="str">
        <f t="shared" si="326"/>
        <v>High</v>
      </c>
      <c r="Q3522" t="str">
        <f t="shared" si="327"/>
        <v>High Loan</v>
      </c>
      <c r="R3522">
        <f t="shared" si="328"/>
        <v>36200000</v>
      </c>
      <c r="S3522" t="str">
        <f t="shared" si="329"/>
        <v>Strong</v>
      </c>
    </row>
    <row r="3523" spans="1:19" x14ac:dyDescent="0.25">
      <c r="A3523">
        <v>3522</v>
      </c>
      <c r="B3523">
        <v>1</v>
      </c>
      <c r="C3523" t="s">
        <v>31</v>
      </c>
      <c r="D3523" t="s">
        <v>32</v>
      </c>
      <c r="E3523">
        <v>1200000</v>
      </c>
      <c r="F3523">
        <v>4500000</v>
      </c>
      <c r="G3523">
        <v>4</v>
      </c>
      <c r="H3523">
        <v>439</v>
      </c>
      <c r="I3523">
        <v>3200000</v>
      </c>
      <c r="J3523">
        <v>1800000</v>
      </c>
      <c r="K3523">
        <v>2900000</v>
      </c>
      <c r="L3523">
        <v>1200000</v>
      </c>
      <c r="M3523" t="s">
        <v>34</v>
      </c>
      <c r="N3523">
        <f t="shared" ref="N3523:N3586" si="331">IF(TRIM(CLEAN(M3523))="Approved",1,0)</f>
        <v>1</v>
      </c>
      <c r="O3523" t="str">
        <f t="shared" si="330"/>
        <v>Low</v>
      </c>
      <c r="P3523" t="str">
        <f t="shared" ref="P3523:P3586" si="332">IF(E3523&lt;300000,"Low",
 IF(E3523&lt;700000,"Middle","High"))</f>
        <v>High</v>
      </c>
      <c r="Q3523" t="str">
        <f t="shared" ref="Q3523:Q3586" si="333">IF(F3523&lt;20000000,"Low Loan","High Loan")</f>
        <v>Low Loan</v>
      </c>
      <c r="R3523">
        <f t="shared" ref="R3523:R3586" si="334">I3523+J3523+K3523+L3523</f>
        <v>9100000</v>
      </c>
      <c r="S3523" t="str">
        <f t="shared" ref="S3523:S3586" si="335">IF(R3523&lt;5000000,"Weak",
 IF(R3523&lt;10000000,"Moderate","Strong"))</f>
        <v>Moderate</v>
      </c>
    </row>
    <row r="3524" spans="1:19" x14ac:dyDescent="0.25">
      <c r="A3524">
        <v>3523</v>
      </c>
      <c r="B3524">
        <v>1</v>
      </c>
      <c r="C3524" t="s">
        <v>30</v>
      </c>
      <c r="D3524" t="s">
        <v>32</v>
      </c>
      <c r="E3524">
        <v>2900000</v>
      </c>
      <c r="F3524">
        <v>9600000</v>
      </c>
      <c r="G3524">
        <v>4</v>
      </c>
      <c r="H3524">
        <v>658</v>
      </c>
      <c r="I3524">
        <v>8200000</v>
      </c>
      <c r="J3524">
        <v>4300000</v>
      </c>
      <c r="K3524">
        <v>7000000</v>
      </c>
      <c r="L3524">
        <v>2700000</v>
      </c>
      <c r="M3524" t="s">
        <v>34</v>
      </c>
      <c r="N3524">
        <f t="shared" si="331"/>
        <v>1</v>
      </c>
      <c r="O3524" t="str">
        <f t="shared" si="330"/>
        <v>Medium</v>
      </c>
      <c r="P3524" t="str">
        <f t="shared" si="332"/>
        <v>High</v>
      </c>
      <c r="Q3524" t="str">
        <f t="shared" si="333"/>
        <v>Low Loan</v>
      </c>
      <c r="R3524">
        <f t="shared" si="334"/>
        <v>22200000</v>
      </c>
      <c r="S3524" t="str">
        <f t="shared" si="335"/>
        <v>Strong</v>
      </c>
    </row>
    <row r="3525" spans="1:19" x14ac:dyDescent="0.25">
      <c r="A3525">
        <v>3524</v>
      </c>
      <c r="B3525">
        <v>4</v>
      </c>
      <c r="C3525" t="s">
        <v>30</v>
      </c>
      <c r="D3525" t="s">
        <v>33</v>
      </c>
      <c r="E3525">
        <v>5500000</v>
      </c>
      <c r="F3525">
        <v>18900000</v>
      </c>
      <c r="G3525">
        <v>6</v>
      </c>
      <c r="H3525">
        <v>379</v>
      </c>
      <c r="I3525">
        <v>13900000</v>
      </c>
      <c r="J3525">
        <v>9100000</v>
      </c>
      <c r="K3525">
        <v>18500000</v>
      </c>
      <c r="L3525">
        <v>3100000</v>
      </c>
      <c r="M3525" t="s">
        <v>35</v>
      </c>
      <c r="N3525">
        <f t="shared" si="331"/>
        <v>0</v>
      </c>
      <c r="O3525" t="str">
        <f t="shared" si="330"/>
        <v>Low</v>
      </c>
      <c r="P3525" t="str">
        <f t="shared" si="332"/>
        <v>High</v>
      </c>
      <c r="Q3525" t="str">
        <f t="shared" si="333"/>
        <v>Low Loan</v>
      </c>
      <c r="R3525">
        <f t="shared" si="334"/>
        <v>44600000</v>
      </c>
      <c r="S3525" t="str">
        <f t="shared" si="335"/>
        <v>Strong</v>
      </c>
    </row>
    <row r="3526" spans="1:19" x14ac:dyDescent="0.25">
      <c r="A3526">
        <v>3525</v>
      </c>
      <c r="B3526">
        <v>4</v>
      </c>
      <c r="C3526" t="s">
        <v>30</v>
      </c>
      <c r="D3526" t="s">
        <v>33</v>
      </c>
      <c r="E3526">
        <v>3200000</v>
      </c>
      <c r="F3526">
        <v>10700000</v>
      </c>
      <c r="G3526">
        <v>4</v>
      </c>
      <c r="H3526">
        <v>450</v>
      </c>
      <c r="I3526">
        <v>7300000</v>
      </c>
      <c r="J3526">
        <v>3000000</v>
      </c>
      <c r="K3526">
        <v>8200000</v>
      </c>
      <c r="L3526">
        <v>1800000</v>
      </c>
      <c r="M3526" t="s">
        <v>34</v>
      </c>
      <c r="N3526">
        <f t="shared" si="331"/>
        <v>1</v>
      </c>
      <c r="O3526" t="str">
        <f t="shared" si="330"/>
        <v>Low</v>
      </c>
      <c r="P3526" t="str">
        <f t="shared" si="332"/>
        <v>High</v>
      </c>
      <c r="Q3526" t="str">
        <f t="shared" si="333"/>
        <v>Low Loan</v>
      </c>
      <c r="R3526">
        <f t="shared" si="334"/>
        <v>20300000</v>
      </c>
      <c r="S3526" t="str">
        <f t="shared" si="335"/>
        <v>Strong</v>
      </c>
    </row>
    <row r="3527" spans="1:19" x14ac:dyDescent="0.25">
      <c r="A3527">
        <v>3526</v>
      </c>
      <c r="B3527">
        <v>5</v>
      </c>
      <c r="C3527" t="s">
        <v>31</v>
      </c>
      <c r="D3527" t="s">
        <v>32</v>
      </c>
      <c r="E3527">
        <v>2600000</v>
      </c>
      <c r="F3527">
        <v>8200000</v>
      </c>
      <c r="G3527">
        <v>4</v>
      </c>
      <c r="H3527">
        <v>849</v>
      </c>
      <c r="I3527">
        <v>7400000</v>
      </c>
      <c r="J3527">
        <v>2000000</v>
      </c>
      <c r="K3527">
        <v>8900000</v>
      </c>
      <c r="L3527">
        <v>2700000</v>
      </c>
      <c r="M3527" t="s">
        <v>34</v>
      </c>
      <c r="N3527">
        <f t="shared" si="331"/>
        <v>1</v>
      </c>
      <c r="O3527" t="str">
        <f t="shared" si="330"/>
        <v>Excellent</v>
      </c>
      <c r="P3527" t="str">
        <f t="shared" si="332"/>
        <v>High</v>
      </c>
      <c r="Q3527" t="str">
        <f t="shared" si="333"/>
        <v>Low Loan</v>
      </c>
      <c r="R3527">
        <f t="shared" si="334"/>
        <v>21000000</v>
      </c>
      <c r="S3527" t="str">
        <f t="shared" si="335"/>
        <v>Strong</v>
      </c>
    </row>
    <row r="3528" spans="1:19" x14ac:dyDescent="0.25">
      <c r="A3528">
        <v>3527</v>
      </c>
      <c r="B3528">
        <v>0</v>
      </c>
      <c r="C3528" t="s">
        <v>30</v>
      </c>
      <c r="D3528" t="s">
        <v>32</v>
      </c>
      <c r="E3528">
        <v>500000</v>
      </c>
      <c r="F3528">
        <v>1600000</v>
      </c>
      <c r="G3528">
        <v>18</v>
      </c>
      <c r="H3528">
        <v>865</v>
      </c>
      <c r="I3528">
        <v>1400000</v>
      </c>
      <c r="J3528">
        <v>400000</v>
      </c>
      <c r="K3528">
        <v>1000000</v>
      </c>
      <c r="L3528">
        <v>200000</v>
      </c>
      <c r="M3528" t="s">
        <v>34</v>
      </c>
      <c r="N3528">
        <f t="shared" si="331"/>
        <v>1</v>
      </c>
      <c r="O3528" t="str">
        <f t="shared" si="330"/>
        <v>Excellent</v>
      </c>
      <c r="P3528" t="str">
        <f t="shared" si="332"/>
        <v>Middle</v>
      </c>
      <c r="Q3528" t="str">
        <f t="shared" si="333"/>
        <v>Low Loan</v>
      </c>
      <c r="R3528">
        <f t="shared" si="334"/>
        <v>3000000</v>
      </c>
      <c r="S3528" t="str">
        <f t="shared" si="335"/>
        <v>Weak</v>
      </c>
    </row>
    <row r="3529" spans="1:19" x14ac:dyDescent="0.25">
      <c r="A3529">
        <v>3528</v>
      </c>
      <c r="B3529">
        <v>0</v>
      </c>
      <c r="C3529" t="s">
        <v>30</v>
      </c>
      <c r="D3529" t="s">
        <v>32</v>
      </c>
      <c r="E3529">
        <v>1800000</v>
      </c>
      <c r="F3529">
        <v>6900000</v>
      </c>
      <c r="G3529">
        <v>10</v>
      </c>
      <c r="H3529">
        <v>853</v>
      </c>
      <c r="I3529">
        <v>900000</v>
      </c>
      <c r="J3529">
        <v>400000</v>
      </c>
      <c r="K3529">
        <v>3700000</v>
      </c>
      <c r="L3529">
        <v>1700000</v>
      </c>
      <c r="M3529" t="s">
        <v>35</v>
      </c>
      <c r="N3529">
        <f t="shared" si="331"/>
        <v>0</v>
      </c>
      <c r="O3529" t="str">
        <f t="shared" si="330"/>
        <v>Excellent</v>
      </c>
      <c r="P3529" t="str">
        <f t="shared" si="332"/>
        <v>High</v>
      </c>
      <c r="Q3529" t="str">
        <f t="shared" si="333"/>
        <v>Low Loan</v>
      </c>
      <c r="R3529">
        <f t="shared" si="334"/>
        <v>6700000</v>
      </c>
      <c r="S3529" t="str">
        <f t="shared" si="335"/>
        <v>Moderate</v>
      </c>
    </row>
    <row r="3530" spans="1:19" x14ac:dyDescent="0.25">
      <c r="A3530">
        <v>3529</v>
      </c>
      <c r="B3530">
        <v>0</v>
      </c>
      <c r="C3530" t="s">
        <v>31</v>
      </c>
      <c r="D3530" t="s">
        <v>32</v>
      </c>
      <c r="E3530">
        <v>1300000</v>
      </c>
      <c r="F3530">
        <v>4900000</v>
      </c>
      <c r="G3530">
        <v>12</v>
      </c>
      <c r="H3530">
        <v>555</v>
      </c>
      <c r="I3530">
        <v>2400000</v>
      </c>
      <c r="J3530">
        <v>1200000</v>
      </c>
      <c r="K3530">
        <v>4100000</v>
      </c>
      <c r="L3530">
        <v>1700000</v>
      </c>
      <c r="M3530" t="s">
        <v>34</v>
      </c>
      <c r="N3530">
        <f t="shared" si="331"/>
        <v>1</v>
      </c>
      <c r="O3530" t="str">
        <f t="shared" si="330"/>
        <v>Low</v>
      </c>
      <c r="P3530" t="str">
        <f t="shared" si="332"/>
        <v>High</v>
      </c>
      <c r="Q3530" t="str">
        <f t="shared" si="333"/>
        <v>Low Loan</v>
      </c>
      <c r="R3530">
        <f t="shared" si="334"/>
        <v>9400000</v>
      </c>
      <c r="S3530" t="str">
        <f t="shared" si="335"/>
        <v>Moderate</v>
      </c>
    </row>
    <row r="3531" spans="1:19" x14ac:dyDescent="0.25">
      <c r="A3531">
        <v>3530</v>
      </c>
      <c r="B3531">
        <v>1</v>
      </c>
      <c r="C3531" t="s">
        <v>31</v>
      </c>
      <c r="D3531" t="s">
        <v>32</v>
      </c>
      <c r="E3531">
        <v>9900000</v>
      </c>
      <c r="F3531">
        <v>20700000</v>
      </c>
      <c r="G3531">
        <v>20</v>
      </c>
      <c r="H3531">
        <v>821</v>
      </c>
      <c r="I3531">
        <v>12700000</v>
      </c>
      <c r="J3531">
        <v>8200000</v>
      </c>
      <c r="K3531">
        <v>38100000</v>
      </c>
      <c r="L3531">
        <v>11100000</v>
      </c>
      <c r="M3531" t="s">
        <v>34</v>
      </c>
      <c r="N3531">
        <f t="shared" si="331"/>
        <v>1</v>
      </c>
      <c r="O3531" t="str">
        <f t="shared" si="330"/>
        <v>Excellent</v>
      </c>
      <c r="P3531" t="str">
        <f t="shared" si="332"/>
        <v>High</v>
      </c>
      <c r="Q3531" t="str">
        <f t="shared" si="333"/>
        <v>High Loan</v>
      </c>
      <c r="R3531">
        <f t="shared" si="334"/>
        <v>70100000</v>
      </c>
      <c r="S3531" t="str">
        <f t="shared" si="335"/>
        <v>Strong</v>
      </c>
    </row>
    <row r="3532" spans="1:19" x14ac:dyDescent="0.25">
      <c r="A3532">
        <v>3531</v>
      </c>
      <c r="B3532">
        <v>0</v>
      </c>
      <c r="C3532" t="s">
        <v>31</v>
      </c>
      <c r="D3532" t="s">
        <v>32</v>
      </c>
      <c r="E3532">
        <v>2000000</v>
      </c>
      <c r="F3532">
        <v>4700000</v>
      </c>
      <c r="G3532">
        <v>2</v>
      </c>
      <c r="H3532">
        <v>820</v>
      </c>
      <c r="I3532">
        <v>4700000</v>
      </c>
      <c r="J3532">
        <v>500000</v>
      </c>
      <c r="K3532">
        <v>7900000</v>
      </c>
      <c r="L3532">
        <v>1200000</v>
      </c>
      <c r="M3532" t="s">
        <v>34</v>
      </c>
      <c r="N3532">
        <f t="shared" si="331"/>
        <v>1</v>
      </c>
      <c r="O3532" t="str">
        <f t="shared" si="330"/>
        <v>Excellent</v>
      </c>
      <c r="P3532" t="str">
        <f t="shared" si="332"/>
        <v>High</v>
      </c>
      <c r="Q3532" t="str">
        <f t="shared" si="333"/>
        <v>Low Loan</v>
      </c>
      <c r="R3532">
        <f t="shared" si="334"/>
        <v>14300000</v>
      </c>
      <c r="S3532" t="str">
        <f t="shared" si="335"/>
        <v>Strong</v>
      </c>
    </row>
    <row r="3533" spans="1:19" x14ac:dyDescent="0.25">
      <c r="A3533">
        <v>3532</v>
      </c>
      <c r="B3533">
        <v>1</v>
      </c>
      <c r="C3533" t="s">
        <v>31</v>
      </c>
      <c r="D3533" t="s">
        <v>32</v>
      </c>
      <c r="E3533">
        <v>5100000</v>
      </c>
      <c r="F3533">
        <v>15300000</v>
      </c>
      <c r="G3533">
        <v>4</v>
      </c>
      <c r="H3533">
        <v>721</v>
      </c>
      <c r="I3533">
        <v>7000000</v>
      </c>
      <c r="J3533">
        <v>6100000</v>
      </c>
      <c r="K3533">
        <v>15300000</v>
      </c>
      <c r="L3533">
        <v>5900000</v>
      </c>
      <c r="M3533" t="s">
        <v>34</v>
      </c>
      <c r="N3533">
        <f t="shared" si="331"/>
        <v>1</v>
      </c>
      <c r="O3533" t="str">
        <f t="shared" si="330"/>
        <v>Good</v>
      </c>
      <c r="P3533" t="str">
        <f t="shared" si="332"/>
        <v>High</v>
      </c>
      <c r="Q3533" t="str">
        <f t="shared" si="333"/>
        <v>Low Loan</v>
      </c>
      <c r="R3533">
        <f t="shared" si="334"/>
        <v>34300000</v>
      </c>
      <c r="S3533" t="str">
        <f t="shared" si="335"/>
        <v>Strong</v>
      </c>
    </row>
    <row r="3534" spans="1:19" x14ac:dyDescent="0.25">
      <c r="A3534">
        <v>3533</v>
      </c>
      <c r="B3534">
        <v>4</v>
      </c>
      <c r="C3534" t="s">
        <v>30</v>
      </c>
      <c r="D3534" t="s">
        <v>33</v>
      </c>
      <c r="E3534">
        <v>8200000</v>
      </c>
      <c r="F3534">
        <v>24000000</v>
      </c>
      <c r="G3534">
        <v>20</v>
      </c>
      <c r="H3534">
        <v>831</v>
      </c>
      <c r="I3534">
        <v>23000000</v>
      </c>
      <c r="J3534">
        <v>3000000</v>
      </c>
      <c r="K3534">
        <v>24800000</v>
      </c>
      <c r="L3534">
        <v>5400000</v>
      </c>
      <c r="M3534" t="s">
        <v>34</v>
      </c>
      <c r="N3534">
        <f t="shared" si="331"/>
        <v>1</v>
      </c>
      <c r="O3534" t="str">
        <f t="shared" si="330"/>
        <v>Excellent</v>
      </c>
      <c r="P3534" t="str">
        <f t="shared" si="332"/>
        <v>High</v>
      </c>
      <c r="Q3534" t="str">
        <f t="shared" si="333"/>
        <v>High Loan</v>
      </c>
      <c r="R3534">
        <f t="shared" si="334"/>
        <v>56200000</v>
      </c>
      <c r="S3534" t="str">
        <f t="shared" si="335"/>
        <v>Strong</v>
      </c>
    </row>
    <row r="3535" spans="1:19" x14ac:dyDescent="0.25">
      <c r="A3535">
        <v>3534</v>
      </c>
      <c r="B3535">
        <v>5</v>
      </c>
      <c r="C3535" t="s">
        <v>31</v>
      </c>
      <c r="D3535" t="s">
        <v>32</v>
      </c>
      <c r="E3535">
        <v>4200000</v>
      </c>
      <c r="F3535">
        <v>12600000</v>
      </c>
      <c r="G3535">
        <v>18</v>
      </c>
      <c r="H3535">
        <v>571</v>
      </c>
      <c r="I3535">
        <v>8900000</v>
      </c>
      <c r="J3535">
        <v>3200000</v>
      </c>
      <c r="K3535">
        <v>11700000</v>
      </c>
      <c r="L3535">
        <v>6200000</v>
      </c>
      <c r="M3535" t="s">
        <v>34</v>
      </c>
      <c r="N3535">
        <f t="shared" si="331"/>
        <v>1</v>
      </c>
      <c r="O3535" t="str">
        <f t="shared" si="330"/>
        <v>Low</v>
      </c>
      <c r="P3535" t="str">
        <f t="shared" si="332"/>
        <v>High</v>
      </c>
      <c r="Q3535" t="str">
        <f t="shared" si="333"/>
        <v>Low Loan</v>
      </c>
      <c r="R3535">
        <f t="shared" si="334"/>
        <v>30000000</v>
      </c>
      <c r="S3535" t="str">
        <f t="shared" si="335"/>
        <v>Strong</v>
      </c>
    </row>
    <row r="3536" spans="1:19" x14ac:dyDescent="0.25">
      <c r="A3536">
        <v>3535</v>
      </c>
      <c r="B3536">
        <v>2</v>
      </c>
      <c r="C3536" t="s">
        <v>31</v>
      </c>
      <c r="D3536" t="s">
        <v>33</v>
      </c>
      <c r="E3536">
        <v>1300000</v>
      </c>
      <c r="F3536">
        <v>4900000</v>
      </c>
      <c r="G3536">
        <v>8</v>
      </c>
      <c r="H3536">
        <v>582</v>
      </c>
      <c r="I3536">
        <v>2100000</v>
      </c>
      <c r="J3536">
        <v>1800000</v>
      </c>
      <c r="K3536">
        <v>3400000</v>
      </c>
      <c r="L3536">
        <v>1700000</v>
      </c>
      <c r="M3536" t="s">
        <v>34</v>
      </c>
      <c r="N3536">
        <f t="shared" si="331"/>
        <v>1</v>
      </c>
      <c r="O3536" t="str">
        <f t="shared" si="330"/>
        <v>Low</v>
      </c>
      <c r="P3536" t="str">
        <f t="shared" si="332"/>
        <v>High</v>
      </c>
      <c r="Q3536" t="str">
        <f t="shared" si="333"/>
        <v>Low Loan</v>
      </c>
      <c r="R3536">
        <f t="shared" si="334"/>
        <v>9000000</v>
      </c>
      <c r="S3536" t="str">
        <f t="shared" si="335"/>
        <v>Moderate</v>
      </c>
    </row>
    <row r="3537" spans="1:19" x14ac:dyDescent="0.25">
      <c r="A3537">
        <v>3536</v>
      </c>
      <c r="B3537">
        <v>1</v>
      </c>
      <c r="C3537" t="s">
        <v>31</v>
      </c>
      <c r="D3537" t="s">
        <v>33</v>
      </c>
      <c r="E3537">
        <v>4600000</v>
      </c>
      <c r="F3537">
        <v>13600000</v>
      </c>
      <c r="G3537">
        <v>18</v>
      </c>
      <c r="H3537">
        <v>487</v>
      </c>
      <c r="I3537">
        <v>11200000</v>
      </c>
      <c r="J3537">
        <v>8500000</v>
      </c>
      <c r="K3537">
        <v>15500000</v>
      </c>
      <c r="L3537">
        <v>5400000</v>
      </c>
      <c r="M3537" t="s">
        <v>35</v>
      </c>
      <c r="N3537">
        <f t="shared" si="331"/>
        <v>0</v>
      </c>
      <c r="O3537" t="str">
        <f t="shared" si="330"/>
        <v>Low</v>
      </c>
      <c r="P3537" t="str">
        <f t="shared" si="332"/>
        <v>High</v>
      </c>
      <c r="Q3537" t="str">
        <f t="shared" si="333"/>
        <v>Low Loan</v>
      </c>
      <c r="R3537">
        <f t="shared" si="334"/>
        <v>40600000</v>
      </c>
      <c r="S3537" t="str">
        <f t="shared" si="335"/>
        <v>Strong</v>
      </c>
    </row>
    <row r="3538" spans="1:19" x14ac:dyDescent="0.25">
      <c r="A3538">
        <v>3537</v>
      </c>
      <c r="B3538">
        <v>1</v>
      </c>
      <c r="C3538" t="s">
        <v>31</v>
      </c>
      <c r="D3538" t="s">
        <v>32</v>
      </c>
      <c r="E3538">
        <v>6600000</v>
      </c>
      <c r="F3538">
        <v>19700000</v>
      </c>
      <c r="G3538">
        <v>12</v>
      </c>
      <c r="H3538">
        <v>758</v>
      </c>
      <c r="I3538">
        <v>16000000</v>
      </c>
      <c r="J3538">
        <v>4400000</v>
      </c>
      <c r="K3538">
        <v>18800000</v>
      </c>
      <c r="L3538">
        <v>9500000</v>
      </c>
      <c r="M3538" t="s">
        <v>34</v>
      </c>
      <c r="N3538">
        <f t="shared" si="331"/>
        <v>1</v>
      </c>
      <c r="O3538" t="str">
        <f t="shared" si="330"/>
        <v>Excellent</v>
      </c>
      <c r="P3538" t="str">
        <f t="shared" si="332"/>
        <v>High</v>
      </c>
      <c r="Q3538" t="str">
        <f t="shared" si="333"/>
        <v>Low Loan</v>
      </c>
      <c r="R3538">
        <f t="shared" si="334"/>
        <v>48700000</v>
      </c>
      <c r="S3538" t="str">
        <f t="shared" si="335"/>
        <v>Strong</v>
      </c>
    </row>
    <row r="3539" spans="1:19" x14ac:dyDescent="0.25">
      <c r="A3539">
        <v>3538</v>
      </c>
      <c r="B3539">
        <v>2</v>
      </c>
      <c r="C3539" t="s">
        <v>30</v>
      </c>
      <c r="D3539" t="s">
        <v>33</v>
      </c>
      <c r="E3539">
        <v>8300000</v>
      </c>
      <c r="F3539">
        <v>30100000</v>
      </c>
      <c r="G3539">
        <v>16</v>
      </c>
      <c r="H3539">
        <v>636</v>
      </c>
      <c r="I3539">
        <v>5200000</v>
      </c>
      <c r="J3539">
        <v>5100000</v>
      </c>
      <c r="K3539">
        <v>33100000</v>
      </c>
      <c r="L3539">
        <v>7200000</v>
      </c>
      <c r="M3539" t="s">
        <v>34</v>
      </c>
      <c r="N3539">
        <f t="shared" si="331"/>
        <v>1</v>
      </c>
      <c r="O3539" t="str">
        <f t="shared" si="330"/>
        <v>Low</v>
      </c>
      <c r="P3539" t="str">
        <f t="shared" si="332"/>
        <v>High</v>
      </c>
      <c r="Q3539" t="str">
        <f t="shared" si="333"/>
        <v>High Loan</v>
      </c>
      <c r="R3539">
        <f t="shared" si="334"/>
        <v>50600000</v>
      </c>
      <c r="S3539" t="str">
        <f t="shared" si="335"/>
        <v>Strong</v>
      </c>
    </row>
    <row r="3540" spans="1:19" x14ac:dyDescent="0.25">
      <c r="A3540">
        <v>3539</v>
      </c>
      <c r="B3540">
        <v>0</v>
      </c>
      <c r="C3540" t="s">
        <v>30</v>
      </c>
      <c r="D3540" t="s">
        <v>32</v>
      </c>
      <c r="E3540">
        <v>6900000</v>
      </c>
      <c r="F3540">
        <v>20700000</v>
      </c>
      <c r="G3540">
        <v>16</v>
      </c>
      <c r="H3540">
        <v>857</v>
      </c>
      <c r="I3540">
        <v>17100000</v>
      </c>
      <c r="J3540">
        <v>13700000</v>
      </c>
      <c r="K3540">
        <v>14600000</v>
      </c>
      <c r="L3540">
        <v>8800000</v>
      </c>
      <c r="M3540" t="s">
        <v>34</v>
      </c>
      <c r="N3540">
        <f t="shared" si="331"/>
        <v>1</v>
      </c>
      <c r="O3540" t="str">
        <f t="shared" si="330"/>
        <v>Excellent</v>
      </c>
      <c r="P3540" t="str">
        <f t="shared" si="332"/>
        <v>High</v>
      </c>
      <c r="Q3540" t="str">
        <f t="shared" si="333"/>
        <v>High Loan</v>
      </c>
      <c r="R3540">
        <f t="shared" si="334"/>
        <v>54200000</v>
      </c>
      <c r="S3540" t="str">
        <f t="shared" si="335"/>
        <v>Strong</v>
      </c>
    </row>
    <row r="3541" spans="1:19" x14ac:dyDescent="0.25">
      <c r="A3541">
        <v>3540</v>
      </c>
      <c r="B3541">
        <v>4</v>
      </c>
      <c r="C3541" t="s">
        <v>30</v>
      </c>
      <c r="D3541" t="s">
        <v>33</v>
      </c>
      <c r="E3541">
        <v>4700000</v>
      </c>
      <c r="F3541">
        <v>12500000</v>
      </c>
      <c r="G3541">
        <v>8</v>
      </c>
      <c r="H3541">
        <v>678</v>
      </c>
      <c r="I3541">
        <v>13700000</v>
      </c>
      <c r="J3541">
        <v>200000</v>
      </c>
      <c r="K3541">
        <v>9800000</v>
      </c>
      <c r="L3541">
        <v>7000000</v>
      </c>
      <c r="M3541" t="s">
        <v>34</v>
      </c>
      <c r="N3541">
        <f t="shared" si="331"/>
        <v>1</v>
      </c>
      <c r="O3541" t="str">
        <f t="shared" si="330"/>
        <v>Medium</v>
      </c>
      <c r="P3541" t="str">
        <f t="shared" si="332"/>
        <v>High</v>
      </c>
      <c r="Q3541" t="str">
        <f t="shared" si="333"/>
        <v>Low Loan</v>
      </c>
      <c r="R3541">
        <f t="shared" si="334"/>
        <v>30700000</v>
      </c>
      <c r="S3541" t="str">
        <f t="shared" si="335"/>
        <v>Strong</v>
      </c>
    </row>
    <row r="3542" spans="1:19" x14ac:dyDescent="0.25">
      <c r="A3542">
        <v>3541</v>
      </c>
      <c r="B3542">
        <v>1</v>
      </c>
      <c r="C3542" t="s">
        <v>30</v>
      </c>
      <c r="D3542" t="s">
        <v>32</v>
      </c>
      <c r="E3542">
        <v>7900000</v>
      </c>
      <c r="F3542">
        <v>15800000</v>
      </c>
      <c r="G3542">
        <v>8</v>
      </c>
      <c r="H3542">
        <v>551</v>
      </c>
      <c r="I3542">
        <v>800000</v>
      </c>
      <c r="J3542">
        <v>3500000</v>
      </c>
      <c r="K3542">
        <v>18700000</v>
      </c>
      <c r="L3542">
        <v>8300000</v>
      </c>
      <c r="M3542" t="s">
        <v>34</v>
      </c>
      <c r="N3542">
        <f t="shared" si="331"/>
        <v>1</v>
      </c>
      <c r="O3542" t="str">
        <f t="shared" si="330"/>
        <v>Low</v>
      </c>
      <c r="P3542" t="str">
        <f t="shared" si="332"/>
        <v>High</v>
      </c>
      <c r="Q3542" t="str">
        <f t="shared" si="333"/>
        <v>Low Loan</v>
      </c>
      <c r="R3542">
        <f t="shared" si="334"/>
        <v>31300000</v>
      </c>
      <c r="S3542" t="str">
        <f t="shared" si="335"/>
        <v>Strong</v>
      </c>
    </row>
    <row r="3543" spans="1:19" x14ac:dyDescent="0.25">
      <c r="A3543">
        <v>3542</v>
      </c>
      <c r="B3543">
        <v>3</v>
      </c>
      <c r="C3543" t="s">
        <v>31</v>
      </c>
      <c r="D3543" t="s">
        <v>32</v>
      </c>
      <c r="E3543">
        <v>8800000</v>
      </c>
      <c r="F3543">
        <v>24900000</v>
      </c>
      <c r="G3543">
        <v>16</v>
      </c>
      <c r="H3543">
        <v>668</v>
      </c>
      <c r="I3543">
        <v>16700000</v>
      </c>
      <c r="J3543">
        <v>17200000</v>
      </c>
      <c r="K3543">
        <v>30000000</v>
      </c>
      <c r="L3543">
        <v>10500000</v>
      </c>
      <c r="M3543" t="s">
        <v>34</v>
      </c>
      <c r="N3543">
        <f t="shared" si="331"/>
        <v>1</v>
      </c>
      <c r="O3543" t="str">
        <f t="shared" si="330"/>
        <v>Medium</v>
      </c>
      <c r="P3543" t="str">
        <f t="shared" si="332"/>
        <v>High</v>
      </c>
      <c r="Q3543" t="str">
        <f t="shared" si="333"/>
        <v>High Loan</v>
      </c>
      <c r="R3543">
        <f t="shared" si="334"/>
        <v>74400000</v>
      </c>
      <c r="S3543" t="str">
        <f t="shared" si="335"/>
        <v>Strong</v>
      </c>
    </row>
    <row r="3544" spans="1:19" x14ac:dyDescent="0.25">
      <c r="A3544">
        <v>3543</v>
      </c>
      <c r="B3544">
        <v>1</v>
      </c>
      <c r="C3544" t="s">
        <v>30</v>
      </c>
      <c r="D3544" t="s">
        <v>32</v>
      </c>
      <c r="E3544">
        <v>6500000</v>
      </c>
      <c r="F3544">
        <v>23400000</v>
      </c>
      <c r="G3544">
        <v>2</v>
      </c>
      <c r="H3544">
        <v>672</v>
      </c>
      <c r="I3544">
        <v>5000000</v>
      </c>
      <c r="J3544">
        <v>10400000</v>
      </c>
      <c r="K3544">
        <v>16700000</v>
      </c>
      <c r="L3544">
        <v>7600000</v>
      </c>
      <c r="M3544" t="s">
        <v>34</v>
      </c>
      <c r="N3544">
        <f t="shared" si="331"/>
        <v>1</v>
      </c>
      <c r="O3544" t="str">
        <f t="shared" si="330"/>
        <v>Medium</v>
      </c>
      <c r="P3544" t="str">
        <f t="shared" si="332"/>
        <v>High</v>
      </c>
      <c r="Q3544" t="str">
        <f t="shared" si="333"/>
        <v>High Loan</v>
      </c>
      <c r="R3544">
        <f t="shared" si="334"/>
        <v>39700000</v>
      </c>
      <c r="S3544" t="str">
        <f t="shared" si="335"/>
        <v>Strong</v>
      </c>
    </row>
    <row r="3545" spans="1:19" x14ac:dyDescent="0.25">
      <c r="A3545">
        <v>3544</v>
      </c>
      <c r="B3545">
        <v>3</v>
      </c>
      <c r="C3545" t="s">
        <v>31</v>
      </c>
      <c r="D3545" t="s">
        <v>32</v>
      </c>
      <c r="E3545">
        <v>3500000</v>
      </c>
      <c r="F3545">
        <v>13700000</v>
      </c>
      <c r="G3545">
        <v>4</v>
      </c>
      <c r="H3545">
        <v>439</v>
      </c>
      <c r="I3545">
        <v>5200000</v>
      </c>
      <c r="J3545">
        <v>2800000</v>
      </c>
      <c r="K3545">
        <v>13000000</v>
      </c>
      <c r="L3545">
        <v>4400000</v>
      </c>
      <c r="M3545" t="s">
        <v>34</v>
      </c>
      <c r="N3545">
        <f t="shared" si="331"/>
        <v>1</v>
      </c>
      <c r="O3545" t="str">
        <f t="shared" si="330"/>
        <v>Low</v>
      </c>
      <c r="P3545" t="str">
        <f t="shared" si="332"/>
        <v>High</v>
      </c>
      <c r="Q3545" t="str">
        <f t="shared" si="333"/>
        <v>Low Loan</v>
      </c>
      <c r="R3545">
        <f t="shared" si="334"/>
        <v>25400000</v>
      </c>
      <c r="S3545" t="str">
        <f t="shared" si="335"/>
        <v>Strong</v>
      </c>
    </row>
    <row r="3546" spans="1:19" x14ac:dyDescent="0.25">
      <c r="A3546">
        <v>3545</v>
      </c>
      <c r="B3546">
        <v>2</v>
      </c>
      <c r="C3546" t="s">
        <v>31</v>
      </c>
      <c r="D3546" t="s">
        <v>33</v>
      </c>
      <c r="E3546">
        <v>8200000</v>
      </c>
      <c r="F3546">
        <v>19600000</v>
      </c>
      <c r="G3546">
        <v>16</v>
      </c>
      <c r="H3546">
        <v>636</v>
      </c>
      <c r="I3546">
        <v>11500000</v>
      </c>
      <c r="J3546">
        <v>2300000</v>
      </c>
      <c r="K3546">
        <v>28800000</v>
      </c>
      <c r="L3546">
        <v>10700000</v>
      </c>
      <c r="M3546" t="s">
        <v>34</v>
      </c>
      <c r="N3546">
        <f t="shared" si="331"/>
        <v>1</v>
      </c>
      <c r="O3546" t="str">
        <f t="shared" si="330"/>
        <v>Low</v>
      </c>
      <c r="P3546" t="str">
        <f t="shared" si="332"/>
        <v>High</v>
      </c>
      <c r="Q3546" t="str">
        <f t="shared" si="333"/>
        <v>Low Loan</v>
      </c>
      <c r="R3546">
        <f t="shared" si="334"/>
        <v>53300000</v>
      </c>
      <c r="S3546" t="str">
        <f t="shared" si="335"/>
        <v>Strong</v>
      </c>
    </row>
    <row r="3547" spans="1:19" x14ac:dyDescent="0.25">
      <c r="A3547">
        <v>3546</v>
      </c>
      <c r="B3547">
        <v>0</v>
      </c>
      <c r="C3547" t="s">
        <v>31</v>
      </c>
      <c r="D3547" t="s">
        <v>33</v>
      </c>
      <c r="E3547">
        <v>2000000</v>
      </c>
      <c r="F3547">
        <v>6000000</v>
      </c>
      <c r="G3547">
        <v>14</v>
      </c>
      <c r="H3547">
        <v>393</v>
      </c>
      <c r="I3547">
        <v>1500000</v>
      </c>
      <c r="J3547">
        <v>1400000</v>
      </c>
      <c r="K3547">
        <v>5900000</v>
      </c>
      <c r="L3547">
        <v>2900000</v>
      </c>
      <c r="M3547" t="s">
        <v>35</v>
      </c>
      <c r="N3547">
        <f t="shared" si="331"/>
        <v>0</v>
      </c>
      <c r="O3547" t="str">
        <f t="shared" si="330"/>
        <v>Low</v>
      </c>
      <c r="P3547" t="str">
        <f t="shared" si="332"/>
        <v>High</v>
      </c>
      <c r="Q3547" t="str">
        <f t="shared" si="333"/>
        <v>Low Loan</v>
      </c>
      <c r="R3547">
        <f t="shared" si="334"/>
        <v>11700000</v>
      </c>
      <c r="S3547" t="str">
        <f t="shared" si="335"/>
        <v>Strong</v>
      </c>
    </row>
    <row r="3548" spans="1:19" x14ac:dyDescent="0.25">
      <c r="A3548">
        <v>3547</v>
      </c>
      <c r="B3548">
        <v>5</v>
      </c>
      <c r="C3548" t="s">
        <v>31</v>
      </c>
      <c r="D3548" t="s">
        <v>32</v>
      </c>
      <c r="E3548">
        <v>2700000</v>
      </c>
      <c r="F3548">
        <v>8200000</v>
      </c>
      <c r="G3548">
        <v>2</v>
      </c>
      <c r="H3548">
        <v>848</v>
      </c>
      <c r="I3548">
        <v>7000000</v>
      </c>
      <c r="J3548">
        <v>1000000</v>
      </c>
      <c r="K3548">
        <v>6200000</v>
      </c>
      <c r="L3548">
        <v>1500000</v>
      </c>
      <c r="M3548" t="s">
        <v>34</v>
      </c>
      <c r="N3548">
        <f t="shared" si="331"/>
        <v>1</v>
      </c>
      <c r="O3548" t="str">
        <f t="shared" si="330"/>
        <v>Excellent</v>
      </c>
      <c r="P3548" t="str">
        <f t="shared" si="332"/>
        <v>High</v>
      </c>
      <c r="Q3548" t="str">
        <f t="shared" si="333"/>
        <v>Low Loan</v>
      </c>
      <c r="R3548">
        <f t="shared" si="334"/>
        <v>15700000</v>
      </c>
      <c r="S3548" t="str">
        <f t="shared" si="335"/>
        <v>Strong</v>
      </c>
    </row>
    <row r="3549" spans="1:19" x14ac:dyDescent="0.25">
      <c r="A3549">
        <v>3548</v>
      </c>
      <c r="B3549">
        <v>0</v>
      </c>
      <c r="C3549" t="s">
        <v>30</v>
      </c>
      <c r="D3549" t="s">
        <v>33</v>
      </c>
      <c r="E3549">
        <v>5300000</v>
      </c>
      <c r="F3549">
        <v>17600000</v>
      </c>
      <c r="G3549">
        <v>4</v>
      </c>
      <c r="H3549">
        <v>790</v>
      </c>
      <c r="I3549">
        <v>2000000</v>
      </c>
      <c r="J3549">
        <v>10200000</v>
      </c>
      <c r="K3549">
        <v>19700000</v>
      </c>
      <c r="L3549">
        <v>7700000</v>
      </c>
      <c r="M3549" t="s">
        <v>34</v>
      </c>
      <c r="N3549">
        <f t="shared" si="331"/>
        <v>1</v>
      </c>
      <c r="O3549" t="str">
        <f t="shared" si="330"/>
        <v>Excellent</v>
      </c>
      <c r="P3549" t="str">
        <f t="shared" si="332"/>
        <v>High</v>
      </c>
      <c r="Q3549" t="str">
        <f t="shared" si="333"/>
        <v>Low Loan</v>
      </c>
      <c r="R3549">
        <f t="shared" si="334"/>
        <v>39600000</v>
      </c>
      <c r="S3549" t="str">
        <f t="shared" si="335"/>
        <v>Strong</v>
      </c>
    </row>
    <row r="3550" spans="1:19" x14ac:dyDescent="0.25">
      <c r="A3550">
        <v>3549</v>
      </c>
      <c r="B3550">
        <v>2</v>
      </c>
      <c r="C3550" t="s">
        <v>31</v>
      </c>
      <c r="D3550" t="s">
        <v>32</v>
      </c>
      <c r="E3550">
        <v>9900000</v>
      </c>
      <c r="F3550">
        <v>19900000</v>
      </c>
      <c r="G3550">
        <v>6</v>
      </c>
      <c r="H3550">
        <v>312</v>
      </c>
      <c r="I3550">
        <v>21400000</v>
      </c>
      <c r="J3550">
        <v>2200000</v>
      </c>
      <c r="K3550">
        <v>31400000</v>
      </c>
      <c r="L3550">
        <v>11000000</v>
      </c>
      <c r="M3550" t="s">
        <v>35</v>
      </c>
      <c r="N3550">
        <f t="shared" si="331"/>
        <v>0</v>
      </c>
      <c r="O3550" t="str">
        <f t="shared" si="330"/>
        <v>Low</v>
      </c>
      <c r="P3550" t="str">
        <f t="shared" si="332"/>
        <v>High</v>
      </c>
      <c r="Q3550" t="str">
        <f t="shared" si="333"/>
        <v>Low Loan</v>
      </c>
      <c r="R3550">
        <f t="shared" si="334"/>
        <v>66000000</v>
      </c>
      <c r="S3550" t="str">
        <f t="shared" si="335"/>
        <v>Strong</v>
      </c>
    </row>
    <row r="3551" spans="1:19" x14ac:dyDescent="0.25">
      <c r="A3551">
        <v>3550</v>
      </c>
      <c r="B3551">
        <v>2</v>
      </c>
      <c r="C3551" t="s">
        <v>31</v>
      </c>
      <c r="D3551" t="s">
        <v>33</v>
      </c>
      <c r="E3551">
        <v>5000000</v>
      </c>
      <c r="F3551">
        <v>19500000</v>
      </c>
      <c r="G3551">
        <v>14</v>
      </c>
      <c r="H3551">
        <v>775</v>
      </c>
      <c r="I3551">
        <v>3100000</v>
      </c>
      <c r="J3551">
        <v>4700000</v>
      </c>
      <c r="K3551">
        <v>9900000</v>
      </c>
      <c r="L3551">
        <v>6500000</v>
      </c>
      <c r="M3551" t="s">
        <v>34</v>
      </c>
      <c r="N3551">
        <f t="shared" si="331"/>
        <v>1</v>
      </c>
      <c r="O3551" t="str">
        <f t="shared" si="330"/>
        <v>Excellent</v>
      </c>
      <c r="P3551" t="str">
        <f t="shared" si="332"/>
        <v>High</v>
      </c>
      <c r="Q3551" t="str">
        <f t="shared" si="333"/>
        <v>Low Loan</v>
      </c>
      <c r="R3551">
        <f t="shared" si="334"/>
        <v>24200000</v>
      </c>
      <c r="S3551" t="str">
        <f t="shared" si="335"/>
        <v>Strong</v>
      </c>
    </row>
    <row r="3552" spans="1:19" x14ac:dyDescent="0.25">
      <c r="A3552">
        <v>3551</v>
      </c>
      <c r="B3552">
        <v>2</v>
      </c>
      <c r="C3552" t="s">
        <v>31</v>
      </c>
      <c r="D3552" t="s">
        <v>32</v>
      </c>
      <c r="E3552">
        <v>9100000</v>
      </c>
      <c r="F3552">
        <v>18600000</v>
      </c>
      <c r="G3552">
        <v>20</v>
      </c>
      <c r="H3552">
        <v>403</v>
      </c>
      <c r="I3552">
        <v>18400000</v>
      </c>
      <c r="J3552">
        <v>11700000</v>
      </c>
      <c r="K3552">
        <v>20300000</v>
      </c>
      <c r="L3552">
        <v>9200000</v>
      </c>
      <c r="M3552" t="s">
        <v>35</v>
      </c>
      <c r="N3552">
        <f t="shared" si="331"/>
        <v>0</v>
      </c>
      <c r="O3552" t="str">
        <f t="shared" si="330"/>
        <v>Low</v>
      </c>
      <c r="P3552" t="str">
        <f t="shared" si="332"/>
        <v>High</v>
      </c>
      <c r="Q3552" t="str">
        <f t="shared" si="333"/>
        <v>Low Loan</v>
      </c>
      <c r="R3552">
        <f t="shared" si="334"/>
        <v>59600000</v>
      </c>
      <c r="S3552" t="str">
        <f t="shared" si="335"/>
        <v>Strong</v>
      </c>
    </row>
    <row r="3553" spans="1:19" x14ac:dyDescent="0.25">
      <c r="A3553">
        <v>3552</v>
      </c>
      <c r="B3553">
        <v>3</v>
      </c>
      <c r="C3553" t="s">
        <v>31</v>
      </c>
      <c r="D3553" t="s">
        <v>33</v>
      </c>
      <c r="E3553">
        <v>7600000</v>
      </c>
      <c r="F3553">
        <v>26400000</v>
      </c>
      <c r="G3553">
        <v>14</v>
      </c>
      <c r="H3553">
        <v>867</v>
      </c>
      <c r="I3553">
        <v>9200000</v>
      </c>
      <c r="J3553">
        <v>700000</v>
      </c>
      <c r="K3553">
        <v>27900000</v>
      </c>
      <c r="L3553">
        <v>7400000</v>
      </c>
      <c r="M3553" t="s">
        <v>34</v>
      </c>
      <c r="N3553">
        <f t="shared" si="331"/>
        <v>1</v>
      </c>
      <c r="O3553" t="str">
        <f t="shared" si="330"/>
        <v>Excellent</v>
      </c>
      <c r="P3553" t="str">
        <f t="shared" si="332"/>
        <v>High</v>
      </c>
      <c r="Q3553" t="str">
        <f t="shared" si="333"/>
        <v>High Loan</v>
      </c>
      <c r="R3553">
        <f t="shared" si="334"/>
        <v>45200000</v>
      </c>
      <c r="S3553" t="str">
        <f t="shared" si="335"/>
        <v>Strong</v>
      </c>
    </row>
    <row r="3554" spans="1:19" x14ac:dyDescent="0.25">
      <c r="A3554">
        <v>3553</v>
      </c>
      <c r="B3554">
        <v>0</v>
      </c>
      <c r="C3554" t="s">
        <v>30</v>
      </c>
      <c r="D3554" t="s">
        <v>32</v>
      </c>
      <c r="E3554">
        <v>5200000</v>
      </c>
      <c r="F3554">
        <v>17800000</v>
      </c>
      <c r="G3554">
        <v>18</v>
      </c>
      <c r="H3554">
        <v>558</v>
      </c>
      <c r="I3554">
        <v>8300000</v>
      </c>
      <c r="J3554">
        <v>5400000</v>
      </c>
      <c r="K3554">
        <v>13000000</v>
      </c>
      <c r="L3554">
        <v>3100000</v>
      </c>
      <c r="M3554" t="s">
        <v>34</v>
      </c>
      <c r="N3554">
        <f t="shared" si="331"/>
        <v>1</v>
      </c>
      <c r="O3554" t="str">
        <f t="shared" si="330"/>
        <v>Low</v>
      </c>
      <c r="P3554" t="str">
        <f t="shared" si="332"/>
        <v>High</v>
      </c>
      <c r="Q3554" t="str">
        <f t="shared" si="333"/>
        <v>Low Loan</v>
      </c>
      <c r="R3554">
        <f t="shared" si="334"/>
        <v>29800000</v>
      </c>
      <c r="S3554" t="str">
        <f t="shared" si="335"/>
        <v>Strong</v>
      </c>
    </row>
    <row r="3555" spans="1:19" x14ac:dyDescent="0.25">
      <c r="A3555">
        <v>3554</v>
      </c>
      <c r="B3555">
        <v>5</v>
      </c>
      <c r="C3555" t="s">
        <v>30</v>
      </c>
      <c r="D3555" t="s">
        <v>32</v>
      </c>
      <c r="E3555">
        <v>1800000</v>
      </c>
      <c r="F3555">
        <v>6000000</v>
      </c>
      <c r="G3555">
        <v>4</v>
      </c>
      <c r="H3555">
        <v>548</v>
      </c>
      <c r="I3555">
        <v>1400000</v>
      </c>
      <c r="J3555">
        <v>2400000</v>
      </c>
      <c r="K3555">
        <v>6500000</v>
      </c>
      <c r="L3555">
        <v>2600000</v>
      </c>
      <c r="M3555" t="s">
        <v>34</v>
      </c>
      <c r="N3555">
        <f t="shared" si="331"/>
        <v>1</v>
      </c>
      <c r="O3555" t="str">
        <f t="shared" si="330"/>
        <v>Low</v>
      </c>
      <c r="P3555" t="str">
        <f t="shared" si="332"/>
        <v>High</v>
      </c>
      <c r="Q3555" t="str">
        <f t="shared" si="333"/>
        <v>Low Loan</v>
      </c>
      <c r="R3555">
        <f t="shared" si="334"/>
        <v>12900000</v>
      </c>
      <c r="S3555" t="str">
        <f t="shared" si="335"/>
        <v>Strong</v>
      </c>
    </row>
    <row r="3556" spans="1:19" x14ac:dyDescent="0.25">
      <c r="A3556">
        <v>3555</v>
      </c>
      <c r="B3556">
        <v>0</v>
      </c>
      <c r="C3556" t="s">
        <v>31</v>
      </c>
      <c r="D3556" t="s">
        <v>32</v>
      </c>
      <c r="E3556">
        <v>7300000</v>
      </c>
      <c r="F3556">
        <v>28200000</v>
      </c>
      <c r="G3556">
        <v>16</v>
      </c>
      <c r="H3556">
        <v>486</v>
      </c>
      <c r="I3556">
        <v>15300000</v>
      </c>
      <c r="J3556">
        <v>8800000</v>
      </c>
      <c r="K3556">
        <v>16400000</v>
      </c>
      <c r="L3556">
        <v>7700000</v>
      </c>
      <c r="M3556" t="s">
        <v>35</v>
      </c>
      <c r="N3556">
        <f t="shared" si="331"/>
        <v>0</v>
      </c>
      <c r="O3556" t="str">
        <f t="shared" si="330"/>
        <v>Low</v>
      </c>
      <c r="P3556" t="str">
        <f t="shared" si="332"/>
        <v>High</v>
      </c>
      <c r="Q3556" t="str">
        <f t="shared" si="333"/>
        <v>High Loan</v>
      </c>
      <c r="R3556">
        <f t="shared" si="334"/>
        <v>48200000</v>
      </c>
      <c r="S3556" t="str">
        <f t="shared" si="335"/>
        <v>Strong</v>
      </c>
    </row>
    <row r="3557" spans="1:19" x14ac:dyDescent="0.25">
      <c r="A3557">
        <v>3556</v>
      </c>
      <c r="B3557">
        <v>4</v>
      </c>
      <c r="C3557" t="s">
        <v>30</v>
      </c>
      <c r="D3557" t="s">
        <v>32</v>
      </c>
      <c r="E3557">
        <v>3200000</v>
      </c>
      <c r="F3557">
        <v>11600000</v>
      </c>
      <c r="G3557">
        <v>6</v>
      </c>
      <c r="H3557">
        <v>635</v>
      </c>
      <c r="I3557">
        <v>3300000</v>
      </c>
      <c r="J3557">
        <v>4600000</v>
      </c>
      <c r="K3557">
        <v>6500000</v>
      </c>
      <c r="L3557">
        <v>3900000</v>
      </c>
      <c r="M3557" t="s">
        <v>34</v>
      </c>
      <c r="N3557">
        <f t="shared" si="331"/>
        <v>1</v>
      </c>
      <c r="O3557" t="str">
        <f t="shared" si="330"/>
        <v>Low</v>
      </c>
      <c r="P3557" t="str">
        <f t="shared" si="332"/>
        <v>High</v>
      </c>
      <c r="Q3557" t="str">
        <f t="shared" si="333"/>
        <v>Low Loan</v>
      </c>
      <c r="R3557">
        <f t="shared" si="334"/>
        <v>18300000</v>
      </c>
      <c r="S3557" t="str">
        <f t="shared" si="335"/>
        <v>Strong</v>
      </c>
    </row>
    <row r="3558" spans="1:19" x14ac:dyDescent="0.25">
      <c r="A3558">
        <v>3557</v>
      </c>
      <c r="B3558">
        <v>5</v>
      </c>
      <c r="C3558" t="s">
        <v>30</v>
      </c>
      <c r="D3558" t="s">
        <v>32</v>
      </c>
      <c r="E3558">
        <v>5200000</v>
      </c>
      <c r="F3558">
        <v>20700000</v>
      </c>
      <c r="G3558">
        <v>2</v>
      </c>
      <c r="H3558">
        <v>538</v>
      </c>
      <c r="I3558">
        <v>3200000</v>
      </c>
      <c r="J3558">
        <v>2000000</v>
      </c>
      <c r="K3558">
        <v>14600000</v>
      </c>
      <c r="L3558">
        <v>3600000</v>
      </c>
      <c r="M3558" t="s">
        <v>34</v>
      </c>
      <c r="N3558">
        <f t="shared" si="331"/>
        <v>1</v>
      </c>
      <c r="O3558" t="str">
        <f t="shared" si="330"/>
        <v>Low</v>
      </c>
      <c r="P3558" t="str">
        <f t="shared" si="332"/>
        <v>High</v>
      </c>
      <c r="Q3558" t="str">
        <f t="shared" si="333"/>
        <v>High Loan</v>
      </c>
      <c r="R3558">
        <f t="shared" si="334"/>
        <v>23400000</v>
      </c>
      <c r="S3558" t="str">
        <f t="shared" si="335"/>
        <v>Strong</v>
      </c>
    </row>
    <row r="3559" spans="1:19" x14ac:dyDescent="0.25">
      <c r="A3559">
        <v>3558</v>
      </c>
      <c r="B3559">
        <v>4</v>
      </c>
      <c r="C3559" t="s">
        <v>31</v>
      </c>
      <c r="D3559" t="s">
        <v>32</v>
      </c>
      <c r="E3559">
        <v>7100000</v>
      </c>
      <c r="F3559">
        <v>28200000</v>
      </c>
      <c r="G3559">
        <v>14</v>
      </c>
      <c r="H3559">
        <v>496</v>
      </c>
      <c r="I3559">
        <v>6300000</v>
      </c>
      <c r="J3559">
        <v>10900000</v>
      </c>
      <c r="K3559">
        <v>27700000</v>
      </c>
      <c r="L3559">
        <v>4600000</v>
      </c>
      <c r="M3559" t="s">
        <v>35</v>
      </c>
      <c r="N3559">
        <f t="shared" si="331"/>
        <v>0</v>
      </c>
      <c r="O3559" t="str">
        <f t="shared" si="330"/>
        <v>Low</v>
      </c>
      <c r="P3559" t="str">
        <f t="shared" si="332"/>
        <v>High</v>
      </c>
      <c r="Q3559" t="str">
        <f t="shared" si="333"/>
        <v>High Loan</v>
      </c>
      <c r="R3559">
        <f t="shared" si="334"/>
        <v>49500000</v>
      </c>
      <c r="S3559" t="str">
        <f t="shared" si="335"/>
        <v>Strong</v>
      </c>
    </row>
    <row r="3560" spans="1:19" x14ac:dyDescent="0.25">
      <c r="A3560">
        <v>3559</v>
      </c>
      <c r="B3560">
        <v>4</v>
      </c>
      <c r="C3560" t="s">
        <v>30</v>
      </c>
      <c r="D3560" t="s">
        <v>33</v>
      </c>
      <c r="E3560">
        <v>1400000</v>
      </c>
      <c r="F3560">
        <v>4800000</v>
      </c>
      <c r="G3560">
        <v>6</v>
      </c>
      <c r="H3560">
        <v>411</v>
      </c>
      <c r="I3560">
        <v>1400000</v>
      </c>
      <c r="J3560">
        <v>300000</v>
      </c>
      <c r="K3560">
        <v>4400000</v>
      </c>
      <c r="L3560">
        <v>1600000</v>
      </c>
      <c r="M3560" t="s">
        <v>35</v>
      </c>
      <c r="N3560">
        <f t="shared" si="331"/>
        <v>0</v>
      </c>
      <c r="O3560" t="str">
        <f t="shared" si="330"/>
        <v>Low</v>
      </c>
      <c r="P3560" t="str">
        <f t="shared" si="332"/>
        <v>High</v>
      </c>
      <c r="Q3560" t="str">
        <f t="shared" si="333"/>
        <v>Low Loan</v>
      </c>
      <c r="R3560">
        <f t="shared" si="334"/>
        <v>7700000</v>
      </c>
      <c r="S3560" t="str">
        <f t="shared" si="335"/>
        <v>Moderate</v>
      </c>
    </row>
    <row r="3561" spans="1:19" x14ac:dyDescent="0.25">
      <c r="A3561">
        <v>3560</v>
      </c>
      <c r="B3561">
        <v>4</v>
      </c>
      <c r="C3561" t="s">
        <v>31</v>
      </c>
      <c r="D3561" t="s">
        <v>32</v>
      </c>
      <c r="E3561">
        <v>2700000</v>
      </c>
      <c r="F3561">
        <v>10700000</v>
      </c>
      <c r="G3561">
        <v>6</v>
      </c>
      <c r="H3561">
        <v>857</v>
      </c>
      <c r="I3561">
        <v>7400000</v>
      </c>
      <c r="J3561">
        <v>4200000</v>
      </c>
      <c r="K3561">
        <v>8200000</v>
      </c>
      <c r="L3561">
        <v>2800000</v>
      </c>
      <c r="M3561" t="s">
        <v>34</v>
      </c>
      <c r="N3561">
        <f t="shared" si="331"/>
        <v>1</v>
      </c>
      <c r="O3561" t="str">
        <f t="shared" si="330"/>
        <v>Excellent</v>
      </c>
      <c r="P3561" t="str">
        <f t="shared" si="332"/>
        <v>High</v>
      </c>
      <c r="Q3561" t="str">
        <f t="shared" si="333"/>
        <v>Low Loan</v>
      </c>
      <c r="R3561">
        <f t="shared" si="334"/>
        <v>22600000</v>
      </c>
      <c r="S3561" t="str">
        <f t="shared" si="335"/>
        <v>Strong</v>
      </c>
    </row>
    <row r="3562" spans="1:19" x14ac:dyDescent="0.25">
      <c r="A3562">
        <v>3561</v>
      </c>
      <c r="B3562">
        <v>5</v>
      </c>
      <c r="C3562" t="s">
        <v>30</v>
      </c>
      <c r="D3562" t="s">
        <v>33</v>
      </c>
      <c r="E3562">
        <v>6500000</v>
      </c>
      <c r="F3562">
        <v>18100000</v>
      </c>
      <c r="G3562">
        <v>10</v>
      </c>
      <c r="H3562">
        <v>360</v>
      </c>
      <c r="I3562">
        <v>15700000</v>
      </c>
      <c r="J3562">
        <v>10600000</v>
      </c>
      <c r="K3562">
        <v>20200000</v>
      </c>
      <c r="L3562">
        <v>6100000</v>
      </c>
      <c r="M3562" t="s">
        <v>35</v>
      </c>
      <c r="N3562">
        <f t="shared" si="331"/>
        <v>0</v>
      </c>
      <c r="O3562" t="str">
        <f t="shared" si="330"/>
        <v>Low</v>
      </c>
      <c r="P3562" t="str">
        <f t="shared" si="332"/>
        <v>High</v>
      </c>
      <c r="Q3562" t="str">
        <f t="shared" si="333"/>
        <v>Low Loan</v>
      </c>
      <c r="R3562">
        <f t="shared" si="334"/>
        <v>52600000</v>
      </c>
      <c r="S3562" t="str">
        <f t="shared" si="335"/>
        <v>Strong</v>
      </c>
    </row>
    <row r="3563" spans="1:19" x14ac:dyDescent="0.25">
      <c r="A3563">
        <v>3562</v>
      </c>
      <c r="B3563">
        <v>4</v>
      </c>
      <c r="C3563" t="s">
        <v>30</v>
      </c>
      <c r="D3563" t="s">
        <v>32</v>
      </c>
      <c r="E3563">
        <v>9300000</v>
      </c>
      <c r="F3563">
        <v>35900000</v>
      </c>
      <c r="G3563">
        <v>18</v>
      </c>
      <c r="H3563">
        <v>461</v>
      </c>
      <c r="I3563">
        <v>9800000</v>
      </c>
      <c r="J3563">
        <v>12700000</v>
      </c>
      <c r="K3563">
        <v>26200000</v>
      </c>
      <c r="L3563">
        <v>11400000</v>
      </c>
      <c r="M3563" t="s">
        <v>35</v>
      </c>
      <c r="N3563">
        <f t="shared" si="331"/>
        <v>0</v>
      </c>
      <c r="O3563" t="str">
        <f t="shared" si="330"/>
        <v>Low</v>
      </c>
      <c r="P3563" t="str">
        <f t="shared" si="332"/>
        <v>High</v>
      </c>
      <c r="Q3563" t="str">
        <f t="shared" si="333"/>
        <v>High Loan</v>
      </c>
      <c r="R3563">
        <f t="shared" si="334"/>
        <v>60100000</v>
      </c>
      <c r="S3563" t="str">
        <f t="shared" si="335"/>
        <v>Strong</v>
      </c>
    </row>
    <row r="3564" spans="1:19" x14ac:dyDescent="0.25">
      <c r="A3564">
        <v>3563</v>
      </c>
      <c r="B3564">
        <v>0</v>
      </c>
      <c r="C3564" t="s">
        <v>30</v>
      </c>
      <c r="D3564" t="s">
        <v>33</v>
      </c>
      <c r="E3564">
        <v>6700000</v>
      </c>
      <c r="F3564">
        <v>14900000</v>
      </c>
      <c r="G3564">
        <v>16</v>
      </c>
      <c r="H3564">
        <v>638</v>
      </c>
      <c r="I3564">
        <v>3300000</v>
      </c>
      <c r="J3564">
        <v>6900000</v>
      </c>
      <c r="K3564">
        <v>22300000</v>
      </c>
      <c r="L3564">
        <v>8100000</v>
      </c>
      <c r="M3564" t="s">
        <v>34</v>
      </c>
      <c r="N3564">
        <f t="shared" si="331"/>
        <v>1</v>
      </c>
      <c r="O3564" t="str">
        <f t="shared" si="330"/>
        <v>Low</v>
      </c>
      <c r="P3564" t="str">
        <f t="shared" si="332"/>
        <v>High</v>
      </c>
      <c r="Q3564" t="str">
        <f t="shared" si="333"/>
        <v>Low Loan</v>
      </c>
      <c r="R3564">
        <f t="shared" si="334"/>
        <v>40600000</v>
      </c>
      <c r="S3564" t="str">
        <f t="shared" si="335"/>
        <v>Strong</v>
      </c>
    </row>
    <row r="3565" spans="1:19" x14ac:dyDescent="0.25">
      <c r="A3565">
        <v>3564</v>
      </c>
      <c r="B3565">
        <v>5</v>
      </c>
      <c r="C3565" t="s">
        <v>30</v>
      </c>
      <c r="D3565" t="s">
        <v>32</v>
      </c>
      <c r="E3565">
        <v>6800000</v>
      </c>
      <c r="F3565">
        <v>19300000</v>
      </c>
      <c r="G3565">
        <v>6</v>
      </c>
      <c r="H3565">
        <v>865</v>
      </c>
      <c r="I3565">
        <v>12100000</v>
      </c>
      <c r="J3565">
        <v>100000</v>
      </c>
      <c r="K3565">
        <v>22900000</v>
      </c>
      <c r="L3565">
        <v>9000000</v>
      </c>
      <c r="M3565" t="s">
        <v>34</v>
      </c>
      <c r="N3565">
        <f t="shared" si="331"/>
        <v>1</v>
      </c>
      <c r="O3565" t="str">
        <f t="shared" si="330"/>
        <v>Excellent</v>
      </c>
      <c r="P3565" t="str">
        <f t="shared" si="332"/>
        <v>High</v>
      </c>
      <c r="Q3565" t="str">
        <f t="shared" si="333"/>
        <v>Low Loan</v>
      </c>
      <c r="R3565">
        <f t="shared" si="334"/>
        <v>44100000</v>
      </c>
      <c r="S3565" t="str">
        <f t="shared" si="335"/>
        <v>Strong</v>
      </c>
    </row>
    <row r="3566" spans="1:19" x14ac:dyDescent="0.25">
      <c r="A3566">
        <v>3565</v>
      </c>
      <c r="B3566">
        <v>5</v>
      </c>
      <c r="C3566" t="s">
        <v>31</v>
      </c>
      <c r="D3566" t="s">
        <v>32</v>
      </c>
      <c r="E3566">
        <v>5600000</v>
      </c>
      <c r="F3566">
        <v>13600000</v>
      </c>
      <c r="G3566">
        <v>4</v>
      </c>
      <c r="H3566">
        <v>449</v>
      </c>
      <c r="I3566">
        <v>5900000</v>
      </c>
      <c r="J3566">
        <v>5700000</v>
      </c>
      <c r="K3566">
        <v>18800000</v>
      </c>
      <c r="L3566">
        <v>4300000</v>
      </c>
      <c r="M3566" t="s">
        <v>35</v>
      </c>
      <c r="N3566">
        <f t="shared" si="331"/>
        <v>0</v>
      </c>
      <c r="O3566" t="str">
        <f t="shared" si="330"/>
        <v>Low</v>
      </c>
      <c r="P3566" t="str">
        <f t="shared" si="332"/>
        <v>High</v>
      </c>
      <c r="Q3566" t="str">
        <f t="shared" si="333"/>
        <v>Low Loan</v>
      </c>
      <c r="R3566">
        <f t="shared" si="334"/>
        <v>34700000</v>
      </c>
      <c r="S3566" t="str">
        <f t="shared" si="335"/>
        <v>Strong</v>
      </c>
    </row>
    <row r="3567" spans="1:19" x14ac:dyDescent="0.25">
      <c r="A3567">
        <v>3566</v>
      </c>
      <c r="B3567">
        <v>1</v>
      </c>
      <c r="C3567" t="s">
        <v>31</v>
      </c>
      <c r="D3567" t="s">
        <v>33</v>
      </c>
      <c r="E3567">
        <v>1900000</v>
      </c>
      <c r="F3567">
        <v>4700000</v>
      </c>
      <c r="G3567">
        <v>2</v>
      </c>
      <c r="H3567">
        <v>870</v>
      </c>
      <c r="I3567">
        <v>4700000</v>
      </c>
      <c r="J3567">
        <v>2300000</v>
      </c>
      <c r="K3567">
        <v>3900000</v>
      </c>
      <c r="L3567">
        <v>2300000</v>
      </c>
      <c r="M3567" t="s">
        <v>34</v>
      </c>
      <c r="N3567">
        <f t="shared" si="331"/>
        <v>1</v>
      </c>
      <c r="O3567" t="str">
        <f t="shared" si="330"/>
        <v>Excellent</v>
      </c>
      <c r="P3567" t="str">
        <f t="shared" si="332"/>
        <v>High</v>
      </c>
      <c r="Q3567" t="str">
        <f t="shared" si="333"/>
        <v>Low Loan</v>
      </c>
      <c r="R3567">
        <f t="shared" si="334"/>
        <v>13200000</v>
      </c>
      <c r="S3567" t="str">
        <f t="shared" si="335"/>
        <v>Strong</v>
      </c>
    </row>
    <row r="3568" spans="1:19" x14ac:dyDescent="0.25">
      <c r="A3568">
        <v>3567</v>
      </c>
      <c r="B3568">
        <v>5</v>
      </c>
      <c r="C3568" t="s">
        <v>31</v>
      </c>
      <c r="D3568" t="s">
        <v>32</v>
      </c>
      <c r="E3568">
        <v>8400000</v>
      </c>
      <c r="F3568">
        <v>19500000</v>
      </c>
      <c r="G3568">
        <v>6</v>
      </c>
      <c r="H3568">
        <v>815</v>
      </c>
      <c r="I3568">
        <v>5300000</v>
      </c>
      <c r="J3568">
        <v>2500000</v>
      </c>
      <c r="K3568">
        <v>24000000</v>
      </c>
      <c r="L3568">
        <v>7200000</v>
      </c>
      <c r="M3568" t="s">
        <v>34</v>
      </c>
      <c r="N3568">
        <f t="shared" si="331"/>
        <v>1</v>
      </c>
      <c r="O3568" t="str">
        <f t="shared" si="330"/>
        <v>Excellent</v>
      </c>
      <c r="P3568" t="str">
        <f t="shared" si="332"/>
        <v>High</v>
      </c>
      <c r="Q3568" t="str">
        <f t="shared" si="333"/>
        <v>Low Loan</v>
      </c>
      <c r="R3568">
        <f t="shared" si="334"/>
        <v>39000000</v>
      </c>
      <c r="S3568" t="str">
        <f t="shared" si="335"/>
        <v>Strong</v>
      </c>
    </row>
    <row r="3569" spans="1:19" x14ac:dyDescent="0.25">
      <c r="A3569">
        <v>3568</v>
      </c>
      <c r="B3569">
        <v>2</v>
      </c>
      <c r="C3569" t="s">
        <v>31</v>
      </c>
      <c r="D3569" t="s">
        <v>33</v>
      </c>
      <c r="E3569">
        <v>2500000</v>
      </c>
      <c r="F3569">
        <v>7200000</v>
      </c>
      <c r="G3569">
        <v>16</v>
      </c>
      <c r="H3569">
        <v>454</v>
      </c>
      <c r="I3569">
        <v>4200000</v>
      </c>
      <c r="J3569">
        <v>1000000</v>
      </c>
      <c r="K3569">
        <v>7100000</v>
      </c>
      <c r="L3569">
        <v>2100000</v>
      </c>
      <c r="M3569" t="s">
        <v>35</v>
      </c>
      <c r="N3569">
        <f t="shared" si="331"/>
        <v>0</v>
      </c>
      <c r="O3569" t="str">
        <f t="shared" si="330"/>
        <v>Low</v>
      </c>
      <c r="P3569" t="str">
        <f t="shared" si="332"/>
        <v>High</v>
      </c>
      <c r="Q3569" t="str">
        <f t="shared" si="333"/>
        <v>Low Loan</v>
      </c>
      <c r="R3569">
        <f t="shared" si="334"/>
        <v>14400000</v>
      </c>
      <c r="S3569" t="str">
        <f t="shared" si="335"/>
        <v>Strong</v>
      </c>
    </row>
    <row r="3570" spans="1:19" x14ac:dyDescent="0.25">
      <c r="A3570">
        <v>3569</v>
      </c>
      <c r="B3570">
        <v>1</v>
      </c>
      <c r="C3570" t="s">
        <v>31</v>
      </c>
      <c r="D3570" t="s">
        <v>33</v>
      </c>
      <c r="E3570">
        <v>2900000</v>
      </c>
      <c r="F3570">
        <v>9900000</v>
      </c>
      <c r="G3570">
        <v>18</v>
      </c>
      <c r="H3570">
        <v>783</v>
      </c>
      <c r="I3570">
        <v>1300000</v>
      </c>
      <c r="J3570">
        <v>100000</v>
      </c>
      <c r="K3570">
        <v>11000000</v>
      </c>
      <c r="L3570">
        <v>2600000</v>
      </c>
      <c r="M3570" t="s">
        <v>34</v>
      </c>
      <c r="N3570">
        <f t="shared" si="331"/>
        <v>1</v>
      </c>
      <c r="O3570" t="str">
        <f t="shared" si="330"/>
        <v>Excellent</v>
      </c>
      <c r="P3570" t="str">
        <f t="shared" si="332"/>
        <v>High</v>
      </c>
      <c r="Q3570" t="str">
        <f t="shared" si="333"/>
        <v>Low Loan</v>
      </c>
      <c r="R3570">
        <f t="shared" si="334"/>
        <v>15000000</v>
      </c>
      <c r="S3570" t="str">
        <f t="shared" si="335"/>
        <v>Strong</v>
      </c>
    </row>
    <row r="3571" spans="1:19" x14ac:dyDescent="0.25">
      <c r="A3571">
        <v>3570</v>
      </c>
      <c r="B3571">
        <v>3</v>
      </c>
      <c r="C3571" t="s">
        <v>30</v>
      </c>
      <c r="D3571" t="s">
        <v>33</v>
      </c>
      <c r="E3571">
        <v>3200000</v>
      </c>
      <c r="F3571">
        <v>7400000</v>
      </c>
      <c r="G3571">
        <v>2</v>
      </c>
      <c r="H3571">
        <v>543</v>
      </c>
      <c r="I3571">
        <v>3600000</v>
      </c>
      <c r="J3571">
        <v>4500000</v>
      </c>
      <c r="K3571">
        <v>11200000</v>
      </c>
      <c r="L3571">
        <v>4600000</v>
      </c>
      <c r="M3571" t="s">
        <v>35</v>
      </c>
      <c r="N3571">
        <f t="shared" si="331"/>
        <v>0</v>
      </c>
      <c r="O3571" t="str">
        <f t="shared" si="330"/>
        <v>Low</v>
      </c>
      <c r="P3571" t="str">
        <f t="shared" si="332"/>
        <v>High</v>
      </c>
      <c r="Q3571" t="str">
        <f t="shared" si="333"/>
        <v>Low Loan</v>
      </c>
      <c r="R3571">
        <f t="shared" si="334"/>
        <v>23900000</v>
      </c>
      <c r="S3571" t="str">
        <f t="shared" si="335"/>
        <v>Strong</v>
      </c>
    </row>
    <row r="3572" spans="1:19" x14ac:dyDescent="0.25">
      <c r="A3572">
        <v>3571</v>
      </c>
      <c r="B3572">
        <v>4</v>
      </c>
      <c r="C3572" t="s">
        <v>31</v>
      </c>
      <c r="D3572" t="s">
        <v>33</v>
      </c>
      <c r="E3572">
        <v>3000000</v>
      </c>
      <c r="F3572">
        <v>10900000</v>
      </c>
      <c r="G3572">
        <v>2</v>
      </c>
      <c r="H3572">
        <v>786</v>
      </c>
      <c r="I3572">
        <v>7600000</v>
      </c>
      <c r="J3572">
        <v>3300000</v>
      </c>
      <c r="K3572">
        <v>8000000</v>
      </c>
      <c r="L3572">
        <v>3200000</v>
      </c>
      <c r="M3572" t="s">
        <v>34</v>
      </c>
      <c r="N3572">
        <f t="shared" si="331"/>
        <v>1</v>
      </c>
      <c r="O3572" t="str">
        <f t="shared" si="330"/>
        <v>Excellent</v>
      </c>
      <c r="P3572" t="str">
        <f t="shared" si="332"/>
        <v>High</v>
      </c>
      <c r="Q3572" t="str">
        <f t="shared" si="333"/>
        <v>Low Loan</v>
      </c>
      <c r="R3572">
        <f t="shared" si="334"/>
        <v>22100000</v>
      </c>
      <c r="S3572" t="str">
        <f t="shared" si="335"/>
        <v>Strong</v>
      </c>
    </row>
    <row r="3573" spans="1:19" x14ac:dyDescent="0.25">
      <c r="A3573">
        <v>3572</v>
      </c>
      <c r="B3573">
        <v>3</v>
      </c>
      <c r="C3573" t="s">
        <v>30</v>
      </c>
      <c r="D3573" t="s">
        <v>33</v>
      </c>
      <c r="E3573">
        <v>800000</v>
      </c>
      <c r="F3573">
        <v>2500000</v>
      </c>
      <c r="G3573">
        <v>20</v>
      </c>
      <c r="H3573">
        <v>395</v>
      </c>
      <c r="I3573">
        <v>1500000</v>
      </c>
      <c r="J3573">
        <v>300000</v>
      </c>
      <c r="K3573">
        <v>1600000</v>
      </c>
      <c r="L3573">
        <v>500000</v>
      </c>
      <c r="M3573" t="s">
        <v>35</v>
      </c>
      <c r="N3573">
        <f t="shared" si="331"/>
        <v>0</v>
      </c>
      <c r="O3573" t="str">
        <f t="shared" si="330"/>
        <v>Low</v>
      </c>
      <c r="P3573" t="str">
        <f t="shared" si="332"/>
        <v>High</v>
      </c>
      <c r="Q3573" t="str">
        <f t="shared" si="333"/>
        <v>Low Loan</v>
      </c>
      <c r="R3573">
        <f t="shared" si="334"/>
        <v>3900000</v>
      </c>
      <c r="S3573" t="str">
        <f t="shared" si="335"/>
        <v>Weak</v>
      </c>
    </row>
    <row r="3574" spans="1:19" x14ac:dyDescent="0.25">
      <c r="A3574">
        <v>3573</v>
      </c>
      <c r="B3574">
        <v>2</v>
      </c>
      <c r="C3574" t="s">
        <v>31</v>
      </c>
      <c r="D3574" t="s">
        <v>33</v>
      </c>
      <c r="E3574">
        <v>400000</v>
      </c>
      <c r="F3574">
        <v>1300000</v>
      </c>
      <c r="G3574">
        <v>2</v>
      </c>
      <c r="H3574">
        <v>885</v>
      </c>
      <c r="I3574">
        <v>200000</v>
      </c>
      <c r="J3574">
        <v>300000</v>
      </c>
      <c r="K3574">
        <v>1100000</v>
      </c>
      <c r="L3574">
        <v>500000</v>
      </c>
      <c r="M3574" t="s">
        <v>34</v>
      </c>
      <c r="N3574">
        <f t="shared" si="331"/>
        <v>1</v>
      </c>
      <c r="O3574" t="str">
        <f t="shared" si="330"/>
        <v>Excellent</v>
      </c>
      <c r="P3574" t="str">
        <f t="shared" si="332"/>
        <v>Middle</v>
      </c>
      <c r="Q3574" t="str">
        <f t="shared" si="333"/>
        <v>Low Loan</v>
      </c>
      <c r="R3574">
        <f t="shared" si="334"/>
        <v>2100000</v>
      </c>
      <c r="S3574" t="str">
        <f t="shared" si="335"/>
        <v>Weak</v>
      </c>
    </row>
    <row r="3575" spans="1:19" x14ac:dyDescent="0.25">
      <c r="A3575">
        <v>3574</v>
      </c>
      <c r="B3575">
        <v>2</v>
      </c>
      <c r="C3575" t="s">
        <v>31</v>
      </c>
      <c r="D3575" t="s">
        <v>32</v>
      </c>
      <c r="E3575">
        <v>4400000</v>
      </c>
      <c r="F3575">
        <v>10600000</v>
      </c>
      <c r="G3575">
        <v>20</v>
      </c>
      <c r="H3575">
        <v>488</v>
      </c>
      <c r="I3575">
        <v>10800000</v>
      </c>
      <c r="J3575">
        <v>2400000</v>
      </c>
      <c r="K3575">
        <v>13200000</v>
      </c>
      <c r="L3575">
        <v>4600000</v>
      </c>
      <c r="M3575" t="s">
        <v>35</v>
      </c>
      <c r="N3575">
        <f t="shared" si="331"/>
        <v>0</v>
      </c>
      <c r="O3575" t="str">
        <f t="shared" si="330"/>
        <v>Low</v>
      </c>
      <c r="P3575" t="str">
        <f t="shared" si="332"/>
        <v>High</v>
      </c>
      <c r="Q3575" t="str">
        <f t="shared" si="333"/>
        <v>Low Loan</v>
      </c>
      <c r="R3575">
        <f t="shared" si="334"/>
        <v>31000000</v>
      </c>
      <c r="S3575" t="str">
        <f t="shared" si="335"/>
        <v>Strong</v>
      </c>
    </row>
    <row r="3576" spans="1:19" x14ac:dyDescent="0.25">
      <c r="A3576">
        <v>3575</v>
      </c>
      <c r="B3576">
        <v>2</v>
      </c>
      <c r="C3576" t="s">
        <v>31</v>
      </c>
      <c r="D3576" t="s">
        <v>33</v>
      </c>
      <c r="E3576">
        <v>8700000</v>
      </c>
      <c r="F3576">
        <v>19900000</v>
      </c>
      <c r="G3576">
        <v>10</v>
      </c>
      <c r="H3576">
        <v>829</v>
      </c>
      <c r="I3576">
        <v>7500000</v>
      </c>
      <c r="J3576">
        <v>10500000</v>
      </c>
      <c r="K3576">
        <v>20200000</v>
      </c>
      <c r="L3576">
        <v>8400000</v>
      </c>
      <c r="M3576" t="s">
        <v>34</v>
      </c>
      <c r="N3576">
        <f t="shared" si="331"/>
        <v>1</v>
      </c>
      <c r="O3576" t="str">
        <f t="shared" si="330"/>
        <v>Excellent</v>
      </c>
      <c r="P3576" t="str">
        <f t="shared" si="332"/>
        <v>High</v>
      </c>
      <c r="Q3576" t="str">
        <f t="shared" si="333"/>
        <v>Low Loan</v>
      </c>
      <c r="R3576">
        <f t="shared" si="334"/>
        <v>46600000</v>
      </c>
      <c r="S3576" t="str">
        <f t="shared" si="335"/>
        <v>Strong</v>
      </c>
    </row>
    <row r="3577" spans="1:19" x14ac:dyDescent="0.25">
      <c r="A3577">
        <v>3576</v>
      </c>
      <c r="B3577">
        <v>4</v>
      </c>
      <c r="C3577" t="s">
        <v>31</v>
      </c>
      <c r="D3577" t="s">
        <v>32</v>
      </c>
      <c r="E3577">
        <v>7400000</v>
      </c>
      <c r="F3577">
        <v>15400000</v>
      </c>
      <c r="G3577">
        <v>6</v>
      </c>
      <c r="H3577">
        <v>677</v>
      </c>
      <c r="I3577">
        <v>22000000</v>
      </c>
      <c r="J3577">
        <v>13500000</v>
      </c>
      <c r="K3577">
        <v>28900000</v>
      </c>
      <c r="L3577">
        <v>7400000</v>
      </c>
      <c r="M3577" t="s">
        <v>34</v>
      </c>
      <c r="N3577">
        <f t="shared" si="331"/>
        <v>1</v>
      </c>
      <c r="O3577" t="str">
        <f t="shared" si="330"/>
        <v>Medium</v>
      </c>
      <c r="P3577" t="str">
        <f t="shared" si="332"/>
        <v>High</v>
      </c>
      <c r="Q3577" t="str">
        <f t="shared" si="333"/>
        <v>Low Loan</v>
      </c>
      <c r="R3577">
        <f t="shared" si="334"/>
        <v>71800000</v>
      </c>
      <c r="S3577" t="str">
        <f t="shared" si="335"/>
        <v>Strong</v>
      </c>
    </row>
    <row r="3578" spans="1:19" x14ac:dyDescent="0.25">
      <c r="A3578">
        <v>3577</v>
      </c>
      <c r="B3578">
        <v>4</v>
      </c>
      <c r="C3578" t="s">
        <v>31</v>
      </c>
      <c r="D3578" t="s">
        <v>33</v>
      </c>
      <c r="E3578">
        <v>5700000</v>
      </c>
      <c r="F3578">
        <v>14400000</v>
      </c>
      <c r="G3578">
        <v>12</v>
      </c>
      <c r="H3578">
        <v>645</v>
      </c>
      <c r="I3578">
        <v>14500000</v>
      </c>
      <c r="J3578">
        <v>8600000</v>
      </c>
      <c r="K3578">
        <v>12900000</v>
      </c>
      <c r="L3578">
        <v>4700000</v>
      </c>
      <c r="M3578" t="s">
        <v>34</v>
      </c>
      <c r="N3578">
        <f t="shared" si="331"/>
        <v>1</v>
      </c>
      <c r="O3578" t="str">
        <f t="shared" si="330"/>
        <v>Low</v>
      </c>
      <c r="P3578" t="str">
        <f t="shared" si="332"/>
        <v>High</v>
      </c>
      <c r="Q3578" t="str">
        <f t="shared" si="333"/>
        <v>Low Loan</v>
      </c>
      <c r="R3578">
        <f t="shared" si="334"/>
        <v>40700000</v>
      </c>
      <c r="S3578" t="str">
        <f t="shared" si="335"/>
        <v>Strong</v>
      </c>
    </row>
    <row r="3579" spans="1:19" x14ac:dyDescent="0.25">
      <c r="A3579">
        <v>3578</v>
      </c>
      <c r="B3579">
        <v>5</v>
      </c>
      <c r="C3579" t="s">
        <v>31</v>
      </c>
      <c r="D3579" t="s">
        <v>33</v>
      </c>
      <c r="E3579">
        <v>9700000</v>
      </c>
      <c r="F3579">
        <v>27600000</v>
      </c>
      <c r="G3579">
        <v>10</v>
      </c>
      <c r="H3579">
        <v>788</v>
      </c>
      <c r="I3579">
        <v>9400000</v>
      </c>
      <c r="J3579">
        <v>3100000</v>
      </c>
      <c r="K3579">
        <v>31800000</v>
      </c>
      <c r="L3579">
        <v>10600000</v>
      </c>
      <c r="M3579" t="s">
        <v>34</v>
      </c>
      <c r="N3579">
        <f t="shared" si="331"/>
        <v>1</v>
      </c>
      <c r="O3579" t="str">
        <f t="shared" si="330"/>
        <v>Excellent</v>
      </c>
      <c r="P3579" t="str">
        <f t="shared" si="332"/>
        <v>High</v>
      </c>
      <c r="Q3579" t="str">
        <f t="shared" si="333"/>
        <v>High Loan</v>
      </c>
      <c r="R3579">
        <f t="shared" si="334"/>
        <v>54900000</v>
      </c>
      <c r="S3579" t="str">
        <f t="shared" si="335"/>
        <v>Strong</v>
      </c>
    </row>
    <row r="3580" spans="1:19" x14ac:dyDescent="0.25">
      <c r="A3580">
        <v>3579</v>
      </c>
      <c r="B3580">
        <v>2</v>
      </c>
      <c r="C3580" t="s">
        <v>31</v>
      </c>
      <c r="D3580" t="s">
        <v>32</v>
      </c>
      <c r="E3580">
        <v>7000000</v>
      </c>
      <c r="F3580">
        <v>22400000</v>
      </c>
      <c r="G3580">
        <v>6</v>
      </c>
      <c r="H3580">
        <v>649</v>
      </c>
      <c r="I3580">
        <v>12200000</v>
      </c>
      <c r="J3580">
        <v>9900000</v>
      </c>
      <c r="K3580">
        <v>17800000</v>
      </c>
      <c r="L3580">
        <v>8900000</v>
      </c>
      <c r="M3580" t="s">
        <v>34</v>
      </c>
      <c r="N3580">
        <f t="shared" si="331"/>
        <v>1</v>
      </c>
      <c r="O3580" t="str">
        <f t="shared" si="330"/>
        <v>Low</v>
      </c>
      <c r="P3580" t="str">
        <f t="shared" si="332"/>
        <v>High</v>
      </c>
      <c r="Q3580" t="str">
        <f t="shared" si="333"/>
        <v>High Loan</v>
      </c>
      <c r="R3580">
        <f t="shared" si="334"/>
        <v>48800000</v>
      </c>
      <c r="S3580" t="str">
        <f t="shared" si="335"/>
        <v>Strong</v>
      </c>
    </row>
    <row r="3581" spans="1:19" x14ac:dyDescent="0.25">
      <c r="A3581">
        <v>3580</v>
      </c>
      <c r="B3581">
        <v>2</v>
      </c>
      <c r="C3581" t="s">
        <v>31</v>
      </c>
      <c r="D3581" t="s">
        <v>32</v>
      </c>
      <c r="E3581">
        <v>8900000</v>
      </c>
      <c r="F3581">
        <v>23100000</v>
      </c>
      <c r="G3581">
        <v>4</v>
      </c>
      <c r="H3581">
        <v>519</v>
      </c>
      <c r="I3581">
        <v>22800000</v>
      </c>
      <c r="J3581">
        <v>500000</v>
      </c>
      <c r="K3581">
        <v>25200000</v>
      </c>
      <c r="L3581">
        <v>4700000</v>
      </c>
      <c r="M3581" t="s">
        <v>35</v>
      </c>
      <c r="N3581">
        <f t="shared" si="331"/>
        <v>0</v>
      </c>
      <c r="O3581" t="str">
        <f t="shared" si="330"/>
        <v>Low</v>
      </c>
      <c r="P3581" t="str">
        <f t="shared" si="332"/>
        <v>High</v>
      </c>
      <c r="Q3581" t="str">
        <f t="shared" si="333"/>
        <v>High Loan</v>
      </c>
      <c r="R3581">
        <f t="shared" si="334"/>
        <v>53200000</v>
      </c>
      <c r="S3581" t="str">
        <f t="shared" si="335"/>
        <v>Strong</v>
      </c>
    </row>
    <row r="3582" spans="1:19" x14ac:dyDescent="0.25">
      <c r="A3582">
        <v>3581</v>
      </c>
      <c r="B3582">
        <v>3</v>
      </c>
      <c r="C3582" t="s">
        <v>30</v>
      </c>
      <c r="D3582" t="s">
        <v>33</v>
      </c>
      <c r="E3582">
        <v>3100000</v>
      </c>
      <c r="F3582">
        <v>11200000</v>
      </c>
      <c r="G3582">
        <v>14</v>
      </c>
      <c r="H3582">
        <v>772</v>
      </c>
      <c r="I3582">
        <v>3400000</v>
      </c>
      <c r="J3582">
        <v>5800000</v>
      </c>
      <c r="K3582">
        <v>8300000</v>
      </c>
      <c r="L3582">
        <v>2100000</v>
      </c>
      <c r="M3582" t="s">
        <v>34</v>
      </c>
      <c r="N3582">
        <f t="shared" si="331"/>
        <v>1</v>
      </c>
      <c r="O3582" t="str">
        <f t="shared" si="330"/>
        <v>Excellent</v>
      </c>
      <c r="P3582" t="str">
        <f t="shared" si="332"/>
        <v>High</v>
      </c>
      <c r="Q3582" t="str">
        <f t="shared" si="333"/>
        <v>Low Loan</v>
      </c>
      <c r="R3582">
        <f t="shared" si="334"/>
        <v>19600000</v>
      </c>
      <c r="S3582" t="str">
        <f t="shared" si="335"/>
        <v>Strong</v>
      </c>
    </row>
    <row r="3583" spans="1:19" x14ac:dyDescent="0.25">
      <c r="A3583">
        <v>3582</v>
      </c>
      <c r="B3583">
        <v>4</v>
      </c>
      <c r="C3583" t="s">
        <v>30</v>
      </c>
      <c r="D3583" t="s">
        <v>32</v>
      </c>
      <c r="E3583">
        <v>2200000</v>
      </c>
      <c r="F3583">
        <v>6100000</v>
      </c>
      <c r="G3583">
        <v>12</v>
      </c>
      <c r="H3583">
        <v>330</v>
      </c>
      <c r="I3583">
        <v>5500000</v>
      </c>
      <c r="J3583">
        <v>2900000</v>
      </c>
      <c r="K3583">
        <v>5000000</v>
      </c>
      <c r="L3583">
        <v>2200000</v>
      </c>
      <c r="M3583" t="s">
        <v>35</v>
      </c>
      <c r="N3583">
        <f t="shared" si="331"/>
        <v>0</v>
      </c>
      <c r="O3583" t="str">
        <f t="shared" si="330"/>
        <v>Low</v>
      </c>
      <c r="P3583" t="str">
        <f t="shared" si="332"/>
        <v>High</v>
      </c>
      <c r="Q3583" t="str">
        <f t="shared" si="333"/>
        <v>Low Loan</v>
      </c>
      <c r="R3583">
        <f t="shared" si="334"/>
        <v>15600000</v>
      </c>
      <c r="S3583" t="str">
        <f t="shared" si="335"/>
        <v>Strong</v>
      </c>
    </row>
    <row r="3584" spans="1:19" x14ac:dyDescent="0.25">
      <c r="A3584">
        <v>3583</v>
      </c>
      <c r="B3584">
        <v>5</v>
      </c>
      <c r="C3584" t="s">
        <v>31</v>
      </c>
      <c r="D3584" t="s">
        <v>33</v>
      </c>
      <c r="E3584">
        <v>7100000</v>
      </c>
      <c r="F3584">
        <v>21500000</v>
      </c>
      <c r="G3584">
        <v>4</v>
      </c>
      <c r="H3584">
        <v>557</v>
      </c>
      <c r="I3584">
        <v>8900000</v>
      </c>
      <c r="J3584">
        <v>8000000</v>
      </c>
      <c r="K3584">
        <v>26400000</v>
      </c>
      <c r="L3584">
        <v>4000000</v>
      </c>
      <c r="M3584" t="s">
        <v>34</v>
      </c>
      <c r="N3584">
        <f t="shared" si="331"/>
        <v>1</v>
      </c>
      <c r="O3584" t="str">
        <f t="shared" si="330"/>
        <v>Low</v>
      </c>
      <c r="P3584" t="str">
        <f t="shared" si="332"/>
        <v>High</v>
      </c>
      <c r="Q3584" t="str">
        <f t="shared" si="333"/>
        <v>High Loan</v>
      </c>
      <c r="R3584">
        <f t="shared" si="334"/>
        <v>47300000</v>
      </c>
      <c r="S3584" t="str">
        <f t="shared" si="335"/>
        <v>Strong</v>
      </c>
    </row>
    <row r="3585" spans="1:19" x14ac:dyDescent="0.25">
      <c r="A3585">
        <v>3584</v>
      </c>
      <c r="B3585">
        <v>4</v>
      </c>
      <c r="C3585" t="s">
        <v>30</v>
      </c>
      <c r="D3585" t="s">
        <v>33</v>
      </c>
      <c r="E3585">
        <v>8200000</v>
      </c>
      <c r="F3585">
        <v>19000000</v>
      </c>
      <c r="G3585">
        <v>6</v>
      </c>
      <c r="H3585">
        <v>334</v>
      </c>
      <c r="I3585">
        <v>24500000</v>
      </c>
      <c r="J3585">
        <v>6800000</v>
      </c>
      <c r="K3585">
        <v>28600000</v>
      </c>
      <c r="L3585">
        <v>10200000</v>
      </c>
      <c r="M3585" t="s">
        <v>35</v>
      </c>
      <c r="N3585">
        <f t="shared" si="331"/>
        <v>0</v>
      </c>
      <c r="O3585" t="str">
        <f t="shared" si="330"/>
        <v>Low</v>
      </c>
      <c r="P3585" t="str">
        <f t="shared" si="332"/>
        <v>High</v>
      </c>
      <c r="Q3585" t="str">
        <f t="shared" si="333"/>
        <v>Low Loan</v>
      </c>
      <c r="R3585">
        <f t="shared" si="334"/>
        <v>70100000</v>
      </c>
      <c r="S3585" t="str">
        <f t="shared" si="335"/>
        <v>Strong</v>
      </c>
    </row>
    <row r="3586" spans="1:19" x14ac:dyDescent="0.25">
      <c r="A3586">
        <v>3585</v>
      </c>
      <c r="B3586">
        <v>3</v>
      </c>
      <c r="C3586" t="s">
        <v>30</v>
      </c>
      <c r="D3586" t="s">
        <v>33</v>
      </c>
      <c r="E3586">
        <v>9800000</v>
      </c>
      <c r="F3586">
        <v>28400000</v>
      </c>
      <c r="G3586">
        <v>12</v>
      </c>
      <c r="H3586">
        <v>487</v>
      </c>
      <c r="I3586">
        <v>8900000</v>
      </c>
      <c r="J3586">
        <v>15400000</v>
      </c>
      <c r="K3586">
        <v>30800000</v>
      </c>
      <c r="L3586">
        <v>11100000</v>
      </c>
      <c r="M3586" t="s">
        <v>35</v>
      </c>
      <c r="N3586">
        <f t="shared" si="331"/>
        <v>0</v>
      </c>
      <c r="O3586" t="str">
        <f t="shared" ref="O3586:O3649" si="336">IF(H3586&lt;650,"Low",
 IF(H3586&lt;700,"Medium",
 IF(H3586&lt;750,"Good","Excellent")))</f>
        <v>Low</v>
      </c>
      <c r="P3586" t="str">
        <f t="shared" si="332"/>
        <v>High</v>
      </c>
      <c r="Q3586" t="str">
        <f t="shared" si="333"/>
        <v>High Loan</v>
      </c>
      <c r="R3586">
        <f t="shared" si="334"/>
        <v>66200000</v>
      </c>
      <c r="S3586" t="str">
        <f t="shared" si="335"/>
        <v>Strong</v>
      </c>
    </row>
    <row r="3587" spans="1:19" x14ac:dyDescent="0.25">
      <c r="A3587">
        <v>3586</v>
      </c>
      <c r="B3587">
        <v>2</v>
      </c>
      <c r="C3587" t="s">
        <v>30</v>
      </c>
      <c r="D3587" t="s">
        <v>33</v>
      </c>
      <c r="E3587">
        <v>3900000</v>
      </c>
      <c r="F3587">
        <v>9700000</v>
      </c>
      <c r="G3587">
        <v>8</v>
      </c>
      <c r="H3587">
        <v>539</v>
      </c>
      <c r="I3587">
        <v>4400000</v>
      </c>
      <c r="J3587">
        <v>7600000</v>
      </c>
      <c r="K3587">
        <v>7900000</v>
      </c>
      <c r="L3587">
        <v>5100000</v>
      </c>
      <c r="M3587" t="s">
        <v>35</v>
      </c>
      <c r="N3587">
        <f t="shared" ref="N3587:N3650" si="337">IF(TRIM(CLEAN(M3587))="Approved",1,0)</f>
        <v>0</v>
      </c>
      <c r="O3587" t="str">
        <f t="shared" si="336"/>
        <v>Low</v>
      </c>
      <c r="P3587" t="str">
        <f t="shared" ref="P3587:P3650" si="338">IF(E3587&lt;300000,"Low",
 IF(E3587&lt;700000,"Middle","High"))</f>
        <v>High</v>
      </c>
      <c r="Q3587" t="str">
        <f t="shared" ref="Q3587:Q3650" si="339">IF(F3587&lt;20000000,"Low Loan","High Loan")</f>
        <v>Low Loan</v>
      </c>
      <c r="R3587">
        <f t="shared" ref="R3587:R3650" si="340">I3587+J3587+K3587+L3587</f>
        <v>25000000</v>
      </c>
      <c r="S3587" t="str">
        <f t="shared" ref="S3587:S3650" si="341">IF(R3587&lt;5000000,"Weak",
 IF(R3587&lt;10000000,"Moderate","Strong"))</f>
        <v>Strong</v>
      </c>
    </row>
    <row r="3588" spans="1:19" x14ac:dyDescent="0.25">
      <c r="A3588">
        <v>3587</v>
      </c>
      <c r="B3588">
        <v>2</v>
      </c>
      <c r="C3588" t="s">
        <v>30</v>
      </c>
      <c r="D3588" t="s">
        <v>33</v>
      </c>
      <c r="E3588">
        <v>2200000</v>
      </c>
      <c r="F3588">
        <v>8100000</v>
      </c>
      <c r="G3588">
        <v>8</v>
      </c>
      <c r="H3588">
        <v>710</v>
      </c>
      <c r="I3588">
        <v>500000</v>
      </c>
      <c r="J3588">
        <v>2900000</v>
      </c>
      <c r="K3588">
        <v>7300000</v>
      </c>
      <c r="L3588">
        <v>1000000</v>
      </c>
      <c r="M3588" t="s">
        <v>34</v>
      </c>
      <c r="N3588">
        <f t="shared" si="337"/>
        <v>1</v>
      </c>
      <c r="O3588" t="str">
        <f t="shared" si="336"/>
        <v>Good</v>
      </c>
      <c r="P3588" t="str">
        <f t="shared" si="338"/>
        <v>High</v>
      </c>
      <c r="Q3588" t="str">
        <f t="shared" si="339"/>
        <v>Low Loan</v>
      </c>
      <c r="R3588">
        <f t="shared" si="340"/>
        <v>11700000</v>
      </c>
      <c r="S3588" t="str">
        <f t="shared" si="341"/>
        <v>Strong</v>
      </c>
    </row>
    <row r="3589" spans="1:19" x14ac:dyDescent="0.25">
      <c r="A3589">
        <v>3588</v>
      </c>
      <c r="B3589">
        <v>5</v>
      </c>
      <c r="C3589" t="s">
        <v>31</v>
      </c>
      <c r="D3589" t="s">
        <v>33</v>
      </c>
      <c r="E3589">
        <v>600000</v>
      </c>
      <c r="F3589">
        <v>1700000</v>
      </c>
      <c r="G3589">
        <v>20</v>
      </c>
      <c r="H3589">
        <v>879</v>
      </c>
      <c r="I3589">
        <v>1100000</v>
      </c>
      <c r="J3589">
        <v>100000</v>
      </c>
      <c r="K3589">
        <v>2300000</v>
      </c>
      <c r="L3589">
        <v>700000</v>
      </c>
      <c r="M3589" t="s">
        <v>34</v>
      </c>
      <c r="N3589">
        <f t="shared" si="337"/>
        <v>1</v>
      </c>
      <c r="O3589" t="str">
        <f t="shared" si="336"/>
        <v>Excellent</v>
      </c>
      <c r="P3589" t="str">
        <f t="shared" si="338"/>
        <v>Middle</v>
      </c>
      <c r="Q3589" t="str">
        <f t="shared" si="339"/>
        <v>Low Loan</v>
      </c>
      <c r="R3589">
        <f t="shared" si="340"/>
        <v>4200000</v>
      </c>
      <c r="S3589" t="str">
        <f t="shared" si="341"/>
        <v>Weak</v>
      </c>
    </row>
    <row r="3590" spans="1:19" x14ac:dyDescent="0.25">
      <c r="A3590">
        <v>3589</v>
      </c>
      <c r="B3590">
        <v>4</v>
      </c>
      <c r="C3590" t="s">
        <v>31</v>
      </c>
      <c r="D3590" t="s">
        <v>33</v>
      </c>
      <c r="E3590">
        <v>6900000</v>
      </c>
      <c r="F3590">
        <v>22000000</v>
      </c>
      <c r="G3590">
        <v>10</v>
      </c>
      <c r="H3590">
        <v>512</v>
      </c>
      <c r="I3590">
        <v>6100000</v>
      </c>
      <c r="J3590">
        <v>9100000</v>
      </c>
      <c r="K3590">
        <v>20600000</v>
      </c>
      <c r="L3590">
        <v>3900000</v>
      </c>
      <c r="M3590" t="s">
        <v>35</v>
      </c>
      <c r="N3590">
        <f t="shared" si="337"/>
        <v>0</v>
      </c>
      <c r="O3590" t="str">
        <f t="shared" si="336"/>
        <v>Low</v>
      </c>
      <c r="P3590" t="str">
        <f t="shared" si="338"/>
        <v>High</v>
      </c>
      <c r="Q3590" t="str">
        <f t="shared" si="339"/>
        <v>High Loan</v>
      </c>
      <c r="R3590">
        <f t="shared" si="340"/>
        <v>39700000</v>
      </c>
      <c r="S3590" t="str">
        <f t="shared" si="341"/>
        <v>Strong</v>
      </c>
    </row>
    <row r="3591" spans="1:19" x14ac:dyDescent="0.25">
      <c r="A3591">
        <v>3590</v>
      </c>
      <c r="B3591">
        <v>2</v>
      </c>
      <c r="C3591" t="s">
        <v>30</v>
      </c>
      <c r="D3591" t="s">
        <v>33</v>
      </c>
      <c r="E3591">
        <v>7400000</v>
      </c>
      <c r="F3591">
        <v>27300000</v>
      </c>
      <c r="G3591">
        <v>18</v>
      </c>
      <c r="H3591">
        <v>561</v>
      </c>
      <c r="I3591">
        <v>12600000</v>
      </c>
      <c r="J3591">
        <v>400000</v>
      </c>
      <c r="K3591">
        <v>27100000</v>
      </c>
      <c r="L3591">
        <v>9600000</v>
      </c>
      <c r="M3591" t="s">
        <v>34</v>
      </c>
      <c r="N3591">
        <f t="shared" si="337"/>
        <v>1</v>
      </c>
      <c r="O3591" t="str">
        <f t="shared" si="336"/>
        <v>Low</v>
      </c>
      <c r="P3591" t="str">
        <f t="shared" si="338"/>
        <v>High</v>
      </c>
      <c r="Q3591" t="str">
        <f t="shared" si="339"/>
        <v>High Loan</v>
      </c>
      <c r="R3591">
        <f t="shared" si="340"/>
        <v>49700000</v>
      </c>
      <c r="S3591" t="str">
        <f t="shared" si="341"/>
        <v>Strong</v>
      </c>
    </row>
    <row r="3592" spans="1:19" x14ac:dyDescent="0.25">
      <c r="A3592">
        <v>3591</v>
      </c>
      <c r="B3592">
        <v>3</v>
      </c>
      <c r="C3592" t="s">
        <v>31</v>
      </c>
      <c r="D3592" t="s">
        <v>33</v>
      </c>
      <c r="E3592">
        <v>4000000</v>
      </c>
      <c r="F3592">
        <v>11600000</v>
      </c>
      <c r="G3592">
        <v>6</v>
      </c>
      <c r="H3592">
        <v>539</v>
      </c>
      <c r="I3592">
        <v>5900000</v>
      </c>
      <c r="J3592">
        <v>2600000</v>
      </c>
      <c r="K3592">
        <v>12100000</v>
      </c>
      <c r="L3592">
        <v>4700000</v>
      </c>
      <c r="M3592" t="s">
        <v>35</v>
      </c>
      <c r="N3592">
        <f t="shared" si="337"/>
        <v>0</v>
      </c>
      <c r="O3592" t="str">
        <f t="shared" si="336"/>
        <v>Low</v>
      </c>
      <c r="P3592" t="str">
        <f t="shared" si="338"/>
        <v>High</v>
      </c>
      <c r="Q3592" t="str">
        <f t="shared" si="339"/>
        <v>Low Loan</v>
      </c>
      <c r="R3592">
        <f t="shared" si="340"/>
        <v>25300000</v>
      </c>
      <c r="S3592" t="str">
        <f t="shared" si="341"/>
        <v>Strong</v>
      </c>
    </row>
    <row r="3593" spans="1:19" x14ac:dyDescent="0.25">
      <c r="A3593">
        <v>3592</v>
      </c>
      <c r="B3593">
        <v>3</v>
      </c>
      <c r="C3593" t="s">
        <v>31</v>
      </c>
      <c r="D3593" t="s">
        <v>33</v>
      </c>
      <c r="E3593">
        <v>700000</v>
      </c>
      <c r="F3593">
        <v>2000000</v>
      </c>
      <c r="G3593">
        <v>18</v>
      </c>
      <c r="H3593">
        <v>544</v>
      </c>
      <c r="I3593">
        <v>800000</v>
      </c>
      <c r="J3593">
        <v>1300000</v>
      </c>
      <c r="K3593">
        <v>1500000</v>
      </c>
      <c r="L3593">
        <v>400000</v>
      </c>
      <c r="M3593" t="s">
        <v>35</v>
      </c>
      <c r="N3593">
        <f t="shared" si="337"/>
        <v>0</v>
      </c>
      <c r="O3593" t="str">
        <f t="shared" si="336"/>
        <v>Low</v>
      </c>
      <c r="P3593" t="str">
        <f t="shared" si="338"/>
        <v>High</v>
      </c>
      <c r="Q3593" t="str">
        <f t="shared" si="339"/>
        <v>Low Loan</v>
      </c>
      <c r="R3593">
        <f t="shared" si="340"/>
        <v>4000000</v>
      </c>
      <c r="S3593" t="str">
        <f t="shared" si="341"/>
        <v>Weak</v>
      </c>
    </row>
    <row r="3594" spans="1:19" x14ac:dyDescent="0.25">
      <c r="A3594">
        <v>3593</v>
      </c>
      <c r="B3594">
        <v>2</v>
      </c>
      <c r="C3594" t="s">
        <v>31</v>
      </c>
      <c r="D3594" t="s">
        <v>33</v>
      </c>
      <c r="E3594">
        <v>1900000</v>
      </c>
      <c r="F3594">
        <v>4600000</v>
      </c>
      <c r="G3594">
        <v>16</v>
      </c>
      <c r="H3594">
        <v>631</v>
      </c>
      <c r="I3594">
        <v>3200000</v>
      </c>
      <c r="J3594">
        <v>2700000</v>
      </c>
      <c r="K3594">
        <v>4500000</v>
      </c>
      <c r="L3594">
        <v>2700000</v>
      </c>
      <c r="M3594" t="s">
        <v>34</v>
      </c>
      <c r="N3594">
        <f t="shared" si="337"/>
        <v>1</v>
      </c>
      <c r="O3594" t="str">
        <f t="shared" si="336"/>
        <v>Low</v>
      </c>
      <c r="P3594" t="str">
        <f t="shared" si="338"/>
        <v>High</v>
      </c>
      <c r="Q3594" t="str">
        <f t="shared" si="339"/>
        <v>Low Loan</v>
      </c>
      <c r="R3594">
        <f t="shared" si="340"/>
        <v>13100000</v>
      </c>
      <c r="S3594" t="str">
        <f t="shared" si="341"/>
        <v>Strong</v>
      </c>
    </row>
    <row r="3595" spans="1:19" x14ac:dyDescent="0.25">
      <c r="A3595">
        <v>3594</v>
      </c>
      <c r="B3595">
        <v>2</v>
      </c>
      <c r="C3595" t="s">
        <v>30</v>
      </c>
      <c r="D3595" t="s">
        <v>32</v>
      </c>
      <c r="E3595">
        <v>2200000</v>
      </c>
      <c r="F3595">
        <v>6800000</v>
      </c>
      <c r="G3595">
        <v>20</v>
      </c>
      <c r="H3595">
        <v>546</v>
      </c>
      <c r="I3595">
        <v>4600000</v>
      </c>
      <c r="J3595">
        <v>200000</v>
      </c>
      <c r="K3595">
        <v>4500000</v>
      </c>
      <c r="L3595">
        <v>2200000</v>
      </c>
      <c r="M3595" t="s">
        <v>35</v>
      </c>
      <c r="N3595">
        <f t="shared" si="337"/>
        <v>0</v>
      </c>
      <c r="O3595" t="str">
        <f t="shared" si="336"/>
        <v>Low</v>
      </c>
      <c r="P3595" t="str">
        <f t="shared" si="338"/>
        <v>High</v>
      </c>
      <c r="Q3595" t="str">
        <f t="shared" si="339"/>
        <v>Low Loan</v>
      </c>
      <c r="R3595">
        <f t="shared" si="340"/>
        <v>11500000</v>
      </c>
      <c r="S3595" t="str">
        <f t="shared" si="341"/>
        <v>Strong</v>
      </c>
    </row>
    <row r="3596" spans="1:19" x14ac:dyDescent="0.25">
      <c r="A3596">
        <v>3595</v>
      </c>
      <c r="B3596">
        <v>1</v>
      </c>
      <c r="C3596" t="s">
        <v>30</v>
      </c>
      <c r="D3596" t="s">
        <v>33</v>
      </c>
      <c r="E3596">
        <v>2000000</v>
      </c>
      <c r="F3596">
        <v>5600000</v>
      </c>
      <c r="G3596">
        <v>14</v>
      </c>
      <c r="H3596">
        <v>569</v>
      </c>
      <c r="I3596">
        <v>5000000</v>
      </c>
      <c r="J3596">
        <v>1100000</v>
      </c>
      <c r="K3596">
        <v>7900000</v>
      </c>
      <c r="L3596">
        <v>1600000</v>
      </c>
      <c r="M3596" t="s">
        <v>34</v>
      </c>
      <c r="N3596">
        <f t="shared" si="337"/>
        <v>1</v>
      </c>
      <c r="O3596" t="str">
        <f t="shared" si="336"/>
        <v>Low</v>
      </c>
      <c r="P3596" t="str">
        <f t="shared" si="338"/>
        <v>High</v>
      </c>
      <c r="Q3596" t="str">
        <f t="shared" si="339"/>
        <v>Low Loan</v>
      </c>
      <c r="R3596">
        <f t="shared" si="340"/>
        <v>15600000</v>
      </c>
      <c r="S3596" t="str">
        <f t="shared" si="341"/>
        <v>Strong</v>
      </c>
    </row>
    <row r="3597" spans="1:19" x14ac:dyDescent="0.25">
      <c r="A3597">
        <v>3596</v>
      </c>
      <c r="B3597">
        <v>4</v>
      </c>
      <c r="C3597" t="s">
        <v>31</v>
      </c>
      <c r="D3597" t="s">
        <v>32</v>
      </c>
      <c r="E3597">
        <v>7400000</v>
      </c>
      <c r="F3597">
        <v>17900000</v>
      </c>
      <c r="G3597">
        <v>6</v>
      </c>
      <c r="H3597">
        <v>384</v>
      </c>
      <c r="I3597">
        <v>13400000</v>
      </c>
      <c r="J3597">
        <v>12300000</v>
      </c>
      <c r="K3597">
        <v>22400000</v>
      </c>
      <c r="L3597">
        <v>4700000</v>
      </c>
      <c r="M3597" t="s">
        <v>35</v>
      </c>
      <c r="N3597">
        <f t="shared" si="337"/>
        <v>0</v>
      </c>
      <c r="O3597" t="str">
        <f t="shared" si="336"/>
        <v>Low</v>
      </c>
      <c r="P3597" t="str">
        <f t="shared" si="338"/>
        <v>High</v>
      </c>
      <c r="Q3597" t="str">
        <f t="shared" si="339"/>
        <v>Low Loan</v>
      </c>
      <c r="R3597">
        <f t="shared" si="340"/>
        <v>52800000</v>
      </c>
      <c r="S3597" t="str">
        <f t="shared" si="341"/>
        <v>Strong</v>
      </c>
    </row>
    <row r="3598" spans="1:19" x14ac:dyDescent="0.25">
      <c r="A3598">
        <v>3597</v>
      </c>
      <c r="B3598">
        <v>2</v>
      </c>
      <c r="C3598" t="s">
        <v>31</v>
      </c>
      <c r="D3598" t="s">
        <v>33</v>
      </c>
      <c r="E3598">
        <v>2300000</v>
      </c>
      <c r="F3598">
        <v>9000000</v>
      </c>
      <c r="G3598">
        <v>6</v>
      </c>
      <c r="H3598">
        <v>583</v>
      </c>
      <c r="I3598">
        <v>3600000</v>
      </c>
      <c r="J3598">
        <v>1300000</v>
      </c>
      <c r="K3598">
        <v>6900000</v>
      </c>
      <c r="L3598">
        <v>3400000</v>
      </c>
      <c r="M3598" t="s">
        <v>34</v>
      </c>
      <c r="N3598">
        <f t="shared" si="337"/>
        <v>1</v>
      </c>
      <c r="O3598" t="str">
        <f t="shared" si="336"/>
        <v>Low</v>
      </c>
      <c r="P3598" t="str">
        <f t="shared" si="338"/>
        <v>High</v>
      </c>
      <c r="Q3598" t="str">
        <f t="shared" si="339"/>
        <v>Low Loan</v>
      </c>
      <c r="R3598">
        <f t="shared" si="340"/>
        <v>15200000</v>
      </c>
      <c r="S3598" t="str">
        <f t="shared" si="341"/>
        <v>Strong</v>
      </c>
    </row>
    <row r="3599" spans="1:19" x14ac:dyDescent="0.25">
      <c r="A3599">
        <v>3598</v>
      </c>
      <c r="B3599">
        <v>5</v>
      </c>
      <c r="C3599" t="s">
        <v>31</v>
      </c>
      <c r="D3599" t="s">
        <v>33</v>
      </c>
      <c r="E3599">
        <v>4000000</v>
      </c>
      <c r="F3599">
        <v>15500000</v>
      </c>
      <c r="G3599">
        <v>12</v>
      </c>
      <c r="H3599">
        <v>517</v>
      </c>
      <c r="I3599">
        <v>0</v>
      </c>
      <c r="J3599">
        <v>600000</v>
      </c>
      <c r="K3599">
        <v>12100000</v>
      </c>
      <c r="L3599">
        <v>3500000</v>
      </c>
      <c r="M3599" t="s">
        <v>35</v>
      </c>
      <c r="N3599">
        <f t="shared" si="337"/>
        <v>0</v>
      </c>
      <c r="O3599" t="str">
        <f t="shared" si="336"/>
        <v>Low</v>
      </c>
      <c r="P3599" t="str">
        <f t="shared" si="338"/>
        <v>High</v>
      </c>
      <c r="Q3599" t="str">
        <f t="shared" si="339"/>
        <v>Low Loan</v>
      </c>
      <c r="R3599">
        <f t="shared" si="340"/>
        <v>16200000</v>
      </c>
      <c r="S3599" t="str">
        <f t="shared" si="341"/>
        <v>Strong</v>
      </c>
    </row>
    <row r="3600" spans="1:19" x14ac:dyDescent="0.25">
      <c r="A3600">
        <v>3599</v>
      </c>
      <c r="B3600">
        <v>3</v>
      </c>
      <c r="C3600" t="s">
        <v>30</v>
      </c>
      <c r="D3600" t="s">
        <v>33</v>
      </c>
      <c r="E3600">
        <v>1500000</v>
      </c>
      <c r="F3600">
        <v>5800000</v>
      </c>
      <c r="G3600">
        <v>18</v>
      </c>
      <c r="H3600">
        <v>420</v>
      </c>
      <c r="I3600">
        <v>800000</v>
      </c>
      <c r="J3600">
        <v>1900000</v>
      </c>
      <c r="K3600">
        <v>4100000</v>
      </c>
      <c r="L3600">
        <v>1400000</v>
      </c>
      <c r="M3600" t="s">
        <v>35</v>
      </c>
      <c r="N3600">
        <f t="shared" si="337"/>
        <v>0</v>
      </c>
      <c r="O3600" t="str">
        <f t="shared" si="336"/>
        <v>Low</v>
      </c>
      <c r="P3600" t="str">
        <f t="shared" si="338"/>
        <v>High</v>
      </c>
      <c r="Q3600" t="str">
        <f t="shared" si="339"/>
        <v>Low Loan</v>
      </c>
      <c r="R3600">
        <f t="shared" si="340"/>
        <v>8200000</v>
      </c>
      <c r="S3600" t="str">
        <f t="shared" si="341"/>
        <v>Moderate</v>
      </c>
    </row>
    <row r="3601" spans="1:19" x14ac:dyDescent="0.25">
      <c r="A3601">
        <v>3600</v>
      </c>
      <c r="B3601">
        <v>2</v>
      </c>
      <c r="C3601" t="s">
        <v>31</v>
      </c>
      <c r="D3601" t="s">
        <v>33</v>
      </c>
      <c r="E3601">
        <v>5200000</v>
      </c>
      <c r="F3601">
        <v>12900000</v>
      </c>
      <c r="G3601">
        <v>18</v>
      </c>
      <c r="H3601">
        <v>644</v>
      </c>
      <c r="I3601">
        <v>400000</v>
      </c>
      <c r="J3601">
        <v>5000000</v>
      </c>
      <c r="K3601">
        <v>12000000</v>
      </c>
      <c r="L3601">
        <v>7500000</v>
      </c>
      <c r="M3601" t="s">
        <v>34</v>
      </c>
      <c r="N3601">
        <f t="shared" si="337"/>
        <v>1</v>
      </c>
      <c r="O3601" t="str">
        <f t="shared" si="336"/>
        <v>Low</v>
      </c>
      <c r="P3601" t="str">
        <f t="shared" si="338"/>
        <v>High</v>
      </c>
      <c r="Q3601" t="str">
        <f t="shared" si="339"/>
        <v>Low Loan</v>
      </c>
      <c r="R3601">
        <f t="shared" si="340"/>
        <v>24900000</v>
      </c>
      <c r="S3601" t="str">
        <f t="shared" si="341"/>
        <v>Strong</v>
      </c>
    </row>
    <row r="3602" spans="1:19" x14ac:dyDescent="0.25">
      <c r="A3602">
        <v>3601</v>
      </c>
      <c r="B3602">
        <v>2</v>
      </c>
      <c r="C3602" t="s">
        <v>30</v>
      </c>
      <c r="D3602" t="s">
        <v>32</v>
      </c>
      <c r="E3602">
        <v>5400000</v>
      </c>
      <c r="F3602">
        <v>14500000</v>
      </c>
      <c r="G3602">
        <v>8</v>
      </c>
      <c r="H3602">
        <v>349</v>
      </c>
      <c r="I3602">
        <v>10800000</v>
      </c>
      <c r="J3602">
        <v>4800000</v>
      </c>
      <c r="K3602">
        <v>21100000</v>
      </c>
      <c r="L3602">
        <v>6600000</v>
      </c>
      <c r="M3602" t="s">
        <v>35</v>
      </c>
      <c r="N3602">
        <f t="shared" si="337"/>
        <v>0</v>
      </c>
      <c r="O3602" t="str">
        <f t="shared" si="336"/>
        <v>Low</v>
      </c>
      <c r="P3602" t="str">
        <f t="shared" si="338"/>
        <v>High</v>
      </c>
      <c r="Q3602" t="str">
        <f t="shared" si="339"/>
        <v>Low Loan</v>
      </c>
      <c r="R3602">
        <f t="shared" si="340"/>
        <v>43300000</v>
      </c>
      <c r="S3602" t="str">
        <f t="shared" si="341"/>
        <v>Strong</v>
      </c>
    </row>
    <row r="3603" spans="1:19" x14ac:dyDescent="0.25">
      <c r="A3603">
        <v>3602</v>
      </c>
      <c r="B3603">
        <v>3</v>
      </c>
      <c r="C3603" t="s">
        <v>30</v>
      </c>
      <c r="D3603" t="s">
        <v>32</v>
      </c>
      <c r="E3603">
        <v>7700000</v>
      </c>
      <c r="F3603">
        <v>25300000</v>
      </c>
      <c r="G3603">
        <v>18</v>
      </c>
      <c r="H3603">
        <v>662</v>
      </c>
      <c r="I3603">
        <v>3400000</v>
      </c>
      <c r="J3603">
        <v>11400000</v>
      </c>
      <c r="K3603">
        <v>19100000</v>
      </c>
      <c r="L3603">
        <v>9900000</v>
      </c>
      <c r="M3603" t="s">
        <v>34</v>
      </c>
      <c r="N3603">
        <f t="shared" si="337"/>
        <v>1</v>
      </c>
      <c r="O3603" t="str">
        <f t="shared" si="336"/>
        <v>Medium</v>
      </c>
      <c r="P3603" t="str">
        <f t="shared" si="338"/>
        <v>High</v>
      </c>
      <c r="Q3603" t="str">
        <f t="shared" si="339"/>
        <v>High Loan</v>
      </c>
      <c r="R3603">
        <f t="shared" si="340"/>
        <v>43800000</v>
      </c>
      <c r="S3603" t="str">
        <f t="shared" si="341"/>
        <v>Strong</v>
      </c>
    </row>
    <row r="3604" spans="1:19" x14ac:dyDescent="0.25">
      <c r="A3604">
        <v>3603</v>
      </c>
      <c r="B3604">
        <v>0</v>
      </c>
      <c r="C3604" t="s">
        <v>31</v>
      </c>
      <c r="D3604" t="s">
        <v>33</v>
      </c>
      <c r="E3604">
        <v>1900000</v>
      </c>
      <c r="F3604">
        <v>6400000</v>
      </c>
      <c r="G3604">
        <v>20</v>
      </c>
      <c r="H3604">
        <v>704</v>
      </c>
      <c r="I3604">
        <v>900000</v>
      </c>
      <c r="J3604">
        <v>3400000</v>
      </c>
      <c r="K3604">
        <v>5300000</v>
      </c>
      <c r="L3604">
        <v>1900000</v>
      </c>
      <c r="M3604" t="s">
        <v>34</v>
      </c>
      <c r="N3604">
        <f t="shared" si="337"/>
        <v>1</v>
      </c>
      <c r="O3604" t="str">
        <f t="shared" si="336"/>
        <v>Good</v>
      </c>
      <c r="P3604" t="str">
        <f t="shared" si="338"/>
        <v>High</v>
      </c>
      <c r="Q3604" t="str">
        <f t="shared" si="339"/>
        <v>Low Loan</v>
      </c>
      <c r="R3604">
        <f t="shared" si="340"/>
        <v>11500000</v>
      </c>
      <c r="S3604" t="str">
        <f t="shared" si="341"/>
        <v>Strong</v>
      </c>
    </row>
    <row r="3605" spans="1:19" x14ac:dyDescent="0.25">
      <c r="A3605">
        <v>3604</v>
      </c>
      <c r="B3605">
        <v>4</v>
      </c>
      <c r="C3605" t="s">
        <v>31</v>
      </c>
      <c r="D3605" t="s">
        <v>33</v>
      </c>
      <c r="E3605">
        <v>6400000</v>
      </c>
      <c r="F3605">
        <v>15500000</v>
      </c>
      <c r="G3605">
        <v>2</v>
      </c>
      <c r="H3605">
        <v>324</v>
      </c>
      <c r="I3605">
        <v>18400000</v>
      </c>
      <c r="J3605">
        <v>11100000</v>
      </c>
      <c r="K3605">
        <v>13900000</v>
      </c>
      <c r="L3605">
        <v>4500000</v>
      </c>
      <c r="M3605" t="s">
        <v>35</v>
      </c>
      <c r="N3605">
        <f t="shared" si="337"/>
        <v>0</v>
      </c>
      <c r="O3605" t="str">
        <f t="shared" si="336"/>
        <v>Low</v>
      </c>
      <c r="P3605" t="str">
        <f t="shared" si="338"/>
        <v>High</v>
      </c>
      <c r="Q3605" t="str">
        <f t="shared" si="339"/>
        <v>Low Loan</v>
      </c>
      <c r="R3605">
        <f t="shared" si="340"/>
        <v>47900000</v>
      </c>
      <c r="S3605" t="str">
        <f t="shared" si="341"/>
        <v>Strong</v>
      </c>
    </row>
    <row r="3606" spans="1:19" x14ac:dyDescent="0.25">
      <c r="A3606">
        <v>3605</v>
      </c>
      <c r="B3606">
        <v>5</v>
      </c>
      <c r="C3606" t="s">
        <v>30</v>
      </c>
      <c r="D3606" t="s">
        <v>32</v>
      </c>
      <c r="E3606">
        <v>700000</v>
      </c>
      <c r="F3606">
        <v>1700000</v>
      </c>
      <c r="G3606">
        <v>18</v>
      </c>
      <c r="H3606">
        <v>757</v>
      </c>
      <c r="I3606">
        <v>1900000</v>
      </c>
      <c r="J3606">
        <v>200000</v>
      </c>
      <c r="K3606">
        <v>2100000</v>
      </c>
      <c r="L3606">
        <v>600000</v>
      </c>
      <c r="M3606" t="s">
        <v>34</v>
      </c>
      <c r="N3606">
        <f t="shared" si="337"/>
        <v>1</v>
      </c>
      <c r="O3606" t="str">
        <f t="shared" si="336"/>
        <v>Excellent</v>
      </c>
      <c r="P3606" t="str">
        <f t="shared" si="338"/>
        <v>High</v>
      </c>
      <c r="Q3606" t="str">
        <f t="shared" si="339"/>
        <v>Low Loan</v>
      </c>
      <c r="R3606">
        <f t="shared" si="340"/>
        <v>4800000</v>
      </c>
      <c r="S3606" t="str">
        <f t="shared" si="341"/>
        <v>Weak</v>
      </c>
    </row>
    <row r="3607" spans="1:19" x14ac:dyDescent="0.25">
      <c r="A3607">
        <v>3606</v>
      </c>
      <c r="B3607">
        <v>3</v>
      </c>
      <c r="C3607" t="s">
        <v>30</v>
      </c>
      <c r="D3607" t="s">
        <v>33</v>
      </c>
      <c r="E3607">
        <v>5800000</v>
      </c>
      <c r="F3607">
        <v>23000000</v>
      </c>
      <c r="G3607">
        <v>16</v>
      </c>
      <c r="H3607">
        <v>361</v>
      </c>
      <c r="I3607">
        <v>6000000</v>
      </c>
      <c r="J3607">
        <v>10100000</v>
      </c>
      <c r="K3607">
        <v>23000000</v>
      </c>
      <c r="L3607">
        <v>2800000</v>
      </c>
      <c r="M3607" t="s">
        <v>35</v>
      </c>
      <c r="N3607">
        <f t="shared" si="337"/>
        <v>0</v>
      </c>
      <c r="O3607" t="str">
        <f t="shared" si="336"/>
        <v>Low</v>
      </c>
      <c r="P3607" t="str">
        <f t="shared" si="338"/>
        <v>High</v>
      </c>
      <c r="Q3607" t="str">
        <f t="shared" si="339"/>
        <v>High Loan</v>
      </c>
      <c r="R3607">
        <f t="shared" si="340"/>
        <v>41900000</v>
      </c>
      <c r="S3607" t="str">
        <f t="shared" si="341"/>
        <v>Strong</v>
      </c>
    </row>
    <row r="3608" spans="1:19" x14ac:dyDescent="0.25">
      <c r="A3608">
        <v>3607</v>
      </c>
      <c r="B3608">
        <v>1</v>
      </c>
      <c r="C3608" t="s">
        <v>30</v>
      </c>
      <c r="D3608" t="s">
        <v>32</v>
      </c>
      <c r="E3608">
        <v>1800000</v>
      </c>
      <c r="F3608">
        <v>5400000</v>
      </c>
      <c r="G3608">
        <v>4</v>
      </c>
      <c r="H3608">
        <v>415</v>
      </c>
      <c r="I3608">
        <v>4400000</v>
      </c>
      <c r="J3608">
        <v>2000000</v>
      </c>
      <c r="K3608">
        <v>5600000</v>
      </c>
      <c r="L3608">
        <v>1800000</v>
      </c>
      <c r="M3608" t="s">
        <v>34</v>
      </c>
      <c r="N3608">
        <f t="shared" si="337"/>
        <v>1</v>
      </c>
      <c r="O3608" t="str">
        <f t="shared" si="336"/>
        <v>Low</v>
      </c>
      <c r="P3608" t="str">
        <f t="shared" si="338"/>
        <v>High</v>
      </c>
      <c r="Q3608" t="str">
        <f t="shared" si="339"/>
        <v>Low Loan</v>
      </c>
      <c r="R3608">
        <f t="shared" si="340"/>
        <v>13800000</v>
      </c>
      <c r="S3608" t="str">
        <f t="shared" si="341"/>
        <v>Strong</v>
      </c>
    </row>
    <row r="3609" spans="1:19" x14ac:dyDescent="0.25">
      <c r="A3609">
        <v>3608</v>
      </c>
      <c r="B3609">
        <v>5</v>
      </c>
      <c r="C3609" t="s">
        <v>30</v>
      </c>
      <c r="D3609" t="s">
        <v>33</v>
      </c>
      <c r="E3609">
        <v>4300000</v>
      </c>
      <c r="F3609">
        <v>13800000</v>
      </c>
      <c r="G3609">
        <v>18</v>
      </c>
      <c r="H3609">
        <v>618</v>
      </c>
      <c r="I3609">
        <v>9600000</v>
      </c>
      <c r="J3609">
        <v>800000</v>
      </c>
      <c r="K3609">
        <v>14000000</v>
      </c>
      <c r="L3609">
        <v>2400000</v>
      </c>
      <c r="M3609" t="s">
        <v>34</v>
      </c>
      <c r="N3609">
        <f t="shared" si="337"/>
        <v>1</v>
      </c>
      <c r="O3609" t="str">
        <f t="shared" si="336"/>
        <v>Low</v>
      </c>
      <c r="P3609" t="str">
        <f t="shared" si="338"/>
        <v>High</v>
      </c>
      <c r="Q3609" t="str">
        <f t="shared" si="339"/>
        <v>Low Loan</v>
      </c>
      <c r="R3609">
        <f t="shared" si="340"/>
        <v>26800000</v>
      </c>
      <c r="S3609" t="str">
        <f t="shared" si="341"/>
        <v>Strong</v>
      </c>
    </row>
    <row r="3610" spans="1:19" x14ac:dyDescent="0.25">
      <c r="A3610">
        <v>3609</v>
      </c>
      <c r="B3610">
        <v>4</v>
      </c>
      <c r="C3610" t="s">
        <v>30</v>
      </c>
      <c r="D3610" t="s">
        <v>32</v>
      </c>
      <c r="E3610">
        <v>8000000</v>
      </c>
      <c r="F3610">
        <v>27100000</v>
      </c>
      <c r="G3610">
        <v>8</v>
      </c>
      <c r="H3610">
        <v>524</v>
      </c>
      <c r="I3610">
        <v>16900000</v>
      </c>
      <c r="J3610">
        <v>10900000</v>
      </c>
      <c r="K3610">
        <v>25600000</v>
      </c>
      <c r="L3610">
        <v>8400000</v>
      </c>
      <c r="M3610" t="s">
        <v>35</v>
      </c>
      <c r="N3610">
        <f t="shared" si="337"/>
        <v>0</v>
      </c>
      <c r="O3610" t="str">
        <f t="shared" si="336"/>
        <v>Low</v>
      </c>
      <c r="P3610" t="str">
        <f t="shared" si="338"/>
        <v>High</v>
      </c>
      <c r="Q3610" t="str">
        <f t="shared" si="339"/>
        <v>High Loan</v>
      </c>
      <c r="R3610">
        <f t="shared" si="340"/>
        <v>61800000</v>
      </c>
      <c r="S3610" t="str">
        <f t="shared" si="341"/>
        <v>Strong</v>
      </c>
    </row>
    <row r="3611" spans="1:19" x14ac:dyDescent="0.25">
      <c r="A3611">
        <v>3610</v>
      </c>
      <c r="B3611">
        <v>0</v>
      </c>
      <c r="C3611" t="s">
        <v>31</v>
      </c>
      <c r="D3611" t="s">
        <v>32</v>
      </c>
      <c r="E3611">
        <v>1100000</v>
      </c>
      <c r="F3611">
        <v>4100000</v>
      </c>
      <c r="G3611">
        <v>18</v>
      </c>
      <c r="H3611">
        <v>887</v>
      </c>
      <c r="I3611">
        <v>400000</v>
      </c>
      <c r="J3611">
        <v>1300000</v>
      </c>
      <c r="K3611">
        <v>2600000</v>
      </c>
      <c r="L3611">
        <v>1300000</v>
      </c>
      <c r="M3611" t="s">
        <v>34</v>
      </c>
      <c r="N3611">
        <f t="shared" si="337"/>
        <v>1</v>
      </c>
      <c r="O3611" t="str">
        <f t="shared" si="336"/>
        <v>Excellent</v>
      </c>
      <c r="P3611" t="str">
        <f t="shared" si="338"/>
        <v>High</v>
      </c>
      <c r="Q3611" t="str">
        <f t="shared" si="339"/>
        <v>Low Loan</v>
      </c>
      <c r="R3611">
        <f t="shared" si="340"/>
        <v>5600000</v>
      </c>
      <c r="S3611" t="str">
        <f t="shared" si="341"/>
        <v>Moderate</v>
      </c>
    </row>
    <row r="3612" spans="1:19" x14ac:dyDescent="0.25">
      <c r="A3612">
        <v>3611</v>
      </c>
      <c r="B3612">
        <v>2</v>
      </c>
      <c r="C3612" t="s">
        <v>31</v>
      </c>
      <c r="D3612" t="s">
        <v>33</v>
      </c>
      <c r="E3612">
        <v>8800000</v>
      </c>
      <c r="F3612">
        <v>31100000</v>
      </c>
      <c r="G3612">
        <v>12</v>
      </c>
      <c r="H3612">
        <v>729</v>
      </c>
      <c r="I3612">
        <v>12300000</v>
      </c>
      <c r="J3612">
        <v>2400000</v>
      </c>
      <c r="K3612">
        <v>21900000</v>
      </c>
      <c r="L3612">
        <v>9400000</v>
      </c>
      <c r="M3612" t="s">
        <v>34</v>
      </c>
      <c r="N3612">
        <f t="shared" si="337"/>
        <v>1</v>
      </c>
      <c r="O3612" t="str">
        <f t="shared" si="336"/>
        <v>Good</v>
      </c>
      <c r="P3612" t="str">
        <f t="shared" si="338"/>
        <v>High</v>
      </c>
      <c r="Q3612" t="str">
        <f t="shared" si="339"/>
        <v>High Loan</v>
      </c>
      <c r="R3612">
        <f t="shared" si="340"/>
        <v>46000000</v>
      </c>
      <c r="S3612" t="str">
        <f t="shared" si="341"/>
        <v>Strong</v>
      </c>
    </row>
    <row r="3613" spans="1:19" x14ac:dyDescent="0.25">
      <c r="A3613">
        <v>3612</v>
      </c>
      <c r="B3613">
        <v>4</v>
      </c>
      <c r="C3613" t="s">
        <v>30</v>
      </c>
      <c r="D3613" t="s">
        <v>32</v>
      </c>
      <c r="E3613">
        <v>4800000</v>
      </c>
      <c r="F3613">
        <v>18600000</v>
      </c>
      <c r="G3613">
        <v>14</v>
      </c>
      <c r="H3613">
        <v>774</v>
      </c>
      <c r="I3613">
        <v>10800000</v>
      </c>
      <c r="J3613">
        <v>5800000</v>
      </c>
      <c r="K3613">
        <v>12700000</v>
      </c>
      <c r="L3613">
        <v>6500000</v>
      </c>
      <c r="M3613" t="s">
        <v>34</v>
      </c>
      <c r="N3613">
        <f t="shared" si="337"/>
        <v>1</v>
      </c>
      <c r="O3613" t="str">
        <f t="shared" si="336"/>
        <v>Excellent</v>
      </c>
      <c r="P3613" t="str">
        <f t="shared" si="338"/>
        <v>High</v>
      </c>
      <c r="Q3613" t="str">
        <f t="shared" si="339"/>
        <v>Low Loan</v>
      </c>
      <c r="R3613">
        <f t="shared" si="340"/>
        <v>35800000</v>
      </c>
      <c r="S3613" t="str">
        <f t="shared" si="341"/>
        <v>Strong</v>
      </c>
    </row>
    <row r="3614" spans="1:19" x14ac:dyDescent="0.25">
      <c r="A3614">
        <v>3613</v>
      </c>
      <c r="B3614">
        <v>0</v>
      </c>
      <c r="C3614" t="s">
        <v>31</v>
      </c>
      <c r="D3614" t="s">
        <v>33</v>
      </c>
      <c r="E3614">
        <v>200000</v>
      </c>
      <c r="F3614">
        <v>700000</v>
      </c>
      <c r="G3614">
        <v>20</v>
      </c>
      <c r="H3614">
        <v>724</v>
      </c>
      <c r="I3614">
        <v>600000</v>
      </c>
      <c r="J3614">
        <v>0</v>
      </c>
      <c r="K3614">
        <v>500000</v>
      </c>
      <c r="L3614">
        <v>300000</v>
      </c>
      <c r="M3614" t="s">
        <v>34</v>
      </c>
      <c r="N3614">
        <f t="shared" si="337"/>
        <v>1</v>
      </c>
      <c r="O3614" t="str">
        <f t="shared" si="336"/>
        <v>Good</v>
      </c>
      <c r="P3614" t="str">
        <f t="shared" si="338"/>
        <v>Low</v>
      </c>
      <c r="Q3614" t="str">
        <f t="shared" si="339"/>
        <v>Low Loan</v>
      </c>
      <c r="R3614">
        <f t="shared" si="340"/>
        <v>1400000</v>
      </c>
      <c r="S3614" t="str">
        <f t="shared" si="341"/>
        <v>Weak</v>
      </c>
    </row>
    <row r="3615" spans="1:19" x14ac:dyDescent="0.25">
      <c r="A3615">
        <v>3614</v>
      </c>
      <c r="B3615">
        <v>5</v>
      </c>
      <c r="C3615" t="s">
        <v>30</v>
      </c>
      <c r="D3615" t="s">
        <v>33</v>
      </c>
      <c r="E3615">
        <v>1400000</v>
      </c>
      <c r="F3615">
        <v>2700000</v>
      </c>
      <c r="G3615">
        <v>16</v>
      </c>
      <c r="H3615">
        <v>320</v>
      </c>
      <c r="I3615">
        <v>900000</v>
      </c>
      <c r="J3615">
        <v>2500000</v>
      </c>
      <c r="K3615">
        <v>2700000</v>
      </c>
      <c r="L3615">
        <v>2000000</v>
      </c>
      <c r="M3615" t="s">
        <v>35</v>
      </c>
      <c r="N3615">
        <f t="shared" si="337"/>
        <v>0</v>
      </c>
      <c r="O3615" t="str">
        <f t="shared" si="336"/>
        <v>Low</v>
      </c>
      <c r="P3615" t="str">
        <f t="shared" si="338"/>
        <v>High</v>
      </c>
      <c r="Q3615" t="str">
        <f t="shared" si="339"/>
        <v>Low Loan</v>
      </c>
      <c r="R3615">
        <f t="shared" si="340"/>
        <v>8100000</v>
      </c>
      <c r="S3615" t="str">
        <f t="shared" si="341"/>
        <v>Moderate</v>
      </c>
    </row>
    <row r="3616" spans="1:19" x14ac:dyDescent="0.25">
      <c r="A3616">
        <v>3615</v>
      </c>
      <c r="B3616">
        <v>5</v>
      </c>
      <c r="C3616" t="s">
        <v>30</v>
      </c>
      <c r="D3616" t="s">
        <v>32</v>
      </c>
      <c r="E3616">
        <v>2500000</v>
      </c>
      <c r="F3616">
        <v>6400000</v>
      </c>
      <c r="G3616">
        <v>16</v>
      </c>
      <c r="H3616">
        <v>590</v>
      </c>
      <c r="I3616">
        <v>3200000</v>
      </c>
      <c r="J3616">
        <v>3900000</v>
      </c>
      <c r="K3616">
        <v>5800000</v>
      </c>
      <c r="L3616">
        <v>3500000</v>
      </c>
      <c r="M3616" t="s">
        <v>34</v>
      </c>
      <c r="N3616">
        <f t="shared" si="337"/>
        <v>1</v>
      </c>
      <c r="O3616" t="str">
        <f t="shared" si="336"/>
        <v>Low</v>
      </c>
      <c r="P3616" t="str">
        <f t="shared" si="338"/>
        <v>High</v>
      </c>
      <c r="Q3616" t="str">
        <f t="shared" si="339"/>
        <v>Low Loan</v>
      </c>
      <c r="R3616">
        <f t="shared" si="340"/>
        <v>16400000</v>
      </c>
      <c r="S3616" t="str">
        <f t="shared" si="341"/>
        <v>Strong</v>
      </c>
    </row>
    <row r="3617" spans="1:19" x14ac:dyDescent="0.25">
      <c r="A3617">
        <v>3616</v>
      </c>
      <c r="B3617">
        <v>5</v>
      </c>
      <c r="C3617" t="s">
        <v>30</v>
      </c>
      <c r="D3617" t="s">
        <v>32</v>
      </c>
      <c r="E3617">
        <v>8100000</v>
      </c>
      <c r="F3617">
        <v>25300000</v>
      </c>
      <c r="G3617">
        <v>8</v>
      </c>
      <c r="H3617">
        <v>796</v>
      </c>
      <c r="I3617">
        <v>15900000</v>
      </c>
      <c r="J3617">
        <v>12600000</v>
      </c>
      <c r="K3617">
        <v>21500000</v>
      </c>
      <c r="L3617">
        <v>7800000</v>
      </c>
      <c r="M3617" t="s">
        <v>34</v>
      </c>
      <c r="N3617">
        <f t="shared" si="337"/>
        <v>1</v>
      </c>
      <c r="O3617" t="str">
        <f t="shared" si="336"/>
        <v>Excellent</v>
      </c>
      <c r="P3617" t="str">
        <f t="shared" si="338"/>
        <v>High</v>
      </c>
      <c r="Q3617" t="str">
        <f t="shared" si="339"/>
        <v>High Loan</v>
      </c>
      <c r="R3617">
        <f t="shared" si="340"/>
        <v>57800000</v>
      </c>
      <c r="S3617" t="str">
        <f t="shared" si="341"/>
        <v>Strong</v>
      </c>
    </row>
    <row r="3618" spans="1:19" x14ac:dyDescent="0.25">
      <c r="A3618">
        <v>3617</v>
      </c>
      <c r="B3618">
        <v>0</v>
      </c>
      <c r="C3618" t="s">
        <v>30</v>
      </c>
      <c r="D3618" t="s">
        <v>33</v>
      </c>
      <c r="E3618">
        <v>6100000</v>
      </c>
      <c r="F3618">
        <v>19200000</v>
      </c>
      <c r="G3618">
        <v>6</v>
      </c>
      <c r="H3618">
        <v>890</v>
      </c>
      <c r="I3618">
        <v>13900000</v>
      </c>
      <c r="J3618">
        <v>5900000</v>
      </c>
      <c r="K3618">
        <v>16700000</v>
      </c>
      <c r="L3618">
        <v>7600000</v>
      </c>
      <c r="M3618" t="s">
        <v>34</v>
      </c>
      <c r="N3618">
        <f t="shared" si="337"/>
        <v>1</v>
      </c>
      <c r="O3618" t="str">
        <f t="shared" si="336"/>
        <v>Excellent</v>
      </c>
      <c r="P3618" t="str">
        <f t="shared" si="338"/>
        <v>High</v>
      </c>
      <c r="Q3618" t="str">
        <f t="shared" si="339"/>
        <v>Low Loan</v>
      </c>
      <c r="R3618">
        <f t="shared" si="340"/>
        <v>44100000</v>
      </c>
      <c r="S3618" t="str">
        <f t="shared" si="341"/>
        <v>Strong</v>
      </c>
    </row>
    <row r="3619" spans="1:19" x14ac:dyDescent="0.25">
      <c r="A3619">
        <v>3618</v>
      </c>
      <c r="B3619">
        <v>0</v>
      </c>
      <c r="C3619" t="s">
        <v>31</v>
      </c>
      <c r="D3619" t="s">
        <v>33</v>
      </c>
      <c r="E3619">
        <v>2000000</v>
      </c>
      <c r="F3619">
        <v>4600000</v>
      </c>
      <c r="G3619">
        <v>16</v>
      </c>
      <c r="H3619">
        <v>651</v>
      </c>
      <c r="I3619">
        <v>2100000</v>
      </c>
      <c r="J3619">
        <v>2400000</v>
      </c>
      <c r="K3619">
        <v>7200000</v>
      </c>
      <c r="L3619">
        <v>1600000</v>
      </c>
      <c r="M3619" t="s">
        <v>34</v>
      </c>
      <c r="N3619">
        <f t="shared" si="337"/>
        <v>1</v>
      </c>
      <c r="O3619" t="str">
        <f t="shared" si="336"/>
        <v>Medium</v>
      </c>
      <c r="P3619" t="str">
        <f t="shared" si="338"/>
        <v>High</v>
      </c>
      <c r="Q3619" t="str">
        <f t="shared" si="339"/>
        <v>Low Loan</v>
      </c>
      <c r="R3619">
        <f t="shared" si="340"/>
        <v>13300000</v>
      </c>
      <c r="S3619" t="str">
        <f t="shared" si="341"/>
        <v>Strong</v>
      </c>
    </row>
    <row r="3620" spans="1:19" x14ac:dyDescent="0.25">
      <c r="A3620">
        <v>3619</v>
      </c>
      <c r="B3620">
        <v>4</v>
      </c>
      <c r="C3620" t="s">
        <v>31</v>
      </c>
      <c r="D3620" t="s">
        <v>32</v>
      </c>
      <c r="E3620">
        <v>4800000</v>
      </c>
      <c r="F3620">
        <v>10100000</v>
      </c>
      <c r="G3620">
        <v>12</v>
      </c>
      <c r="H3620">
        <v>634</v>
      </c>
      <c r="I3620">
        <v>9200000</v>
      </c>
      <c r="J3620">
        <v>300000</v>
      </c>
      <c r="K3620">
        <v>15000000</v>
      </c>
      <c r="L3620">
        <v>6900000</v>
      </c>
      <c r="M3620" t="s">
        <v>34</v>
      </c>
      <c r="N3620">
        <f t="shared" si="337"/>
        <v>1</v>
      </c>
      <c r="O3620" t="str">
        <f t="shared" si="336"/>
        <v>Low</v>
      </c>
      <c r="P3620" t="str">
        <f t="shared" si="338"/>
        <v>High</v>
      </c>
      <c r="Q3620" t="str">
        <f t="shared" si="339"/>
        <v>Low Loan</v>
      </c>
      <c r="R3620">
        <f t="shared" si="340"/>
        <v>31400000</v>
      </c>
      <c r="S3620" t="str">
        <f t="shared" si="341"/>
        <v>Strong</v>
      </c>
    </row>
    <row r="3621" spans="1:19" x14ac:dyDescent="0.25">
      <c r="A3621">
        <v>3620</v>
      </c>
      <c r="B3621">
        <v>4</v>
      </c>
      <c r="C3621" t="s">
        <v>30</v>
      </c>
      <c r="D3621" t="s">
        <v>33</v>
      </c>
      <c r="E3621">
        <v>900000</v>
      </c>
      <c r="F3621">
        <v>2800000</v>
      </c>
      <c r="G3621">
        <v>2</v>
      </c>
      <c r="H3621">
        <v>660</v>
      </c>
      <c r="I3621">
        <v>1200000</v>
      </c>
      <c r="J3621">
        <v>1400000</v>
      </c>
      <c r="K3621">
        <v>2400000</v>
      </c>
      <c r="L3621">
        <v>900000</v>
      </c>
      <c r="M3621" t="s">
        <v>34</v>
      </c>
      <c r="N3621">
        <f t="shared" si="337"/>
        <v>1</v>
      </c>
      <c r="O3621" t="str">
        <f t="shared" si="336"/>
        <v>Medium</v>
      </c>
      <c r="P3621" t="str">
        <f t="shared" si="338"/>
        <v>High</v>
      </c>
      <c r="Q3621" t="str">
        <f t="shared" si="339"/>
        <v>Low Loan</v>
      </c>
      <c r="R3621">
        <f t="shared" si="340"/>
        <v>5900000</v>
      </c>
      <c r="S3621" t="str">
        <f t="shared" si="341"/>
        <v>Moderate</v>
      </c>
    </row>
    <row r="3622" spans="1:19" x14ac:dyDescent="0.25">
      <c r="A3622">
        <v>3621</v>
      </c>
      <c r="B3622">
        <v>4</v>
      </c>
      <c r="C3622" t="s">
        <v>31</v>
      </c>
      <c r="D3622" t="s">
        <v>32</v>
      </c>
      <c r="E3622">
        <v>1300000</v>
      </c>
      <c r="F3622">
        <v>3500000</v>
      </c>
      <c r="G3622">
        <v>12</v>
      </c>
      <c r="H3622">
        <v>512</v>
      </c>
      <c r="I3622">
        <v>3300000</v>
      </c>
      <c r="J3622">
        <v>1400000</v>
      </c>
      <c r="K3622">
        <v>3200000</v>
      </c>
      <c r="L3622">
        <v>700000</v>
      </c>
      <c r="M3622" t="s">
        <v>35</v>
      </c>
      <c r="N3622">
        <f t="shared" si="337"/>
        <v>0</v>
      </c>
      <c r="O3622" t="str">
        <f t="shared" si="336"/>
        <v>Low</v>
      </c>
      <c r="P3622" t="str">
        <f t="shared" si="338"/>
        <v>High</v>
      </c>
      <c r="Q3622" t="str">
        <f t="shared" si="339"/>
        <v>Low Loan</v>
      </c>
      <c r="R3622">
        <f t="shared" si="340"/>
        <v>8600000</v>
      </c>
      <c r="S3622" t="str">
        <f t="shared" si="341"/>
        <v>Moderate</v>
      </c>
    </row>
    <row r="3623" spans="1:19" x14ac:dyDescent="0.25">
      <c r="A3623">
        <v>3622</v>
      </c>
      <c r="B3623">
        <v>4</v>
      </c>
      <c r="C3623" t="s">
        <v>31</v>
      </c>
      <c r="D3623" t="s">
        <v>33</v>
      </c>
      <c r="E3623">
        <v>4200000</v>
      </c>
      <c r="F3623">
        <v>9100000</v>
      </c>
      <c r="G3623">
        <v>2</v>
      </c>
      <c r="H3623">
        <v>900</v>
      </c>
      <c r="I3623">
        <v>6700000</v>
      </c>
      <c r="J3623">
        <v>5300000</v>
      </c>
      <c r="K3623">
        <v>10900000</v>
      </c>
      <c r="L3623">
        <v>5900000</v>
      </c>
      <c r="M3623" t="s">
        <v>34</v>
      </c>
      <c r="N3623">
        <f t="shared" si="337"/>
        <v>1</v>
      </c>
      <c r="O3623" t="str">
        <f t="shared" si="336"/>
        <v>Excellent</v>
      </c>
      <c r="P3623" t="str">
        <f t="shared" si="338"/>
        <v>High</v>
      </c>
      <c r="Q3623" t="str">
        <f t="shared" si="339"/>
        <v>Low Loan</v>
      </c>
      <c r="R3623">
        <f t="shared" si="340"/>
        <v>28800000</v>
      </c>
      <c r="S3623" t="str">
        <f t="shared" si="341"/>
        <v>Strong</v>
      </c>
    </row>
    <row r="3624" spans="1:19" x14ac:dyDescent="0.25">
      <c r="A3624">
        <v>3623</v>
      </c>
      <c r="B3624">
        <v>2</v>
      </c>
      <c r="C3624" t="s">
        <v>30</v>
      </c>
      <c r="D3624" t="s">
        <v>33</v>
      </c>
      <c r="E3624">
        <v>3300000</v>
      </c>
      <c r="F3624">
        <v>11100000</v>
      </c>
      <c r="G3624">
        <v>20</v>
      </c>
      <c r="H3624">
        <v>823</v>
      </c>
      <c r="I3624">
        <v>4600000</v>
      </c>
      <c r="J3624">
        <v>1500000</v>
      </c>
      <c r="K3624">
        <v>11700000</v>
      </c>
      <c r="L3624">
        <v>2900000</v>
      </c>
      <c r="M3624" t="s">
        <v>34</v>
      </c>
      <c r="N3624">
        <f t="shared" si="337"/>
        <v>1</v>
      </c>
      <c r="O3624" t="str">
        <f t="shared" si="336"/>
        <v>Excellent</v>
      </c>
      <c r="P3624" t="str">
        <f t="shared" si="338"/>
        <v>High</v>
      </c>
      <c r="Q3624" t="str">
        <f t="shared" si="339"/>
        <v>Low Loan</v>
      </c>
      <c r="R3624">
        <f t="shared" si="340"/>
        <v>20700000</v>
      </c>
      <c r="S3624" t="str">
        <f t="shared" si="341"/>
        <v>Strong</v>
      </c>
    </row>
    <row r="3625" spans="1:19" x14ac:dyDescent="0.25">
      <c r="A3625">
        <v>3624</v>
      </c>
      <c r="B3625">
        <v>2</v>
      </c>
      <c r="C3625" t="s">
        <v>31</v>
      </c>
      <c r="D3625" t="s">
        <v>33</v>
      </c>
      <c r="E3625">
        <v>8700000</v>
      </c>
      <c r="F3625">
        <v>28400000</v>
      </c>
      <c r="G3625">
        <v>12</v>
      </c>
      <c r="H3625">
        <v>880</v>
      </c>
      <c r="I3625">
        <v>8000000</v>
      </c>
      <c r="J3625">
        <v>1800000</v>
      </c>
      <c r="K3625">
        <v>19400000</v>
      </c>
      <c r="L3625">
        <v>4400000</v>
      </c>
      <c r="M3625" t="s">
        <v>34</v>
      </c>
      <c r="N3625">
        <f t="shared" si="337"/>
        <v>1</v>
      </c>
      <c r="O3625" t="str">
        <f t="shared" si="336"/>
        <v>Excellent</v>
      </c>
      <c r="P3625" t="str">
        <f t="shared" si="338"/>
        <v>High</v>
      </c>
      <c r="Q3625" t="str">
        <f t="shared" si="339"/>
        <v>High Loan</v>
      </c>
      <c r="R3625">
        <f t="shared" si="340"/>
        <v>33600000</v>
      </c>
      <c r="S3625" t="str">
        <f t="shared" si="341"/>
        <v>Strong</v>
      </c>
    </row>
    <row r="3626" spans="1:19" x14ac:dyDescent="0.25">
      <c r="A3626">
        <v>3625</v>
      </c>
      <c r="B3626">
        <v>1</v>
      </c>
      <c r="C3626" t="s">
        <v>31</v>
      </c>
      <c r="D3626" t="s">
        <v>33</v>
      </c>
      <c r="E3626">
        <v>800000</v>
      </c>
      <c r="F3626">
        <v>2600000</v>
      </c>
      <c r="G3626">
        <v>2</v>
      </c>
      <c r="H3626">
        <v>439</v>
      </c>
      <c r="I3626">
        <v>600000</v>
      </c>
      <c r="J3626">
        <v>0</v>
      </c>
      <c r="K3626">
        <v>1800000</v>
      </c>
      <c r="L3626">
        <v>400000</v>
      </c>
      <c r="M3626" t="s">
        <v>34</v>
      </c>
      <c r="N3626">
        <f t="shared" si="337"/>
        <v>1</v>
      </c>
      <c r="O3626" t="str">
        <f t="shared" si="336"/>
        <v>Low</v>
      </c>
      <c r="P3626" t="str">
        <f t="shared" si="338"/>
        <v>High</v>
      </c>
      <c r="Q3626" t="str">
        <f t="shared" si="339"/>
        <v>Low Loan</v>
      </c>
      <c r="R3626">
        <f t="shared" si="340"/>
        <v>2800000</v>
      </c>
      <c r="S3626" t="str">
        <f t="shared" si="341"/>
        <v>Weak</v>
      </c>
    </row>
    <row r="3627" spans="1:19" x14ac:dyDescent="0.25">
      <c r="A3627">
        <v>3626</v>
      </c>
      <c r="B3627">
        <v>5</v>
      </c>
      <c r="C3627" t="s">
        <v>30</v>
      </c>
      <c r="D3627" t="s">
        <v>33</v>
      </c>
      <c r="E3627">
        <v>7400000</v>
      </c>
      <c r="F3627">
        <v>17100000</v>
      </c>
      <c r="G3627">
        <v>2</v>
      </c>
      <c r="H3627">
        <v>441</v>
      </c>
      <c r="I3627">
        <v>14700000</v>
      </c>
      <c r="J3627">
        <v>1600000</v>
      </c>
      <c r="K3627">
        <v>20600000</v>
      </c>
      <c r="L3627">
        <v>10800000</v>
      </c>
      <c r="M3627" t="s">
        <v>35</v>
      </c>
      <c r="N3627">
        <f t="shared" si="337"/>
        <v>0</v>
      </c>
      <c r="O3627" t="str">
        <f t="shared" si="336"/>
        <v>Low</v>
      </c>
      <c r="P3627" t="str">
        <f t="shared" si="338"/>
        <v>High</v>
      </c>
      <c r="Q3627" t="str">
        <f t="shared" si="339"/>
        <v>Low Loan</v>
      </c>
      <c r="R3627">
        <f t="shared" si="340"/>
        <v>47700000</v>
      </c>
      <c r="S3627" t="str">
        <f t="shared" si="341"/>
        <v>Strong</v>
      </c>
    </row>
    <row r="3628" spans="1:19" x14ac:dyDescent="0.25">
      <c r="A3628">
        <v>3627</v>
      </c>
      <c r="B3628">
        <v>3</v>
      </c>
      <c r="C3628" t="s">
        <v>31</v>
      </c>
      <c r="D3628" t="s">
        <v>32</v>
      </c>
      <c r="E3628">
        <v>6900000</v>
      </c>
      <c r="F3628">
        <v>18500000</v>
      </c>
      <c r="G3628">
        <v>6</v>
      </c>
      <c r="H3628">
        <v>360</v>
      </c>
      <c r="I3628">
        <v>14000000</v>
      </c>
      <c r="J3628">
        <v>0</v>
      </c>
      <c r="K3628">
        <v>18800000</v>
      </c>
      <c r="L3628">
        <v>9600000</v>
      </c>
      <c r="M3628" t="s">
        <v>35</v>
      </c>
      <c r="N3628">
        <f t="shared" si="337"/>
        <v>0</v>
      </c>
      <c r="O3628" t="str">
        <f t="shared" si="336"/>
        <v>Low</v>
      </c>
      <c r="P3628" t="str">
        <f t="shared" si="338"/>
        <v>High</v>
      </c>
      <c r="Q3628" t="str">
        <f t="shared" si="339"/>
        <v>Low Loan</v>
      </c>
      <c r="R3628">
        <f t="shared" si="340"/>
        <v>42400000</v>
      </c>
      <c r="S3628" t="str">
        <f t="shared" si="341"/>
        <v>Strong</v>
      </c>
    </row>
    <row r="3629" spans="1:19" x14ac:dyDescent="0.25">
      <c r="A3629">
        <v>3628</v>
      </c>
      <c r="B3629">
        <v>1</v>
      </c>
      <c r="C3629" t="s">
        <v>30</v>
      </c>
      <c r="D3629" t="s">
        <v>33</v>
      </c>
      <c r="E3629">
        <v>8800000</v>
      </c>
      <c r="F3629">
        <v>33700000</v>
      </c>
      <c r="G3629">
        <v>14</v>
      </c>
      <c r="H3629">
        <v>561</v>
      </c>
      <c r="I3629">
        <v>10200000</v>
      </c>
      <c r="J3629">
        <v>7100000</v>
      </c>
      <c r="K3629">
        <v>25700000</v>
      </c>
      <c r="L3629">
        <v>11900000</v>
      </c>
      <c r="M3629" t="s">
        <v>34</v>
      </c>
      <c r="N3629">
        <f t="shared" si="337"/>
        <v>1</v>
      </c>
      <c r="O3629" t="str">
        <f t="shared" si="336"/>
        <v>Low</v>
      </c>
      <c r="P3629" t="str">
        <f t="shared" si="338"/>
        <v>High</v>
      </c>
      <c r="Q3629" t="str">
        <f t="shared" si="339"/>
        <v>High Loan</v>
      </c>
      <c r="R3629">
        <f t="shared" si="340"/>
        <v>54900000</v>
      </c>
      <c r="S3629" t="str">
        <f t="shared" si="341"/>
        <v>Strong</v>
      </c>
    </row>
    <row r="3630" spans="1:19" x14ac:dyDescent="0.25">
      <c r="A3630">
        <v>3629</v>
      </c>
      <c r="B3630">
        <v>2</v>
      </c>
      <c r="C3630" t="s">
        <v>30</v>
      </c>
      <c r="D3630" t="s">
        <v>33</v>
      </c>
      <c r="E3630">
        <v>8600000</v>
      </c>
      <c r="F3630">
        <v>32500000</v>
      </c>
      <c r="G3630">
        <v>4</v>
      </c>
      <c r="H3630">
        <v>758</v>
      </c>
      <c r="I3630">
        <v>20900000</v>
      </c>
      <c r="J3630">
        <v>600000</v>
      </c>
      <c r="K3630">
        <v>18000000</v>
      </c>
      <c r="L3630">
        <v>6900000</v>
      </c>
      <c r="M3630" t="s">
        <v>34</v>
      </c>
      <c r="N3630">
        <f t="shared" si="337"/>
        <v>1</v>
      </c>
      <c r="O3630" t="str">
        <f t="shared" si="336"/>
        <v>Excellent</v>
      </c>
      <c r="P3630" t="str">
        <f t="shared" si="338"/>
        <v>High</v>
      </c>
      <c r="Q3630" t="str">
        <f t="shared" si="339"/>
        <v>High Loan</v>
      </c>
      <c r="R3630">
        <f t="shared" si="340"/>
        <v>46400000</v>
      </c>
      <c r="S3630" t="str">
        <f t="shared" si="341"/>
        <v>Strong</v>
      </c>
    </row>
    <row r="3631" spans="1:19" x14ac:dyDescent="0.25">
      <c r="A3631">
        <v>3630</v>
      </c>
      <c r="B3631">
        <v>2</v>
      </c>
      <c r="C3631" t="s">
        <v>30</v>
      </c>
      <c r="D3631" t="s">
        <v>32</v>
      </c>
      <c r="E3631">
        <v>5400000</v>
      </c>
      <c r="F3631">
        <v>20600000</v>
      </c>
      <c r="G3631">
        <v>18</v>
      </c>
      <c r="H3631">
        <v>621</v>
      </c>
      <c r="I3631">
        <v>11200000</v>
      </c>
      <c r="J3631">
        <v>2200000</v>
      </c>
      <c r="K3631">
        <v>11600000</v>
      </c>
      <c r="L3631">
        <v>5500000</v>
      </c>
      <c r="M3631" t="s">
        <v>34</v>
      </c>
      <c r="N3631">
        <f t="shared" si="337"/>
        <v>1</v>
      </c>
      <c r="O3631" t="str">
        <f t="shared" si="336"/>
        <v>Low</v>
      </c>
      <c r="P3631" t="str">
        <f t="shared" si="338"/>
        <v>High</v>
      </c>
      <c r="Q3631" t="str">
        <f t="shared" si="339"/>
        <v>High Loan</v>
      </c>
      <c r="R3631">
        <f t="shared" si="340"/>
        <v>30500000</v>
      </c>
      <c r="S3631" t="str">
        <f t="shared" si="341"/>
        <v>Strong</v>
      </c>
    </row>
    <row r="3632" spans="1:19" x14ac:dyDescent="0.25">
      <c r="A3632">
        <v>3631</v>
      </c>
      <c r="B3632">
        <v>4</v>
      </c>
      <c r="C3632" t="s">
        <v>30</v>
      </c>
      <c r="D3632" t="s">
        <v>33</v>
      </c>
      <c r="E3632">
        <v>2900000</v>
      </c>
      <c r="F3632">
        <v>5900000</v>
      </c>
      <c r="G3632">
        <v>18</v>
      </c>
      <c r="H3632">
        <v>621</v>
      </c>
      <c r="I3632">
        <v>200000</v>
      </c>
      <c r="J3632">
        <v>3100000</v>
      </c>
      <c r="K3632">
        <v>8500000</v>
      </c>
      <c r="L3632">
        <v>3500000</v>
      </c>
      <c r="M3632" t="s">
        <v>34</v>
      </c>
      <c r="N3632">
        <f t="shared" si="337"/>
        <v>1</v>
      </c>
      <c r="O3632" t="str">
        <f t="shared" si="336"/>
        <v>Low</v>
      </c>
      <c r="P3632" t="str">
        <f t="shared" si="338"/>
        <v>High</v>
      </c>
      <c r="Q3632" t="str">
        <f t="shared" si="339"/>
        <v>Low Loan</v>
      </c>
      <c r="R3632">
        <f t="shared" si="340"/>
        <v>15300000</v>
      </c>
      <c r="S3632" t="str">
        <f t="shared" si="341"/>
        <v>Strong</v>
      </c>
    </row>
    <row r="3633" spans="1:19" x14ac:dyDescent="0.25">
      <c r="A3633">
        <v>3632</v>
      </c>
      <c r="B3633">
        <v>3</v>
      </c>
      <c r="C3633" t="s">
        <v>30</v>
      </c>
      <c r="D3633" t="s">
        <v>32</v>
      </c>
      <c r="E3633">
        <v>9800000</v>
      </c>
      <c r="F3633">
        <v>21000000</v>
      </c>
      <c r="G3633">
        <v>12</v>
      </c>
      <c r="H3633">
        <v>342</v>
      </c>
      <c r="I3633">
        <v>25400000</v>
      </c>
      <c r="J3633">
        <v>16600000</v>
      </c>
      <c r="K3633">
        <v>26900000</v>
      </c>
      <c r="L3633">
        <v>7000000</v>
      </c>
      <c r="M3633" t="s">
        <v>35</v>
      </c>
      <c r="N3633">
        <f t="shared" si="337"/>
        <v>0</v>
      </c>
      <c r="O3633" t="str">
        <f t="shared" si="336"/>
        <v>Low</v>
      </c>
      <c r="P3633" t="str">
        <f t="shared" si="338"/>
        <v>High</v>
      </c>
      <c r="Q3633" t="str">
        <f t="shared" si="339"/>
        <v>High Loan</v>
      </c>
      <c r="R3633">
        <f t="shared" si="340"/>
        <v>75900000</v>
      </c>
      <c r="S3633" t="str">
        <f t="shared" si="341"/>
        <v>Strong</v>
      </c>
    </row>
    <row r="3634" spans="1:19" x14ac:dyDescent="0.25">
      <c r="A3634">
        <v>3633</v>
      </c>
      <c r="B3634">
        <v>4</v>
      </c>
      <c r="C3634" t="s">
        <v>30</v>
      </c>
      <c r="D3634" t="s">
        <v>32</v>
      </c>
      <c r="E3634">
        <v>3300000</v>
      </c>
      <c r="F3634">
        <v>10800000</v>
      </c>
      <c r="G3634">
        <v>4</v>
      </c>
      <c r="H3634">
        <v>552</v>
      </c>
      <c r="I3634">
        <v>4200000</v>
      </c>
      <c r="J3634">
        <v>900000</v>
      </c>
      <c r="K3634">
        <v>8600000</v>
      </c>
      <c r="L3634">
        <v>3300000</v>
      </c>
      <c r="M3634" t="s">
        <v>34</v>
      </c>
      <c r="N3634">
        <f t="shared" si="337"/>
        <v>1</v>
      </c>
      <c r="O3634" t="str">
        <f t="shared" si="336"/>
        <v>Low</v>
      </c>
      <c r="P3634" t="str">
        <f t="shared" si="338"/>
        <v>High</v>
      </c>
      <c r="Q3634" t="str">
        <f t="shared" si="339"/>
        <v>Low Loan</v>
      </c>
      <c r="R3634">
        <f t="shared" si="340"/>
        <v>17000000</v>
      </c>
      <c r="S3634" t="str">
        <f t="shared" si="341"/>
        <v>Strong</v>
      </c>
    </row>
    <row r="3635" spans="1:19" x14ac:dyDescent="0.25">
      <c r="A3635">
        <v>3634</v>
      </c>
      <c r="B3635">
        <v>0</v>
      </c>
      <c r="C3635" t="s">
        <v>31</v>
      </c>
      <c r="D3635" t="s">
        <v>32</v>
      </c>
      <c r="E3635">
        <v>300000</v>
      </c>
      <c r="F3635">
        <v>500000</v>
      </c>
      <c r="G3635">
        <v>18</v>
      </c>
      <c r="H3635">
        <v>376</v>
      </c>
      <c r="I3635">
        <v>300000</v>
      </c>
      <c r="J3635">
        <v>0</v>
      </c>
      <c r="K3635">
        <v>800000</v>
      </c>
      <c r="L3635">
        <v>300000</v>
      </c>
      <c r="M3635" t="s">
        <v>35</v>
      </c>
      <c r="N3635">
        <f t="shared" si="337"/>
        <v>0</v>
      </c>
      <c r="O3635" t="str">
        <f t="shared" si="336"/>
        <v>Low</v>
      </c>
      <c r="P3635" t="str">
        <f t="shared" si="338"/>
        <v>Middle</v>
      </c>
      <c r="Q3635" t="str">
        <f t="shared" si="339"/>
        <v>Low Loan</v>
      </c>
      <c r="R3635">
        <f t="shared" si="340"/>
        <v>1400000</v>
      </c>
      <c r="S3635" t="str">
        <f t="shared" si="341"/>
        <v>Weak</v>
      </c>
    </row>
    <row r="3636" spans="1:19" x14ac:dyDescent="0.25">
      <c r="A3636">
        <v>3635</v>
      </c>
      <c r="B3636">
        <v>0</v>
      </c>
      <c r="C3636" t="s">
        <v>30</v>
      </c>
      <c r="D3636" t="s">
        <v>32</v>
      </c>
      <c r="E3636">
        <v>1500000</v>
      </c>
      <c r="F3636">
        <v>4300000</v>
      </c>
      <c r="G3636">
        <v>12</v>
      </c>
      <c r="H3636">
        <v>801</v>
      </c>
      <c r="I3636">
        <v>4400000</v>
      </c>
      <c r="J3636">
        <v>2200000</v>
      </c>
      <c r="K3636">
        <v>3300000</v>
      </c>
      <c r="L3636">
        <v>1100000</v>
      </c>
      <c r="M3636" t="s">
        <v>34</v>
      </c>
      <c r="N3636">
        <f t="shared" si="337"/>
        <v>1</v>
      </c>
      <c r="O3636" t="str">
        <f t="shared" si="336"/>
        <v>Excellent</v>
      </c>
      <c r="P3636" t="str">
        <f t="shared" si="338"/>
        <v>High</v>
      </c>
      <c r="Q3636" t="str">
        <f t="shared" si="339"/>
        <v>Low Loan</v>
      </c>
      <c r="R3636">
        <f t="shared" si="340"/>
        <v>11000000</v>
      </c>
      <c r="S3636" t="str">
        <f t="shared" si="341"/>
        <v>Strong</v>
      </c>
    </row>
    <row r="3637" spans="1:19" x14ac:dyDescent="0.25">
      <c r="A3637">
        <v>3636</v>
      </c>
      <c r="B3637">
        <v>3</v>
      </c>
      <c r="C3637" t="s">
        <v>31</v>
      </c>
      <c r="D3637" t="s">
        <v>33</v>
      </c>
      <c r="E3637">
        <v>5400000</v>
      </c>
      <c r="F3637">
        <v>16300000</v>
      </c>
      <c r="G3637">
        <v>4</v>
      </c>
      <c r="H3637">
        <v>512</v>
      </c>
      <c r="I3637">
        <v>1600000</v>
      </c>
      <c r="J3637">
        <v>3400000</v>
      </c>
      <c r="K3637">
        <v>13100000</v>
      </c>
      <c r="L3637">
        <v>6000000</v>
      </c>
      <c r="M3637" t="s">
        <v>34</v>
      </c>
      <c r="N3637">
        <f t="shared" si="337"/>
        <v>1</v>
      </c>
      <c r="O3637" t="str">
        <f t="shared" si="336"/>
        <v>Low</v>
      </c>
      <c r="P3637" t="str">
        <f t="shared" si="338"/>
        <v>High</v>
      </c>
      <c r="Q3637" t="str">
        <f t="shared" si="339"/>
        <v>Low Loan</v>
      </c>
      <c r="R3637">
        <f t="shared" si="340"/>
        <v>24100000</v>
      </c>
      <c r="S3637" t="str">
        <f t="shared" si="341"/>
        <v>Strong</v>
      </c>
    </row>
    <row r="3638" spans="1:19" x14ac:dyDescent="0.25">
      <c r="A3638">
        <v>3637</v>
      </c>
      <c r="B3638">
        <v>0</v>
      </c>
      <c r="C3638" t="s">
        <v>30</v>
      </c>
      <c r="D3638" t="s">
        <v>32</v>
      </c>
      <c r="E3638">
        <v>6600000</v>
      </c>
      <c r="F3638">
        <v>15200000</v>
      </c>
      <c r="G3638">
        <v>18</v>
      </c>
      <c r="H3638">
        <v>497</v>
      </c>
      <c r="I3638">
        <v>1500000</v>
      </c>
      <c r="J3638">
        <v>6900000</v>
      </c>
      <c r="K3638">
        <v>14500000</v>
      </c>
      <c r="L3638">
        <v>9300000</v>
      </c>
      <c r="M3638" t="s">
        <v>35</v>
      </c>
      <c r="N3638">
        <f t="shared" si="337"/>
        <v>0</v>
      </c>
      <c r="O3638" t="str">
        <f t="shared" si="336"/>
        <v>Low</v>
      </c>
      <c r="P3638" t="str">
        <f t="shared" si="338"/>
        <v>High</v>
      </c>
      <c r="Q3638" t="str">
        <f t="shared" si="339"/>
        <v>Low Loan</v>
      </c>
      <c r="R3638">
        <f t="shared" si="340"/>
        <v>32200000</v>
      </c>
      <c r="S3638" t="str">
        <f t="shared" si="341"/>
        <v>Strong</v>
      </c>
    </row>
    <row r="3639" spans="1:19" x14ac:dyDescent="0.25">
      <c r="A3639">
        <v>3638</v>
      </c>
      <c r="B3639">
        <v>0</v>
      </c>
      <c r="C3639" t="s">
        <v>30</v>
      </c>
      <c r="D3639" t="s">
        <v>32</v>
      </c>
      <c r="E3639">
        <v>5700000</v>
      </c>
      <c r="F3639">
        <v>17200000</v>
      </c>
      <c r="G3639">
        <v>8</v>
      </c>
      <c r="H3639">
        <v>386</v>
      </c>
      <c r="I3639">
        <v>4200000</v>
      </c>
      <c r="J3639">
        <v>7100000</v>
      </c>
      <c r="K3639">
        <v>14400000</v>
      </c>
      <c r="L3639">
        <v>2900000</v>
      </c>
      <c r="M3639" t="s">
        <v>35</v>
      </c>
      <c r="N3639">
        <f t="shared" si="337"/>
        <v>0</v>
      </c>
      <c r="O3639" t="str">
        <f t="shared" si="336"/>
        <v>Low</v>
      </c>
      <c r="P3639" t="str">
        <f t="shared" si="338"/>
        <v>High</v>
      </c>
      <c r="Q3639" t="str">
        <f t="shared" si="339"/>
        <v>Low Loan</v>
      </c>
      <c r="R3639">
        <f t="shared" si="340"/>
        <v>28600000</v>
      </c>
      <c r="S3639" t="str">
        <f t="shared" si="341"/>
        <v>Strong</v>
      </c>
    </row>
    <row r="3640" spans="1:19" x14ac:dyDescent="0.25">
      <c r="A3640">
        <v>3639</v>
      </c>
      <c r="B3640">
        <v>3</v>
      </c>
      <c r="C3640" t="s">
        <v>31</v>
      </c>
      <c r="D3640" t="s">
        <v>33</v>
      </c>
      <c r="E3640">
        <v>8500000</v>
      </c>
      <c r="F3640">
        <v>26100000</v>
      </c>
      <c r="G3640">
        <v>2</v>
      </c>
      <c r="H3640">
        <v>683</v>
      </c>
      <c r="I3640">
        <v>6600000</v>
      </c>
      <c r="J3640">
        <v>10400000</v>
      </c>
      <c r="K3640">
        <v>24100000</v>
      </c>
      <c r="L3640">
        <v>5700000</v>
      </c>
      <c r="M3640" t="s">
        <v>34</v>
      </c>
      <c r="N3640">
        <f t="shared" si="337"/>
        <v>1</v>
      </c>
      <c r="O3640" t="str">
        <f t="shared" si="336"/>
        <v>Medium</v>
      </c>
      <c r="P3640" t="str">
        <f t="shared" si="338"/>
        <v>High</v>
      </c>
      <c r="Q3640" t="str">
        <f t="shared" si="339"/>
        <v>High Loan</v>
      </c>
      <c r="R3640">
        <f t="shared" si="340"/>
        <v>46800000</v>
      </c>
      <c r="S3640" t="str">
        <f t="shared" si="341"/>
        <v>Strong</v>
      </c>
    </row>
    <row r="3641" spans="1:19" x14ac:dyDescent="0.25">
      <c r="A3641">
        <v>3640</v>
      </c>
      <c r="B3641">
        <v>0</v>
      </c>
      <c r="C3641" t="s">
        <v>30</v>
      </c>
      <c r="D3641" t="s">
        <v>32</v>
      </c>
      <c r="E3641">
        <v>7400000</v>
      </c>
      <c r="F3641">
        <v>24100000</v>
      </c>
      <c r="G3641">
        <v>16</v>
      </c>
      <c r="H3641">
        <v>779</v>
      </c>
      <c r="I3641">
        <v>800000</v>
      </c>
      <c r="J3641">
        <v>2900000</v>
      </c>
      <c r="K3641">
        <v>28900000</v>
      </c>
      <c r="L3641">
        <v>4900000</v>
      </c>
      <c r="M3641" t="s">
        <v>34</v>
      </c>
      <c r="N3641">
        <f t="shared" si="337"/>
        <v>1</v>
      </c>
      <c r="O3641" t="str">
        <f t="shared" si="336"/>
        <v>Excellent</v>
      </c>
      <c r="P3641" t="str">
        <f t="shared" si="338"/>
        <v>High</v>
      </c>
      <c r="Q3641" t="str">
        <f t="shared" si="339"/>
        <v>High Loan</v>
      </c>
      <c r="R3641">
        <f t="shared" si="340"/>
        <v>37500000</v>
      </c>
      <c r="S3641" t="str">
        <f t="shared" si="341"/>
        <v>Strong</v>
      </c>
    </row>
    <row r="3642" spans="1:19" x14ac:dyDescent="0.25">
      <c r="A3642">
        <v>3641</v>
      </c>
      <c r="B3642">
        <v>3</v>
      </c>
      <c r="C3642" t="s">
        <v>31</v>
      </c>
      <c r="D3642" t="s">
        <v>33</v>
      </c>
      <c r="E3642">
        <v>7800000</v>
      </c>
      <c r="F3642">
        <v>17700000</v>
      </c>
      <c r="G3642">
        <v>6</v>
      </c>
      <c r="H3642">
        <v>876</v>
      </c>
      <c r="I3642">
        <v>15600000</v>
      </c>
      <c r="J3642">
        <v>15200000</v>
      </c>
      <c r="K3642">
        <v>25100000</v>
      </c>
      <c r="L3642">
        <v>10800000</v>
      </c>
      <c r="M3642" t="s">
        <v>34</v>
      </c>
      <c r="N3642">
        <f t="shared" si="337"/>
        <v>1</v>
      </c>
      <c r="O3642" t="str">
        <f t="shared" si="336"/>
        <v>Excellent</v>
      </c>
      <c r="P3642" t="str">
        <f t="shared" si="338"/>
        <v>High</v>
      </c>
      <c r="Q3642" t="str">
        <f t="shared" si="339"/>
        <v>Low Loan</v>
      </c>
      <c r="R3642">
        <f t="shared" si="340"/>
        <v>66700000</v>
      </c>
      <c r="S3642" t="str">
        <f t="shared" si="341"/>
        <v>Strong</v>
      </c>
    </row>
    <row r="3643" spans="1:19" x14ac:dyDescent="0.25">
      <c r="A3643">
        <v>3642</v>
      </c>
      <c r="B3643">
        <v>3</v>
      </c>
      <c r="C3643" t="s">
        <v>30</v>
      </c>
      <c r="D3643" t="s">
        <v>33</v>
      </c>
      <c r="E3643">
        <v>7200000</v>
      </c>
      <c r="F3643">
        <v>16500000</v>
      </c>
      <c r="G3643">
        <v>18</v>
      </c>
      <c r="H3643">
        <v>515</v>
      </c>
      <c r="I3643">
        <v>7800000</v>
      </c>
      <c r="J3643">
        <v>6300000</v>
      </c>
      <c r="K3643">
        <v>17300000</v>
      </c>
      <c r="L3643">
        <v>10600000</v>
      </c>
      <c r="M3643" t="s">
        <v>35</v>
      </c>
      <c r="N3643">
        <f t="shared" si="337"/>
        <v>0</v>
      </c>
      <c r="O3643" t="str">
        <f t="shared" si="336"/>
        <v>Low</v>
      </c>
      <c r="P3643" t="str">
        <f t="shared" si="338"/>
        <v>High</v>
      </c>
      <c r="Q3643" t="str">
        <f t="shared" si="339"/>
        <v>Low Loan</v>
      </c>
      <c r="R3643">
        <f t="shared" si="340"/>
        <v>42000000</v>
      </c>
      <c r="S3643" t="str">
        <f t="shared" si="341"/>
        <v>Strong</v>
      </c>
    </row>
    <row r="3644" spans="1:19" x14ac:dyDescent="0.25">
      <c r="A3644">
        <v>3643</v>
      </c>
      <c r="B3644">
        <v>2</v>
      </c>
      <c r="C3644" t="s">
        <v>31</v>
      </c>
      <c r="D3644" t="s">
        <v>32</v>
      </c>
      <c r="E3644">
        <v>7600000</v>
      </c>
      <c r="F3644">
        <v>19300000</v>
      </c>
      <c r="G3644">
        <v>12</v>
      </c>
      <c r="H3644">
        <v>463</v>
      </c>
      <c r="I3644">
        <v>5400000</v>
      </c>
      <c r="J3644">
        <v>1500000</v>
      </c>
      <c r="K3644">
        <v>16000000</v>
      </c>
      <c r="L3644">
        <v>9600000</v>
      </c>
      <c r="M3644" t="s">
        <v>35</v>
      </c>
      <c r="N3644">
        <f t="shared" si="337"/>
        <v>0</v>
      </c>
      <c r="O3644" t="str">
        <f t="shared" si="336"/>
        <v>Low</v>
      </c>
      <c r="P3644" t="str">
        <f t="shared" si="338"/>
        <v>High</v>
      </c>
      <c r="Q3644" t="str">
        <f t="shared" si="339"/>
        <v>Low Loan</v>
      </c>
      <c r="R3644">
        <f t="shared" si="340"/>
        <v>32500000</v>
      </c>
      <c r="S3644" t="str">
        <f t="shared" si="341"/>
        <v>Strong</v>
      </c>
    </row>
    <row r="3645" spans="1:19" x14ac:dyDescent="0.25">
      <c r="A3645">
        <v>3644</v>
      </c>
      <c r="B3645">
        <v>4</v>
      </c>
      <c r="C3645" t="s">
        <v>31</v>
      </c>
      <c r="D3645" t="s">
        <v>33</v>
      </c>
      <c r="E3645">
        <v>7000000</v>
      </c>
      <c r="F3645">
        <v>26700000</v>
      </c>
      <c r="G3645">
        <v>4</v>
      </c>
      <c r="H3645">
        <v>486</v>
      </c>
      <c r="I3645">
        <v>10600000</v>
      </c>
      <c r="J3645">
        <v>12200000</v>
      </c>
      <c r="K3645">
        <v>18800000</v>
      </c>
      <c r="L3645">
        <v>6000000</v>
      </c>
      <c r="M3645" t="s">
        <v>34</v>
      </c>
      <c r="N3645">
        <f t="shared" si="337"/>
        <v>1</v>
      </c>
      <c r="O3645" t="str">
        <f t="shared" si="336"/>
        <v>Low</v>
      </c>
      <c r="P3645" t="str">
        <f t="shared" si="338"/>
        <v>High</v>
      </c>
      <c r="Q3645" t="str">
        <f t="shared" si="339"/>
        <v>High Loan</v>
      </c>
      <c r="R3645">
        <f t="shared" si="340"/>
        <v>47600000</v>
      </c>
      <c r="S3645" t="str">
        <f t="shared" si="341"/>
        <v>Strong</v>
      </c>
    </row>
    <row r="3646" spans="1:19" x14ac:dyDescent="0.25">
      <c r="A3646">
        <v>3645</v>
      </c>
      <c r="B3646">
        <v>0</v>
      </c>
      <c r="C3646" t="s">
        <v>31</v>
      </c>
      <c r="D3646" t="s">
        <v>32</v>
      </c>
      <c r="E3646">
        <v>5700000</v>
      </c>
      <c r="F3646">
        <v>13000000</v>
      </c>
      <c r="G3646">
        <v>6</v>
      </c>
      <c r="H3646">
        <v>328</v>
      </c>
      <c r="I3646">
        <v>7800000</v>
      </c>
      <c r="J3646">
        <v>7500000</v>
      </c>
      <c r="K3646">
        <v>20700000</v>
      </c>
      <c r="L3646">
        <v>8200000</v>
      </c>
      <c r="M3646" t="s">
        <v>35</v>
      </c>
      <c r="N3646">
        <f t="shared" si="337"/>
        <v>0</v>
      </c>
      <c r="O3646" t="str">
        <f t="shared" si="336"/>
        <v>Low</v>
      </c>
      <c r="P3646" t="str">
        <f t="shared" si="338"/>
        <v>High</v>
      </c>
      <c r="Q3646" t="str">
        <f t="shared" si="339"/>
        <v>Low Loan</v>
      </c>
      <c r="R3646">
        <f t="shared" si="340"/>
        <v>44200000</v>
      </c>
      <c r="S3646" t="str">
        <f t="shared" si="341"/>
        <v>Strong</v>
      </c>
    </row>
    <row r="3647" spans="1:19" x14ac:dyDescent="0.25">
      <c r="A3647">
        <v>3646</v>
      </c>
      <c r="B3647">
        <v>2</v>
      </c>
      <c r="C3647" t="s">
        <v>31</v>
      </c>
      <c r="D3647" t="s">
        <v>32</v>
      </c>
      <c r="E3647">
        <v>8200000</v>
      </c>
      <c r="F3647">
        <v>30600000</v>
      </c>
      <c r="G3647">
        <v>10</v>
      </c>
      <c r="H3647">
        <v>343</v>
      </c>
      <c r="I3647">
        <v>9800000</v>
      </c>
      <c r="J3647">
        <v>11500000</v>
      </c>
      <c r="K3647">
        <v>16900000</v>
      </c>
      <c r="L3647">
        <v>7000000</v>
      </c>
      <c r="M3647" t="s">
        <v>35</v>
      </c>
      <c r="N3647">
        <f t="shared" si="337"/>
        <v>0</v>
      </c>
      <c r="O3647" t="str">
        <f t="shared" si="336"/>
        <v>Low</v>
      </c>
      <c r="P3647" t="str">
        <f t="shared" si="338"/>
        <v>High</v>
      </c>
      <c r="Q3647" t="str">
        <f t="shared" si="339"/>
        <v>High Loan</v>
      </c>
      <c r="R3647">
        <f t="shared" si="340"/>
        <v>45200000</v>
      </c>
      <c r="S3647" t="str">
        <f t="shared" si="341"/>
        <v>Strong</v>
      </c>
    </row>
    <row r="3648" spans="1:19" x14ac:dyDescent="0.25">
      <c r="A3648">
        <v>3647</v>
      </c>
      <c r="B3648">
        <v>0</v>
      </c>
      <c r="C3648" t="s">
        <v>30</v>
      </c>
      <c r="D3648" t="s">
        <v>33</v>
      </c>
      <c r="E3648">
        <v>9000000</v>
      </c>
      <c r="F3648">
        <v>27800000</v>
      </c>
      <c r="G3648">
        <v>8</v>
      </c>
      <c r="H3648">
        <v>712</v>
      </c>
      <c r="I3648">
        <v>900000</v>
      </c>
      <c r="J3648">
        <v>6700000</v>
      </c>
      <c r="K3648">
        <v>24400000</v>
      </c>
      <c r="L3648">
        <v>5800000</v>
      </c>
      <c r="M3648" t="s">
        <v>34</v>
      </c>
      <c r="N3648">
        <f t="shared" si="337"/>
        <v>1</v>
      </c>
      <c r="O3648" t="str">
        <f t="shared" si="336"/>
        <v>Good</v>
      </c>
      <c r="P3648" t="str">
        <f t="shared" si="338"/>
        <v>High</v>
      </c>
      <c r="Q3648" t="str">
        <f t="shared" si="339"/>
        <v>High Loan</v>
      </c>
      <c r="R3648">
        <f t="shared" si="340"/>
        <v>37800000</v>
      </c>
      <c r="S3648" t="str">
        <f t="shared" si="341"/>
        <v>Strong</v>
      </c>
    </row>
    <row r="3649" spans="1:19" x14ac:dyDescent="0.25">
      <c r="A3649">
        <v>3648</v>
      </c>
      <c r="B3649">
        <v>3</v>
      </c>
      <c r="C3649" t="s">
        <v>31</v>
      </c>
      <c r="D3649" t="s">
        <v>32</v>
      </c>
      <c r="E3649">
        <v>3900000</v>
      </c>
      <c r="F3649">
        <v>11900000</v>
      </c>
      <c r="G3649">
        <v>6</v>
      </c>
      <c r="H3649">
        <v>607</v>
      </c>
      <c r="I3649">
        <v>6600000</v>
      </c>
      <c r="J3649">
        <v>6000000</v>
      </c>
      <c r="K3649">
        <v>8800000</v>
      </c>
      <c r="L3649">
        <v>2000000</v>
      </c>
      <c r="M3649" t="s">
        <v>34</v>
      </c>
      <c r="N3649">
        <f t="shared" si="337"/>
        <v>1</v>
      </c>
      <c r="O3649" t="str">
        <f t="shared" si="336"/>
        <v>Low</v>
      </c>
      <c r="P3649" t="str">
        <f t="shared" si="338"/>
        <v>High</v>
      </c>
      <c r="Q3649" t="str">
        <f t="shared" si="339"/>
        <v>Low Loan</v>
      </c>
      <c r="R3649">
        <f t="shared" si="340"/>
        <v>23400000</v>
      </c>
      <c r="S3649" t="str">
        <f t="shared" si="341"/>
        <v>Strong</v>
      </c>
    </row>
    <row r="3650" spans="1:19" x14ac:dyDescent="0.25">
      <c r="A3650">
        <v>3649</v>
      </c>
      <c r="B3650">
        <v>0</v>
      </c>
      <c r="C3650" t="s">
        <v>30</v>
      </c>
      <c r="D3650" t="s">
        <v>32</v>
      </c>
      <c r="E3650">
        <v>6500000</v>
      </c>
      <c r="F3650">
        <v>16200000</v>
      </c>
      <c r="G3650">
        <v>4</v>
      </c>
      <c r="H3650">
        <v>812</v>
      </c>
      <c r="I3650">
        <v>17200000</v>
      </c>
      <c r="J3650">
        <v>10700000</v>
      </c>
      <c r="K3650">
        <v>20200000</v>
      </c>
      <c r="L3650">
        <v>6200000</v>
      </c>
      <c r="M3650" t="s">
        <v>34</v>
      </c>
      <c r="N3650">
        <f t="shared" si="337"/>
        <v>1</v>
      </c>
      <c r="O3650" t="str">
        <f t="shared" ref="O3650:O3713" si="342">IF(H3650&lt;650,"Low",
 IF(H3650&lt;700,"Medium",
 IF(H3650&lt;750,"Good","Excellent")))</f>
        <v>Excellent</v>
      </c>
      <c r="P3650" t="str">
        <f t="shared" si="338"/>
        <v>High</v>
      </c>
      <c r="Q3650" t="str">
        <f t="shared" si="339"/>
        <v>Low Loan</v>
      </c>
      <c r="R3650">
        <f t="shared" si="340"/>
        <v>54300000</v>
      </c>
      <c r="S3650" t="str">
        <f t="shared" si="341"/>
        <v>Strong</v>
      </c>
    </row>
    <row r="3651" spans="1:19" x14ac:dyDescent="0.25">
      <c r="A3651">
        <v>3650</v>
      </c>
      <c r="B3651">
        <v>4</v>
      </c>
      <c r="C3651" t="s">
        <v>31</v>
      </c>
      <c r="D3651" t="s">
        <v>33</v>
      </c>
      <c r="E3651">
        <v>2300000</v>
      </c>
      <c r="F3651">
        <v>7700000</v>
      </c>
      <c r="G3651">
        <v>16</v>
      </c>
      <c r="H3651">
        <v>589</v>
      </c>
      <c r="I3651">
        <v>6000000</v>
      </c>
      <c r="J3651">
        <v>4400000</v>
      </c>
      <c r="K3651">
        <v>6300000</v>
      </c>
      <c r="L3651">
        <v>2300000</v>
      </c>
      <c r="M3651" t="s">
        <v>34</v>
      </c>
      <c r="N3651">
        <f t="shared" ref="N3651:N3714" si="343">IF(TRIM(CLEAN(M3651))="Approved",1,0)</f>
        <v>1</v>
      </c>
      <c r="O3651" t="str">
        <f t="shared" si="342"/>
        <v>Low</v>
      </c>
      <c r="P3651" t="str">
        <f t="shared" ref="P3651:P3714" si="344">IF(E3651&lt;300000,"Low",
 IF(E3651&lt;700000,"Middle","High"))</f>
        <v>High</v>
      </c>
      <c r="Q3651" t="str">
        <f t="shared" ref="Q3651:Q3714" si="345">IF(F3651&lt;20000000,"Low Loan","High Loan")</f>
        <v>Low Loan</v>
      </c>
      <c r="R3651">
        <f t="shared" ref="R3651:R3714" si="346">I3651+J3651+K3651+L3651</f>
        <v>19000000</v>
      </c>
      <c r="S3651" t="str">
        <f t="shared" ref="S3651:S3714" si="347">IF(R3651&lt;5000000,"Weak",
 IF(R3651&lt;10000000,"Moderate","Strong"))</f>
        <v>Strong</v>
      </c>
    </row>
    <row r="3652" spans="1:19" x14ac:dyDescent="0.25">
      <c r="A3652">
        <v>3651</v>
      </c>
      <c r="B3652">
        <v>1</v>
      </c>
      <c r="C3652" t="s">
        <v>31</v>
      </c>
      <c r="D3652" t="s">
        <v>32</v>
      </c>
      <c r="E3652">
        <v>5700000</v>
      </c>
      <c r="F3652">
        <v>21800000</v>
      </c>
      <c r="G3652">
        <v>18</v>
      </c>
      <c r="H3652">
        <v>657</v>
      </c>
      <c r="I3652">
        <v>14100000</v>
      </c>
      <c r="J3652">
        <v>3200000</v>
      </c>
      <c r="K3652">
        <v>21800000</v>
      </c>
      <c r="L3652">
        <v>3200000</v>
      </c>
      <c r="M3652" t="s">
        <v>34</v>
      </c>
      <c r="N3652">
        <f t="shared" si="343"/>
        <v>1</v>
      </c>
      <c r="O3652" t="str">
        <f t="shared" si="342"/>
        <v>Medium</v>
      </c>
      <c r="P3652" t="str">
        <f t="shared" si="344"/>
        <v>High</v>
      </c>
      <c r="Q3652" t="str">
        <f t="shared" si="345"/>
        <v>High Loan</v>
      </c>
      <c r="R3652">
        <f t="shared" si="346"/>
        <v>42300000</v>
      </c>
      <c r="S3652" t="str">
        <f t="shared" si="347"/>
        <v>Strong</v>
      </c>
    </row>
    <row r="3653" spans="1:19" x14ac:dyDescent="0.25">
      <c r="A3653">
        <v>3652</v>
      </c>
      <c r="B3653">
        <v>4</v>
      </c>
      <c r="C3653" t="s">
        <v>31</v>
      </c>
      <c r="D3653" t="s">
        <v>32</v>
      </c>
      <c r="E3653">
        <v>800000</v>
      </c>
      <c r="F3653">
        <v>2800000</v>
      </c>
      <c r="G3653">
        <v>12</v>
      </c>
      <c r="H3653">
        <v>453</v>
      </c>
      <c r="I3653">
        <v>1500000</v>
      </c>
      <c r="J3653">
        <v>300000</v>
      </c>
      <c r="K3653">
        <v>2900000</v>
      </c>
      <c r="L3653">
        <v>600000</v>
      </c>
      <c r="M3653" t="s">
        <v>35</v>
      </c>
      <c r="N3653">
        <f t="shared" si="343"/>
        <v>0</v>
      </c>
      <c r="O3653" t="str">
        <f t="shared" si="342"/>
        <v>Low</v>
      </c>
      <c r="P3653" t="str">
        <f t="shared" si="344"/>
        <v>High</v>
      </c>
      <c r="Q3653" t="str">
        <f t="shared" si="345"/>
        <v>Low Loan</v>
      </c>
      <c r="R3653">
        <f t="shared" si="346"/>
        <v>5300000</v>
      </c>
      <c r="S3653" t="str">
        <f t="shared" si="347"/>
        <v>Moderate</v>
      </c>
    </row>
    <row r="3654" spans="1:19" x14ac:dyDescent="0.25">
      <c r="A3654">
        <v>3653</v>
      </c>
      <c r="B3654">
        <v>4</v>
      </c>
      <c r="C3654" t="s">
        <v>31</v>
      </c>
      <c r="D3654" t="s">
        <v>33</v>
      </c>
      <c r="E3654">
        <v>8400000</v>
      </c>
      <c r="F3654">
        <v>19700000</v>
      </c>
      <c r="G3654">
        <v>14</v>
      </c>
      <c r="H3654">
        <v>889</v>
      </c>
      <c r="I3654">
        <v>22400000</v>
      </c>
      <c r="J3654">
        <v>5800000</v>
      </c>
      <c r="K3654">
        <v>22000000</v>
      </c>
      <c r="L3654">
        <v>12100000</v>
      </c>
      <c r="M3654" t="s">
        <v>34</v>
      </c>
      <c r="N3654">
        <f t="shared" si="343"/>
        <v>1</v>
      </c>
      <c r="O3654" t="str">
        <f t="shared" si="342"/>
        <v>Excellent</v>
      </c>
      <c r="P3654" t="str">
        <f t="shared" si="344"/>
        <v>High</v>
      </c>
      <c r="Q3654" t="str">
        <f t="shared" si="345"/>
        <v>Low Loan</v>
      </c>
      <c r="R3654">
        <f t="shared" si="346"/>
        <v>62300000</v>
      </c>
      <c r="S3654" t="str">
        <f t="shared" si="347"/>
        <v>Strong</v>
      </c>
    </row>
    <row r="3655" spans="1:19" x14ac:dyDescent="0.25">
      <c r="A3655">
        <v>3654</v>
      </c>
      <c r="B3655">
        <v>1</v>
      </c>
      <c r="C3655" t="s">
        <v>30</v>
      </c>
      <c r="D3655" t="s">
        <v>33</v>
      </c>
      <c r="E3655">
        <v>4300000</v>
      </c>
      <c r="F3655">
        <v>17200000</v>
      </c>
      <c r="G3655">
        <v>4</v>
      </c>
      <c r="H3655">
        <v>564</v>
      </c>
      <c r="I3655">
        <v>10400000</v>
      </c>
      <c r="J3655">
        <v>6600000</v>
      </c>
      <c r="K3655">
        <v>11500000</v>
      </c>
      <c r="L3655">
        <v>2200000</v>
      </c>
      <c r="M3655" t="s">
        <v>34</v>
      </c>
      <c r="N3655">
        <f t="shared" si="343"/>
        <v>1</v>
      </c>
      <c r="O3655" t="str">
        <f t="shared" si="342"/>
        <v>Low</v>
      </c>
      <c r="P3655" t="str">
        <f t="shared" si="344"/>
        <v>High</v>
      </c>
      <c r="Q3655" t="str">
        <f t="shared" si="345"/>
        <v>Low Loan</v>
      </c>
      <c r="R3655">
        <f t="shared" si="346"/>
        <v>30700000</v>
      </c>
      <c r="S3655" t="str">
        <f t="shared" si="347"/>
        <v>Strong</v>
      </c>
    </row>
    <row r="3656" spans="1:19" x14ac:dyDescent="0.25">
      <c r="A3656">
        <v>3655</v>
      </c>
      <c r="B3656">
        <v>1</v>
      </c>
      <c r="C3656" t="s">
        <v>31</v>
      </c>
      <c r="D3656" t="s">
        <v>33</v>
      </c>
      <c r="E3656">
        <v>300000</v>
      </c>
      <c r="F3656">
        <v>900000</v>
      </c>
      <c r="G3656">
        <v>20</v>
      </c>
      <c r="H3656">
        <v>419</v>
      </c>
      <c r="I3656">
        <v>800000</v>
      </c>
      <c r="J3656">
        <v>0</v>
      </c>
      <c r="K3656">
        <v>600000</v>
      </c>
      <c r="L3656">
        <v>300000</v>
      </c>
      <c r="M3656" t="s">
        <v>35</v>
      </c>
      <c r="N3656">
        <f t="shared" si="343"/>
        <v>0</v>
      </c>
      <c r="O3656" t="str">
        <f t="shared" si="342"/>
        <v>Low</v>
      </c>
      <c r="P3656" t="str">
        <f t="shared" si="344"/>
        <v>Middle</v>
      </c>
      <c r="Q3656" t="str">
        <f t="shared" si="345"/>
        <v>Low Loan</v>
      </c>
      <c r="R3656">
        <f t="shared" si="346"/>
        <v>1700000</v>
      </c>
      <c r="S3656" t="str">
        <f t="shared" si="347"/>
        <v>Weak</v>
      </c>
    </row>
    <row r="3657" spans="1:19" x14ac:dyDescent="0.25">
      <c r="A3657">
        <v>3656</v>
      </c>
      <c r="B3657">
        <v>1</v>
      </c>
      <c r="C3657" t="s">
        <v>30</v>
      </c>
      <c r="D3657" t="s">
        <v>32</v>
      </c>
      <c r="E3657">
        <v>8700000</v>
      </c>
      <c r="F3657">
        <v>34000000</v>
      </c>
      <c r="G3657">
        <v>16</v>
      </c>
      <c r="H3657">
        <v>663</v>
      </c>
      <c r="I3657">
        <v>5400000</v>
      </c>
      <c r="J3657">
        <v>10700000</v>
      </c>
      <c r="K3657">
        <v>17800000</v>
      </c>
      <c r="L3657">
        <v>8100000</v>
      </c>
      <c r="M3657" t="s">
        <v>34</v>
      </c>
      <c r="N3657">
        <f t="shared" si="343"/>
        <v>1</v>
      </c>
      <c r="O3657" t="str">
        <f t="shared" si="342"/>
        <v>Medium</v>
      </c>
      <c r="P3657" t="str">
        <f t="shared" si="344"/>
        <v>High</v>
      </c>
      <c r="Q3657" t="str">
        <f t="shared" si="345"/>
        <v>High Loan</v>
      </c>
      <c r="R3657">
        <f t="shared" si="346"/>
        <v>42000000</v>
      </c>
      <c r="S3657" t="str">
        <f t="shared" si="347"/>
        <v>Strong</v>
      </c>
    </row>
    <row r="3658" spans="1:19" x14ac:dyDescent="0.25">
      <c r="A3658">
        <v>3657</v>
      </c>
      <c r="B3658">
        <v>1</v>
      </c>
      <c r="C3658" t="s">
        <v>31</v>
      </c>
      <c r="D3658" t="s">
        <v>32</v>
      </c>
      <c r="E3658">
        <v>4400000</v>
      </c>
      <c r="F3658">
        <v>12100000</v>
      </c>
      <c r="G3658">
        <v>4</v>
      </c>
      <c r="H3658">
        <v>884</v>
      </c>
      <c r="I3658">
        <v>9800000</v>
      </c>
      <c r="J3658">
        <v>6500000</v>
      </c>
      <c r="K3658">
        <v>15000000</v>
      </c>
      <c r="L3658">
        <v>6000000</v>
      </c>
      <c r="M3658" t="s">
        <v>34</v>
      </c>
      <c r="N3658">
        <f t="shared" si="343"/>
        <v>1</v>
      </c>
      <c r="O3658" t="str">
        <f t="shared" si="342"/>
        <v>Excellent</v>
      </c>
      <c r="P3658" t="str">
        <f t="shared" si="344"/>
        <v>High</v>
      </c>
      <c r="Q3658" t="str">
        <f t="shared" si="345"/>
        <v>Low Loan</v>
      </c>
      <c r="R3658">
        <f t="shared" si="346"/>
        <v>37300000</v>
      </c>
      <c r="S3658" t="str">
        <f t="shared" si="347"/>
        <v>Strong</v>
      </c>
    </row>
    <row r="3659" spans="1:19" x14ac:dyDescent="0.25">
      <c r="A3659">
        <v>3658</v>
      </c>
      <c r="B3659">
        <v>1</v>
      </c>
      <c r="C3659" t="s">
        <v>30</v>
      </c>
      <c r="D3659" t="s">
        <v>33</v>
      </c>
      <c r="E3659">
        <v>5600000</v>
      </c>
      <c r="F3659">
        <v>16800000</v>
      </c>
      <c r="G3659">
        <v>16</v>
      </c>
      <c r="H3659">
        <v>528</v>
      </c>
      <c r="I3659">
        <v>7500000</v>
      </c>
      <c r="J3659">
        <v>6500000</v>
      </c>
      <c r="K3659">
        <v>12300000</v>
      </c>
      <c r="L3659">
        <v>3900000</v>
      </c>
      <c r="M3659" t="s">
        <v>35</v>
      </c>
      <c r="N3659">
        <f t="shared" si="343"/>
        <v>0</v>
      </c>
      <c r="O3659" t="str">
        <f t="shared" si="342"/>
        <v>Low</v>
      </c>
      <c r="P3659" t="str">
        <f t="shared" si="344"/>
        <v>High</v>
      </c>
      <c r="Q3659" t="str">
        <f t="shared" si="345"/>
        <v>Low Loan</v>
      </c>
      <c r="R3659">
        <f t="shared" si="346"/>
        <v>30200000</v>
      </c>
      <c r="S3659" t="str">
        <f t="shared" si="347"/>
        <v>Strong</v>
      </c>
    </row>
    <row r="3660" spans="1:19" x14ac:dyDescent="0.25">
      <c r="A3660">
        <v>3659</v>
      </c>
      <c r="B3660">
        <v>2</v>
      </c>
      <c r="C3660" t="s">
        <v>30</v>
      </c>
      <c r="D3660" t="s">
        <v>32</v>
      </c>
      <c r="E3660">
        <v>600000</v>
      </c>
      <c r="F3660">
        <v>1300000</v>
      </c>
      <c r="G3660">
        <v>12</v>
      </c>
      <c r="H3660">
        <v>475</v>
      </c>
      <c r="I3660">
        <v>100000</v>
      </c>
      <c r="J3660">
        <v>1100000</v>
      </c>
      <c r="K3660">
        <v>2300000</v>
      </c>
      <c r="L3660">
        <v>600000</v>
      </c>
      <c r="M3660" t="s">
        <v>35</v>
      </c>
      <c r="N3660">
        <f t="shared" si="343"/>
        <v>0</v>
      </c>
      <c r="O3660" t="str">
        <f t="shared" si="342"/>
        <v>Low</v>
      </c>
      <c r="P3660" t="str">
        <f t="shared" si="344"/>
        <v>Middle</v>
      </c>
      <c r="Q3660" t="str">
        <f t="shared" si="345"/>
        <v>Low Loan</v>
      </c>
      <c r="R3660">
        <f t="shared" si="346"/>
        <v>4100000</v>
      </c>
      <c r="S3660" t="str">
        <f t="shared" si="347"/>
        <v>Weak</v>
      </c>
    </row>
    <row r="3661" spans="1:19" x14ac:dyDescent="0.25">
      <c r="A3661">
        <v>3660</v>
      </c>
      <c r="B3661">
        <v>4</v>
      </c>
      <c r="C3661" t="s">
        <v>31</v>
      </c>
      <c r="D3661" t="s">
        <v>33</v>
      </c>
      <c r="E3661">
        <v>2500000</v>
      </c>
      <c r="F3661">
        <v>5100000</v>
      </c>
      <c r="G3661">
        <v>20</v>
      </c>
      <c r="H3661">
        <v>695</v>
      </c>
      <c r="I3661">
        <v>1100000</v>
      </c>
      <c r="J3661">
        <v>4100000</v>
      </c>
      <c r="K3661">
        <v>6700000</v>
      </c>
      <c r="L3661">
        <v>3500000</v>
      </c>
      <c r="M3661" t="s">
        <v>34</v>
      </c>
      <c r="N3661">
        <f t="shared" si="343"/>
        <v>1</v>
      </c>
      <c r="O3661" t="str">
        <f t="shared" si="342"/>
        <v>Medium</v>
      </c>
      <c r="P3661" t="str">
        <f t="shared" si="344"/>
        <v>High</v>
      </c>
      <c r="Q3661" t="str">
        <f t="shared" si="345"/>
        <v>Low Loan</v>
      </c>
      <c r="R3661">
        <f t="shared" si="346"/>
        <v>15400000</v>
      </c>
      <c r="S3661" t="str">
        <f t="shared" si="347"/>
        <v>Strong</v>
      </c>
    </row>
    <row r="3662" spans="1:19" x14ac:dyDescent="0.25">
      <c r="A3662">
        <v>3661</v>
      </c>
      <c r="B3662">
        <v>5</v>
      </c>
      <c r="C3662" t="s">
        <v>31</v>
      </c>
      <c r="D3662" t="s">
        <v>32</v>
      </c>
      <c r="E3662">
        <v>3800000</v>
      </c>
      <c r="F3662">
        <v>10500000</v>
      </c>
      <c r="G3662">
        <v>10</v>
      </c>
      <c r="H3662">
        <v>759</v>
      </c>
      <c r="I3662">
        <v>1800000</v>
      </c>
      <c r="J3662">
        <v>6700000</v>
      </c>
      <c r="K3662">
        <v>8100000</v>
      </c>
      <c r="L3662">
        <v>5300000</v>
      </c>
      <c r="M3662" t="s">
        <v>34</v>
      </c>
      <c r="N3662">
        <f t="shared" si="343"/>
        <v>1</v>
      </c>
      <c r="O3662" t="str">
        <f t="shared" si="342"/>
        <v>Excellent</v>
      </c>
      <c r="P3662" t="str">
        <f t="shared" si="344"/>
        <v>High</v>
      </c>
      <c r="Q3662" t="str">
        <f t="shared" si="345"/>
        <v>Low Loan</v>
      </c>
      <c r="R3662">
        <f t="shared" si="346"/>
        <v>21900000</v>
      </c>
      <c r="S3662" t="str">
        <f t="shared" si="347"/>
        <v>Strong</v>
      </c>
    </row>
    <row r="3663" spans="1:19" x14ac:dyDescent="0.25">
      <c r="A3663">
        <v>3662</v>
      </c>
      <c r="B3663">
        <v>2</v>
      </c>
      <c r="C3663" t="s">
        <v>31</v>
      </c>
      <c r="D3663" t="s">
        <v>32</v>
      </c>
      <c r="E3663">
        <v>2500000</v>
      </c>
      <c r="F3663">
        <v>9600000</v>
      </c>
      <c r="G3663">
        <v>4</v>
      </c>
      <c r="H3663">
        <v>636</v>
      </c>
      <c r="I3663">
        <v>900000</v>
      </c>
      <c r="J3663">
        <v>1000000</v>
      </c>
      <c r="K3663">
        <v>7300000</v>
      </c>
      <c r="L3663">
        <v>2000000</v>
      </c>
      <c r="M3663" t="s">
        <v>34</v>
      </c>
      <c r="N3663">
        <f t="shared" si="343"/>
        <v>1</v>
      </c>
      <c r="O3663" t="str">
        <f t="shared" si="342"/>
        <v>Low</v>
      </c>
      <c r="P3663" t="str">
        <f t="shared" si="344"/>
        <v>High</v>
      </c>
      <c r="Q3663" t="str">
        <f t="shared" si="345"/>
        <v>Low Loan</v>
      </c>
      <c r="R3663">
        <f t="shared" si="346"/>
        <v>11200000</v>
      </c>
      <c r="S3663" t="str">
        <f t="shared" si="347"/>
        <v>Strong</v>
      </c>
    </row>
    <row r="3664" spans="1:19" x14ac:dyDescent="0.25">
      <c r="A3664">
        <v>3663</v>
      </c>
      <c r="B3664">
        <v>3</v>
      </c>
      <c r="C3664" t="s">
        <v>31</v>
      </c>
      <c r="D3664" t="s">
        <v>33</v>
      </c>
      <c r="E3664">
        <v>5500000</v>
      </c>
      <c r="F3664">
        <v>20400000</v>
      </c>
      <c r="G3664">
        <v>10</v>
      </c>
      <c r="H3664">
        <v>546</v>
      </c>
      <c r="I3664">
        <v>10600000</v>
      </c>
      <c r="J3664">
        <v>8200000</v>
      </c>
      <c r="K3664">
        <v>13500000</v>
      </c>
      <c r="L3664">
        <v>4000000</v>
      </c>
      <c r="M3664" t="s">
        <v>35</v>
      </c>
      <c r="N3664">
        <f t="shared" si="343"/>
        <v>0</v>
      </c>
      <c r="O3664" t="str">
        <f t="shared" si="342"/>
        <v>Low</v>
      </c>
      <c r="P3664" t="str">
        <f t="shared" si="344"/>
        <v>High</v>
      </c>
      <c r="Q3664" t="str">
        <f t="shared" si="345"/>
        <v>High Loan</v>
      </c>
      <c r="R3664">
        <f t="shared" si="346"/>
        <v>36300000</v>
      </c>
      <c r="S3664" t="str">
        <f t="shared" si="347"/>
        <v>Strong</v>
      </c>
    </row>
    <row r="3665" spans="1:19" x14ac:dyDescent="0.25">
      <c r="A3665">
        <v>3664</v>
      </c>
      <c r="B3665">
        <v>5</v>
      </c>
      <c r="C3665" t="s">
        <v>30</v>
      </c>
      <c r="D3665" t="s">
        <v>33</v>
      </c>
      <c r="E3665">
        <v>4500000</v>
      </c>
      <c r="F3665">
        <v>17100000</v>
      </c>
      <c r="G3665">
        <v>2</v>
      </c>
      <c r="H3665">
        <v>639</v>
      </c>
      <c r="I3665">
        <v>10600000</v>
      </c>
      <c r="J3665">
        <v>7500000</v>
      </c>
      <c r="K3665">
        <v>12000000</v>
      </c>
      <c r="L3665">
        <v>6500000</v>
      </c>
      <c r="M3665" t="s">
        <v>34</v>
      </c>
      <c r="N3665">
        <f t="shared" si="343"/>
        <v>1</v>
      </c>
      <c r="O3665" t="str">
        <f t="shared" si="342"/>
        <v>Low</v>
      </c>
      <c r="P3665" t="str">
        <f t="shared" si="344"/>
        <v>High</v>
      </c>
      <c r="Q3665" t="str">
        <f t="shared" si="345"/>
        <v>Low Loan</v>
      </c>
      <c r="R3665">
        <f t="shared" si="346"/>
        <v>36600000</v>
      </c>
      <c r="S3665" t="str">
        <f t="shared" si="347"/>
        <v>Strong</v>
      </c>
    </row>
    <row r="3666" spans="1:19" x14ac:dyDescent="0.25">
      <c r="A3666">
        <v>3665</v>
      </c>
      <c r="B3666">
        <v>4</v>
      </c>
      <c r="C3666" t="s">
        <v>31</v>
      </c>
      <c r="D3666" t="s">
        <v>32</v>
      </c>
      <c r="E3666">
        <v>1900000</v>
      </c>
      <c r="F3666">
        <v>4000000</v>
      </c>
      <c r="G3666">
        <v>10</v>
      </c>
      <c r="H3666">
        <v>388</v>
      </c>
      <c r="I3666">
        <v>500000</v>
      </c>
      <c r="J3666">
        <v>1400000</v>
      </c>
      <c r="K3666">
        <v>5600000</v>
      </c>
      <c r="L3666">
        <v>900000</v>
      </c>
      <c r="M3666" t="s">
        <v>35</v>
      </c>
      <c r="N3666">
        <f t="shared" si="343"/>
        <v>0</v>
      </c>
      <c r="O3666" t="str">
        <f t="shared" si="342"/>
        <v>Low</v>
      </c>
      <c r="P3666" t="str">
        <f t="shared" si="344"/>
        <v>High</v>
      </c>
      <c r="Q3666" t="str">
        <f t="shared" si="345"/>
        <v>Low Loan</v>
      </c>
      <c r="R3666">
        <f t="shared" si="346"/>
        <v>8400000</v>
      </c>
      <c r="S3666" t="str">
        <f t="shared" si="347"/>
        <v>Moderate</v>
      </c>
    </row>
    <row r="3667" spans="1:19" x14ac:dyDescent="0.25">
      <c r="A3667">
        <v>3666</v>
      </c>
      <c r="B3667">
        <v>5</v>
      </c>
      <c r="C3667" t="s">
        <v>30</v>
      </c>
      <c r="D3667" t="s">
        <v>33</v>
      </c>
      <c r="E3667">
        <v>6400000</v>
      </c>
      <c r="F3667">
        <v>20000000</v>
      </c>
      <c r="G3667">
        <v>12</v>
      </c>
      <c r="H3667">
        <v>594</v>
      </c>
      <c r="I3667">
        <v>100000</v>
      </c>
      <c r="J3667">
        <v>2100000</v>
      </c>
      <c r="K3667">
        <v>16500000</v>
      </c>
      <c r="L3667">
        <v>5500000</v>
      </c>
      <c r="M3667" t="s">
        <v>34</v>
      </c>
      <c r="N3667">
        <f t="shared" si="343"/>
        <v>1</v>
      </c>
      <c r="O3667" t="str">
        <f t="shared" si="342"/>
        <v>Low</v>
      </c>
      <c r="P3667" t="str">
        <f t="shared" si="344"/>
        <v>High</v>
      </c>
      <c r="Q3667" t="str">
        <f t="shared" si="345"/>
        <v>High Loan</v>
      </c>
      <c r="R3667">
        <f t="shared" si="346"/>
        <v>24200000</v>
      </c>
      <c r="S3667" t="str">
        <f t="shared" si="347"/>
        <v>Strong</v>
      </c>
    </row>
    <row r="3668" spans="1:19" x14ac:dyDescent="0.25">
      <c r="A3668">
        <v>3667</v>
      </c>
      <c r="B3668">
        <v>1</v>
      </c>
      <c r="C3668" t="s">
        <v>31</v>
      </c>
      <c r="D3668" t="s">
        <v>33</v>
      </c>
      <c r="E3668">
        <v>3800000</v>
      </c>
      <c r="F3668">
        <v>11100000</v>
      </c>
      <c r="G3668">
        <v>6</v>
      </c>
      <c r="H3668">
        <v>760</v>
      </c>
      <c r="I3668">
        <v>2100000</v>
      </c>
      <c r="J3668">
        <v>1800000</v>
      </c>
      <c r="K3668">
        <v>8700000</v>
      </c>
      <c r="L3668">
        <v>5700000</v>
      </c>
      <c r="M3668" t="s">
        <v>34</v>
      </c>
      <c r="N3668">
        <f t="shared" si="343"/>
        <v>1</v>
      </c>
      <c r="O3668" t="str">
        <f t="shared" si="342"/>
        <v>Excellent</v>
      </c>
      <c r="P3668" t="str">
        <f t="shared" si="344"/>
        <v>High</v>
      </c>
      <c r="Q3668" t="str">
        <f t="shared" si="345"/>
        <v>Low Loan</v>
      </c>
      <c r="R3668">
        <f t="shared" si="346"/>
        <v>18300000</v>
      </c>
      <c r="S3668" t="str">
        <f t="shared" si="347"/>
        <v>Strong</v>
      </c>
    </row>
    <row r="3669" spans="1:19" x14ac:dyDescent="0.25">
      <c r="A3669">
        <v>3668</v>
      </c>
      <c r="B3669">
        <v>4</v>
      </c>
      <c r="C3669" t="s">
        <v>31</v>
      </c>
      <c r="D3669" t="s">
        <v>33</v>
      </c>
      <c r="E3669">
        <v>6300000</v>
      </c>
      <c r="F3669">
        <v>16900000</v>
      </c>
      <c r="G3669">
        <v>16</v>
      </c>
      <c r="H3669">
        <v>582</v>
      </c>
      <c r="I3669">
        <v>16000000</v>
      </c>
      <c r="J3669">
        <v>3600000</v>
      </c>
      <c r="K3669">
        <v>23700000</v>
      </c>
      <c r="L3669">
        <v>6000000</v>
      </c>
      <c r="M3669" t="s">
        <v>34</v>
      </c>
      <c r="N3669">
        <f t="shared" si="343"/>
        <v>1</v>
      </c>
      <c r="O3669" t="str">
        <f t="shared" si="342"/>
        <v>Low</v>
      </c>
      <c r="P3669" t="str">
        <f t="shared" si="344"/>
        <v>High</v>
      </c>
      <c r="Q3669" t="str">
        <f t="shared" si="345"/>
        <v>Low Loan</v>
      </c>
      <c r="R3669">
        <f t="shared" si="346"/>
        <v>49300000</v>
      </c>
      <c r="S3669" t="str">
        <f t="shared" si="347"/>
        <v>Strong</v>
      </c>
    </row>
    <row r="3670" spans="1:19" x14ac:dyDescent="0.25">
      <c r="A3670">
        <v>3669</v>
      </c>
      <c r="B3670">
        <v>3</v>
      </c>
      <c r="C3670" t="s">
        <v>31</v>
      </c>
      <c r="D3670" t="s">
        <v>32</v>
      </c>
      <c r="E3670">
        <v>300000</v>
      </c>
      <c r="F3670">
        <v>600000</v>
      </c>
      <c r="G3670">
        <v>6</v>
      </c>
      <c r="H3670">
        <v>896</v>
      </c>
      <c r="I3670">
        <v>300000</v>
      </c>
      <c r="J3670">
        <v>400000</v>
      </c>
      <c r="K3670">
        <v>600000</v>
      </c>
      <c r="L3670">
        <v>400000</v>
      </c>
      <c r="M3670" t="s">
        <v>34</v>
      </c>
      <c r="N3670">
        <f t="shared" si="343"/>
        <v>1</v>
      </c>
      <c r="O3670" t="str">
        <f t="shared" si="342"/>
        <v>Excellent</v>
      </c>
      <c r="P3670" t="str">
        <f t="shared" si="344"/>
        <v>Middle</v>
      </c>
      <c r="Q3670" t="str">
        <f t="shared" si="345"/>
        <v>Low Loan</v>
      </c>
      <c r="R3670">
        <f t="shared" si="346"/>
        <v>1700000</v>
      </c>
      <c r="S3670" t="str">
        <f t="shared" si="347"/>
        <v>Weak</v>
      </c>
    </row>
    <row r="3671" spans="1:19" x14ac:dyDescent="0.25">
      <c r="A3671">
        <v>3670</v>
      </c>
      <c r="B3671">
        <v>5</v>
      </c>
      <c r="C3671" t="s">
        <v>31</v>
      </c>
      <c r="D3671" t="s">
        <v>33</v>
      </c>
      <c r="E3671">
        <v>7100000</v>
      </c>
      <c r="F3671">
        <v>21800000</v>
      </c>
      <c r="G3671">
        <v>18</v>
      </c>
      <c r="H3671">
        <v>891</v>
      </c>
      <c r="I3671">
        <v>7000000</v>
      </c>
      <c r="J3671">
        <v>0</v>
      </c>
      <c r="K3671">
        <v>18900000</v>
      </c>
      <c r="L3671">
        <v>4700000</v>
      </c>
      <c r="M3671" t="s">
        <v>34</v>
      </c>
      <c r="N3671">
        <f t="shared" si="343"/>
        <v>1</v>
      </c>
      <c r="O3671" t="str">
        <f t="shared" si="342"/>
        <v>Excellent</v>
      </c>
      <c r="P3671" t="str">
        <f t="shared" si="344"/>
        <v>High</v>
      </c>
      <c r="Q3671" t="str">
        <f t="shared" si="345"/>
        <v>High Loan</v>
      </c>
      <c r="R3671">
        <f t="shared" si="346"/>
        <v>30600000</v>
      </c>
      <c r="S3671" t="str">
        <f t="shared" si="347"/>
        <v>Strong</v>
      </c>
    </row>
    <row r="3672" spans="1:19" x14ac:dyDescent="0.25">
      <c r="A3672">
        <v>3671</v>
      </c>
      <c r="B3672">
        <v>2</v>
      </c>
      <c r="C3672" t="s">
        <v>31</v>
      </c>
      <c r="D3672" t="s">
        <v>33</v>
      </c>
      <c r="E3672">
        <v>600000</v>
      </c>
      <c r="F3672">
        <v>1700000</v>
      </c>
      <c r="G3672">
        <v>2</v>
      </c>
      <c r="H3672">
        <v>495</v>
      </c>
      <c r="I3672">
        <v>1700000</v>
      </c>
      <c r="J3672">
        <v>200000</v>
      </c>
      <c r="K3672">
        <v>1200000</v>
      </c>
      <c r="L3672">
        <v>500000</v>
      </c>
      <c r="M3672" t="s">
        <v>35</v>
      </c>
      <c r="N3672">
        <f t="shared" si="343"/>
        <v>0</v>
      </c>
      <c r="O3672" t="str">
        <f t="shared" si="342"/>
        <v>Low</v>
      </c>
      <c r="P3672" t="str">
        <f t="shared" si="344"/>
        <v>Middle</v>
      </c>
      <c r="Q3672" t="str">
        <f t="shared" si="345"/>
        <v>Low Loan</v>
      </c>
      <c r="R3672">
        <f t="shared" si="346"/>
        <v>3600000</v>
      </c>
      <c r="S3672" t="str">
        <f t="shared" si="347"/>
        <v>Weak</v>
      </c>
    </row>
    <row r="3673" spans="1:19" x14ac:dyDescent="0.25">
      <c r="A3673">
        <v>3672</v>
      </c>
      <c r="B3673">
        <v>3</v>
      </c>
      <c r="C3673" t="s">
        <v>30</v>
      </c>
      <c r="D3673" t="s">
        <v>33</v>
      </c>
      <c r="E3673">
        <v>4400000</v>
      </c>
      <c r="F3673">
        <v>15300000</v>
      </c>
      <c r="G3673">
        <v>16</v>
      </c>
      <c r="H3673">
        <v>865</v>
      </c>
      <c r="I3673">
        <v>1200000</v>
      </c>
      <c r="J3673">
        <v>8400000</v>
      </c>
      <c r="K3673">
        <v>15000000</v>
      </c>
      <c r="L3673">
        <v>3400000</v>
      </c>
      <c r="M3673" t="s">
        <v>34</v>
      </c>
      <c r="N3673">
        <f t="shared" si="343"/>
        <v>1</v>
      </c>
      <c r="O3673" t="str">
        <f t="shared" si="342"/>
        <v>Excellent</v>
      </c>
      <c r="P3673" t="str">
        <f t="shared" si="344"/>
        <v>High</v>
      </c>
      <c r="Q3673" t="str">
        <f t="shared" si="345"/>
        <v>Low Loan</v>
      </c>
      <c r="R3673">
        <f t="shared" si="346"/>
        <v>28000000</v>
      </c>
      <c r="S3673" t="str">
        <f t="shared" si="347"/>
        <v>Strong</v>
      </c>
    </row>
    <row r="3674" spans="1:19" x14ac:dyDescent="0.25">
      <c r="A3674">
        <v>3673</v>
      </c>
      <c r="B3674">
        <v>4</v>
      </c>
      <c r="C3674" t="s">
        <v>31</v>
      </c>
      <c r="D3674" t="s">
        <v>32</v>
      </c>
      <c r="E3674">
        <v>7600000</v>
      </c>
      <c r="F3674">
        <v>20800000</v>
      </c>
      <c r="G3674">
        <v>12</v>
      </c>
      <c r="H3674">
        <v>775</v>
      </c>
      <c r="I3674">
        <v>1900000</v>
      </c>
      <c r="J3674">
        <v>13600000</v>
      </c>
      <c r="K3674">
        <v>19200000</v>
      </c>
      <c r="L3674">
        <v>6400000</v>
      </c>
      <c r="M3674" t="s">
        <v>34</v>
      </c>
      <c r="N3674">
        <f t="shared" si="343"/>
        <v>1</v>
      </c>
      <c r="O3674" t="str">
        <f t="shared" si="342"/>
        <v>Excellent</v>
      </c>
      <c r="P3674" t="str">
        <f t="shared" si="344"/>
        <v>High</v>
      </c>
      <c r="Q3674" t="str">
        <f t="shared" si="345"/>
        <v>High Loan</v>
      </c>
      <c r="R3674">
        <f t="shared" si="346"/>
        <v>41100000</v>
      </c>
      <c r="S3674" t="str">
        <f t="shared" si="347"/>
        <v>Strong</v>
      </c>
    </row>
    <row r="3675" spans="1:19" x14ac:dyDescent="0.25">
      <c r="A3675">
        <v>3674</v>
      </c>
      <c r="B3675">
        <v>5</v>
      </c>
      <c r="C3675" t="s">
        <v>30</v>
      </c>
      <c r="D3675" t="s">
        <v>33</v>
      </c>
      <c r="E3675">
        <v>8700000</v>
      </c>
      <c r="F3675">
        <v>26400000</v>
      </c>
      <c r="G3675">
        <v>10</v>
      </c>
      <c r="H3675">
        <v>318</v>
      </c>
      <c r="I3675">
        <v>11800000</v>
      </c>
      <c r="J3675">
        <v>2900000</v>
      </c>
      <c r="K3675">
        <v>23200000</v>
      </c>
      <c r="L3675">
        <v>9200000</v>
      </c>
      <c r="M3675" t="s">
        <v>35</v>
      </c>
      <c r="N3675">
        <f t="shared" si="343"/>
        <v>0</v>
      </c>
      <c r="O3675" t="str">
        <f t="shared" si="342"/>
        <v>Low</v>
      </c>
      <c r="P3675" t="str">
        <f t="shared" si="344"/>
        <v>High</v>
      </c>
      <c r="Q3675" t="str">
        <f t="shared" si="345"/>
        <v>High Loan</v>
      </c>
      <c r="R3675">
        <f t="shared" si="346"/>
        <v>47100000</v>
      </c>
      <c r="S3675" t="str">
        <f t="shared" si="347"/>
        <v>Strong</v>
      </c>
    </row>
    <row r="3676" spans="1:19" x14ac:dyDescent="0.25">
      <c r="A3676">
        <v>3675</v>
      </c>
      <c r="B3676">
        <v>3</v>
      </c>
      <c r="C3676" t="s">
        <v>30</v>
      </c>
      <c r="D3676" t="s">
        <v>33</v>
      </c>
      <c r="E3676">
        <v>5600000</v>
      </c>
      <c r="F3676">
        <v>12700000</v>
      </c>
      <c r="G3676">
        <v>12</v>
      </c>
      <c r="H3676">
        <v>395</v>
      </c>
      <c r="I3676">
        <v>8200000</v>
      </c>
      <c r="J3676">
        <v>9300000</v>
      </c>
      <c r="K3676">
        <v>22000000</v>
      </c>
      <c r="L3676">
        <v>6400000</v>
      </c>
      <c r="M3676" t="s">
        <v>35</v>
      </c>
      <c r="N3676">
        <f t="shared" si="343"/>
        <v>0</v>
      </c>
      <c r="O3676" t="str">
        <f t="shared" si="342"/>
        <v>Low</v>
      </c>
      <c r="P3676" t="str">
        <f t="shared" si="344"/>
        <v>High</v>
      </c>
      <c r="Q3676" t="str">
        <f t="shared" si="345"/>
        <v>Low Loan</v>
      </c>
      <c r="R3676">
        <f t="shared" si="346"/>
        <v>45900000</v>
      </c>
      <c r="S3676" t="str">
        <f t="shared" si="347"/>
        <v>Strong</v>
      </c>
    </row>
    <row r="3677" spans="1:19" x14ac:dyDescent="0.25">
      <c r="A3677">
        <v>3676</v>
      </c>
      <c r="B3677">
        <v>4</v>
      </c>
      <c r="C3677" t="s">
        <v>31</v>
      </c>
      <c r="D3677" t="s">
        <v>32</v>
      </c>
      <c r="E3677">
        <v>4100000</v>
      </c>
      <c r="F3677">
        <v>13100000</v>
      </c>
      <c r="G3677">
        <v>14</v>
      </c>
      <c r="H3677">
        <v>772</v>
      </c>
      <c r="I3677">
        <v>11200000</v>
      </c>
      <c r="J3677">
        <v>4200000</v>
      </c>
      <c r="K3677">
        <v>10500000</v>
      </c>
      <c r="L3677">
        <v>3800000</v>
      </c>
      <c r="M3677" t="s">
        <v>34</v>
      </c>
      <c r="N3677">
        <f t="shared" si="343"/>
        <v>1</v>
      </c>
      <c r="O3677" t="str">
        <f t="shared" si="342"/>
        <v>Excellent</v>
      </c>
      <c r="P3677" t="str">
        <f t="shared" si="344"/>
        <v>High</v>
      </c>
      <c r="Q3677" t="str">
        <f t="shared" si="345"/>
        <v>Low Loan</v>
      </c>
      <c r="R3677">
        <f t="shared" si="346"/>
        <v>29700000</v>
      </c>
      <c r="S3677" t="str">
        <f t="shared" si="347"/>
        <v>Strong</v>
      </c>
    </row>
    <row r="3678" spans="1:19" x14ac:dyDescent="0.25">
      <c r="A3678">
        <v>3677</v>
      </c>
      <c r="B3678">
        <v>2</v>
      </c>
      <c r="C3678" t="s">
        <v>31</v>
      </c>
      <c r="D3678" t="s">
        <v>33</v>
      </c>
      <c r="E3678">
        <v>7900000</v>
      </c>
      <c r="F3678">
        <v>16100000</v>
      </c>
      <c r="G3678">
        <v>18</v>
      </c>
      <c r="H3678">
        <v>318</v>
      </c>
      <c r="I3678">
        <v>17300000</v>
      </c>
      <c r="J3678">
        <v>2900000</v>
      </c>
      <c r="K3678">
        <v>29900000</v>
      </c>
      <c r="L3678">
        <v>9300000</v>
      </c>
      <c r="M3678" t="s">
        <v>35</v>
      </c>
      <c r="N3678">
        <f t="shared" si="343"/>
        <v>0</v>
      </c>
      <c r="O3678" t="str">
        <f t="shared" si="342"/>
        <v>Low</v>
      </c>
      <c r="P3678" t="str">
        <f t="shared" si="344"/>
        <v>High</v>
      </c>
      <c r="Q3678" t="str">
        <f t="shared" si="345"/>
        <v>Low Loan</v>
      </c>
      <c r="R3678">
        <f t="shared" si="346"/>
        <v>59400000</v>
      </c>
      <c r="S3678" t="str">
        <f t="shared" si="347"/>
        <v>Strong</v>
      </c>
    </row>
    <row r="3679" spans="1:19" x14ac:dyDescent="0.25">
      <c r="A3679">
        <v>3678</v>
      </c>
      <c r="B3679">
        <v>3</v>
      </c>
      <c r="C3679" t="s">
        <v>31</v>
      </c>
      <c r="D3679" t="s">
        <v>33</v>
      </c>
      <c r="E3679">
        <v>5600000</v>
      </c>
      <c r="F3679">
        <v>20900000</v>
      </c>
      <c r="G3679">
        <v>14</v>
      </c>
      <c r="H3679">
        <v>649</v>
      </c>
      <c r="I3679">
        <v>4000000</v>
      </c>
      <c r="J3679">
        <v>10700000</v>
      </c>
      <c r="K3679">
        <v>13000000</v>
      </c>
      <c r="L3679">
        <v>8200000</v>
      </c>
      <c r="M3679" t="s">
        <v>34</v>
      </c>
      <c r="N3679">
        <f t="shared" si="343"/>
        <v>1</v>
      </c>
      <c r="O3679" t="str">
        <f t="shared" si="342"/>
        <v>Low</v>
      </c>
      <c r="P3679" t="str">
        <f t="shared" si="344"/>
        <v>High</v>
      </c>
      <c r="Q3679" t="str">
        <f t="shared" si="345"/>
        <v>High Loan</v>
      </c>
      <c r="R3679">
        <f t="shared" si="346"/>
        <v>35900000</v>
      </c>
      <c r="S3679" t="str">
        <f t="shared" si="347"/>
        <v>Strong</v>
      </c>
    </row>
    <row r="3680" spans="1:19" x14ac:dyDescent="0.25">
      <c r="A3680">
        <v>3679</v>
      </c>
      <c r="B3680">
        <v>3</v>
      </c>
      <c r="C3680" t="s">
        <v>31</v>
      </c>
      <c r="D3680" t="s">
        <v>32</v>
      </c>
      <c r="E3680">
        <v>1200000</v>
      </c>
      <c r="F3680">
        <v>3100000</v>
      </c>
      <c r="G3680">
        <v>10</v>
      </c>
      <c r="H3680">
        <v>438</v>
      </c>
      <c r="I3680">
        <v>1500000</v>
      </c>
      <c r="J3680">
        <v>2200000</v>
      </c>
      <c r="K3680">
        <v>3900000</v>
      </c>
      <c r="L3680">
        <v>1000000</v>
      </c>
      <c r="M3680" t="s">
        <v>35</v>
      </c>
      <c r="N3680">
        <f t="shared" si="343"/>
        <v>0</v>
      </c>
      <c r="O3680" t="str">
        <f t="shared" si="342"/>
        <v>Low</v>
      </c>
      <c r="P3680" t="str">
        <f t="shared" si="344"/>
        <v>High</v>
      </c>
      <c r="Q3680" t="str">
        <f t="shared" si="345"/>
        <v>Low Loan</v>
      </c>
      <c r="R3680">
        <f t="shared" si="346"/>
        <v>8600000</v>
      </c>
      <c r="S3680" t="str">
        <f t="shared" si="347"/>
        <v>Moderate</v>
      </c>
    </row>
    <row r="3681" spans="1:19" x14ac:dyDescent="0.25">
      <c r="A3681">
        <v>3680</v>
      </c>
      <c r="B3681">
        <v>5</v>
      </c>
      <c r="C3681" t="s">
        <v>30</v>
      </c>
      <c r="D3681" t="s">
        <v>32</v>
      </c>
      <c r="E3681">
        <v>6900000</v>
      </c>
      <c r="F3681">
        <v>19700000</v>
      </c>
      <c r="G3681">
        <v>6</v>
      </c>
      <c r="H3681">
        <v>588</v>
      </c>
      <c r="I3681">
        <v>9800000</v>
      </c>
      <c r="J3681">
        <v>7500000</v>
      </c>
      <c r="K3681">
        <v>17100000</v>
      </c>
      <c r="L3681">
        <v>7300000</v>
      </c>
      <c r="M3681" t="s">
        <v>34</v>
      </c>
      <c r="N3681">
        <f t="shared" si="343"/>
        <v>1</v>
      </c>
      <c r="O3681" t="str">
        <f t="shared" si="342"/>
        <v>Low</v>
      </c>
      <c r="P3681" t="str">
        <f t="shared" si="344"/>
        <v>High</v>
      </c>
      <c r="Q3681" t="str">
        <f t="shared" si="345"/>
        <v>Low Loan</v>
      </c>
      <c r="R3681">
        <f t="shared" si="346"/>
        <v>41700000</v>
      </c>
      <c r="S3681" t="str">
        <f t="shared" si="347"/>
        <v>Strong</v>
      </c>
    </row>
    <row r="3682" spans="1:19" x14ac:dyDescent="0.25">
      <c r="A3682">
        <v>3681</v>
      </c>
      <c r="B3682">
        <v>5</v>
      </c>
      <c r="C3682" t="s">
        <v>31</v>
      </c>
      <c r="D3682" t="s">
        <v>32</v>
      </c>
      <c r="E3682">
        <v>2700000</v>
      </c>
      <c r="F3682">
        <v>5600000</v>
      </c>
      <c r="G3682">
        <v>2</v>
      </c>
      <c r="H3682">
        <v>815</v>
      </c>
      <c r="I3682">
        <v>1100000</v>
      </c>
      <c r="J3682">
        <v>2000000</v>
      </c>
      <c r="K3682">
        <v>7100000</v>
      </c>
      <c r="L3682">
        <v>2600000</v>
      </c>
      <c r="M3682" t="s">
        <v>34</v>
      </c>
      <c r="N3682">
        <f t="shared" si="343"/>
        <v>1</v>
      </c>
      <c r="O3682" t="str">
        <f t="shared" si="342"/>
        <v>Excellent</v>
      </c>
      <c r="P3682" t="str">
        <f t="shared" si="344"/>
        <v>High</v>
      </c>
      <c r="Q3682" t="str">
        <f t="shared" si="345"/>
        <v>Low Loan</v>
      </c>
      <c r="R3682">
        <f t="shared" si="346"/>
        <v>12800000</v>
      </c>
      <c r="S3682" t="str">
        <f t="shared" si="347"/>
        <v>Strong</v>
      </c>
    </row>
    <row r="3683" spans="1:19" x14ac:dyDescent="0.25">
      <c r="A3683">
        <v>3682</v>
      </c>
      <c r="B3683">
        <v>4</v>
      </c>
      <c r="C3683" t="s">
        <v>30</v>
      </c>
      <c r="D3683" t="s">
        <v>33</v>
      </c>
      <c r="E3683">
        <v>9800000</v>
      </c>
      <c r="F3683">
        <v>22100000</v>
      </c>
      <c r="G3683">
        <v>4</v>
      </c>
      <c r="H3683">
        <v>364</v>
      </c>
      <c r="I3683">
        <v>16800000</v>
      </c>
      <c r="J3683">
        <v>11100000</v>
      </c>
      <c r="K3683">
        <v>26500000</v>
      </c>
      <c r="L3683">
        <v>7300000</v>
      </c>
      <c r="M3683" t="s">
        <v>35</v>
      </c>
      <c r="N3683">
        <f t="shared" si="343"/>
        <v>0</v>
      </c>
      <c r="O3683" t="str">
        <f t="shared" si="342"/>
        <v>Low</v>
      </c>
      <c r="P3683" t="str">
        <f t="shared" si="344"/>
        <v>High</v>
      </c>
      <c r="Q3683" t="str">
        <f t="shared" si="345"/>
        <v>High Loan</v>
      </c>
      <c r="R3683">
        <f t="shared" si="346"/>
        <v>61700000</v>
      </c>
      <c r="S3683" t="str">
        <f t="shared" si="347"/>
        <v>Strong</v>
      </c>
    </row>
    <row r="3684" spans="1:19" x14ac:dyDescent="0.25">
      <c r="A3684">
        <v>3683</v>
      </c>
      <c r="B3684">
        <v>2</v>
      </c>
      <c r="C3684" t="s">
        <v>31</v>
      </c>
      <c r="D3684" t="s">
        <v>32</v>
      </c>
      <c r="E3684">
        <v>9300000</v>
      </c>
      <c r="F3684">
        <v>32300000</v>
      </c>
      <c r="G3684">
        <v>4</v>
      </c>
      <c r="H3684">
        <v>586</v>
      </c>
      <c r="I3684">
        <v>14300000</v>
      </c>
      <c r="J3684">
        <v>6400000</v>
      </c>
      <c r="K3684">
        <v>37000000</v>
      </c>
      <c r="L3684">
        <v>10400000</v>
      </c>
      <c r="M3684" t="s">
        <v>34</v>
      </c>
      <c r="N3684">
        <f t="shared" si="343"/>
        <v>1</v>
      </c>
      <c r="O3684" t="str">
        <f t="shared" si="342"/>
        <v>Low</v>
      </c>
      <c r="P3684" t="str">
        <f t="shared" si="344"/>
        <v>High</v>
      </c>
      <c r="Q3684" t="str">
        <f t="shared" si="345"/>
        <v>High Loan</v>
      </c>
      <c r="R3684">
        <f t="shared" si="346"/>
        <v>68100000</v>
      </c>
      <c r="S3684" t="str">
        <f t="shared" si="347"/>
        <v>Strong</v>
      </c>
    </row>
    <row r="3685" spans="1:19" x14ac:dyDescent="0.25">
      <c r="A3685">
        <v>3684</v>
      </c>
      <c r="B3685">
        <v>4</v>
      </c>
      <c r="C3685" t="s">
        <v>31</v>
      </c>
      <c r="D3685" t="s">
        <v>32</v>
      </c>
      <c r="E3685">
        <v>6700000</v>
      </c>
      <c r="F3685">
        <v>25300000</v>
      </c>
      <c r="G3685">
        <v>12</v>
      </c>
      <c r="H3685">
        <v>555</v>
      </c>
      <c r="I3685">
        <v>16900000</v>
      </c>
      <c r="J3685">
        <v>3600000</v>
      </c>
      <c r="K3685">
        <v>23500000</v>
      </c>
      <c r="L3685">
        <v>4900000</v>
      </c>
      <c r="M3685" t="s">
        <v>34</v>
      </c>
      <c r="N3685">
        <f t="shared" si="343"/>
        <v>1</v>
      </c>
      <c r="O3685" t="str">
        <f t="shared" si="342"/>
        <v>Low</v>
      </c>
      <c r="P3685" t="str">
        <f t="shared" si="344"/>
        <v>High</v>
      </c>
      <c r="Q3685" t="str">
        <f t="shared" si="345"/>
        <v>High Loan</v>
      </c>
      <c r="R3685">
        <f t="shared" si="346"/>
        <v>48900000</v>
      </c>
      <c r="S3685" t="str">
        <f t="shared" si="347"/>
        <v>Strong</v>
      </c>
    </row>
    <row r="3686" spans="1:19" x14ac:dyDescent="0.25">
      <c r="A3686">
        <v>3685</v>
      </c>
      <c r="B3686">
        <v>4</v>
      </c>
      <c r="C3686" t="s">
        <v>30</v>
      </c>
      <c r="D3686" t="s">
        <v>32</v>
      </c>
      <c r="E3686">
        <v>1300000</v>
      </c>
      <c r="F3686">
        <v>4600000</v>
      </c>
      <c r="G3686">
        <v>10</v>
      </c>
      <c r="H3686">
        <v>312</v>
      </c>
      <c r="I3686">
        <v>1800000</v>
      </c>
      <c r="J3686">
        <v>600000</v>
      </c>
      <c r="K3686">
        <v>3100000</v>
      </c>
      <c r="L3686">
        <v>800000</v>
      </c>
      <c r="M3686" t="s">
        <v>35</v>
      </c>
      <c r="N3686">
        <f t="shared" si="343"/>
        <v>0</v>
      </c>
      <c r="O3686" t="str">
        <f t="shared" si="342"/>
        <v>Low</v>
      </c>
      <c r="P3686" t="str">
        <f t="shared" si="344"/>
        <v>High</v>
      </c>
      <c r="Q3686" t="str">
        <f t="shared" si="345"/>
        <v>Low Loan</v>
      </c>
      <c r="R3686">
        <f t="shared" si="346"/>
        <v>6300000</v>
      </c>
      <c r="S3686" t="str">
        <f t="shared" si="347"/>
        <v>Moderate</v>
      </c>
    </row>
    <row r="3687" spans="1:19" x14ac:dyDescent="0.25">
      <c r="A3687">
        <v>3686</v>
      </c>
      <c r="B3687">
        <v>2</v>
      </c>
      <c r="C3687" t="s">
        <v>30</v>
      </c>
      <c r="D3687" t="s">
        <v>33</v>
      </c>
      <c r="E3687">
        <v>7900000</v>
      </c>
      <c r="F3687">
        <v>17100000</v>
      </c>
      <c r="G3687">
        <v>16</v>
      </c>
      <c r="H3687">
        <v>605</v>
      </c>
      <c r="I3687">
        <v>19200000</v>
      </c>
      <c r="J3687">
        <v>14100000</v>
      </c>
      <c r="K3687">
        <v>21900000</v>
      </c>
      <c r="L3687">
        <v>10400000</v>
      </c>
      <c r="M3687" t="s">
        <v>34</v>
      </c>
      <c r="N3687">
        <f t="shared" si="343"/>
        <v>1</v>
      </c>
      <c r="O3687" t="str">
        <f t="shared" si="342"/>
        <v>Low</v>
      </c>
      <c r="P3687" t="str">
        <f t="shared" si="344"/>
        <v>High</v>
      </c>
      <c r="Q3687" t="str">
        <f t="shared" si="345"/>
        <v>Low Loan</v>
      </c>
      <c r="R3687">
        <f t="shared" si="346"/>
        <v>65600000</v>
      </c>
      <c r="S3687" t="str">
        <f t="shared" si="347"/>
        <v>Strong</v>
      </c>
    </row>
    <row r="3688" spans="1:19" x14ac:dyDescent="0.25">
      <c r="A3688">
        <v>3687</v>
      </c>
      <c r="B3688">
        <v>5</v>
      </c>
      <c r="C3688" t="s">
        <v>31</v>
      </c>
      <c r="D3688" t="s">
        <v>32</v>
      </c>
      <c r="E3688">
        <v>6700000</v>
      </c>
      <c r="F3688">
        <v>23200000</v>
      </c>
      <c r="G3688">
        <v>18</v>
      </c>
      <c r="H3688">
        <v>672</v>
      </c>
      <c r="I3688">
        <v>1600000</v>
      </c>
      <c r="J3688">
        <v>6700000</v>
      </c>
      <c r="K3688">
        <v>20800000</v>
      </c>
      <c r="L3688">
        <v>5400000</v>
      </c>
      <c r="M3688" t="s">
        <v>34</v>
      </c>
      <c r="N3688">
        <f t="shared" si="343"/>
        <v>1</v>
      </c>
      <c r="O3688" t="str">
        <f t="shared" si="342"/>
        <v>Medium</v>
      </c>
      <c r="P3688" t="str">
        <f t="shared" si="344"/>
        <v>High</v>
      </c>
      <c r="Q3688" t="str">
        <f t="shared" si="345"/>
        <v>High Loan</v>
      </c>
      <c r="R3688">
        <f t="shared" si="346"/>
        <v>34500000</v>
      </c>
      <c r="S3688" t="str">
        <f t="shared" si="347"/>
        <v>Strong</v>
      </c>
    </row>
    <row r="3689" spans="1:19" x14ac:dyDescent="0.25">
      <c r="A3689">
        <v>3688</v>
      </c>
      <c r="B3689">
        <v>2</v>
      </c>
      <c r="C3689" t="s">
        <v>31</v>
      </c>
      <c r="D3689" t="s">
        <v>33</v>
      </c>
      <c r="E3689">
        <v>2100000</v>
      </c>
      <c r="F3689">
        <v>4500000</v>
      </c>
      <c r="G3689">
        <v>18</v>
      </c>
      <c r="H3689">
        <v>591</v>
      </c>
      <c r="I3689">
        <v>2500000</v>
      </c>
      <c r="J3689">
        <v>500000</v>
      </c>
      <c r="K3689">
        <v>5500000</v>
      </c>
      <c r="L3689">
        <v>1500000</v>
      </c>
      <c r="M3689" t="s">
        <v>34</v>
      </c>
      <c r="N3689">
        <f t="shared" si="343"/>
        <v>1</v>
      </c>
      <c r="O3689" t="str">
        <f t="shared" si="342"/>
        <v>Low</v>
      </c>
      <c r="P3689" t="str">
        <f t="shared" si="344"/>
        <v>High</v>
      </c>
      <c r="Q3689" t="str">
        <f t="shared" si="345"/>
        <v>Low Loan</v>
      </c>
      <c r="R3689">
        <f t="shared" si="346"/>
        <v>10000000</v>
      </c>
      <c r="S3689" t="str">
        <f t="shared" si="347"/>
        <v>Strong</v>
      </c>
    </row>
    <row r="3690" spans="1:19" x14ac:dyDescent="0.25">
      <c r="A3690">
        <v>3689</v>
      </c>
      <c r="B3690">
        <v>4</v>
      </c>
      <c r="C3690" t="s">
        <v>30</v>
      </c>
      <c r="D3690" t="s">
        <v>33</v>
      </c>
      <c r="E3690">
        <v>4700000</v>
      </c>
      <c r="F3690">
        <v>11000000</v>
      </c>
      <c r="G3690">
        <v>4</v>
      </c>
      <c r="H3690">
        <v>321</v>
      </c>
      <c r="I3690">
        <v>10100000</v>
      </c>
      <c r="J3690">
        <v>100000</v>
      </c>
      <c r="K3690">
        <v>9600000</v>
      </c>
      <c r="L3690">
        <v>6900000</v>
      </c>
      <c r="M3690" t="s">
        <v>35</v>
      </c>
      <c r="N3690">
        <f t="shared" si="343"/>
        <v>0</v>
      </c>
      <c r="O3690" t="str">
        <f t="shared" si="342"/>
        <v>Low</v>
      </c>
      <c r="P3690" t="str">
        <f t="shared" si="344"/>
        <v>High</v>
      </c>
      <c r="Q3690" t="str">
        <f t="shared" si="345"/>
        <v>Low Loan</v>
      </c>
      <c r="R3690">
        <f t="shared" si="346"/>
        <v>26700000</v>
      </c>
      <c r="S3690" t="str">
        <f t="shared" si="347"/>
        <v>Strong</v>
      </c>
    </row>
    <row r="3691" spans="1:19" x14ac:dyDescent="0.25">
      <c r="A3691">
        <v>3690</v>
      </c>
      <c r="B3691">
        <v>2</v>
      </c>
      <c r="C3691" t="s">
        <v>30</v>
      </c>
      <c r="D3691" t="s">
        <v>32</v>
      </c>
      <c r="E3691">
        <v>3700000</v>
      </c>
      <c r="F3691">
        <v>13400000</v>
      </c>
      <c r="G3691">
        <v>16</v>
      </c>
      <c r="H3691">
        <v>393</v>
      </c>
      <c r="I3691">
        <v>6400000</v>
      </c>
      <c r="J3691">
        <v>600000</v>
      </c>
      <c r="K3691">
        <v>14200000</v>
      </c>
      <c r="L3691">
        <v>3500000</v>
      </c>
      <c r="M3691" t="s">
        <v>35</v>
      </c>
      <c r="N3691">
        <f t="shared" si="343"/>
        <v>0</v>
      </c>
      <c r="O3691" t="str">
        <f t="shared" si="342"/>
        <v>Low</v>
      </c>
      <c r="P3691" t="str">
        <f t="shared" si="344"/>
        <v>High</v>
      </c>
      <c r="Q3691" t="str">
        <f t="shared" si="345"/>
        <v>Low Loan</v>
      </c>
      <c r="R3691">
        <f t="shared" si="346"/>
        <v>24700000</v>
      </c>
      <c r="S3691" t="str">
        <f t="shared" si="347"/>
        <v>Strong</v>
      </c>
    </row>
    <row r="3692" spans="1:19" x14ac:dyDescent="0.25">
      <c r="A3692">
        <v>3691</v>
      </c>
      <c r="B3692">
        <v>0</v>
      </c>
      <c r="C3692" t="s">
        <v>30</v>
      </c>
      <c r="D3692" t="s">
        <v>33</v>
      </c>
      <c r="E3692">
        <v>5800000</v>
      </c>
      <c r="F3692">
        <v>21800000</v>
      </c>
      <c r="G3692">
        <v>2</v>
      </c>
      <c r="H3692">
        <v>561</v>
      </c>
      <c r="I3692">
        <v>4400000</v>
      </c>
      <c r="J3692">
        <v>7200000</v>
      </c>
      <c r="K3692">
        <v>15000000</v>
      </c>
      <c r="L3692">
        <v>4200000</v>
      </c>
      <c r="M3692" t="s">
        <v>34</v>
      </c>
      <c r="N3692">
        <f t="shared" si="343"/>
        <v>1</v>
      </c>
      <c r="O3692" t="str">
        <f t="shared" si="342"/>
        <v>Low</v>
      </c>
      <c r="P3692" t="str">
        <f t="shared" si="344"/>
        <v>High</v>
      </c>
      <c r="Q3692" t="str">
        <f t="shared" si="345"/>
        <v>High Loan</v>
      </c>
      <c r="R3692">
        <f t="shared" si="346"/>
        <v>30800000</v>
      </c>
      <c r="S3692" t="str">
        <f t="shared" si="347"/>
        <v>Strong</v>
      </c>
    </row>
    <row r="3693" spans="1:19" x14ac:dyDescent="0.25">
      <c r="A3693">
        <v>3692</v>
      </c>
      <c r="B3693">
        <v>5</v>
      </c>
      <c r="C3693" t="s">
        <v>30</v>
      </c>
      <c r="D3693" t="s">
        <v>33</v>
      </c>
      <c r="E3693">
        <v>2400000</v>
      </c>
      <c r="F3693">
        <v>6900000</v>
      </c>
      <c r="G3693">
        <v>20</v>
      </c>
      <c r="H3693">
        <v>725</v>
      </c>
      <c r="I3693">
        <v>1700000</v>
      </c>
      <c r="J3693">
        <v>400000</v>
      </c>
      <c r="K3693">
        <v>8800000</v>
      </c>
      <c r="L3693">
        <v>2400000</v>
      </c>
      <c r="M3693" t="s">
        <v>34</v>
      </c>
      <c r="N3693">
        <f t="shared" si="343"/>
        <v>1</v>
      </c>
      <c r="O3693" t="str">
        <f t="shared" si="342"/>
        <v>Good</v>
      </c>
      <c r="P3693" t="str">
        <f t="shared" si="344"/>
        <v>High</v>
      </c>
      <c r="Q3693" t="str">
        <f t="shared" si="345"/>
        <v>Low Loan</v>
      </c>
      <c r="R3693">
        <f t="shared" si="346"/>
        <v>13300000</v>
      </c>
      <c r="S3693" t="str">
        <f t="shared" si="347"/>
        <v>Strong</v>
      </c>
    </row>
    <row r="3694" spans="1:19" x14ac:dyDescent="0.25">
      <c r="A3694">
        <v>3693</v>
      </c>
      <c r="B3694">
        <v>1</v>
      </c>
      <c r="C3694" t="s">
        <v>31</v>
      </c>
      <c r="D3694" t="s">
        <v>33</v>
      </c>
      <c r="E3694">
        <v>8100000</v>
      </c>
      <c r="F3694">
        <v>27600000</v>
      </c>
      <c r="G3694">
        <v>16</v>
      </c>
      <c r="H3694">
        <v>438</v>
      </c>
      <c r="I3694">
        <v>1000000</v>
      </c>
      <c r="J3694">
        <v>10500000</v>
      </c>
      <c r="K3694">
        <v>32200000</v>
      </c>
      <c r="L3694">
        <v>8000000</v>
      </c>
      <c r="M3694" t="s">
        <v>35</v>
      </c>
      <c r="N3694">
        <f t="shared" si="343"/>
        <v>0</v>
      </c>
      <c r="O3694" t="str">
        <f t="shared" si="342"/>
        <v>Low</v>
      </c>
      <c r="P3694" t="str">
        <f t="shared" si="344"/>
        <v>High</v>
      </c>
      <c r="Q3694" t="str">
        <f t="shared" si="345"/>
        <v>High Loan</v>
      </c>
      <c r="R3694">
        <f t="shared" si="346"/>
        <v>51700000</v>
      </c>
      <c r="S3694" t="str">
        <f t="shared" si="347"/>
        <v>Strong</v>
      </c>
    </row>
    <row r="3695" spans="1:19" x14ac:dyDescent="0.25">
      <c r="A3695">
        <v>3694</v>
      </c>
      <c r="B3695">
        <v>5</v>
      </c>
      <c r="C3695" t="s">
        <v>30</v>
      </c>
      <c r="D3695" t="s">
        <v>33</v>
      </c>
      <c r="E3695">
        <v>5400000</v>
      </c>
      <c r="F3695">
        <v>21400000</v>
      </c>
      <c r="G3695">
        <v>12</v>
      </c>
      <c r="H3695">
        <v>399</v>
      </c>
      <c r="I3695">
        <v>4000000</v>
      </c>
      <c r="J3695">
        <v>9700000</v>
      </c>
      <c r="K3695">
        <v>12400000</v>
      </c>
      <c r="L3695">
        <v>6800000</v>
      </c>
      <c r="M3695" t="s">
        <v>35</v>
      </c>
      <c r="N3695">
        <f t="shared" si="343"/>
        <v>0</v>
      </c>
      <c r="O3695" t="str">
        <f t="shared" si="342"/>
        <v>Low</v>
      </c>
      <c r="P3695" t="str">
        <f t="shared" si="344"/>
        <v>High</v>
      </c>
      <c r="Q3695" t="str">
        <f t="shared" si="345"/>
        <v>High Loan</v>
      </c>
      <c r="R3695">
        <f t="shared" si="346"/>
        <v>32900000</v>
      </c>
      <c r="S3695" t="str">
        <f t="shared" si="347"/>
        <v>Strong</v>
      </c>
    </row>
    <row r="3696" spans="1:19" x14ac:dyDescent="0.25">
      <c r="A3696">
        <v>3695</v>
      </c>
      <c r="B3696">
        <v>0</v>
      </c>
      <c r="C3696" t="s">
        <v>30</v>
      </c>
      <c r="D3696" t="s">
        <v>32</v>
      </c>
      <c r="E3696">
        <v>1400000</v>
      </c>
      <c r="F3696">
        <v>5400000</v>
      </c>
      <c r="G3696">
        <v>8</v>
      </c>
      <c r="H3696">
        <v>592</v>
      </c>
      <c r="I3696">
        <v>4100000</v>
      </c>
      <c r="J3696">
        <v>400000</v>
      </c>
      <c r="K3696">
        <v>4300000</v>
      </c>
      <c r="L3696">
        <v>800000</v>
      </c>
      <c r="M3696" t="s">
        <v>34</v>
      </c>
      <c r="N3696">
        <f t="shared" si="343"/>
        <v>1</v>
      </c>
      <c r="O3696" t="str">
        <f t="shared" si="342"/>
        <v>Low</v>
      </c>
      <c r="P3696" t="str">
        <f t="shared" si="344"/>
        <v>High</v>
      </c>
      <c r="Q3696" t="str">
        <f t="shared" si="345"/>
        <v>Low Loan</v>
      </c>
      <c r="R3696">
        <f t="shared" si="346"/>
        <v>9600000</v>
      </c>
      <c r="S3696" t="str">
        <f t="shared" si="347"/>
        <v>Moderate</v>
      </c>
    </row>
    <row r="3697" spans="1:19" x14ac:dyDescent="0.25">
      <c r="A3697">
        <v>3696</v>
      </c>
      <c r="B3697">
        <v>2</v>
      </c>
      <c r="C3697" t="s">
        <v>31</v>
      </c>
      <c r="D3697" t="s">
        <v>32</v>
      </c>
      <c r="E3697">
        <v>2500000</v>
      </c>
      <c r="F3697">
        <v>8600000</v>
      </c>
      <c r="G3697">
        <v>8</v>
      </c>
      <c r="H3697">
        <v>835</v>
      </c>
      <c r="I3697">
        <v>2500000</v>
      </c>
      <c r="J3697">
        <v>4000000</v>
      </c>
      <c r="K3697">
        <v>7700000</v>
      </c>
      <c r="L3697">
        <v>1300000</v>
      </c>
      <c r="M3697" t="s">
        <v>34</v>
      </c>
      <c r="N3697">
        <f t="shared" si="343"/>
        <v>1</v>
      </c>
      <c r="O3697" t="str">
        <f t="shared" si="342"/>
        <v>Excellent</v>
      </c>
      <c r="P3697" t="str">
        <f t="shared" si="344"/>
        <v>High</v>
      </c>
      <c r="Q3697" t="str">
        <f t="shared" si="345"/>
        <v>Low Loan</v>
      </c>
      <c r="R3697">
        <f t="shared" si="346"/>
        <v>15500000</v>
      </c>
      <c r="S3697" t="str">
        <f t="shared" si="347"/>
        <v>Strong</v>
      </c>
    </row>
    <row r="3698" spans="1:19" x14ac:dyDescent="0.25">
      <c r="A3698">
        <v>3697</v>
      </c>
      <c r="B3698">
        <v>0</v>
      </c>
      <c r="C3698" t="s">
        <v>31</v>
      </c>
      <c r="D3698" t="s">
        <v>33</v>
      </c>
      <c r="E3698">
        <v>1600000</v>
      </c>
      <c r="F3698">
        <v>5300000</v>
      </c>
      <c r="G3698">
        <v>4</v>
      </c>
      <c r="H3698">
        <v>733</v>
      </c>
      <c r="I3698">
        <v>400000</v>
      </c>
      <c r="J3698">
        <v>2100000</v>
      </c>
      <c r="K3698">
        <v>5500000</v>
      </c>
      <c r="L3698">
        <v>1100000</v>
      </c>
      <c r="M3698" t="s">
        <v>34</v>
      </c>
      <c r="N3698">
        <f t="shared" si="343"/>
        <v>1</v>
      </c>
      <c r="O3698" t="str">
        <f t="shared" si="342"/>
        <v>Good</v>
      </c>
      <c r="P3698" t="str">
        <f t="shared" si="344"/>
        <v>High</v>
      </c>
      <c r="Q3698" t="str">
        <f t="shared" si="345"/>
        <v>Low Loan</v>
      </c>
      <c r="R3698">
        <f t="shared" si="346"/>
        <v>9100000</v>
      </c>
      <c r="S3698" t="str">
        <f t="shared" si="347"/>
        <v>Moderate</v>
      </c>
    </row>
    <row r="3699" spans="1:19" x14ac:dyDescent="0.25">
      <c r="A3699">
        <v>3698</v>
      </c>
      <c r="B3699">
        <v>0</v>
      </c>
      <c r="C3699" t="s">
        <v>31</v>
      </c>
      <c r="D3699" t="s">
        <v>32</v>
      </c>
      <c r="E3699">
        <v>3700000</v>
      </c>
      <c r="F3699">
        <v>10600000</v>
      </c>
      <c r="G3699">
        <v>20</v>
      </c>
      <c r="H3699">
        <v>484</v>
      </c>
      <c r="I3699">
        <v>5800000</v>
      </c>
      <c r="J3699">
        <v>1300000</v>
      </c>
      <c r="K3699">
        <v>13900000</v>
      </c>
      <c r="L3699">
        <v>3500000</v>
      </c>
      <c r="M3699" t="s">
        <v>35</v>
      </c>
      <c r="N3699">
        <f t="shared" si="343"/>
        <v>0</v>
      </c>
      <c r="O3699" t="str">
        <f t="shared" si="342"/>
        <v>Low</v>
      </c>
      <c r="P3699" t="str">
        <f t="shared" si="344"/>
        <v>High</v>
      </c>
      <c r="Q3699" t="str">
        <f t="shared" si="345"/>
        <v>Low Loan</v>
      </c>
      <c r="R3699">
        <f t="shared" si="346"/>
        <v>24500000</v>
      </c>
      <c r="S3699" t="str">
        <f t="shared" si="347"/>
        <v>Strong</v>
      </c>
    </row>
    <row r="3700" spans="1:19" x14ac:dyDescent="0.25">
      <c r="A3700">
        <v>3699</v>
      </c>
      <c r="B3700">
        <v>5</v>
      </c>
      <c r="C3700" t="s">
        <v>31</v>
      </c>
      <c r="D3700" t="s">
        <v>33</v>
      </c>
      <c r="E3700">
        <v>500000</v>
      </c>
      <c r="F3700">
        <v>1800000</v>
      </c>
      <c r="G3700">
        <v>20</v>
      </c>
      <c r="H3700">
        <v>615</v>
      </c>
      <c r="I3700">
        <v>500000</v>
      </c>
      <c r="J3700">
        <v>700000</v>
      </c>
      <c r="K3700">
        <v>1100000</v>
      </c>
      <c r="L3700">
        <v>300000</v>
      </c>
      <c r="M3700" t="s">
        <v>34</v>
      </c>
      <c r="N3700">
        <f t="shared" si="343"/>
        <v>1</v>
      </c>
      <c r="O3700" t="str">
        <f t="shared" si="342"/>
        <v>Low</v>
      </c>
      <c r="P3700" t="str">
        <f t="shared" si="344"/>
        <v>Middle</v>
      </c>
      <c r="Q3700" t="str">
        <f t="shared" si="345"/>
        <v>Low Loan</v>
      </c>
      <c r="R3700">
        <f t="shared" si="346"/>
        <v>2600000</v>
      </c>
      <c r="S3700" t="str">
        <f t="shared" si="347"/>
        <v>Weak</v>
      </c>
    </row>
    <row r="3701" spans="1:19" x14ac:dyDescent="0.25">
      <c r="A3701">
        <v>3700</v>
      </c>
      <c r="B3701">
        <v>3</v>
      </c>
      <c r="C3701" t="s">
        <v>31</v>
      </c>
      <c r="D3701" t="s">
        <v>33</v>
      </c>
      <c r="E3701">
        <v>5300000</v>
      </c>
      <c r="F3701">
        <v>19500000</v>
      </c>
      <c r="G3701">
        <v>4</v>
      </c>
      <c r="H3701">
        <v>591</v>
      </c>
      <c r="I3701">
        <v>13200000</v>
      </c>
      <c r="J3701">
        <v>4700000</v>
      </c>
      <c r="K3701">
        <v>19800000</v>
      </c>
      <c r="L3701">
        <v>7900000</v>
      </c>
      <c r="M3701" t="s">
        <v>34</v>
      </c>
      <c r="N3701">
        <f t="shared" si="343"/>
        <v>1</v>
      </c>
      <c r="O3701" t="str">
        <f t="shared" si="342"/>
        <v>Low</v>
      </c>
      <c r="P3701" t="str">
        <f t="shared" si="344"/>
        <v>High</v>
      </c>
      <c r="Q3701" t="str">
        <f t="shared" si="345"/>
        <v>Low Loan</v>
      </c>
      <c r="R3701">
        <f t="shared" si="346"/>
        <v>45600000</v>
      </c>
      <c r="S3701" t="str">
        <f t="shared" si="347"/>
        <v>Strong</v>
      </c>
    </row>
    <row r="3702" spans="1:19" x14ac:dyDescent="0.25">
      <c r="A3702">
        <v>3701</v>
      </c>
      <c r="B3702">
        <v>0</v>
      </c>
      <c r="C3702" t="s">
        <v>30</v>
      </c>
      <c r="D3702" t="s">
        <v>33</v>
      </c>
      <c r="E3702">
        <v>2800000</v>
      </c>
      <c r="F3702">
        <v>6800000</v>
      </c>
      <c r="G3702">
        <v>12</v>
      </c>
      <c r="H3702">
        <v>349</v>
      </c>
      <c r="I3702">
        <v>4100000</v>
      </c>
      <c r="J3702">
        <v>2000000</v>
      </c>
      <c r="K3702">
        <v>11100000</v>
      </c>
      <c r="L3702">
        <v>1400000</v>
      </c>
      <c r="M3702" t="s">
        <v>35</v>
      </c>
      <c r="N3702">
        <f t="shared" si="343"/>
        <v>0</v>
      </c>
      <c r="O3702" t="str">
        <f t="shared" si="342"/>
        <v>Low</v>
      </c>
      <c r="P3702" t="str">
        <f t="shared" si="344"/>
        <v>High</v>
      </c>
      <c r="Q3702" t="str">
        <f t="shared" si="345"/>
        <v>Low Loan</v>
      </c>
      <c r="R3702">
        <f t="shared" si="346"/>
        <v>18600000</v>
      </c>
      <c r="S3702" t="str">
        <f t="shared" si="347"/>
        <v>Strong</v>
      </c>
    </row>
    <row r="3703" spans="1:19" x14ac:dyDescent="0.25">
      <c r="A3703">
        <v>3702</v>
      </c>
      <c r="B3703">
        <v>1</v>
      </c>
      <c r="C3703" t="s">
        <v>30</v>
      </c>
      <c r="D3703" t="s">
        <v>33</v>
      </c>
      <c r="E3703">
        <v>9600000</v>
      </c>
      <c r="F3703">
        <v>29900000</v>
      </c>
      <c r="G3703">
        <v>18</v>
      </c>
      <c r="H3703">
        <v>478</v>
      </c>
      <c r="I3703">
        <v>18500000</v>
      </c>
      <c r="J3703">
        <v>15200000</v>
      </c>
      <c r="K3703">
        <v>38200000</v>
      </c>
      <c r="L3703">
        <v>9400000</v>
      </c>
      <c r="M3703" t="s">
        <v>35</v>
      </c>
      <c r="N3703">
        <f t="shared" si="343"/>
        <v>0</v>
      </c>
      <c r="O3703" t="str">
        <f t="shared" si="342"/>
        <v>Low</v>
      </c>
      <c r="P3703" t="str">
        <f t="shared" si="344"/>
        <v>High</v>
      </c>
      <c r="Q3703" t="str">
        <f t="shared" si="345"/>
        <v>High Loan</v>
      </c>
      <c r="R3703">
        <f t="shared" si="346"/>
        <v>81300000</v>
      </c>
      <c r="S3703" t="str">
        <f t="shared" si="347"/>
        <v>Strong</v>
      </c>
    </row>
    <row r="3704" spans="1:19" x14ac:dyDescent="0.25">
      <c r="A3704">
        <v>3703</v>
      </c>
      <c r="B3704">
        <v>4</v>
      </c>
      <c r="C3704" t="s">
        <v>30</v>
      </c>
      <c r="D3704" t="s">
        <v>32</v>
      </c>
      <c r="E3704">
        <v>2200000</v>
      </c>
      <c r="F3704">
        <v>7800000</v>
      </c>
      <c r="G3704">
        <v>20</v>
      </c>
      <c r="H3704">
        <v>633</v>
      </c>
      <c r="I3704">
        <v>0</v>
      </c>
      <c r="J3704">
        <v>3900000</v>
      </c>
      <c r="K3704">
        <v>8400000</v>
      </c>
      <c r="L3704">
        <v>1900000</v>
      </c>
      <c r="M3704" t="s">
        <v>34</v>
      </c>
      <c r="N3704">
        <f t="shared" si="343"/>
        <v>1</v>
      </c>
      <c r="O3704" t="str">
        <f t="shared" si="342"/>
        <v>Low</v>
      </c>
      <c r="P3704" t="str">
        <f t="shared" si="344"/>
        <v>High</v>
      </c>
      <c r="Q3704" t="str">
        <f t="shared" si="345"/>
        <v>Low Loan</v>
      </c>
      <c r="R3704">
        <f t="shared" si="346"/>
        <v>14200000</v>
      </c>
      <c r="S3704" t="str">
        <f t="shared" si="347"/>
        <v>Strong</v>
      </c>
    </row>
    <row r="3705" spans="1:19" x14ac:dyDescent="0.25">
      <c r="A3705">
        <v>3704</v>
      </c>
      <c r="B3705">
        <v>1</v>
      </c>
      <c r="C3705" t="s">
        <v>31</v>
      </c>
      <c r="D3705" t="s">
        <v>33</v>
      </c>
      <c r="E3705">
        <v>8400000</v>
      </c>
      <c r="F3705">
        <v>30900000</v>
      </c>
      <c r="G3705">
        <v>8</v>
      </c>
      <c r="H3705">
        <v>378</v>
      </c>
      <c r="I3705">
        <v>18600000</v>
      </c>
      <c r="J3705">
        <v>1000000</v>
      </c>
      <c r="K3705">
        <v>25900000</v>
      </c>
      <c r="L3705">
        <v>11100000</v>
      </c>
      <c r="M3705" t="s">
        <v>35</v>
      </c>
      <c r="N3705">
        <f t="shared" si="343"/>
        <v>0</v>
      </c>
      <c r="O3705" t="str">
        <f t="shared" si="342"/>
        <v>Low</v>
      </c>
      <c r="P3705" t="str">
        <f t="shared" si="344"/>
        <v>High</v>
      </c>
      <c r="Q3705" t="str">
        <f t="shared" si="345"/>
        <v>High Loan</v>
      </c>
      <c r="R3705">
        <f t="shared" si="346"/>
        <v>56600000</v>
      </c>
      <c r="S3705" t="str">
        <f t="shared" si="347"/>
        <v>Strong</v>
      </c>
    </row>
    <row r="3706" spans="1:19" x14ac:dyDescent="0.25">
      <c r="A3706">
        <v>3705</v>
      </c>
      <c r="B3706">
        <v>1</v>
      </c>
      <c r="C3706" t="s">
        <v>31</v>
      </c>
      <c r="D3706" t="s">
        <v>32</v>
      </c>
      <c r="E3706">
        <v>2100000</v>
      </c>
      <c r="F3706">
        <v>5300000</v>
      </c>
      <c r="G3706">
        <v>20</v>
      </c>
      <c r="H3706">
        <v>461</v>
      </c>
      <c r="I3706">
        <v>1500000</v>
      </c>
      <c r="J3706">
        <v>3800000</v>
      </c>
      <c r="K3706">
        <v>8100000</v>
      </c>
      <c r="L3706">
        <v>1700000</v>
      </c>
      <c r="M3706" t="s">
        <v>35</v>
      </c>
      <c r="N3706">
        <f t="shared" si="343"/>
        <v>0</v>
      </c>
      <c r="O3706" t="str">
        <f t="shared" si="342"/>
        <v>Low</v>
      </c>
      <c r="P3706" t="str">
        <f t="shared" si="344"/>
        <v>High</v>
      </c>
      <c r="Q3706" t="str">
        <f t="shared" si="345"/>
        <v>Low Loan</v>
      </c>
      <c r="R3706">
        <f t="shared" si="346"/>
        <v>15100000</v>
      </c>
      <c r="S3706" t="str">
        <f t="shared" si="347"/>
        <v>Strong</v>
      </c>
    </row>
    <row r="3707" spans="1:19" x14ac:dyDescent="0.25">
      <c r="A3707">
        <v>3706</v>
      </c>
      <c r="B3707">
        <v>2</v>
      </c>
      <c r="C3707" t="s">
        <v>31</v>
      </c>
      <c r="D3707" t="s">
        <v>33</v>
      </c>
      <c r="E3707">
        <v>2800000</v>
      </c>
      <c r="F3707">
        <v>7000000</v>
      </c>
      <c r="G3707">
        <v>2</v>
      </c>
      <c r="H3707">
        <v>834</v>
      </c>
      <c r="I3707">
        <v>500000</v>
      </c>
      <c r="J3707">
        <v>2900000</v>
      </c>
      <c r="K3707">
        <v>8100000</v>
      </c>
      <c r="L3707">
        <v>1300000</v>
      </c>
      <c r="M3707" t="s">
        <v>34</v>
      </c>
      <c r="N3707">
        <f t="shared" si="343"/>
        <v>1</v>
      </c>
      <c r="O3707" t="str">
        <f t="shared" si="342"/>
        <v>Excellent</v>
      </c>
      <c r="P3707" t="str">
        <f t="shared" si="344"/>
        <v>High</v>
      </c>
      <c r="Q3707" t="str">
        <f t="shared" si="345"/>
        <v>Low Loan</v>
      </c>
      <c r="R3707">
        <f t="shared" si="346"/>
        <v>12800000</v>
      </c>
      <c r="S3707" t="str">
        <f t="shared" si="347"/>
        <v>Strong</v>
      </c>
    </row>
    <row r="3708" spans="1:19" x14ac:dyDescent="0.25">
      <c r="A3708">
        <v>3707</v>
      </c>
      <c r="B3708">
        <v>0</v>
      </c>
      <c r="C3708" t="s">
        <v>31</v>
      </c>
      <c r="D3708" t="s">
        <v>32</v>
      </c>
      <c r="E3708">
        <v>2500000</v>
      </c>
      <c r="F3708">
        <v>5800000</v>
      </c>
      <c r="G3708">
        <v>20</v>
      </c>
      <c r="H3708">
        <v>671</v>
      </c>
      <c r="I3708">
        <v>7400000</v>
      </c>
      <c r="J3708">
        <v>500000</v>
      </c>
      <c r="K3708">
        <v>7500000</v>
      </c>
      <c r="L3708">
        <v>2000000</v>
      </c>
      <c r="M3708" t="s">
        <v>34</v>
      </c>
      <c r="N3708">
        <f t="shared" si="343"/>
        <v>1</v>
      </c>
      <c r="O3708" t="str">
        <f t="shared" si="342"/>
        <v>Medium</v>
      </c>
      <c r="P3708" t="str">
        <f t="shared" si="344"/>
        <v>High</v>
      </c>
      <c r="Q3708" t="str">
        <f t="shared" si="345"/>
        <v>Low Loan</v>
      </c>
      <c r="R3708">
        <f t="shared" si="346"/>
        <v>17400000</v>
      </c>
      <c r="S3708" t="str">
        <f t="shared" si="347"/>
        <v>Strong</v>
      </c>
    </row>
    <row r="3709" spans="1:19" x14ac:dyDescent="0.25">
      <c r="A3709">
        <v>3708</v>
      </c>
      <c r="B3709">
        <v>3</v>
      </c>
      <c r="C3709" t="s">
        <v>30</v>
      </c>
      <c r="D3709" t="s">
        <v>33</v>
      </c>
      <c r="E3709">
        <v>1700000</v>
      </c>
      <c r="F3709">
        <v>5800000</v>
      </c>
      <c r="G3709">
        <v>10</v>
      </c>
      <c r="H3709">
        <v>524</v>
      </c>
      <c r="I3709">
        <v>4100000</v>
      </c>
      <c r="J3709">
        <v>2900000</v>
      </c>
      <c r="K3709">
        <v>6600000</v>
      </c>
      <c r="L3709">
        <v>800000</v>
      </c>
      <c r="M3709" t="s">
        <v>35</v>
      </c>
      <c r="N3709">
        <f t="shared" si="343"/>
        <v>0</v>
      </c>
      <c r="O3709" t="str">
        <f t="shared" si="342"/>
        <v>Low</v>
      </c>
      <c r="P3709" t="str">
        <f t="shared" si="344"/>
        <v>High</v>
      </c>
      <c r="Q3709" t="str">
        <f t="shared" si="345"/>
        <v>Low Loan</v>
      </c>
      <c r="R3709">
        <f t="shared" si="346"/>
        <v>14400000</v>
      </c>
      <c r="S3709" t="str">
        <f t="shared" si="347"/>
        <v>Strong</v>
      </c>
    </row>
    <row r="3710" spans="1:19" x14ac:dyDescent="0.25">
      <c r="A3710">
        <v>3709</v>
      </c>
      <c r="B3710">
        <v>3</v>
      </c>
      <c r="C3710" t="s">
        <v>30</v>
      </c>
      <c r="D3710" t="s">
        <v>32</v>
      </c>
      <c r="E3710">
        <v>6100000</v>
      </c>
      <c r="F3710">
        <v>20700000</v>
      </c>
      <c r="G3710">
        <v>4</v>
      </c>
      <c r="H3710">
        <v>816</v>
      </c>
      <c r="I3710">
        <v>14900000</v>
      </c>
      <c r="J3710">
        <v>5400000</v>
      </c>
      <c r="K3710">
        <v>24200000</v>
      </c>
      <c r="L3710">
        <v>5900000</v>
      </c>
      <c r="M3710" t="s">
        <v>34</v>
      </c>
      <c r="N3710">
        <f t="shared" si="343"/>
        <v>1</v>
      </c>
      <c r="O3710" t="str">
        <f t="shared" si="342"/>
        <v>Excellent</v>
      </c>
      <c r="P3710" t="str">
        <f t="shared" si="344"/>
        <v>High</v>
      </c>
      <c r="Q3710" t="str">
        <f t="shared" si="345"/>
        <v>High Loan</v>
      </c>
      <c r="R3710">
        <f t="shared" si="346"/>
        <v>50400000</v>
      </c>
      <c r="S3710" t="str">
        <f t="shared" si="347"/>
        <v>Strong</v>
      </c>
    </row>
    <row r="3711" spans="1:19" x14ac:dyDescent="0.25">
      <c r="A3711">
        <v>3710</v>
      </c>
      <c r="B3711">
        <v>3</v>
      </c>
      <c r="C3711" t="s">
        <v>30</v>
      </c>
      <c r="D3711" t="s">
        <v>32</v>
      </c>
      <c r="E3711">
        <v>4100000</v>
      </c>
      <c r="F3711">
        <v>11700000</v>
      </c>
      <c r="G3711">
        <v>10</v>
      </c>
      <c r="H3711">
        <v>729</v>
      </c>
      <c r="I3711">
        <v>6900000</v>
      </c>
      <c r="J3711">
        <v>6200000</v>
      </c>
      <c r="K3711">
        <v>15400000</v>
      </c>
      <c r="L3711">
        <v>2100000</v>
      </c>
      <c r="M3711" t="s">
        <v>34</v>
      </c>
      <c r="N3711">
        <f t="shared" si="343"/>
        <v>1</v>
      </c>
      <c r="O3711" t="str">
        <f t="shared" si="342"/>
        <v>Good</v>
      </c>
      <c r="P3711" t="str">
        <f t="shared" si="344"/>
        <v>High</v>
      </c>
      <c r="Q3711" t="str">
        <f t="shared" si="345"/>
        <v>Low Loan</v>
      </c>
      <c r="R3711">
        <f t="shared" si="346"/>
        <v>30600000</v>
      </c>
      <c r="S3711" t="str">
        <f t="shared" si="347"/>
        <v>Strong</v>
      </c>
    </row>
    <row r="3712" spans="1:19" x14ac:dyDescent="0.25">
      <c r="A3712">
        <v>3711</v>
      </c>
      <c r="B3712">
        <v>5</v>
      </c>
      <c r="C3712" t="s">
        <v>31</v>
      </c>
      <c r="D3712" t="s">
        <v>33</v>
      </c>
      <c r="E3712">
        <v>4500000</v>
      </c>
      <c r="F3712">
        <v>12700000</v>
      </c>
      <c r="G3712">
        <v>8</v>
      </c>
      <c r="H3712">
        <v>307</v>
      </c>
      <c r="I3712">
        <v>11000000</v>
      </c>
      <c r="J3712">
        <v>3800000</v>
      </c>
      <c r="K3712">
        <v>12600000</v>
      </c>
      <c r="L3712">
        <v>2700000</v>
      </c>
      <c r="M3712" t="s">
        <v>35</v>
      </c>
      <c r="N3712">
        <f t="shared" si="343"/>
        <v>0</v>
      </c>
      <c r="O3712" t="str">
        <f t="shared" si="342"/>
        <v>Low</v>
      </c>
      <c r="P3712" t="str">
        <f t="shared" si="344"/>
        <v>High</v>
      </c>
      <c r="Q3712" t="str">
        <f t="shared" si="345"/>
        <v>Low Loan</v>
      </c>
      <c r="R3712">
        <f t="shared" si="346"/>
        <v>30100000</v>
      </c>
      <c r="S3712" t="str">
        <f t="shared" si="347"/>
        <v>Strong</v>
      </c>
    </row>
    <row r="3713" spans="1:19" x14ac:dyDescent="0.25">
      <c r="A3713">
        <v>3712</v>
      </c>
      <c r="B3713">
        <v>2</v>
      </c>
      <c r="C3713" t="s">
        <v>30</v>
      </c>
      <c r="D3713" t="s">
        <v>33</v>
      </c>
      <c r="E3713">
        <v>5600000</v>
      </c>
      <c r="F3713">
        <v>19100000</v>
      </c>
      <c r="G3713">
        <v>8</v>
      </c>
      <c r="H3713">
        <v>350</v>
      </c>
      <c r="I3713">
        <v>2700000</v>
      </c>
      <c r="J3713">
        <v>1200000</v>
      </c>
      <c r="K3713">
        <v>14200000</v>
      </c>
      <c r="L3713">
        <v>4200000</v>
      </c>
      <c r="M3713" t="s">
        <v>35</v>
      </c>
      <c r="N3713">
        <f t="shared" si="343"/>
        <v>0</v>
      </c>
      <c r="O3713" t="str">
        <f t="shared" si="342"/>
        <v>Low</v>
      </c>
      <c r="P3713" t="str">
        <f t="shared" si="344"/>
        <v>High</v>
      </c>
      <c r="Q3713" t="str">
        <f t="shared" si="345"/>
        <v>Low Loan</v>
      </c>
      <c r="R3713">
        <f t="shared" si="346"/>
        <v>22300000</v>
      </c>
      <c r="S3713" t="str">
        <f t="shared" si="347"/>
        <v>Strong</v>
      </c>
    </row>
    <row r="3714" spans="1:19" x14ac:dyDescent="0.25">
      <c r="A3714">
        <v>3713</v>
      </c>
      <c r="B3714">
        <v>3</v>
      </c>
      <c r="C3714" t="s">
        <v>31</v>
      </c>
      <c r="D3714" t="s">
        <v>33</v>
      </c>
      <c r="E3714">
        <v>5800000</v>
      </c>
      <c r="F3714">
        <v>16600000</v>
      </c>
      <c r="G3714">
        <v>10</v>
      </c>
      <c r="H3714">
        <v>444</v>
      </c>
      <c r="I3714">
        <v>13300000</v>
      </c>
      <c r="J3714">
        <v>5900000</v>
      </c>
      <c r="K3714">
        <v>15000000</v>
      </c>
      <c r="L3714">
        <v>8500000</v>
      </c>
      <c r="M3714" t="s">
        <v>35</v>
      </c>
      <c r="N3714">
        <f t="shared" si="343"/>
        <v>0</v>
      </c>
      <c r="O3714" t="str">
        <f t="shared" ref="O3714:O3777" si="348">IF(H3714&lt;650,"Low",
 IF(H3714&lt;700,"Medium",
 IF(H3714&lt;750,"Good","Excellent")))</f>
        <v>Low</v>
      </c>
      <c r="P3714" t="str">
        <f t="shared" si="344"/>
        <v>High</v>
      </c>
      <c r="Q3714" t="str">
        <f t="shared" si="345"/>
        <v>Low Loan</v>
      </c>
      <c r="R3714">
        <f t="shared" si="346"/>
        <v>42700000</v>
      </c>
      <c r="S3714" t="str">
        <f t="shared" si="347"/>
        <v>Strong</v>
      </c>
    </row>
    <row r="3715" spans="1:19" x14ac:dyDescent="0.25">
      <c r="A3715">
        <v>3714</v>
      </c>
      <c r="B3715">
        <v>4</v>
      </c>
      <c r="C3715" t="s">
        <v>31</v>
      </c>
      <c r="D3715" t="s">
        <v>32</v>
      </c>
      <c r="E3715">
        <v>8600000</v>
      </c>
      <c r="F3715">
        <v>26700000</v>
      </c>
      <c r="G3715">
        <v>10</v>
      </c>
      <c r="H3715">
        <v>895</v>
      </c>
      <c r="I3715">
        <v>2200000</v>
      </c>
      <c r="J3715">
        <v>8800000</v>
      </c>
      <c r="K3715">
        <v>22600000</v>
      </c>
      <c r="L3715">
        <v>6900000</v>
      </c>
      <c r="M3715" t="s">
        <v>34</v>
      </c>
      <c r="N3715">
        <f t="shared" ref="N3715:N3778" si="349">IF(TRIM(CLEAN(M3715))="Approved",1,0)</f>
        <v>1</v>
      </c>
      <c r="O3715" t="str">
        <f t="shared" si="348"/>
        <v>Excellent</v>
      </c>
      <c r="P3715" t="str">
        <f t="shared" ref="P3715:P3778" si="350">IF(E3715&lt;300000,"Low",
 IF(E3715&lt;700000,"Middle","High"))</f>
        <v>High</v>
      </c>
      <c r="Q3715" t="str">
        <f t="shared" ref="Q3715:Q3778" si="351">IF(F3715&lt;20000000,"Low Loan","High Loan")</f>
        <v>High Loan</v>
      </c>
      <c r="R3715">
        <f t="shared" ref="R3715:R3778" si="352">I3715+J3715+K3715+L3715</f>
        <v>40500000</v>
      </c>
      <c r="S3715" t="str">
        <f t="shared" ref="S3715:S3778" si="353">IF(R3715&lt;5000000,"Weak",
 IF(R3715&lt;10000000,"Moderate","Strong"))</f>
        <v>Strong</v>
      </c>
    </row>
    <row r="3716" spans="1:19" x14ac:dyDescent="0.25">
      <c r="A3716">
        <v>3715</v>
      </c>
      <c r="B3716">
        <v>2</v>
      </c>
      <c r="C3716" t="s">
        <v>30</v>
      </c>
      <c r="D3716" t="s">
        <v>32</v>
      </c>
      <c r="E3716">
        <v>2900000</v>
      </c>
      <c r="F3716">
        <v>10500000</v>
      </c>
      <c r="G3716">
        <v>20</v>
      </c>
      <c r="H3716">
        <v>708</v>
      </c>
      <c r="I3716">
        <v>4200000</v>
      </c>
      <c r="J3716">
        <v>600000</v>
      </c>
      <c r="K3716">
        <v>7700000</v>
      </c>
      <c r="L3716">
        <v>4300000</v>
      </c>
      <c r="M3716" t="s">
        <v>34</v>
      </c>
      <c r="N3716">
        <f t="shared" si="349"/>
        <v>1</v>
      </c>
      <c r="O3716" t="str">
        <f t="shared" si="348"/>
        <v>Good</v>
      </c>
      <c r="P3716" t="str">
        <f t="shared" si="350"/>
        <v>High</v>
      </c>
      <c r="Q3716" t="str">
        <f t="shared" si="351"/>
        <v>Low Loan</v>
      </c>
      <c r="R3716">
        <f t="shared" si="352"/>
        <v>16800000</v>
      </c>
      <c r="S3716" t="str">
        <f t="shared" si="353"/>
        <v>Strong</v>
      </c>
    </row>
    <row r="3717" spans="1:19" x14ac:dyDescent="0.25">
      <c r="A3717">
        <v>3716</v>
      </c>
      <c r="B3717">
        <v>2</v>
      </c>
      <c r="C3717" t="s">
        <v>31</v>
      </c>
      <c r="D3717" t="s">
        <v>33</v>
      </c>
      <c r="E3717">
        <v>8300000</v>
      </c>
      <c r="F3717">
        <v>17600000</v>
      </c>
      <c r="G3717">
        <v>2</v>
      </c>
      <c r="H3717">
        <v>355</v>
      </c>
      <c r="I3717">
        <v>1000000</v>
      </c>
      <c r="J3717">
        <v>700000</v>
      </c>
      <c r="K3717">
        <v>28400000</v>
      </c>
      <c r="L3717">
        <v>6800000</v>
      </c>
      <c r="M3717" t="s">
        <v>35</v>
      </c>
      <c r="N3717">
        <f t="shared" si="349"/>
        <v>0</v>
      </c>
      <c r="O3717" t="str">
        <f t="shared" si="348"/>
        <v>Low</v>
      </c>
      <c r="P3717" t="str">
        <f t="shared" si="350"/>
        <v>High</v>
      </c>
      <c r="Q3717" t="str">
        <f t="shared" si="351"/>
        <v>Low Loan</v>
      </c>
      <c r="R3717">
        <f t="shared" si="352"/>
        <v>36900000</v>
      </c>
      <c r="S3717" t="str">
        <f t="shared" si="353"/>
        <v>Strong</v>
      </c>
    </row>
    <row r="3718" spans="1:19" x14ac:dyDescent="0.25">
      <c r="A3718">
        <v>3717</v>
      </c>
      <c r="B3718">
        <v>5</v>
      </c>
      <c r="C3718" t="s">
        <v>31</v>
      </c>
      <c r="D3718" t="s">
        <v>32</v>
      </c>
      <c r="E3718">
        <v>2400000</v>
      </c>
      <c r="F3718">
        <v>5100000</v>
      </c>
      <c r="G3718">
        <v>6</v>
      </c>
      <c r="H3718">
        <v>756</v>
      </c>
      <c r="I3718">
        <v>1500000</v>
      </c>
      <c r="J3718">
        <v>200000</v>
      </c>
      <c r="K3718">
        <v>5300000</v>
      </c>
      <c r="L3718">
        <v>3400000</v>
      </c>
      <c r="M3718" t="s">
        <v>34</v>
      </c>
      <c r="N3718">
        <f t="shared" si="349"/>
        <v>1</v>
      </c>
      <c r="O3718" t="str">
        <f t="shared" si="348"/>
        <v>Excellent</v>
      </c>
      <c r="P3718" t="str">
        <f t="shared" si="350"/>
        <v>High</v>
      </c>
      <c r="Q3718" t="str">
        <f t="shared" si="351"/>
        <v>Low Loan</v>
      </c>
      <c r="R3718">
        <f t="shared" si="352"/>
        <v>10400000</v>
      </c>
      <c r="S3718" t="str">
        <f t="shared" si="353"/>
        <v>Strong</v>
      </c>
    </row>
    <row r="3719" spans="1:19" x14ac:dyDescent="0.25">
      <c r="A3719">
        <v>3718</v>
      </c>
      <c r="B3719">
        <v>4</v>
      </c>
      <c r="C3719" t="s">
        <v>30</v>
      </c>
      <c r="D3719" t="s">
        <v>32</v>
      </c>
      <c r="E3719">
        <v>5600000</v>
      </c>
      <c r="F3719">
        <v>12000000</v>
      </c>
      <c r="G3719">
        <v>4</v>
      </c>
      <c r="H3719">
        <v>719</v>
      </c>
      <c r="I3719">
        <v>5600000</v>
      </c>
      <c r="J3719">
        <v>2900000</v>
      </c>
      <c r="K3719">
        <v>14500000</v>
      </c>
      <c r="L3719">
        <v>3400000</v>
      </c>
      <c r="M3719" t="s">
        <v>34</v>
      </c>
      <c r="N3719">
        <f t="shared" si="349"/>
        <v>1</v>
      </c>
      <c r="O3719" t="str">
        <f t="shared" si="348"/>
        <v>Good</v>
      </c>
      <c r="P3719" t="str">
        <f t="shared" si="350"/>
        <v>High</v>
      </c>
      <c r="Q3719" t="str">
        <f t="shared" si="351"/>
        <v>Low Loan</v>
      </c>
      <c r="R3719">
        <f t="shared" si="352"/>
        <v>26400000</v>
      </c>
      <c r="S3719" t="str">
        <f t="shared" si="353"/>
        <v>Strong</v>
      </c>
    </row>
    <row r="3720" spans="1:19" x14ac:dyDescent="0.25">
      <c r="A3720">
        <v>3719</v>
      </c>
      <c r="B3720">
        <v>1</v>
      </c>
      <c r="C3720" t="s">
        <v>30</v>
      </c>
      <c r="D3720" t="s">
        <v>33</v>
      </c>
      <c r="E3720">
        <v>9500000</v>
      </c>
      <c r="F3720">
        <v>35400000</v>
      </c>
      <c r="G3720">
        <v>14</v>
      </c>
      <c r="H3720">
        <v>439</v>
      </c>
      <c r="I3720">
        <v>400000</v>
      </c>
      <c r="J3720">
        <v>1200000</v>
      </c>
      <c r="K3720">
        <v>20200000</v>
      </c>
      <c r="L3720">
        <v>13500000</v>
      </c>
      <c r="M3720" t="s">
        <v>35</v>
      </c>
      <c r="N3720">
        <f t="shared" si="349"/>
        <v>0</v>
      </c>
      <c r="O3720" t="str">
        <f t="shared" si="348"/>
        <v>Low</v>
      </c>
      <c r="P3720" t="str">
        <f t="shared" si="350"/>
        <v>High</v>
      </c>
      <c r="Q3720" t="str">
        <f t="shared" si="351"/>
        <v>High Loan</v>
      </c>
      <c r="R3720">
        <f t="shared" si="352"/>
        <v>35300000</v>
      </c>
      <c r="S3720" t="str">
        <f t="shared" si="353"/>
        <v>Strong</v>
      </c>
    </row>
    <row r="3721" spans="1:19" x14ac:dyDescent="0.25">
      <c r="A3721">
        <v>3720</v>
      </c>
      <c r="B3721">
        <v>4</v>
      </c>
      <c r="C3721" t="s">
        <v>31</v>
      </c>
      <c r="D3721" t="s">
        <v>33</v>
      </c>
      <c r="E3721">
        <v>4900000</v>
      </c>
      <c r="F3721">
        <v>15900000</v>
      </c>
      <c r="G3721">
        <v>10</v>
      </c>
      <c r="H3721">
        <v>668</v>
      </c>
      <c r="I3721">
        <v>10800000</v>
      </c>
      <c r="J3721">
        <v>8300000</v>
      </c>
      <c r="K3721">
        <v>14900000</v>
      </c>
      <c r="L3721">
        <v>2800000</v>
      </c>
      <c r="M3721" t="s">
        <v>34</v>
      </c>
      <c r="N3721">
        <f t="shared" si="349"/>
        <v>1</v>
      </c>
      <c r="O3721" t="str">
        <f t="shared" si="348"/>
        <v>Medium</v>
      </c>
      <c r="P3721" t="str">
        <f t="shared" si="350"/>
        <v>High</v>
      </c>
      <c r="Q3721" t="str">
        <f t="shared" si="351"/>
        <v>Low Loan</v>
      </c>
      <c r="R3721">
        <f t="shared" si="352"/>
        <v>36800000</v>
      </c>
      <c r="S3721" t="str">
        <f t="shared" si="353"/>
        <v>Strong</v>
      </c>
    </row>
    <row r="3722" spans="1:19" x14ac:dyDescent="0.25">
      <c r="A3722">
        <v>3721</v>
      </c>
      <c r="B3722">
        <v>4</v>
      </c>
      <c r="C3722" t="s">
        <v>31</v>
      </c>
      <c r="D3722" t="s">
        <v>33</v>
      </c>
      <c r="E3722">
        <v>5900000</v>
      </c>
      <c r="F3722">
        <v>16500000</v>
      </c>
      <c r="G3722">
        <v>2</v>
      </c>
      <c r="H3722">
        <v>765</v>
      </c>
      <c r="I3722">
        <v>13000000</v>
      </c>
      <c r="J3722">
        <v>9400000</v>
      </c>
      <c r="K3722">
        <v>20000000</v>
      </c>
      <c r="L3722">
        <v>3500000</v>
      </c>
      <c r="M3722" t="s">
        <v>34</v>
      </c>
      <c r="N3722">
        <f t="shared" si="349"/>
        <v>1</v>
      </c>
      <c r="O3722" t="str">
        <f t="shared" si="348"/>
        <v>Excellent</v>
      </c>
      <c r="P3722" t="str">
        <f t="shared" si="350"/>
        <v>High</v>
      </c>
      <c r="Q3722" t="str">
        <f t="shared" si="351"/>
        <v>Low Loan</v>
      </c>
      <c r="R3722">
        <f t="shared" si="352"/>
        <v>45900000</v>
      </c>
      <c r="S3722" t="str">
        <f t="shared" si="353"/>
        <v>Strong</v>
      </c>
    </row>
    <row r="3723" spans="1:19" x14ac:dyDescent="0.25">
      <c r="A3723">
        <v>3722</v>
      </c>
      <c r="B3723">
        <v>5</v>
      </c>
      <c r="C3723" t="s">
        <v>30</v>
      </c>
      <c r="D3723" t="s">
        <v>33</v>
      </c>
      <c r="E3723">
        <v>500000</v>
      </c>
      <c r="F3723">
        <v>1500000</v>
      </c>
      <c r="G3723">
        <v>4</v>
      </c>
      <c r="H3723">
        <v>476</v>
      </c>
      <c r="I3723">
        <v>200000</v>
      </c>
      <c r="J3723">
        <v>200000</v>
      </c>
      <c r="K3723">
        <v>1100000</v>
      </c>
      <c r="L3723">
        <v>700000</v>
      </c>
      <c r="M3723" t="s">
        <v>34</v>
      </c>
      <c r="N3723">
        <f t="shared" si="349"/>
        <v>1</v>
      </c>
      <c r="O3723" t="str">
        <f t="shared" si="348"/>
        <v>Low</v>
      </c>
      <c r="P3723" t="str">
        <f t="shared" si="350"/>
        <v>Middle</v>
      </c>
      <c r="Q3723" t="str">
        <f t="shared" si="351"/>
        <v>Low Loan</v>
      </c>
      <c r="R3723">
        <f t="shared" si="352"/>
        <v>2200000</v>
      </c>
      <c r="S3723" t="str">
        <f t="shared" si="353"/>
        <v>Weak</v>
      </c>
    </row>
    <row r="3724" spans="1:19" x14ac:dyDescent="0.25">
      <c r="A3724">
        <v>3723</v>
      </c>
      <c r="B3724">
        <v>3</v>
      </c>
      <c r="C3724" t="s">
        <v>30</v>
      </c>
      <c r="D3724" t="s">
        <v>32</v>
      </c>
      <c r="E3724">
        <v>7000000</v>
      </c>
      <c r="F3724">
        <v>21700000</v>
      </c>
      <c r="G3724">
        <v>14</v>
      </c>
      <c r="H3724">
        <v>781</v>
      </c>
      <c r="I3724">
        <v>5400000</v>
      </c>
      <c r="J3724">
        <v>8500000</v>
      </c>
      <c r="K3724">
        <v>19300000</v>
      </c>
      <c r="L3724">
        <v>9600000</v>
      </c>
      <c r="M3724" t="s">
        <v>34</v>
      </c>
      <c r="N3724">
        <f t="shared" si="349"/>
        <v>1</v>
      </c>
      <c r="O3724" t="str">
        <f t="shared" si="348"/>
        <v>Excellent</v>
      </c>
      <c r="P3724" t="str">
        <f t="shared" si="350"/>
        <v>High</v>
      </c>
      <c r="Q3724" t="str">
        <f t="shared" si="351"/>
        <v>High Loan</v>
      </c>
      <c r="R3724">
        <f t="shared" si="352"/>
        <v>42800000</v>
      </c>
      <c r="S3724" t="str">
        <f t="shared" si="353"/>
        <v>Strong</v>
      </c>
    </row>
    <row r="3725" spans="1:19" x14ac:dyDescent="0.25">
      <c r="A3725">
        <v>3724</v>
      </c>
      <c r="B3725">
        <v>1</v>
      </c>
      <c r="C3725" t="s">
        <v>31</v>
      </c>
      <c r="D3725" t="s">
        <v>32</v>
      </c>
      <c r="E3725">
        <v>3500000</v>
      </c>
      <c r="F3725">
        <v>12700000</v>
      </c>
      <c r="G3725">
        <v>4</v>
      </c>
      <c r="H3725">
        <v>350</v>
      </c>
      <c r="I3725">
        <v>5200000</v>
      </c>
      <c r="J3725">
        <v>6800000</v>
      </c>
      <c r="K3725">
        <v>12900000</v>
      </c>
      <c r="L3725">
        <v>1800000</v>
      </c>
      <c r="M3725" t="s">
        <v>34</v>
      </c>
      <c r="N3725">
        <f t="shared" si="349"/>
        <v>1</v>
      </c>
      <c r="O3725" t="str">
        <f t="shared" si="348"/>
        <v>Low</v>
      </c>
      <c r="P3725" t="str">
        <f t="shared" si="350"/>
        <v>High</v>
      </c>
      <c r="Q3725" t="str">
        <f t="shared" si="351"/>
        <v>Low Loan</v>
      </c>
      <c r="R3725">
        <f t="shared" si="352"/>
        <v>26700000</v>
      </c>
      <c r="S3725" t="str">
        <f t="shared" si="353"/>
        <v>Strong</v>
      </c>
    </row>
    <row r="3726" spans="1:19" x14ac:dyDescent="0.25">
      <c r="A3726">
        <v>3725</v>
      </c>
      <c r="B3726">
        <v>0</v>
      </c>
      <c r="C3726" t="s">
        <v>30</v>
      </c>
      <c r="D3726" t="s">
        <v>32</v>
      </c>
      <c r="E3726">
        <v>5200000</v>
      </c>
      <c r="F3726">
        <v>12200000</v>
      </c>
      <c r="G3726">
        <v>16</v>
      </c>
      <c r="H3726">
        <v>783</v>
      </c>
      <c r="I3726">
        <v>5000000</v>
      </c>
      <c r="J3726">
        <v>2000000</v>
      </c>
      <c r="K3726">
        <v>11400000</v>
      </c>
      <c r="L3726">
        <v>5100000</v>
      </c>
      <c r="M3726" t="s">
        <v>34</v>
      </c>
      <c r="N3726">
        <f t="shared" si="349"/>
        <v>1</v>
      </c>
      <c r="O3726" t="str">
        <f t="shared" si="348"/>
        <v>Excellent</v>
      </c>
      <c r="P3726" t="str">
        <f t="shared" si="350"/>
        <v>High</v>
      </c>
      <c r="Q3726" t="str">
        <f t="shared" si="351"/>
        <v>Low Loan</v>
      </c>
      <c r="R3726">
        <f t="shared" si="352"/>
        <v>23500000</v>
      </c>
      <c r="S3726" t="str">
        <f t="shared" si="353"/>
        <v>Strong</v>
      </c>
    </row>
    <row r="3727" spans="1:19" x14ac:dyDescent="0.25">
      <c r="A3727">
        <v>3726</v>
      </c>
      <c r="B3727">
        <v>3</v>
      </c>
      <c r="C3727" t="s">
        <v>30</v>
      </c>
      <c r="D3727" t="s">
        <v>33</v>
      </c>
      <c r="E3727">
        <v>6300000</v>
      </c>
      <c r="F3727">
        <v>19900000</v>
      </c>
      <c r="G3727">
        <v>12</v>
      </c>
      <c r="H3727">
        <v>770</v>
      </c>
      <c r="I3727">
        <v>1900000</v>
      </c>
      <c r="J3727">
        <v>2400000</v>
      </c>
      <c r="K3727">
        <v>15500000</v>
      </c>
      <c r="L3727">
        <v>3100000</v>
      </c>
      <c r="M3727" t="s">
        <v>34</v>
      </c>
      <c r="N3727">
        <f t="shared" si="349"/>
        <v>1</v>
      </c>
      <c r="O3727" t="str">
        <f t="shared" si="348"/>
        <v>Excellent</v>
      </c>
      <c r="P3727" t="str">
        <f t="shared" si="350"/>
        <v>High</v>
      </c>
      <c r="Q3727" t="str">
        <f t="shared" si="351"/>
        <v>Low Loan</v>
      </c>
      <c r="R3727">
        <f t="shared" si="352"/>
        <v>22900000</v>
      </c>
      <c r="S3727" t="str">
        <f t="shared" si="353"/>
        <v>Strong</v>
      </c>
    </row>
    <row r="3728" spans="1:19" x14ac:dyDescent="0.25">
      <c r="A3728">
        <v>3727</v>
      </c>
      <c r="B3728">
        <v>2</v>
      </c>
      <c r="C3728" t="s">
        <v>31</v>
      </c>
      <c r="D3728" t="s">
        <v>32</v>
      </c>
      <c r="E3728">
        <v>8400000</v>
      </c>
      <c r="F3728">
        <v>28300000</v>
      </c>
      <c r="G3728">
        <v>10</v>
      </c>
      <c r="H3728">
        <v>822</v>
      </c>
      <c r="I3728">
        <v>1800000</v>
      </c>
      <c r="J3728">
        <v>16000000</v>
      </c>
      <c r="K3728">
        <v>33000000</v>
      </c>
      <c r="L3728">
        <v>4400000</v>
      </c>
      <c r="M3728" t="s">
        <v>34</v>
      </c>
      <c r="N3728">
        <f t="shared" si="349"/>
        <v>1</v>
      </c>
      <c r="O3728" t="str">
        <f t="shared" si="348"/>
        <v>Excellent</v>
      </c>
      <c r="P3728" t="str">
        <f t="shared" si="350"/>
        <v>High</v>
      </c>
      <c r="Q3728" t="str">
        <f t="shared" si="351"/>
        <v>High Loan</v>
      </c>
      <c r="R3728">
        <f t="shared" si="352"/>
        <v>55200000</v>
      </c>
      <c r="S3728" t="str">
        <f t="shared" si="353"/>
        <v>Strong</v>
      </c>
    </row>
    <row r="3729" spans="1:19" x14ac:dyDescent="0.25">
      <c r="A3729">
        <v>3728</v>
      </c>
      <c r="B3729">
        <v>1</v>
      </c>
      <c r="C3729" t="s">
        <v>31</v>
      </c>
      <c r="D3729" t="s">
        <v>33</v>
      </c>
      <c r="E3729">
        <v>7500000</v>
      </c>
      <c r="F3729">
        <v>22500000</v>
      </c>
      <c r="G3729">
        <v>14</v>
      </c>
      <c r="H3729">
        <v>469</v>
      </c>
      <c r="I3729">
        <v>12300000</v>
      </c>
      <c r="J3729">
        <v>9600000</v>
      </c>
      <c r="K3729">
        <v>16200000</v>
      </c>
      <c r="L3729">
        <v>4500000</v>
      </c>
      <c r="M3729" t="s">
        <v>35</v>
      </c>
      <c r="N3729">
        <f t="shared" si="349"/>
        <v>0</v>
      </c>
      <c r="O3729" t="str">
        <f t="shared" si="348"/>
        <v>Low</v>
      </c>
      <c r="P3729" t="str">
        <f t="shared" si="350"/>
        <v>High</v>
      </c>
      <c r="Q3729" t="str">
        <f t="shared" si="351"/>
        <v>High Loan</v>
      </c>
      <c r="R3729">
        <f t="shared" si="352"/>
        <v>42600000</v>
      </c>
      <c r="S3729" t="str">
        <f t="shared" si="353"/>
        <v>Strong</v>
      </c>
    </row>
    <row r="3730" spans="1:19" x14ac:dyDescent="0.25">
      <c r="A3730">
        <v>3729</v>
      </c>
      <c r="B3730">
        <v>2</v>
      </c>
      <c r="C3730" t="s">
        <v>30</v>
      </c>
      <c r="D3730" t="s">
        <v>32</v>
      </c>
      <c r="E3730">
        <v>3300000</v>
      </c>
      <c r="F3730">
        <v>13000000</v>
      </c>
      <c r="G3730">
        <v>16</v>
      </c>
      <c r="H3730">
        <v>300</v>
      </c>
      <c r="I3730">
        <v>5500000</v>
      </c>
      <c r="J3730">
        <v>5900000</v>
      </c>
      <c r="K3730">
        <v>7400000</v>
      </c>
      <c r="L3730">
        <v>3100000</v>
      </c>
      <c r="M3730" t="s">
        <v>35</v>
      </c>
      <c r="N3730">
        <f t="shared" si="349"/>
        <v>0</v>
      </c>
      <c r="O3730" t="str">
        <f t="shared" si="348"/>
        <v>Low</v>
      </c>
      <c r="P3730" t="str">
        <f t="shared" si="350"/>
        <v>High</v>
      </c>
      <c r="Q3730" t="str">
        <f t="shared" si="351"/>
        <v>Low Loan</v>
      </c>
      <c r="R3730">
        <f t="shared" si="352"/>
        <v>21900000</v>
      </c>
      <c r="S3730" t="str">
        <f t="shared" si="353"/>
        <v>Strong</v>
      </c>
    </row>
    <row r="3731" spans="1:19" x14ac:dyDescent="0.25">
      <c r="A3731">
        <v>3730</v>
      </c>
      <c r="B3731">
        <v>2</v>
      </c>
      <c r="C3731" t="s">
        <v>31</v>
      </c>
      <c r="D3731" t="s">
        <v>32</v>
      </c>
      <c r="E3731">
        <v>8800000</v>
      </c>
      <c r="F3731">
        <v>22400000</v>
      </c>
      <c r="G3731">
        <v>14</v>
      </c>
      <c r="H3731">
        <v>692</v>
      </c>
      <c r="I3731">
        <v>21700000</v>
      </c>
      <c r="J3731">
        <v>5100000</v>
      </c>
      <c r="K3731">
        <v>18600000</v>
      </c>
      <c r="L3731">
        <v>10900000</v>
      </c>
      <c r="M3731" t="s">
        <v>34</v>
      </c>
      <c r="N3731">
        <f t="shared" si="349"/>
        <v>1</v>
      </c>
      <c r="O3731" t="str">
        <f t="shared" si="348"/>
        <v>Medium</v>
      </c>
      <c r="P3731" t="str">
        <f t="shared" si="350"/>
        <v>High</v>
      </c>
      <c r="Q3731" t="str">
        <f t="shared" si="351"/>
        <v>High Loan</v>
      </c>
      <c r="R3731">
        <f t="shared" si="352"/>
        <v>56300000</v>
      </c>
      <c r="S3731" t="str">
        <f t="shared" si="353"/>
        <v>Strong</v>
      </c>
    </row>
    <row r="3732" spans="1:19" x14ac:dyDescent="0.25">
      <c r="A3732">
        <v>3731</v>
      </c>
      <c r="B3732">
        <v>5</v>
      </c>
      <c r="C3732" t="s">
        <v>30</v>
      </c>
      <c r="D3732" t="s">
        <v>32</v>
      </c>
      <c r="E3732">
        <v>200000</v>
      </c>
      <c r="F3732">
        <v>700000</v>
      </c>
      <c r="G3732">
        <v>18</v>
      </c>
      <c r="H3732">
        <v>707</v>
      </c>
      <c r="I3732">
        <v>-100000</v>
      </c>
      <c r="J3732">
        <v>100000</v>
      </c>
      <c r="K3732">
        <v>500000</v>
      </c>
      <c r="L3732">
        <v>200000</v>
      </c>
      <c r="M3732" t="s">
        <v>34</v>
      </c>
      <c r="N3732">
        <f t="shared" si="349"/>
        <v>1</v>
      </c>
      <c r="O3732" t="str">
        <f t="shared" si="348"/>
        <v>Good</v>
      </c>
      <c r="P3732" t="str">
        <f t="shared" si="350"/>
        <v>Low</v>
      </c>
      <c r="Q3732" t="str">
        <f t="shared" si="351"/>
        <v>Low Loan</v>
      </c>
      <c r="R3732">
        <f t="shared" si="352"/>
        <v>700000</v>
      </c>
      <c r="S3732" t="str">
        <f t="shared" si="353"/>
        <v>Weak</v>
      </c>
    </row>
    <row r="3733" spans="1:19" x14ac:dyDescent="0.25">
      <c r="A3733">
        <v>3732</v>
      </c>
      <c r="B3733">
        <v>5</v>
      </c>
      <c r="C3733" t="s">
        <v>31</v>
      </c>
      <c r="D3733" t="s">
        <v>33</v>
      </c>
      <c r="E3733">
        <v>8000000</v>
      </c>
      <c r="F3733">
        <v>29100000</v>
      </c>
      <c r="G3733">
        <v>4</v>
      </c>
      <c r="H3733">
        <v>658</v>
      </c>
      <c r="I3733">
        <v>10600000</v>
      </c>
      <c r="J3733">
        <v>8600000</v>
      </c>
      <c r="K3733">
        <v>28800000</v>
      </c>
      <c r="L3733">
        <v>4600000</v>
      </c>
      <c r="M3733" t="s">
        <v>34</v>
      </c>
      <c r="N3733">
        <f t="shared" si="349"/>
        <v>1</v>
      </c>
      <c r="O3733" t="str">
        <f t="shared" si="348"/>
        <v>Medium</v>
      </c>
      <c r="P3733" t="str">
        <f t="shared" si="350"/>
        <v>High</v>
      </c>
      <c r="Q3733" t="str">
        <f t="shared" si="351"/>
        <v>High Loan</v>
      </c>
      <c r="R3733">
        <f t="shared" si="352"/>
        <v>52600000</v>
      </c>
      <c r="S3733" t="str">
        <f t="shared" si="353"/>
        <v>Strong</v>
      </c>
    </row>
    <row r="3734" spans="1:19" x14ac:dyDescent="0.25">
      <c r="A3734">
        <v>3733</v>
      </c>
      <c r="B3734">
        <v>3</v>
      </c>
      <c r="C3734" t="s">
        <v>30</v>
      </c>
      <c r="D3734" t="s">
        <v>32</v>
      </c>
      <c r="E3734">
        <v>1000000</v>
      </c>
      <c r="F3734">
        <v>4000000</v>
      </c>
      <c r="G3734">
        <v>6</v>
      </c>
      <c r="H3734">
        <v>625</v>
      </c>
      <c r="I3734">
        <v>700000</v>
      </c>
      <c r="J3734">
        <v>100000</v>
      </c>
      <c r="K3734">
        <v>2800000</v>
      </c>
      <c r="L3734">
        <v>500000</v>
      </c>
      <c r="M3734" t="s">
        <v>34</v>
      </c>
      <c r="N3734">
        <f t="shared" si="349"/>
        <v>1</v>
      </c>
      <c r="O3734" t="str">
        <f t="shared" si="348"/>
        <v>Low</v>
      </c>
      <c r="P3734" t="str">
        <f t="shared" si="350"/>
        <v>High</v>
      </c>
      <c r="Q3734" t="str">
        <f t="shared" si="351"/>
        <v>Low Loan</v>
      </c>
      <c r="R3734">
        <f t="shared" si="352"/>
        <v>4100000</v>
      </c>
      <c r="S3734" t="str">
        <f t="shared" si="353"/>
        <v>Weak</v>
      </c>
    </row>
    <row r="3735" spans="1:19" x14ac:dyDescent="0.25">
      <c r="A3735">
        <v>3734</v>
      </c>
      <c r="B3735">
        <v>1</v>
      </c>
      <c r="C3735" t="s">
        <v>30</v>
      </c>
      <c r="D3735" t="s">
        <v>32</v>
      </c>
      <c r="E3735">
        <v>9400000</v>
      </c>
      <c r="F3735">
        <v>26700000</v>
      </c>
      <c r="G3735">
        <v>10</v>
      </c>
      <c r="H3735">
        <v>343</v>
      </c>
      <c r="I3735">
        <v>7600000</v>
      </c>
      <c r="J3735">
        <v>2500000</v>
      </c>
      <c r="K3735">
        <v>28600000</v>
      </c>
      <c r="L3735">
        <v>13200000</v>
      </c>
      <c r="M3735" t="s">
        <v>35</v>
      </c>
      <c r="N3735">
        <f t="shared" si="349"/>
        <v>0</v>
      </c>
      <c r="O3735" t="str">
        <f t="shared" si="348"/>
        <v>Low</v>
      </c>
      <c r="P3735" t="str">
        <f t="shared" si="350"/>
        <v>High</v>
      </c>
      <c r="Q3735" t="str">
        <f t="shared" si="351"/>
        <v>High Loan</v>
      </c>
      <c r="R3735">
        <f t="shared" si="352"/>
        <v>51900000</v>
      </c>
      <c r="S3735" t="str">
        <f t="shared" si="353"/>
        <v>Strong</v>
      </c>
    </row>
    <row r="3736" spans="1:19" x14ac:dyDescent="0.25">
      <c r="A3736">
        <v>3735</v>
      </c>
      <c r="B3736">
        <v>5</v>
      </c>
      <c r="C3736" t="s">
        <v>30</v>
      </c>
      <c r="D3736" t="s">
        <v>32</v>
      </c>
      <c r="E3736">
        <v>2100000</v>
      </c>
      <c r="F3736">
        <v>7300000</v>
      </c>
      <c r="G3736">
        <v>18</v>
      </c>
      <c r="H3736">
        <v>358</v>
      </c>
      <c r="I3736">
        <v>3700000</v>
      </c>
      <c r="J3736">
        <v>3200000</v>
      </c>
      <c r="K3736">
        <v>7200000</v>
      </c>
      <c r="L3736">
        <v>2200000</v>
      </c>
      <c r="M3736" t="s">
        <v>35</v>
      </c>
      <c r="N3736">
        <f t="shared" si="349"/>
        <v>0</v>
      </c>
      <c r="O3736" t="str">
        <f t="shared" si="348"/>
        <v>Low</v>
      </c>
      <c r="P3736" t="str">
        <f t="shared" si="350"/>
        <v>High</v>
      </c>
      <c r="Q3736" t="str">
        <f t="shared" si="351"/>
        <v>Low Loan</v>
      </c>
      <c r="R3736">
        <f t="shared" si="352"/>
        <v>16300000</v>
      </c>
      <c r="S3736" t="str">
        <f t="shared" si="353"/>
        <v>Strong</v>
      </c>
    </row>
    <row r="3737" spans="1:19" x14ac:dyDescent="0.25">
      <c r="A3737">
        <v>3736</v>
      </c>
      <c r="B3737">
        <v>4</v>
      </c>
      <c r="C3737" t="s">
        <v>30</v>
      </c>
      <c r="D3737" t="s">
        <v>33</v>
      </c>
      <c r="E3737">
        <v>5400000</v>
      </c>
      <c r="F3737">
        <v>11500000</v>
      </c>
      <c r="G3737">
        <v>20</v>
      </c>
      <c r="H3737">
        <v>705</v>
      </c>
      <c r="I3737">
        <v>14600000</v>
      </c>
      <c r="J3737">
        <v>3800000</v>
      </c>
      <c r="K3737">
        <v>13500000</v>
      </c>
      <c r="L3737">
        <v>6100000</v>
      </c>
      <c r="M3737" t="s">
        <v>34</v>
      </c>
      <c r="N3737">
        <f t="shared" si="349"/>
        <v>1</v>
      </c>
      <c r="O3737" t="str">
        <f t="shared" si="348"/>
        <v>Good</v>
      </c>
      <c r="P3737" t="str">
        <f t="shared" si="350"/>
        <v>High</v>
      </c>
      <c r="Q3737" t="str">
        <f t="shared" si="351"/>
        <v>Low Loan</v>
      </c>
      <c r="R3737">
        <f t="shared" si="352"/>
        <v>38000000</v>
      </c>
      <c r="S3737" t="str">
        <f t="shared" si="353"/>
        <v>Strong</v>
      </c>
    </row>
    <row r="3738" spans="1:19" x14ac:dyDescent="0.25">
      <c r="A3738">
        <v>3737</v>
      </c>
      <c r="B3738">
        <v>2</v>
      </c>
      <c r="C3738" t="s">
        <v>30</v>
      </c>
      <c r="D3738" t="s">
        <v>33</v>
      </c>
      <c r="E3738">
        <v>4700000</v>
      </c>
      <c r="F3738">
        <v>15100000</v>
      </c>
      <c r="G3738">
        <v>8</v>
      </c>
      <c r="H3738">
        <v>799</v>
      </c>
      <c r="I3738">
        <v>9700000</v>
      </c>
      <c r="J3738">
        <v>2500000</v>
      </c>
      <c r="K3738">
        <v>10700000</v>
      </c>
      <c r="L3738">
        <v>4700000</v>
      </c>
      <c r="M3738" t="s">
        <v>34</v>
      </c>
      <c r="N3738">
        <f t="shared" si="349"/>
        <v>1</v>
      </c>
      <c r="O3738" t="str">
        <f t="shared" si="348"/>
        <v>Excellent</v>
      </c>
      <c r="P3738" t="str">
        <f t="shared" si="350"/>
        <v>High</v>
      </c>
      <c r="Q3738" t="str">
        <f t="shared" si="351"/>
        <v>Low Loan</v>
      </c>
      <c r="R3738">
        <f t="shared" si="352"/>
        <v>27600000</v>
      </c>
      <c r="S3738" t="str">
        <f t="shared" si="353"/>
        <v>Strong</v>
      </c>
    </row>
    <row r="3739" spans="1:19" x14ac:dyDescent="0.25">
      <c r="A3739">
        <v>3738</v>
      </c>
      <c r="B3739">
        <v>3</v>
      </c>
      <c r="C3739" t="s">
        <v>30</v>
      </c>
      <c r="D3739" t="s">
        <v>32</v>
      </c>
      <c r="E3739">
        <v>8800000</v>
      </c>
      <c r="F3739">
        <v>33700000</v>
      </c>
      <c r="G3739">
        <v>12</v>
      </c>
      <c r="H3739">
        <v>397</v>
      </c>
      <c r="I3739">
        <v>17300000</v>
      </c>
      <c r="J3739">
        <v>16000000</v>
      </c>
      <c r="K3739">
        <v>22200000</v>
      </c>
      <c r="L3739">
        <v>8800000</v>
      </c>
      <c r="M3739" t="s">
        <v>35</v>
      </c>
      <c r="N3739">
        <f t="shared" si="349"/>
        <v>0</v>
      </c>
      <c r="O3739" t="str">
        <f t="shared" si="348"/>
        <v>Low</v>
      </c>
      <c r="P3739" t="str">
        <f t="shared" si="350"/>
        <v>High</v>
      </c>
      <c r="Q3739" t="str">
        <f t="shared" si="351"/>
        <v>High Loan</v>
      </c>
      <c r="R3739">
        <f t="shared" si="352"/>
        <v>64300000</v>
      </c>
      <c r="S3739" t="str">
        <f t="shared" si="353"/>
        <v>Strong</v>
      </c>
    </row>
    <row r="3740" spans="1:19" x14ac:dyDescent="0.25">
      <c r="A3740">
        <v>3739</v>
      </c>
      <c r="B3740">
        <v>5</v>
      </c>
      <c r="C3740" t="s">
        <v>30</v>
      </c>
      <c r="D3740" t="s">
        <v>32</v>
      </c>
      <c r="E3740">
        <v>3200000</v>
      </c>
      <c r="F3740">
        <v>12200000</v>
      </c>
      <c r="G3740">
        <v>6</v>
      </c>
      <c r="H3740">
        <v>493</v>
      </c>
      <c r="I3740">
        <v>7700000</v>
      </c>
      <c r="J3740">
        <v>6200000</v>
      </c>
      <c r="K3740">
        <v>6700000</v>
      </c>
      <c r="L3740">
        <v>2100000</v>
      </c>
      <c r="M3740" t="s">
        <v>35</v>
      </c>
      <c r="N3740">
        <f t="shared" si="349"/>
        <v>0</v>
      </c>
      <c r="O3740" t="str">
        <f t="shared" si="348"/>
        <v>Low</v>
      </c>
      <c r="P3740" t="str">
        <f t="shared" si="350"/>
        <v>High</v>
      </c>
      <c r="Q3740" t="str">
        <f t="shared" si="351"/>
        <v>Low Loan</v>
      </c>
      <c r="R3740">
        <f t="shared" si="352"/>
        <v>22700000</v>
      </c>
      <c r="S3740" t="str">
        <f t="shared" si="353"/>
        <v>Strong</v>
      </c>
    </row>
    <row r="3741" spans="1:19" x14ac:dyDescent="0.25">
      <c r="A3741">
        <v>3740</v>
      </c>
      <c r="B3741">
        <v>0</v>
      </c>
      <c r="C3741" t="s">
        <v>30</v>
      </c>
      <c r="D3741" t="s">
        <v>33</v>
      </c>
      <c r="E3741">
        <v>7200000</v>
      </c>
      <c r="F3741">
        <v>21900000</v>
      </c>
      <c r="G3741">
        <v>4</v>
      </c>
      <c r="H3741">
        <v>446</v>
      </c>
      <c r="I3741">
        <v>17700000</v>
      </c>
      <c r="J3741">
        <v>10900000</v>
      </c>
      <c r="K3741">
        <v>24500000</v>
      </c>
      <c r="L3741">
        <v>7600000</v>
      </c>
      <c r="M3741" t="s">
        <v>34</v>
      </c>
      <c r="N3741">
        <f t="shared" si="349"/>
        <v>1</v>
      </c>
      <c r="O3741" t="str">
        <f t="shared" si="348"/>
        <v>Low</v>
      </c>
      <c r="P3741" t="str">
        <f t="shared" si="350"/>
        <v>High</v>
      </c>
      <c r="Q3741" t="str">
        <f t="shared" si="351"/>
        <v>High Loan</v>
      </c>
      <c r="R3741">
        <f t="shared" si="352"/>
        <v>60700000</v>
      </c>
      <c r="S3741" t="str">
        <f t="shared" si="353"/>
        <v>Strong</v>
      </c>
    </row>
    <row r="3742" spans="1:19" x14ac:dyDescent="0.25">
      <c r="A3742">
        <v>3741</v>
      </c>
      <c r="B3742">
        <v>2</v>
      </c>
      <c r="C3742" t="s">
        <v>31</v>
      </c>
      <c r="D3742" t="s">
        <v>33</v>
      </c>
      <c r="E3742">
        <v>2500000</v>
      </c>
      <c r="F3742">
        <v>7200000</v>
      </c>
      <c r="G3742">
        <v>16</v>
      </c>
      <c r="H3742">
        <v>315</v>
      </c>
      <c r="I3742">
        <v>5500000</v>
      </c>
      <c r="J3742">
        <v>3300000</v>
      </c>
      <c r="K3742">
        <v>4900000</v>
      </c>
      <c r="L3742">
        <v>2800000</v>
      </c>
      <c r="M3742" t="s">
        <v>35</v>
      </c>
      <c r="N3742">
        <f t="shared" si="349"/>
        <v>0</v>
      </c>
      <c r="O3742" t="str">
        <f t="shared" si="348"/>
        <v>Low</v>
      </c>
      <c r="P3742" t="str">
        <f t="shared" si="350"/>
        <v>High</v>
      </c>
      <c r="Q3742" t="str">
        <f t="shared" si="351"/>
        <v>Low Loan</v>
      </c>
      <c r="R3742">
        <f t="shared" si="352"/>
        <v>16500000</v>
      </c>
      <c r="S3742" t="str">
        <f t="shared" si="353"/>
        <v>Strong</v>
      </c>
    </row>
    <row r="3743" spans="1:19" x14ac:dyDescent="0.25">
      <c r="A3743">
        <v>3742</v>
      </c>
      <c r="B3743">
        <v>5</v>
      </c>
      <c r="C3743" t="s">
        <v>31</v>
      </c>
      <c r="D3743" t="s">
        <v>33</v>
      </c>
      <c r="E3743">
        <v>6900000</v>
      </c>
      <c r="F3743">
        <v>15700000</v>
      </c>
      <c r="G3743">
        <v>14</v>
      </c>
      <c r="H3743">
        <v>887</v>
      </c>
      <c r="I3743">
        <v>13800000</v>
      </c>
      <c r="J3743">
        <v>5300000</v>
      </c>
      <c r="K3743">
        <v>25200000</v>
      </c>
      <c r="L3743">
        <v>4500000</v>
      </c>
      <c r="M3743" t="s">
        <v>34</v>
      </c>
      <c r="N3743">
        <f t="shared" si="349"/>
        <v>1</v>
      </c>
      <c r="O3743" t="str">
        <f t="shared" si="348"/>
        <v>Excellent</v>
      </c>
      <c r="P3743" t="str">
        <f t="shared" si="350"/>
        <v>High</v>
      </c>
      <c r="Q3743" t="str">
        <f t="shared" si="351"/>
        <v>Low Loan</v>
      </c>
      <c r="R3743">
        <f t="shared" si="352"/>
        <v>48800000</v>
      </c>
      <c r="S3743" t="str">
        <f t="shared" si="353"/>
        <v>Strong</v>
      </c>
    </row>
    <row r="3744" spans="1:19" x14ac:dyDescent="0.25">
      <c r="A3744">
        <v>3743</v>
      </c>
      <c r="B3744">
        <v>5</v>
      </c>
      <c r="C3744" t="s">
        <v>30</v>
      </c>
      <c r="D3744" t="s">
        <v>33</v>
      </c>
      <c r="E3744">
        <v>5700000</v>
      </c>
      <c r="F3744">
        <v>20500000</v>
      </c>
      <c r="G3744">
        <v>16</v>
      </c>
      <c r="H3744">
        <v>429</v>
      </c>
      <c r="I3744">
        <v>2800000</v>
      </c>
      <c r="J3744">
        <v>1900000</v>
      </c>
      <c r="K3744">
        <v>22400000</v>
      </c>
      <c r="L3744">
        <v>3900000</v>
      </c>
      <c r="M3744" t="s">
        <v>35</v>
      </c>
      <c r="N3744">
        <f t="shared" si="349"/>
        <v>0</v>
      </c>
      <c r="O3744" t="str">
        <f t="shared" si="348"/>
        <v>Low</v>
      </c>
      <c r="P3744" t="str">
        <f t="shared" si="350"/>
        <v>High</v>
      </c>
      <c r="Q3744" t="str">
        <f t="shared" si="351"/>
        <v>High Loan</v>
      </c>
      <c r="R3744">
        <f t="shared" si="352"/>
        <v>31000000</v>
      </c>
      <c r="S3744" t="str">
        <f t="shared" si="353"/>
        <v>Strong</v>
      </c>
    </row>
    <row r="3745" spans="1:19" x14ac:dyDescent="0.25">
      <c r="A3745">
        <v>3744</v>
      </c>
      <c r="B3745">
        <v>4</v>
      </c>
      <c r="C3745" t="s">
        <v>30</v>
      </c>
      <c r="D3745" t="s">
        <v>33</v>
      </c>
      <c r="E3745">
        <v>5500000</v>
      </c>
      <c r="F3745">
        <v>15100000</v>
      </c>
      <c r="G3745">
        <v>18</v>
      </c>
      <c r="H3745">
        <v>673</v>
      </c>
      <c r="I3745">
        <v>10500000</v>
      </c>
      <c r="J3745">
        <v>8000000</v>
      </c>
      <c r="K3745">
        <v>13900000</v>
      </c>
      <c r="L3745">
        <v>7200000</v>
      </c>
      <c r="M3745" t="s">
        <v>34</v>
      </c>
      <c r="N3745">
        <f t="shared" si="349"/>
        <v>1</v>
      </c>
      <c r="O3745" t="str">
        <f t="shared" si="348"/>
        <v>Medium</v>
      </c>
      <c r="P3745" t="str">
        <f t="shared" si="350"/>
        <v>High</v>
      </c>
      <c r="Q3745" t="str">
        <f t="shared" si="351"/>
        <v>Low Loan</v>
      </c>
      <c r="R3745">
        <f t="shared" si="352"/>
        <v>39600000</v>
      </c>
      <c r="S3745" t="str">
        <f t="shared" si="353"/>
        <v>Strong</v>
      </c>
    </row>
    <row r="3746" spans="1:19" x14ac:dyDescent="0.25">
      <c r="A3746">
        <v>3745</v>
      </c>
      <c r="B3746">
        <v>4</v>
      </c>
      <c r="C3746" t="s">
        <v>31</v>
      </c>
      <c r="D3746" t="s">
        <v>33</v>
      </c>
      <c r="E3746">
        <v>9200000</v>
      </c>
      <c r="F3746">
        <v>29100000</v>
      </c>
      <c r="G3746">
        <v>10</v>
      </c>
      <c r="H3746">
        <v>731</v>
      </c>
      <c r="I3746">
        <v>14500000</v>
      </c>
      <c r="J3746">
        <v>8300000</v>
      </c>
      <c r="K3746">
        <v>35800000</v>
      </c>
      <c r="L3746">
        <v>5000000</v>
      </c>
      <c r="M3746" t="s">
        <v>34</v>
      </c>
      <c r="N3746">
        <f t="shared" si="349"/>
        <v>1</v>
      </c>
      <c r="O3746" t="str">
        <f t="shared" si="348"/>
        <v>Good</v>
      </c>
      <c r="P3746" t="str">
        <f t="shared" si="350"/>
        <v>High</v>
      </c>
      <c r="Q3746" t="str">
        <f t="shared" si="351"/>
        <v>High Loan</v>
      </c>
      <c r="R3746">
        <f t="shared" si="352"/>
        <v>63600000</v>
      </c>
      <c r="S3746" t="str">
        <f t="shared" si="353"/>
        <v>Strong</v>
      </c>
    </row>
    <row r="3747" spans="1:19" x14ac:dyDescent="0.25">
      <c r="A3747">
        <v>3746</v>
      </c>
      <c r="B3747">
        <v>5</v>
      </c>
      <c r="C3747" t="s">
        <v>30</v>
      </c>
      <c r="D3747" t="s">
        <v>33</v>
      </c>
      <c r="E3747">
        <v>5700000</v>
      </c>
      <c r="F3747">
        <v>11500000</v>
      </c>
      <c r="G3747">
        <v>2</v>
      </c>
      <c r="H3747">
        <v>732</v>
      </c>
      <c r="I3747">
        <v>15800000</v>
      </c>
      <c r="J3747">
        <v>3700000</v>
      </c>
      <c r="K3747">
        <v>15600000</v>
      </c>
      <c r="L3747">
        <v>5300000</v>
      </c>
      <c r="M3747" t="s">
        <v>34</v>
      </c>
      <c r="N3747">
        <f t="shared" si="349"/>
        <v>1</v>
      </c>
      <c r="O3747" t="str">
        <f t="shared" si="348"/>
        <v>Good</v>
      </c>
      <c r="P3747" t="str">
        <f t="shared" si="350"/>
        <v>High</v>
      </c>
      <c r="Q3747" t="str">
        <f t="shared" si="351"/>
        <v>Low Loan</v>
      </c>
      <c r="R3747">
        <f t="shared" si="352"/>
        <v>40400000</v>
      </c>
      <c r="S3747" t="str">
        <f t="shared" si="353"/>
        <v>Strong</v>
      </c>
    </row>
    <row r="3748" spans="1:19" x14ac:dyDescent="0.25">
      <c r="A3748">
        <v>3747</v>
      </c>
      <c r="B3748">
        <v>5</v>
      </c>
      <c r="C3748" t="s">
        <v>30</v>
      </c>
      <c r="D3748" t="s">
        <v>33</v>
      </c>
      <c r="E3748">
        <v>5000000</v>
      </c>
      <c r="F3748">
        <v>16400000</v>
      </c>
      <c r="G3748">
        <v>14</v>
      </c>
      <c r="H3748">
        <v>525</v>
      </c>
      <c r="I3748">
        <v>13000000</v>
      </c>
      <c r="J3748">
        <v>9100000</v>
      </c>
      <c r="K3748">
        <v>15300000</v>
      </c>
      <c r="L3748">
        <v>3300000</v>
      </c>
      <c r="M3748" t="s">
        <v>35</v>
      </c>
      <c r="N3748">
        <f t="shared" si="349"/>
        <v>0</v>
      </c>
      <c r="O3748" t="str">
        <f t="shared" si="348"/>
        <v>Low</v>
      </c>
      <c r="P3748" t="str">
        <f t="shared" si="350"/>
        <v>High</v>
      </c>
      <c r="Q3748" t="str">
        <f t="shared" si="351"/>
        <v>Low Loan</v>
      </c>
      <c r="R3748">
        <f t="shared" si="352"/>
        <v>40700000</v>
      </c>
      <c r="S3748" t="str">
        <f t="shared" si="353"/>
        <v>Strong</v>
      </c>
    </row>
    <row r="3749" spans="1:19" x14ac:dyDescent="0.25">
      <c r="A3749">
        <v>3748</v>
      </c>
      <c r="B3749">
        <v>4</v>
      </c>
      <c r="C3749" t="s">
        <v>31</v>
      </c>
      <c r="D3749" t="s">
        <v>32</v>
      </c>
      <c r="E3749">
        <v>2300000</v>
      </c>
      <c r="F3749">
        <v>5500000</v>
      </c>
      <c r="G3749">
        <v>6</v>
      </c>
      <c r="H3749">
        <v>343</v>
      </c>
      <c r="I3749">
        <v>-100000</v>
      </c>
      <c r="J3749">
        <v>4100000</v>
      </c>
      <c r="K3749">
        <v>4800000</v>
      </c>
      <c r="L3749">
        <v>3200000</v>
      </c>
      <c r="M3749" t="s">
        <v>35</v>
      </c>
      <c r="N3749">
        <f t="shared" si="349"/>
        <v>0</v>
      </c>
      <c r="O3749" t="str">
        <f t="shared" si="348"/>
        <v>Low</v>
      </c>
      <c r="P3749" t="str">
        <f t="shared" si="350"/>
        <v>High</v>
      </c>
      <c r="Q3749" t="str">
        <f t="shared" si="351"/>
        <v>Low Loan</v>
      </c>
      <c r="R3749">
        <f t="shared" si="352"/>
        <v>12000000</v>
      </c>
      <c r="S3749" t="str">
        <f t="shared" si="353"/>
        <v>Strong</v>
      </c>
    </row>
    <row r="3750" spans="1:19" x14ac:dyDescent="0.25">
      <c r="A3750">
        <v>3749</v>
      </c>
      <c r="B3750">
        <v>0</v>
      </c>
      <c r="C3750" t="s">
        <v>31</v>
      </c>
      <c r="D3750" t="s">
        <v>33</v>
      </c>
      <c r="E3750">
        <v>3000000</v>
      </c>
      <c r="F3750">
        <v>11000000</v>
      </c>
      <c r="G3750">
        <v>16</v>
      </c>
      <c r="H3750">
        <v>331</v>
      </c>
      <c r="I3750">
        <v>8000000</v>
      </c>
      <c r="J3750">
        <v>4500000</v>
      </c>
      <c r="K3750">
        <v>6600000</v>
      </c>
      <c r="L3750">
        <v>2400000</v>
      </c>
      <c r="M3750" t="s">
        <v>35</v>
      </c>
      <c r="N3750">
        <f t="shared" si="349"/>
        <v>0</v>
      </c>
      <c r="O3750" t="str">
        <f t="shared" si="348"/>
        <v>Low</v>
      </c>
      <c r="P3750" t="str">
        <f t="shared" si="350"/>
        <v>High</v>
      </c>
      <c r="Q3750" t="str">
        <f t="shared" si="351"/>
        <v>Low Loan</v>
      </c>
      <c r="R3750">
        <f t="shared" si="352"/>
        <v>21500000</v>
      </c>
      <c r="S3750" t="str">
        <f t="shared" si="353"/>
        <v>Strong</v>
      </c>
    </row>
    <row r="3751" spans="1:19" x14ac:dyDescent="0.25">
      <c r="A3751">
        <v>3750</v>
      </c>
      <c r="B3751">
        <v>0</v>
      </c>
      <c r="C3751" t="s">
        <v>31</v>
      </c>
      <c r="D3751" t="s">
        <v>32</v>
      </c>
      <c r="E3751">
        <v>7900000</v>
      </c>
      <c r="F3751">
        <v>26200000</v>
      </c>
      <c r="G3751">
        <v>18</v>
      </c>
      <c r="H3751">
        <v>845</v>
      </c>
      <c r="I3751">
        <v>14200000</v>
      </c>
      <c r="J3751">
        <v>14700000</v>
      </c>
      <c r="K3751">
        <v>27400000</v>
      </c>
      <c r="L3751">
        <v>6300000</v>
      </c>
      <c r="M3751" t="s">
        <v>34</v>
      </c>
      <c r="N3751">
        <f t="shared" si="349"/>
        <v>1</v>
      </c>
      <c r="O3751" t="str">
        <f t="shared" si="348"/>
        <v>Excellent</v>
      </c>
      <c r="P3751" t="str">
        <f t="shared" si="350"/>
        <v>High</v>
      </c>
      <c r="Q3751" t="str">
        <f t="shared" si="351"/>
        <v>High Loan</v>
      </c>
      <c r="R3751">
        <f t="shared" si="352"/>
        <v>62600000</v>
      </c>
      <c r="S3751" t="str">
        <f t="shared" si="353"/>
        <v>Strong</v>
      </c>
    </row>
    <row r="3752" spans="1:19" x14ac:dyDescent="0.25">
      <c r="A3752">
        <v>3751</v>
      </c>
      <c r="B3752">
        <v>2</v>
      </c>
      <c r="C3752" t="s">
        <v>30</v>
      </c>
      <c r="D3752" t="s">
        <v>32</v>
      </c>
      <c r="E3752">
        <v>2000000</v>
      </c>
      <c r="F3752">
        <v>6200000</v>
      </c>
      <c r="G3752">
        <v>16</v>
      </c>
      <c r="H3752">
        <v>696</v>
      </c>
      <c r="I3752">
        <v>4100000</v>
      </c>
      <c r="J3752">
        <v>600000</v>
      </c>
      <c r="K3752">
        <v>5400000</v>
      </c>
      <c r="L3752">
        <v>1300000</v>
      </c>
      <c r="M3752" t="s">
        <v>34</v>
      </c>
      <c r="N3752">
        <f t="shared" si="349"/>
        <v>1</v>
      </c>
      <c r="O3752" t="str">
        <f t="shared" si="348"/>
        <v>Medium</v>
      </c>
      <c r="P3752" t="str">
        <f t="shared" si="350"/>
        <v>High</v>
      </c>
      <c r="Q3752" t="str">
        <f t="shared" si="351"/>
        <v>Low Loan</v>
      </c>
      <c r="R3752">
        <f t="shared" si="352"/>
        <v>11400000</v>
      </c>
      <c r="S3752" t="str">
        <f t="shared" si="353"/>
        <v>Strong</v>
      </c>
    </row>
    <row r="3753" spans="1:19" x14ac:dyDescent="0.25">
      <c r="A3753">
        <v>3752</v>
      </c>
      <c r="B3753">
        <v>5</v>
      </c>
      <c r="C3753" t="s">
        <v>31</v>
      </c>
      <c r="D3753" t="s">
        <v>32</v>
      </c>
      <c r="E3753">
        <v>2700000</v>
      </c>
      <c r="F3753">
        <v>8700000</v>
      </c>
      <c r="G3753">
        <v>14</v>
      </c>
      <c r="H3753">
        <v>772</v>
      </c>
      <c r="I3753">
        <v>2200000</v>
      </c>
      <c r="J3753">
        <v>2800000</v>
      </c>
      <c r="K3753">
        <v>7600000</v>
      </c>
      <c r="L3753">
        <v>3700000</v>
      </c>
      <c r="M3753" t="s">
        <v>34</v>
      </c>
      <c r="N3753">
        <f t="shared" si="349"/>
        <v>1</v>
      </c>
      <c r="O3753" t="str">
        <f t="shared" si="348"/>
        <v>Excellent</v>
      </c>
      <c r="P3753" t="str">
        <f t="shared" si="350"/>
        <v>High</v>
      </c>
      <c r="Q3753" t="str">
        <f t="shared" si="351"/>
        <v>Low Loan</v>
      </c>
      <c r="R3753">
        <f t="shared" si="352"/>
        <v>16300000</v>
      </c>
      <c r="S3753" t="str">
        <f t="shared" si="353"/>
        <v>Strong</v>
      </c>
    </row>
    <row r="3754" spans="1:19" x14ac:dyDescent="0.25">
      <c r="A3754">
        <v>3753</v>
      </c>
      <c r="B3754">
        <v>3</v>
      </c>
      <c r="C3754" t="s">
        <v>30</v>
      </c>
      <c r="D3754" t="s">
        <v>33</v>
      </c>
      <c r="E3754">
        <v>6400000</v>
      </c>
      <c r="F3754">
        <v>15800000</v>
      </c>
      <c r="G3754">
        <v>18</v>
      </c>
      <c r="H3754">
        <v>628</v>
      </c>
      <c r="I3754">
        <v>6900000</v>
      </c>
      <c r="J3754">
        <v>2700000</v>
      </c>
      <c r="K3754">
        <v>24800000</v>
      </c>
      <c r="L3754">
        <v>5300000</v>
      </c>
      <c r="M3754" t="s">
        <v>34</v>
      </c>
      <c r="N3754">
        <f t="shared" si="349"/>
        <v>1</v>
      </c>
      <c r="O3754" t="str">
        <f t="shared" si="348"/>
        <v>Low</v>
      </c>
      <c r="P3754" t="str">
        <f t="shared" si="350"/>
        <v>High</v>
      </c>
      <c r="Q3754" t="str">
        <f t="shared" si="351"/>
        <v>Low Loan</v>
      </c>
      <c r="R3754">
        <f t="shared" si="352"/>
        <v>39700000</v>
      </c>
      <c r="S3754" t="str">
        <f t="shared" si="353"/>
        <v>Strong</v>
      </c>
    </row>
    <row r="3755" spans="1:19" x14ac:dyDescent="0.25">
      <c r="A3755">
        <v>3754</v>
      </c>
      <c r="B3755">
        <v>0</v>
      </c>
      <c r="C3755" t="s">
        <v>31</v>
      </c>
      <c r="D3755" t="s">
        <v>33</v>
      </c>
      <c r="E3755">
        <v>8200000</v>
      </c>
      <c r="F3755">
        <v>19100000</v>
      </c>
      <c r="G3755">
        <v>2</v>
      </c>
      <c r="H3755">
        <v>764</v>
      </c>
      <c r="I3755">
        <v>22900000</v>
      </c>
      <c r="J3755">
        <v>8900000</v>
      </c>
      <c r="K3755">
        <v>20500000</v>
      </c>
      <c r="L3755">
        <v>4000000</v>
      </c>
      <c r="M3755" t="s">
        <v>34</v>
      </c>
      <c r="N3755">
        <f t="shared" si="349"/>
        <v>1</v>
      </c>
      <c r="O3755" t="str">
        <f t="shared" si="348"/>
        <v>Excellent</v>
      </c>
      <c r="P3755" t="str">
        <f t="shared" si="350"/>
        <v>High</v>
      </c>
      <c r="Q3755" t="str">
        <f t="shared" si="351"/>
        <v>Low Loan</v>
      </c>
      <c r="R3755">
        <f t="shared" si="352"/>
        <v>56300000</v>
      </c>
      <c r="S3755" t="str">
        <f t="shared" si="353"/>
        <v>Strong</v>
      </c>
    </row>
    <row r="3756" spans="1:19" x14ac:dyDescent="0.25">
      <c r="A3756">
        <v>3755</v>
      </c>
      <c r="B3756">
        <v>1</v>
      </c>
      <c r="C3756" t="s">
        <v>30</v>
      </c>
      <c r="D3756" t="s">
        <v>32</v>
      </c>
      <c r="E3756">
        <v>2800000</v>
      </c>
      <c r="F3756">
        <v>6900000</v>
      </c>
      <c r="G3756">
        <v>14</v>
      </c>
      <c r="H3756">
        <v>553</v>
      </c>
      <c r="I3756">
        <v>400000</v>
      </c>
      <c r="J3756">
        <v>4900000</v>
      </c>
      <c r="K3756">
        <v>6800000</v>
      </c>
      <c r="L3756">
        <v>4200000</v>
      </c>
      <c r="M3756" t="s">
        <v>34</v>
      </c>
      <c r="N3756">
        <f t="shared" si="349"/>
        <v>1</v>
      </c>
      <c r="O3756" t="str">
        <f t="shared" si="348"/>
        <v>Low</v>
      </c>
      <c r="P3756" t="str">
        <f t="shared" si="350"/>
        <v>High</v>
      </c>
      <c r="Q3756" t="str">
        <f t="shared" si="351"/>
        <v>Low Loan</v>
      </c>
      <c r="R3756">
        <f t="shared" si="352"/>
        <v>16300000</v>
      </c>
      <c r="S3756" t="str">
        <f t="shared" si="353"/>
        <v>Strong</v>
      </c>
    </row>
    <row r="3757" spans="1:19" x14ac:dyDescent="0.25">
      <c r="A3757">
        <v>3756</v>
      </c>
      <c r="B3757">
        <v>1</v>
      </c>
      <c r="C3757" t="s">
        <v>31</v>
      </c>
      <c r="D3757" t="s">
        <v>32</v>
      </c>
      <c r="E3757">
        <v>8900000</v>
      </c>
      <c r="F3757">
        <v>20000000</v>
      </c>
      <c r="G3757">
        <v>2</v>
      </c>
      <c r="H3757">
        <v>653</v>
      </c>
      <c r="I3757">
        <v>12700000</v>
      </c>
      <c r="J3757">
        <v>600000</v>
      </c>
      <c r="K3757">
        <v>17800000</v>
      </c>
      <c r="L3757">
        <v>9900000</v>
      </c>
      <c r="M3757" t="s">
        <v>34</v>
      </c>
      <c r="N3757">
        <f t="shared" si="349"/>
        <v>1</v>
      </c>
      <c r="O3757" t="str">
        <f t="shared" si="348"/>
        <v>Medium</v>
      </c>
      <c r="P3757" t="str">
        <f t="shared" si="350"/>
        <v>High</v>
      </c>
      <c r="Q3757" t="str">
        <f t="shared" si="351"/>
        <v>High Loan</v>
      </c>
      <c r="R3757">
        <f t="shared" si="352"/>
        <v>41000000</v>
      </c>
      <c r="S3757" t="str">
        <f t="shared" si="353"/>
        <v>Strong</v>
      </c>
    </row>
    <row r="3758" spans="1:19" x14ac:dyDescent="0.25">
      <c r="A3758">
        <v>3757</v>
      </c>
      <c r="B3758">
        <v>1</v>
      </c>
      <c r="C3758" t="s">
        <v>31</v>
      </c>
      <c r="D3758" t="s">
        <v>32</v>
      </c>
      <c r="E3758">
        <v>5100000</v>
      </c>
      <c r="F3758">
        <v>20000000</v>
      </c>
      <c r="G3758">
        <v>4</v>
      </c>
      <c r="H3758">
        <v>506</v>
      </c>
      <c r="I3758">
        <v>7900000</v>
      </c>
      <c r="J3758">
        <v>8900000</v>
      </c>
      <c r="K3758">
        <v>20300000</v>
      </c>
      <c r="L3758">
        <v>6700000</v>
      </c>
      <c r="M3758" t="s">
        <v>34</v>
      </c>
      <c r="N3758">
        <f t="shared" si="349"/>
        <v>1</v>
      </c>
      <c r="O3758" t="str">
        <f t="shared" si="348"/>
        <v>Low</v>
      </c>
      <c r="P3758" t="str">
        <f t="shared" si="350"/>
        <v>High</v>
      </c>
      <c r="Q3758" t="str">
        <f t="shared" si="351"/>
        <v>High Loan</v>
      </c>
      <c r="R3758">
        <f t="shared" si="352"/>
        <v>43800000</v>
      </c>
      <c r="S3758" t="str">
        <f t="shared" si="353"/>
        <v>Strong</v>
      </c>
    </row>
    <row r="3759" spans="1:19" x14ac:dyDescent="0.25">
      <c r="A3759">
        <v>3758</v>
      </c>
      <c r="B3759">
        <v>3</v>
      </c>
      <c r="C3759" t="s">
        <v>30</v>
      </c>
      <c r="D3759" t="s">
        <v>32</v>
      </c>
      <c r="E3759">
        <v>2800000</v>
      </c>
      <c r="F3759">
        <v>8500000</v>
      </c>
      <c r="G3759">
        <v>20</v>
      </c>
      <c r="H3759">
        <v>431</v>
      </c>
      <c r="I3759">
        <v>6200000</v>
      </c>
      <c r="J3759">
        <v>1700000</v>
      </c>
      <c r="K3759">
        <v>7800000</v>
      </c>
      <c r="L3759">
        <v>2200000</v>
      </c>
      <c r="M3759" t="s">
        <v>35</v>
      </c>
      <c r="N3759">
        <f t="shared" si="349"/>
        <v>0</v>
      </c>
      <c r="O3759" t="str">
        <f t="shared" si="348"/>
        <v>Low</v>
      </c>
      <c r="P3759" t="str">
        <f t="shared" si="350"/>
        <v>High</v>
      </c>
      <c r="Q3759" t="str">
        <f t="shared" si="351"/>
        <v>Low Loan</v>
      </c>
      <c r="R3759">
        <f t="shared" si="352"/>
        <v>17900000</v>
      </c>
      <c r="S3759" t="str">
        <f t="shared" si="353"/>
        <v>Strong</v>
      </c>
    </row>
    <row r="3760" spans="1:19" x14ac:dyDescent="0.25">
      <c r="A3760">
        <v>3759</v>
      </c>
      <c r="B3760">
        <v>2</v>
      </c>
      <c r="C3760" t="s">
        <v>31</v>
      </c>
      <c r="D3760" t="s">
        <v>33</v>
      </c>
      <c r="E3760">
        <v>6100000</v>
      </c>
      <c r="F3760">
        <v>12300000</v>
      </c>
      <c r="G3760">
        <v>18</v>
      </c>
      <c r="H3760">
        <v>697</v>
      </c>
      <c r="I3760">
        <v>14100000</v>
      </c>
      <c r="J3760">
        <v>9100000</v>
      </c>
      <c r="K3760">
        <v>12600000</v>
      </c>
      <c r="L3760">
        <v>3500000</v>
      </c>
      <c r="M3760" t="s">
        <v>34</v>
      </c>
      <c r="N3760">
        <f t="shared" si="349"/>
        <v>1</v>
      </c>
      <c r="O3760" t="str">
        <f t="shared" si="348"/>
        <v>Medium</v>
      </c>
      <c r="P3760" t="str">
        <f t="shared" si="350"/>
        <v>High</v>
      </c>
      <c r="Q3760" t="str">
        <f t="shared" si="351"/>
        <v>Low Loan</v>
      </c>
      <c r="R3760">
        <f t="shared" si="352"/>
        <v>39300000</v>
      </c>
      <c r="S3760" t="str">
        <f t="shared" si="353"/>
        <v>Strong</v>
      </c>
    </row>
    <row r="3761" spans="1:19" x14ac:dyDescent="0.25">
      <c r="A3761">
        <v>3760</v>
      </c>
      <c r="B3761">
        <v>2</v>
      </c>
      <c r="C3761" t="s">
        <v>31</v>
      </c>
      <c r="D3761" t="s">
        <v>32</v>
      </c>
      <c r="E3761">
        <v>8400000</v>
      </c>
      <c r="F3761">
        <v>24500000</v>
      </c>
      <c r="G3761">
        <v>6</v>
      </c>
      <c r="H3761">
        <v>588</v>
      </c>
      <c r="I3761">
        <v>11000000</v>
      </c>
      <c r="J3761">
        <v>1300000</v>
      </c>
      <c r="K3761">
        <v>22900000</v>
      </c>
      <c r="L3761">
        <v>10400000</v>
      </c>
      <c r="M3761" t="s">
        <v>34</v>
      </c>
      <c r="N3761">
        <f t="shared" si="349"/>
        <v>1</v>
      </c>
      <c r="O3761" t="str">
        <f t="shared" si="348"/>
        <v>Low</v>
      </c>
      <c r="P3761" t="str">
        <f t="shared" si="350"/>
        <v>High</v>
      </c>
      <c r="Q3761" t="str">
        <f t="shared" si="351"/>
        <v>High Loan</v>
      </c>
      <c r="R3761">
        <f t="shared" si="352"/>
        <v>45600000</v>
      </c>
      <c r="S3761" t="str">
        <f t="shared" si="353"/>
        <v>Strong</v>
      </c>
    </row>
    <row r="3762" spans="1:19" x14ac:dyDescent="0.25">
      <c r="A3762">
        <v>3761</v>
      </c>
      <c r="B3762">
        <v>1</v>
      </c>
      <c r="C3762" t="s">
        <v>31</v>
      </c>
      <c r="D3762" t="s">
        <v>32</v>
      </c>
      <c r="E3762">
        <v>1600000</v>
      </c>
      <c r="F3762">
        <v>5600000</v>
      </c>
      <c r="G3762">
        <v>6</v>
      </c>
      <c r="H3762">
        <v>846</v>
      </c>
      <c r="I3762">
        <v>600000</v>
      </c>
      <c r="J3762">
        <v>2800000</v>
      </c>
      <c r="K3762">
        <v>4600000</v>
      </c>
      <c r="L3762">
        <v>1200000</v>
      </c>
      <c r="M3762" t="s">
        <v>34</v>
      </c>
      <c r="N3762">
        <f t="shared" si="349"/>
        <v>1</v>
      </c>
      <c r="O3762" t="str">
        <f t="shared" si="348"/>
        <v>Excellent</v>
      </c>
      <c r="P3762" t="str">
        <f t="shared" si="350"/>
        <v>High</v>
      </c>
      <c r="Q3762" t="str">
        <f t="shared" si="351"/>
        <v>Low Loan</v>
      </c>
      <c r="R3762">
        <f t="shared" si="352"/>
        <v>9200000</v>
      </c>
      <c r="S3762" t="str">
        <f t="shared" si="353"/>
        <v>Moderate</v>
      </c>
    </row>
    <row r="3763" spans="1:19" x14ac:dyDescent="0.25">
      <c r="A3763">
        <v>3762</v>
      </c>
      <c r="B3763">
        <v>5</v>
      </c>
      <c r="C3763" t="s">
        <v>30</v>
      </c>
      <c r="D3763" t="s">
        <v>32</v>
      </c>
      <c r="E3763">
        <v>4100000</v>
      </c>
      <c r="F3763">
        <v>11000000</v>
      </c>
      <c r="G3763">
        <v>14</v>
      </c>
      <c r="H3763">
        <v>379</v>
      </c>
      <c r="I3763">
        <v>6200000</v>
      </c>
      <c r="J3763">
        <v>1700000</v>
      </c>
      <c r="K3763">
        <v>8500000</v>
      </c>
      <c r="L3763">
        <v>5400000</v>
      </c>
      <c r="M3763" t="s">
        <v>35</v>
      </c>
      <c r="N3763">
        <f t="shared" si="349"/>
        <v>0</v>
      </c>
      <c r="O3763" t="str">
        <f t="shared" si="348"/>
        <v>Low</v>
      </c>
      <c r="P3763" t="str">
        <f t="shared" si="350"/>
        <v>High</v>
      </c>
      <c r="Q3763" t="str">
        <f t="shared" si="351"/>
        <v>Low Loan</v>
      </c>
      <c r="R3763">
        <f t="shared" si="352"/>
        <v>21800000</v>
      </c>
      <c r="S3763" t="str">
        <f t="shared" si="353"/>
        <v>Strong</v>
      </c>
    </row>
    <row r="3764" spans="1:19" x14ac:dyDescent="0.25">
      <c r="A3764">
        <v>3763</v>
      </c>
      <c r="B3764">
        <v>1</v>
      </c>
      <c r="C3764" t="s">
        <v>31</v>
      </c>
      <c r="D3764" t="s">
        <v>32</v>
      </c>
      <c r="E3764">
        <v>300000</v>
      </c>
      <c r="F3764">
        <v>700000</v>
      </c>
      <c r="G3764">
        <v>10</v>
      </c>
      <c r="H3764">
        <v>745</v>
      </c>
      <c r="I3764">
        <v>0</v>
      </c>
      <c r="J3764">
        <v>0</v>
      </c>
      <c r="K3764">
        <v>900000</v>
      </c>
      <c r="L3764">
        <v>100000</v>
      </c>
      <c r="M3764" t="s">
        <v>34</v>
      </c>
      <c r="N3764">
        <f t="shared" si="349"/>
        <v>1</v>
      </c>
      <c r="O3764" t="str">
        <f t="shared" si="348"/>
        <v>Good</v>
      </c>
      <c r="P3764" t="str">
        <f t="shared" si="350"/>
        <v>Middle</v>
      </c>
      <c r="Q3764" t="str">
        <f t="shared" si="351"/>
        <v>Low Loan</v>
      </c>
      <c r="R3764">
        <f t="shared" si="352"/>
        <v>1000000</v>
      </c>
      <c r="S3764" t="str">
        <f t="shared" si="353"/>
        <v>Weak</v>
      </c>
    </row>
    <row r="3765" spans="1:19" x14ac:dyDescent="0.25">
      <c r="A3765">
        <v>3764</v>
      </c>
      <c r="B3765">
        <v>3</v>
      </c>
      <c r="C3765" t="s">
        <v>30</v>
      </c>
      <c r="D3765" t="s">
        <v>32</v>
      </c>
      <c r="E3765">
        <v>9600000</v>
      </c>
      <c r="F3765">
        <v>34500000</v>
      </c>
      <c r="G3765">
        <v>20</v>
      </c>
      <c r="H3765">
        <v>523</v>
      </c>
      <c r="I3765">
        <v>26100000</v>
      </c>
      <c r="J3765">
        <v>2600000</v>
      </c>
      <c r="K3765">
        <v>24300000</v>
      </c>
      <c r="L3765">
        <v>5300000</v>
      </c>
      <c r="M3765" t="s">
        <v>35</v>
      </c>
      <c r="N3765">
        <f t="shared" si="349"/>
        <v>0</v>
      </c>
      <c r="O3765" t="str">
        <f t="shared" si="348"/>
        <v>Low</v>
      </c>
      <c r="P3765" t="str">
        <f t="shared" si="350"/>
        <v>High</v>
      </c>
      <c r="Q3765" t="str">
        <f t="shared" si="351"/>
        <v>High Loan</v>
      </c>
      <c r="R3765">
        <f t="shared" si="352"/>
        <v>58300000</v>
      </c>
      <c r="S3765" t="str">
        <f t="shared" si="353"/>
        <v>Strong</v>
      </c>
    </row>
    <row r="3766" spans="1:19" x14ac:dyDescent="0.25">
      <c r="A3766">
        <v>3765</v>
      </c>
      <c r="B3766">
        <v>4</v>
      </c>
      <c r="C3766" t="s">
        <v>30</v>
      </c>
      <c r="D3766" t="s">
        <v>33</v>
      </c>
      <c r="E3766">
        <v>8300000</v>
      </c>
      <c r="F3766">
        <v>25400000</v>
      </c>
      <c r="G3766">
        <v>4</v>
      </c>
      <c r="H3766">
        <v>624</v>
      </c>
      <c r="I3766">
        <v>22900000</v>
      </c>
      <c r="J3766">
        <v>4000000</v>
      </c>
      <c r="K3766">
        <v>24800000</v>
      </c>
      <c r="L3766">
        <v>5400000</v>
      </c>
      <c r="M3766" t="s">
        <v>34</v>
      </c>
      <c r="N3766">
        <f t="shared" si="349"/>
        <v>1</v>
      </c>
      <c r="O3766" t="str">
        <f t="shared" si="348"/>
        <v>Low</v>
      </c>
      <c r="P3766" t="str">
        <f t="shared" si="350"/>
        <v>High</v>
      </c>
      <c r="Q3766" t="str">
        <f t="shared" si="351"/>
        <v>High Loan</v>
      </c>
      <c r="R3766">
        <f t="shared" si="352"/>
        <v>57100000</v>
      </c>
      <c r="S3766" t="str">
        <f t="shared" si="353"/>
        <v>Strong</v>
      </c>
    </row>
    <row r="3767" spans="1:19" x14ac:dyDescent="0.25">
      <c r="A3767">
        <v>3766</v>
      </c>
      <c r="B3767">
        <v>1</v>
      </c>
      <c r="C3767" t="s">
        <v>30</v>
      </c>
      <c r="D3767" t="s">
        <v>32</v>
      </c>
      <c r="E3767">
        <v>4600000</v>
      </c>
      <c r="F3767">
        <v>16700000</v>
      </c>
      <c r="G3767">
        <v>16</v>
      </c>
      <c r="H3767">
        <v>407</v>
      </c>
      <c r="I3767">
        <v>13000000</v>
      </c>
      <c r="J3767">
        <v>6000000</v>
      </c>
      <c r="K3767">
        <v>9800000</v>
      </c>
      <c r="L3767">
        <v>2800000</v>
      </c>
      <c r="M3767" t="s">
        <v>35</v>
      </c>
      <c r="N3767">
        <f t="shared" si="349"/>
        <v>0</v>
      </c>
      <c r="O3767" t="str">
        <f t="shared" si="348"/>
        <v>Low</v>
      </c>
      <c r="P3767" t="str">
        <f t="shared" si="350"/>
        <v>High</v>
      </c>
      <c r="Q3767" t="str">
        <f t="shared" si="351"/>
        <v>Low Loan</v>
      </c>
      <c r="R3767">
        <f t="shared" si="352"/>
        <v>31600000</v>
      </c>
      <c r="S3767" t="str">
        <f t="shared" si="353"/>
        <v>Strong</v>
      </c>
    </row>
    <row r="3768" spans="1:19" x14ac:dyDescent="0.25">
      <c r="A3768">
        <v>3767</v>
      </c>
      <c r="B3768">
        <v>3</v>
      </c>
      <c r="C3768" t="s">
        <v>31</v>
      </c>
      <c r="D3768" t="s">
        <v>33</v>
      </c>
      <c r="E3768">
        <v>5600000</v>
      </c>
      <c r="F3768">
        <v>11600000</v>
      </c>
      <c r="G3768">
        <v>12</v>
      </c>
      <c r="H3768">
        <v>756</v>
      </c>
      <c r="I3768">
        <v>3300000</v>
      </c>
      <c r="J3768">
        <v>1800000</v>
      </c>
      <c r="K3768">
        <v>18400000</v>
      </c>
      <c r="L3768">
        <v>7800000</v>
      </c>
      <c r="M3768" t="s">
        <v>34</v>
      </c>
      <c r="N3768">
        <f t="shared" si="349"/>
        <v>1</v>
      </c>
      <c r="O3768" t="str">
        <f t="shared" si="348"/>
        <v>Excellent</v>
      </c>
      <c r="P3768" t="str">
        <f t="shared" si="350"/>
        <v>High</v>
      </c>
      <c r="Q3768" t="str">
        <f t="shared" si="351"/>
        <v>Low Loan</v>
      </c>
      <c r="R3768">
        <f t="shared" si="352"/>
        <v>31300000</v>
      </c>
      <c r="S3768" t="str">
        <f t="shared" si="353"/>
        <v>Strong</v>
      </c>
    </row>
    <row r="3769" spans="1:19" x14ac:dyDescent="0.25">
      <c r="A3769">
        <v>3768</v>
      </c>
      <c r="B3769">
        <v>3</v>
      </c>
      <c r="C3769" t="s">
        <v>30</v>
      </c>
      <c r="D3769" t="s">
        <v>33</v>
      </c>
      <c r="E3769">
        <v>4100000</v>
      </c>
      <c r="F3769">
        <v>8300000</v>
      </c>
      <c r="G3769">
        <v>16</v>
      </c>
      <c r="H3769">
        <v>351</v>
      </c>
      <c r="I3769">
        <v>6000000</v>
      </c>
      <c r="J3769">
        <v>100000</v>
      </c>
      <c r="K3769">
        <v>11100000</v>
      </c>
      <c r="L3769">
        <v>2200000</v>
      </c>
      <c r="M3769" t="s">
        <v>35</v>
      </c>
      <c r="N3769">
        <f t="shared" si="349"/>
        <v>0</v>
      </c>
      <c r="O3769" t="str">
        <f t="shared" si="348"/>
        <v>Low</v>
      </c>
      <c r="P3769" t="str">
        <f t="shared" si="350"/>
        <v>High</v>
      </c>
      <c r="Q3769" t="str">
        <f t="shared" si="351"/>
        <v>Low Loan</v>
      </c>
      <c r="R3769">
        <f t="shared" si="352"/>
        <v>19400000</v>
      </c>
      <c r="S3769" t="str">
        <f t="shared" si="353"/>
        <v>Strong</v>
      </c>
    </row>
    <row r="3770" spans="1:19" x14ac:dyDescent="0.25">
      <c r="A3770">
        <v>3769</v>
      </c>
      <c r="B3770">
        <v>3</v>
      </c>
      <c r="C3770" t="s">
        <v>31</v>
      </c>
      <c r="D3770" t="s">
        <v>32</v>
      </c>
      <c r="E3770">
        <v>3700000</v>
      </c>
      <c r="F3770">
        <v>13400000</v>
      </c>
      <c r="G3770">
        <v>18</v>
      </c>
      <c r="H3770">
        <v>373</v>
      </c>
      <c r="I3770">
        <v>2800000</v>
      </c>
      <c r="J3770">
        <v>100000</v>
      </c>
      <c r="K3770">
        <v>13200000</v>
      </c>
      <c r="L3770">
        <v>2500000</v>
      </c>
      <c r="M3770" t="s">
        <v>35</v>
      </c>
      <c r="N3770">
        <f t="shared" si="349"/>
        <v>0</v>
      </c>
      <c r="O3770" t="str">
        <f t="shared" si="348"/>
        <v>Low</v>
      </c>
      <c r="P3770" t="str">
        <f t="shared" si="350"/>
        <v>High</v>
      </c>
      <c r="Q3770" t="str">
        <f t="shared" si="351"/>
        <v>Low Loan</v>
      </c>
      <c r="R3770">
        <f t="shared" si="352"/>
        <v>18600000</v>
      </c>
      <c r="S3770" t="str">
        <f t="shared" si="353"/>
        <v>Strong</v>
      </c>
    </row>
    <row r="3771" spans="1:19" x14ac:dyDescent="0.25">
      <c r="A3771">
        <v>3770</v>
      </c>
      <c r="B3771">
        <v>4</v>
      </c>
      <c r="C3771" t="s">
        <v>31</v>
      </c>
      <c r="D3771" t="s">
        <v>33</v>
      </c>
      <c r="E3771">
        <v>800000</v>
      </c>
      <c r="F3771">
        <v>2400000</v>
      </c>
      <c r="G3771">
        <v>2</v>
      </c>
      <c r="H3771">
        <v>461</v>
      </c>
      <c r="I3771">
        <v>1300000</v>
      </c>
      <c r="J3771">
        <v>1300000</v>
      </c>
      <c r="K3771">
        <v>2300000</v>
      </c>
      <c r="L3771">
        <v>300000</v>
      </c>
      <c r="M3771" t="s">
        <v>34</v>
      </c>
      <c r="N3771">
        <f t="shared" si="349"/>
        <v>1</v>
      </c>
      <c r="O3771" t="str">
        <f t="shared" si="348"/>
        <v>Low</v>
      </c>
      <c r="P3771" t="str">
        <f t="shared" si="350"/>
        <v>High</v>
      </c>
      <c r="Q3771" t="str">
        <f t="shared" si="351"/>
        <v>Low Loan</v>
      </c>
      <c r="R3771">
        <f t="shared" si="352"/>
        <v>5200000</v>
      </c>
      <c r="S3771" t="str">
        <f t="shared" si="353"/>
        <v>Moderate</v>
      </c>
    </row>
    <row r="3772" spans="1:19" x14ac:dyDescent="0.25">
      <c r="A3772">
        <v>3771</v>
      </c>
      <c r="B3772">
        <v>4</v>
      </c>
      <c r="C3772" t="s">
        <v>30</v>
      </c>
      <c r="D3772" t="s">
        <v>32</v>
      </c>
      <c r="E3772">
        <v>8100000</v>
      </c>
      <c r="F3772">
        <v>28100000</v>
      </c>
      <c r="G3772">
        <v>12</v>
      </c>
      <c r="H3772">
        <v>672</v>
      </c>
      <c r="I3772">
        <v>5600000</v>
      </c>
      <c r="J3772">
        <v>9200000</v>
      </c>
      <c r="K3772">
        <v>17200000</v>
      </c>
      <c r="L3772">
        <v>9500000</v>
      </c>
      <c r="M3772" t="s">
        <v>34</v>
      </c>
      <c r="N3772">
        <f t="shared" si="349"/>
        <v>1</v>
      </c>
      <c r="O3772" t="str">
        <f t="shared" si="348"/>
        <v>Medium</v>
      </c>
      <c r="P3772" t="str">
        <f t="shared" si="350"/>
        <v>High</v>
      </c>
      <c r="Q3772" t="str">
        <f t="shared" si="351"/>
        <v>High Loan</v>
      </c>
      <c r="R3772">
        <f t="shared" si="352"/>
        <v>41500000</v>
      </c>
      <c r="S3772" t="str">
        <f t="shared" si="353"/>
        <v>Strong</v>
      </c>
    </row>
    <row r="3773" spans="1:19" x14ac:dyDescent="0.25">
      <c r="A3773">
        <v>3772</v>
      </c>
      <c r="B3773">
        <v>2</v>
      </c>
      <c r="C3773" t="s">
        <v>30</v>
      </c>
      <c r="D3773" t="s">
        <v>33</v>
      </c>
      <c r="E3773">
        <v>2700000</v>
      </c>
      <c r="F3773">
        <v>9500000</v>
      </c>
      <c r="G3773">
        <v>10</v>
      </c>
      <c r="H3773">
        <v>434</v>
      </c>
      <c r="I3773">
        <v>2700000</v>
      </c>
      <c r="J3773">
        <v>1500000</v>
      </c>
      <c r="K3773">
        <v>8100000</v>
      </c>
      <c r="L3773">
        <v>1800000</v>
      </c>
      <c r="M3773" t="s">
        <v>35</v>
      </c>
      <c r="N3773">
        <f t="shared" si="349"/>
        <v>0</v>
      </c>
      <c r="O3773" t="str">
        <f t="shared" si="348"/>
        <v>Low</v>
      </c>
      <c r="P3773" t="str">
        <f t="shared" si="350"/>
        <v>High</v>
      </c>
      <c r="Q3773" t="str">
        <f t="shared" si="351"/>
        <v>Low Loan</v>
      </c>
      <c r="R3773">
        <f t="shared" si="352"/>
        <v>14100000</v>
      </c>
      <c r="S3773" t="str">
        <f t="shared" si="353"/>
        <v>Strong</v>
      </c>
    </row>
    <row r="3774" spans="1:19" x14ac:dyDescent="0.25">
      <c r="A3774">
        <v>3773</v>
      </c>
      <c r="B3774">
        <v>2</v>
      </c>
      <c r="C3774" t="s">
        <v>31</v>
      </c>
      <c r="D3774" t="s">
        <v>33</v>
      </c>
      <c r="E3774">
        <v>7000000</v>
      </c>
      <c r="F3774">
        <v>21400000</v>
      </c>
      <c r="G3774">
        <v>12</v>
      </c>
      <c r="H3774">
        <v>541</v>
      </c>
      <c r="I3774">
        <v>3700000</v>
      </c>
      <c r="J3774">
        <v>1300000</v>
      </c>
      <c r="K3774">
        <v>19800000</v>
      </c>
      <c r="L3774">
        <v>9600000</v>
      </c>
      <c r="M3774" t="s">
        <v>35</v>
      </c>
      <c r="N3774">
        <f t="shared" si="349"/>
        <v>0</v>
      </c>
      <c r="O3774" t="str">
        <f t="shared" si="348"/>
        <v>Low</v>
      </c>
      <c r="P3774" t="str">
        <f t="shared" si="350"/>
        <v>High</v>
      </c>
      <c r="Q3774" t="str">
        <f t="shared" si="351"/>
        <v>High Loan</v>
      </c>
      <c r="R3774">
        <f t="shared" si="352"/>
        <v>34400000</v>
      </c>
      <c r="S3774" t="str">
        <f t="shared" si="353"/>
        <v>Strong</v>
      </c>
    </row>
    <row r="3775" spans="1:19" x14ac:dyDescent="0.25">
      <c r="A3775">
        <v>3774</v>
      </c>
      <c r="B3775">
        <v>3</v>
      </c>
      <c r="C3775" t="s">
        <v>31</v>
      </c>
      <c r="D3775" t="s">
        <v>33</v>
      </c>
      <c r="E3775">
        <v>8100000</v>
      </c>
      <c r="F3775">
        <v>29300000</v>
      </c>
      <c r="G3775">
        <v>2</v>
      </c>
      <c r="H3775">
        <v>413</v>
      </c>
      <c r="I3775">
        <v>8100000</v>
      </c>
      <c r="J3775">
        <v>15100000</v>
      </c>
      <c r="K3775">
        <v>25500000</v>
      </c>
      <c r="L3775">
        <v>6400000</v>
      </c>
      <c r="M3775" t="s">
        <v>34</v>
      </c>
      <c r="N3775">
        <f t="shared" si="349"/>
        <v>1</v>
      </c>
      <c r="O3775" t="str">
        <f t="shared" si="348"/>
        <v>Low</v>
      </c>
      <c r="P3775" t="str">
        <f t="shared" si="350"/>
        <v>High</v>
      </c>
      <c r="Q3775" t="str">
        <f t="shared" si="351"/>
        <v>High Loan</v>
      </c>
      <c r="R3775">
        <f t="shared" si="352"/>
        <v>55100000</v>
      </c>
      <c r="S3775" t="str">
        <f t="shared" si="353"/>
        <v>Strong</v>
      </c>
    </row>
    <row r="3776" spans="1:19" x14ac:dyDescent="0.25">
      <c r="A3776">
        <v>3775</v>
      </c>
      <c r="B3776">
        <v>1</v>
      </c>
      <c r="C3776" t="s">
        <v>30</v>
      </c>
      <c r="D3776" t="s">
        <v>32</v>
      </c>
      <c r="E3776">
        <v>3200000</v>
      </c>
      <c r="F3776">
        <v>7600000</v>
      </c>
      <c r="G3776">
        <v>4</v>
      </c>
      <c r="H3776">
        <v>592</v>
      </c>
      <c r="I3776">
        <v>3000000</v>
      </c>
      <c r="J3776">
        <v>1400000</v>
      </c>
      <c r="K3776">
        <v>8100000</v>
      </c>
      <c r="L3776">
        <v>4700000</v>
      </c>
      <c r="M3776" t="s">
        <v>34</v>
      </c>
      <c r="N3776">
        <f t="shared" si="349"/>
        <v>1</v>
      </c>
      <c r="O3776" t="str">
        <f t="shared" si="348"/>
        <v>Low</v>
      </c>
      <c r="P3776" t="str">
        <f t="shared" si="350"/>
        <v>High</v>
      </c>
      <c r="Q3776" t="str">
        <f t="shared" si="351"/>
        <v>Low Loan</v>
      </c>
      <c r="R3776">
        <f t="shared" si="352"/>
        <v>17200000</v>
      </c>
      <c r="S3776" t="str">
        <f t="shared" si="353"/>
        <v>Strong</v>
      </c>
    </row>
    <row r="3777" spans="1:19" x14ac:dyDescent="0.25">
      <c r="A3777">
        <v>3776</v>
      </c>
      <c r="B3777">
        <v>4</v>
      </c>
      <c r="C3777" t="s">
        <v>31</v>
      </c>
      <c r="D3777" t="s">
        <v>33</v>
      </c>
      <c r="E3777">
        <v>400000</v>
      </c>
      <c r="F3777">
        <v>1400000</v>
      </c>
      <c r="G3777">
        <v>10</v>
      </c>
      <c r="H3777">
        <v>665</v>
      </c>
      <c r="I3777">
        <v>300000</v>
      </c>
      <c r="J3777">
        <v>300000</v>
      </c>
      <c r="K3777">
        <v>1500000</v>
      </c>
      <c r="L3777">
        <v>200000</v>
      </c>
      <c r="M3777" t="s">
        <v>34</v>
      </c>
      <c r="N3777">
        <f t="shared" si="349"/>
        <v>1</v>
      </c>
      <c r="O3777" t="str">
        <f t="shared" si="348"/>
        <v>Medium</v>
      </c>
      <c r="P3777" t="str">
        <f t="shared" si="350"/>
        <v>Middle</v>
      </c>
      <c r="Q3777" t="str">
        <f t="shared" si="351"/>
        <v>Low Loan</v>
      </c>
      <c r="R3777">
        <f t="shared" si="352"/>
        <v>2300000</v>
      </c>
      <c r="S3777" t="str">
        <f t="shared" si="353"/>
        <v>Weak</v>
      </c>
    </row>
    <row r="3778" spans="1:19" x14ac:dyDescent="0.25">
      <c r="A3778">
        <v>3777</v>
      </c>
      <c r="B3778">
        <v>1</v>
      </c>
      <c r="C3778" t="s">
        <v>30</v>
      </c>
      <c r="D3778" t="s">
        <v>32</v>
      </c>
      <c r="E3778">
        <v>7800000</v>
      </c>
      <c r="F3778">
        <v>23900000</v>
      </c>
      <c r="G3778">
        <v>4</v>
      </c>
      <c r="H3778">
        <v>313</v>
      </c>
      <c r="I3778">
        <v>2600000</v>
      </c>
      <c r="J3778">
        <v>15300000</v>
      </c>
      <c r="K3778">
        <v>23000000</v>
      </c>
      <c r="L3778">
        <v>10900000</v>
      </c>
      <c r="M3778" t="s">
        <v>34</v>
      </c>
      <c r="N3778">
        <f t="shared" si="349"/>
        <v>1</v>
      </c>
      <c r="O3778" t="str">
        <f t="shared" ref="O3778:O3841" si="354">IF(H3778&lt;650,"Low",
 IF(H3778&lt;700,"Medium",
 IF(H3778&lt;750,"Good","Excellent")))</f>
        <v>Low</v>
      </c>
      <c r="P3778" t="str">
        <f t="shared" si="350"/>
        <v>High</v>
      </c>
      <c r="Q3778" t="str">
        <f t="shared" si="351"/>
        <v>High Loan</v>
      </c>
      <c r="R3778">
        <f t="shared" si="352"/>
        <v>51800000</v>
      </c>
      <c r="S3778" t="str">
        <f t="shared" si="353"/>
        <v>Strong</v>
      </c>
    </row>
    <row r="3779" spans="1:19" x14ac:dyDescent="0.25">
      <c r="A3779">
        <v>3778</v>
      </c>
      <c r="B3779">
        <v>0</v>
      </c>
      <c r="C3779" t="s">
        <v>31</v>
      </c>
      <c r="D3779" t="s">
        <v>32</v>
      </c>
      <c r="E3779">
        <v>5800000</v>
      </c>
      <c r="F3779">
        <v>19600000</v>
      </c>
      <c r="G3779">
        <v>14</v>
      </c>
      <c r="H3779">
        <v>673</v>
      </c>
      <c r="I3779">
        <v>8900000</v>
      </c>
      <c r="J3779">
        <v>10700000</v>
      </c>
      <c r="K3779">
        <v>18000000</v>
      </c>
      <c r="L3779">
        <v>7200000</v>
      </c>
      <c r="M3779" t="s">
        <v>34</v>
      </c>
      <c r="N3779">
        <f t="shared" ref="N3779:N3842" si="355">IF(TRIM(CLEAN(M3779))="Approved",1,0)</f>
        <v>1</v>
      </c>
      <c r="O3779" t="str">
        <f t="shared" si="354"/>
        <v>Medium</v>
      </c>
      <c r="P3779" t="str">
        <f t="shared" ref="P3779:P3842" si="356">IF(E3779&lt;300000,"Low",
 IF(E3779&lt;700000,"Middle","High"))</f>
        <v>High</v>
      </c>
      <c r="Q3779" t="str">
        <f t="shared" ref="Q3779:Q3842" si="357">IF(F3779&lt;20000000,"Low Loan","High Loan")</f>
        <v>Low Loan</v>
      </c>
      <c r="R3779">
        <f t="shared" ref="R3779:R3842" si="358">I3779+J3779+K3779+L3779</f>
        <v>44800000</v>
      </c>
      <c r="S3779" t="str">
        <f t="shared" ref="S3779:S3842" si="359">IF(R3779&lt;5000000,"Weak",
 IF(R3779&lt;10000000,"Moderate","Strong"))</f>
        <v>Strong</v>
      </c>
    </row>
    <row r="3780" spans="1:19" x14ac:dyDescent="0.25">
      <c r="A3780">
        <v>3779</v>
      </c>
      <c r="B3780">
        <v>0</v>
      </c>
      <c r="C3780" t="s">
        <v>31</v>
      </c>
      <c r="D3780" t="s">
        <v>33</v>
      </c>
      <c r="E3780">
        <v>2600000</v>
      </c>
      <c r="F3780">
        <v>6000000</v>
      </c>
      <c r="G3780">
        <v>8</v>
      </c>
      <c r="H3780">
        <v>382</v>
      </c>
      <c r="I3780">
        <v>1700000</v>
      </c>
      <c r="J3780">
        <v>2200000</v>
      </c>
      <c r="K3780">
        <v>8200000</v>
      </c>
      <c r="L3780">
        <v>1600000</v>
      </c>
      <c r="M3780" t="s">
        <v>35</v>
      </c>
      <c r="N3780">
        <f t="shared" si="355"/>
        <v>0</v>
      </c>
      <c r="O3780" t="str">
        <f t="shared" si="354"/>
        <v>Low</v>
      </c>
      <c r="P3780" t="str">
        <f t="shared" si="356"/>
        <v>High</v>
      </c>
      <c r="Q3780" t="str">
        <f t="shared" si="357"/>
        <v>Low Loan</v>
      </c>
      <c r="R3780">
        <f t="shared" si="358"/>
        <v>13700000</v>
      </c>
      <c r="S3780" t="str">
        <f t="shared" si="359"/>
        <v>Strong</v>
      </c>
    </row>
    <row r="3781" spans="1:19" x14ac:dyDescent="0.25">
      <c r="A3781">
        <v>3780</v>
      </c>
      <c r="B3781">
        <v>5</v>
      </c>
      <c r="C3781" t="s">
        <v>31</v>
      </c>
      <c r="D3781" t="s">
        <v>32</v>
      </c>
      <c r="E3781">
        <v>5400000</v>
      </c>
      <c r="F3781">
        <v>21100000</v>
      </c>
      <c r="G3781">
        <v>12</v>
      </c>
      <c r="H3781">
        <v>661</v>
      </c>
      <c r="I3781">
        <v>15800000</v>
      </c>
      <c r="J3781">
        <v>10400000</v>
      </c>
      <c r="K3781">
        <v>20100000</v>
      </c>
      <c r="L3781">
        <v>5400000</v>
      </c>
      <c r="M3781" t="s">
        <v>34</v>
      </c>
      <c r="N3781">
        <f t="shared" si="355"/>
        <v>1</v>
      </c>
      <c r="O3781" t="str">
        <f t="shared" si="354"/>
        <v>Medium</v>
      </c>
      <c r="P3781" t="str">
        <f t="shared" si="356"/>
        <v>High</v>
      </c>
      <c r="Q3781" t="str">
        <f t="shared" si="357"/>
        <v>High Loan</v>
      </c>
      <c r="R3781">
        <f t="shared" si="358"/>
        <v>51700000</v>
      </c>
      <c r="S3781" t="str">
        <f t="shared" si="359"/>
        <v>Strong</v>
      </c>
    </row>
    <row r="3782" spans="1:19" x14ac:dyDescent="0.25">
      <c r="A3782">
        <v>3781</v>
      </c>
      <c r="B3782">
        <v>3</v>
      </c>
      <c r="C3782" t="s">
        <v>30</v>
      </c>
      <c r="D3782" t="s">
        <v>33</v>
      </c>
      <c r="E3782">
        <v>600000</v>
      </c>
      <c r="F3782">
        <v>1700000</v>
      </c>
      <c r="G3782">
        <v>4</v>
      </c>
      <c r="H3782">
        <v>576</v>
      </c>
      <c r="I3782">
        <v>400000</v>
      </c>
      <c r="J3782">
        <v>100000</v>
      </c>
      <c r="K3782">
        <v>2100000</v>
      </c>
      <c r="L3782">
        <v>500000</v>
      </c>
      <c r="M3782" t="s">
        <v>34</v>
      </c>
      <c r="N3782">
        <f t="shared" si="355"/>
        <v>1</v>
      </c>
      <c r="O3782" t="str">
        <f t="shared" si="354"/>
        <v>Low</v>
      </c>
      <c r="P3782" t="str">
        <f t="shared" si="356"/>
        <v>Middle</v>
      </c>
      <c r="Q3782" t="str">
        <f t="shared" si="357"/>
        <v>Low Loan</v>
      </c>
      <c r="R3782">
        <f t="shared" si="358"/>
        <v>3100000</v>
      </c>
      <c r="S3782" t="str">
        <f t="shared" si="359"/>
        <v>Weak</v>
      </c>
    </row>
    <row r="3783" spans="1:19" x14ac:dyDescent="0.25">
      <c r="A3783">
        <v>3782</v>
      </c>
      <c r="B3783">
        <v>1</v>
      </c>
      <c r="C3783" t="s">
        <v>30</v>
      </c>
      <c r="D3783" t="s">
        <v>32</v>
      </c>
      <c r="E3783">
        <v>600000</v>
      </c>
      <c r="F3783">
        <v>1200000</v>
      </c>
      <c r="G3783">
        <v>14</v>
      </c>
      <c r="H3783">
        <v>443</v>
      </c>
      <c r="I3783">
        <v>700000</v>
      </c>
      <c r="J3783">
        <v>1000000</v>
      </c>
      <c r="K3783">
        <v>2200000</v>
      </c>
      <c r="L3783">
        <v>800000</v>
      </c>
      <c r="M3783" t="s">
        <v>35</v>
      </c>
      <c r="N3783">
        <f t="shared" si="355"/>
        <v>0</v>
      </c>
      <c r="O3783" t="str">
        <f t="shared" si="354"/>
        <v>Low</v>
      </c>
      <c r="P3783" t="str">
        <f t="shared" si="356"/>
        <v>Middle</v>
      </c>
      <c r="Q3783" t="str">
        <f t="shared" si="357"/>
        <v>Low Loan</v>
      </c>
      <c r="R3783">
        <f t="shared" si="358"/>
        <v>4700000</v>
      </c>
      <c r="S3783" t="str">
        <f t="shared" si="359"/>
        <v>Weak</v>
      </c>
    </row>
    <row r="3784" spans="1:19" x14ac:dyDescent="0.25">
      <c r="A3784">
        <v>3783</v>
      </c>
      <c r="B3784">
        <v>5</v>
      </c>
      <c r="C3784" t="s">
        <v>30</v>
      </c>
      <c r="D3784" t="s">
        <v>33</v>
      </c>
      <c r="E3784">
        <v>9500000</v>
      </c>
      <c r="F3784">
        <v>21700000</v>
      </c>
      <c r="G3784">
        <v>16</v>
      </c>
      <c r="H3784">
        <v>307</v>
      </c>
      <c r="I3784">
        <v>27500000</v>
      </c>
      <c r="J3784">
        <v>2700000</v>
      </c>
      <c r="K3784">
        <v>28500000</v>
      </c>
      <c r="L3784">
        <v>9700000</v>
      </c>
      <c r="M3784" t="s">
        <v>35</v>
      </c>
      <c r="N3784">
        <f t="shared" si="355"/>
        <v>0</v>
      </c>
      <c r="O3784" t="str">
        <f t="shared" si="354"/>
        <v>Low</v>
      </c>
      <c r="P3784" t="str">
        <f t="shared" si="356"/>
        <v>High</v>
      </c>
      <c r="Q3784" t="str">
        <f t="shared" si="357"/>
        <v>High Loan</v>
      </c>
      <c r="R3784">
        <f t="shared" si="358"/>
        <v>68400000</v>
      </c>
      <c r="S3784" t="str">
        <f t="shared" si="359"/>
        <v>Strong</v>
      </c>
    </row>
    <row r="3785" spans="1:19" x14ac:dyDescent="0.25">
      <c r="A3785">
        <v>3784</v>
      </c>
      <c r="B3785">
        <v>4</v>
      </c>
      <c r="C3785" t="s">
        <v>30</v>
      </c>
      <c r="D3785" t="s">
        <v>33</v>
      </c>
      <c r="E3785">
        <v>1900000</v>
      </c>
      <c r="F3785">
        <v>4800000</v>
      </c>
      <c r="G3785">
        <v>12</v>
      </c>
      <c r="H3785">
        <v>656</v>
      </c>
      <c r="I3785">
        <v>1500000</v>
      </c>
      <c r="J3785">
        <v>1600000</v>
      </c>
      <c r="K3785">
        <v>5400000</v>
      </c>
      <c r="L3785">
        <v>1700000</v>
      </c>
      <c r="M3785" t="s">
        <v>34</v>
      </c>
      <c r="N3785">
        <f t="shared" si="355"/>
        <v>1</v>
      </c>
      <c r="O3785" t="str">
        <f t="shared" si="354"/>
        <v>Medium</v>
      </c>
      <c r="P3785" t="str">
        <f t="shared" si="356"/>
        <v>High</v>
      </c>
      <c r="Q3785" t="str">
        <f t="shared" si="357"/>
        <v>Low Loan</v>
      </c>
      <c r="R3785">
        <f t="shared" si="358"/>
        <v>10200000</v>
      </c>
      <c r="S3785" t="str">
        <f t="shared" si="359"/>
        <v>Strong</v>
      </c>
    </row>
    <row r="3786" spans="1:19" x14ac:dyDescent="0.25">
      <c r="A3786">
        <v>3785</v>
      </c>
      <c r="B3786">
        <v>1</v>
      </c>
      <c r="C3786" t="s">
        <v>30</v>
      </c>
      <c r="D3786" t="s">
        <v>33</v>
      </c>
      <c r="E3786">
        <v>9800000</v>
      </c>
      <c r="F3786">
        <v>21200000</v>
      </c>
      <c r="G3786">
        <v>4</v>
      </c>
      <c r="H3786">
        <v>885</v>
      </c>
      <c r="I3786">
        <v>18000000</v>
      </c>
      <c r="J3786">
        <v>16400000</v>
      </c>
      <c r="K3786">
        <v>37300000</v>
      </c>
      <c r="L3786">
        <v>10800000</v>
      </c>
      <c r="M3786" t="s">
        <v>34</v>
      </c>
      <c r="N3786">
        <f t="shared" si="355"/>
        <v>1</v>
      </c>
      <c r="O3786" t="str">
        <f t="shared" si="354"/>
        <v>Excellent</v>
      </c>
      <c r="P3786" t="str">
        <f t="shared" si="356"/>
        <v>High</v>
      </c>
      <c r="Q3786" t="str">
        <f t="shared" si="357"/>
        <v>High Loan</v>
      </c>
      <c r="R3786">
        <f t="shared" si="358"/>
        <v>82500000</v>
      </c>
      <c r="S3786" t="str">
        <f t="shared" si="359"/>
        <v>Strong</v>
      </c>
    </row>
    <row r="3787" spans="1:19" x14ac:dyDescent="0.25">
      <c r="A3787">
        <v>3786</v>
      </c>
      <c r="B3787">
        <v>3</v>
      </c>
      <c r="C3787" t="s">
        <v>30</v>
      </c>
      <c r="D3787" t="s">
        <v>32</v>
      </c>
      <c r="E3787">
        <v>7800000</v>
      </c>
      <c r="F3787">
        <v>16600000</v>
      </c>
      <c r="G3787">
        <v>20</v>
      </c>
      <c r="H3787">
        <v>896</v>
      </c>
      <c r="I3787">
        <v>12400000</v>
      </c>
      <c r="J3787">
        <v>10800000</v>
      </c>
      <c r="K3787">
        <v>30500000</v>
      </c>
      <c r="L3787">
        <v>5500000</v>
      </c>
      <c r="M3787" t="s">
        <v>34</v>
      </c>
      <c r="N3787">
        <f t="shared" si="355"/>
        <v>1</v>
      </c>
      <c r="O3787" t="str">
        <f t="shared" si="354"/>
        <v>Excellent</v>
      </c>
      <c r="P3787" t="str">
        <f t="shared" si="356"/>
        <v>High</v>
      </c>
      <c r="Q3787" t="str">
        <f t="shared" si="357"/>
        <v>Low Loan</v>
      </c>
      <c r="R3787">
        <f t="shared" si="358"/>
        <v>59200000</v>
      </c>
      <c r="S3787" t="str">
        <f t="shared" si="359"/>
        <v>Strong</v>
      </c>
    </row>
    <row r="3788" spans="1:19" x14ac:dyDescent="0.25">
      <c r="A3788">
        <v>3787</v>
      </c>
      <c r="B3788">
        <v>5</v>
      </c>
      <c r="C3788" t="s">
        <v>31</v>
      </c>
      <c r="D3788" t="s">
        <v>32</v>
      </c>
      <c r="E3788">
        <v>4900000</v>
      </c>
      <c r="F3788">
        <v>14100000</v>
      </c>
      <c r="G3788">
        <v>2</v>
      </c>
      <c r="H3788">
        <v>802</v>
      </c>
      <c r="I3788">
        <v>3300000</v>
      </c>
      <c r="J3788">
        <v>7500000</v>
      </c>
      <c r="K3788">
        <v>16100000</v>
      </c>
      <c r="L3788">
        <v>2700000</v>
      </c>
      <c r="M3788" t="s">
        <v>34</v>
      </c>
      <c r="N3788">
        <f t="shared" si="355"/>
        <v>1</v>
      </c>
      <c r="O3788" t="str">
        <f t="shared" si="354"/>
        <v>Excellent</v>
      </c>
      <c r="P3788" t="str">
        <f t="shared" si="356"/>
        <v>High</v>
      </c>
      <c r="Q3788" t="str">
        <f t="shared" si="357"/>
        <v>Low Loan</v>
      </c>
      <c r="R3788">
        <f t="shared" si="358"/>
        <v>29600000</v>
      </c>
      <c r="S3788" t="str">
        <f t="shared" si="359"/>
        <v>Strong</v>
      </c>
    </row>
    <row r="3789" spans="1:19" x14ac:dyDescent="0.25">
      <c r="A3789">
        <v>3788</v>
      </c>
      <c r="B3789">
        <v>3</v>
      </c>
      <c r="C3789" t="s">
        <v>30</v>
      </c>
      <c r="D3789" t="s">
        <v>33</v>
      </c>
      <c r="E3789">
        <v>8300000</v>
      </c>
      <c r="F3789">
        <v>22700000</v>
      </c>
      <c r="G3789">
        <v>2</v>
      </c>
      <c r="H3789">
        <v>650</v>
      </c>
      <c r="I3789">
        <v>3600000</v>
      </c>
      <c r="J3789">
        <v>16000000</v>
      </c>
      <c r="K3789">
        <v>18000000</v>
      </c>
      <c r="L3789">
        <v>5800000</v>
      </c>
      <c r="M3789" t="s">
        <v>34</v>
      </c>
      <c r="N3789">
        <f t="shared" si="355"/>
        <v>1</v>
      </c>
      <c r="O3789" t="str">
        <f t="shared" si="354"/>
        <v>Medium</v>
      </c>
      <c r="P3789" t="str">
        <f t="shared" si="356"/>
        <v>High</v>
      </c>
      <c r="Q3789" t="str">
        <f t="shared" si="357"/>
        <v>High Loan</v>
      </c>
      <c r="R3789">
        <f t="shared" si="358"/>
        <v>43400000</v>
      </c>
      <c r="S3789" t="str">
        <f t="shared" si="359"/>
        <v>Strong</v>
      </c>
    </row>
    <row r="3790" spans="1:19" x14ac:dyDescent="0.25">
      <c r="A3790">
        <v>3789</v>
      </c>
      <c r="B3790">
        <v>4</v>
      </c>
      <c r="C3790" t="s">
        <v>31</v>
      </c>
      <c r="D3790" t="s">
        <v>33</v>
      </c>
      <c r="E3790">
        <v>3900000</v>
      </c>
      <c r="F3790">
        <v>8900000</v>
      </c>
      <c r="G3790">
        <v>10</v>
      </c>
      <c r="H3790">
        <v>665</v>
      </c>
      <c r="I3790">
        <v>9300000</v>
      </c>
      <c r="J3790">
        <v>4000000</v>
      </c>
      <c r="K3790">
        <v>9200000</v>
      </c>
      <c r="L3790">
        <v>5300000</v>
      </c>
      <c r="M3790" t="s">
        <v>34</v>
      </c>
      <c r="N3790">
        <f t="shared" si="355"/>
        <v>1</v>
      </c>
      <c r="O3790" t="str">
        <f t="shared" si="354"/>
        <v>Medium</v>
      </c>
      <c r="P3790" t="str">
        <f t="shared" si="356"/>
        <v>High</v>
      </c>
      <c r="Q3790" t="str">
        <f t="shared" si="357"/>
        <v>Low Loan</v>
      </c>
      <c r="R3790">
        <f t="shared" si="358"/>
        <v>27800000</v>
      </c>
      <c r="S3790" t="str">
        <f t="shared" si="359"/>
        <v>Strong</v>
      </c>
    </row>
    <row r="3791" spans="1:19" x14ac:dyDescent="0.25">
      <c r="A3791">
        <v>3790</v>
      </c>
      <c r="B3791">
        <v>2</v>
      </c>
      <c r="C3791" t="s">
        <v>30</v>
      </c>
      <c r="D3791" t="s">
        <v>32</v>
      </c>
      <c r="E3791">
        <v>9000000</v>
      </c>
      <c r="F3791">
        <v>35700000</v>
      </c>
      <c r="G3791">
        <v>12</v>
      </c>
      <c r="H3791">
        <v>339</v>
      </c>
      <c r="I3791">
        <v>15200000</v>
      </c>
      <c r="J3791">
        <v>8400000</v>
      </c>
      <c r="K3791">
        <v>19500000</v>
      </c>
      <c r="L3791">
        <v>9000000</v>
      </c>
      <c r="M3791" t="s">
        <v>35</v>
      </c>
      <c r="N3791">
        <f t="shared" si="355"/>
        <v>0</v>
      </c>
      <c r="O3791" t="str">
        <f t="shared" si="354"/>
        <v>Low</v>
      </c>
      <c r="P3791" t="str">
        <f t="shared" si="356"/>
        <v>High</v>
      </c>
      <c r="Q3791" t="str">
        <f t="shared" si="357"/>
        <v>High Loan</v>
      </c>
      <c r="R3791">
        <f t="shared" si="358"/>
        <v>52100000</v>
      </c>
      <c r="S3791" t="str">
        <f t="shared" si="359"/>
        <v>Strong</v>
      </c>
    </row>
    <row r="3792" spans="1:19" x14ac:dyDescent="0.25">
      <c r="A3792">
        <v>3791</v>
      </c>
      <c r="B3792">
        <v>1</v>
      </c>
      <c r="C3792" t="s">
        <v>31</v>
      </c>
      <c r="D3792" t="s">
        <v>32</v>
      </c>
      <c r="E3792">
        <v>9600000</v>
      </c>
      <c r="F3792">
        <v>32400000</v>
      </c>
      <c r="G3792">
        <v>20</v>
      </c>
      <c r="H3792">
        <v>447</v>
      </c>
      <c r="I3792">
        <v>15400000</v>
      </c>
      <c r="J3792">
        <v>18400000</v>
      </c>
      <c r="K3792">
        <v>19800000</v>
      </c>
      <c r="L3792">
        <v>4700000</v>
      </c>
      <c r="M3792" t="s">
        <v>35</v>
      </c>
      <c r="N3792">
        <f t="shared" si="355"/>
        <v>0</v>
      </c>
      <c r="O3792" t="str">
        <f t="shared" si="354"/>
        <v>Low</v>
      </c>
      <c r="P3792" t="str">
        <f t="shared" si="356"/>
        <v>High</v>
      </c>
      <c r="Q3792" t="str">
        <f t="shared" si="357"/>
        <v>High Loan</v>
      </c>
      <c r="R3792">
        <f t="shared" si="358"/>
        <v>58300000</v>
      </c>
      <c r="S3792" t="str">
        <f t="shared" si="359"/>
        <v>Strong</v>
      </c>
    </row>
    <row r="3793" spans="1:19" x14ac:dyDescent="0.25">
      <c r="A3793">
        <v>3792</v>
      </c>
      <c r="B3793">
        <v>5</v>
      </c>
      <c r="C3793" t="s">
        <v>31</v>
      </c>
      <c r="D3793" t="s">
        <v>33</v>
      </c>
      <c r="E3793">
        <v>1000000</v>
      </c>
      <c r="F3793">
        <v>2400000</v>
      </c>
      <c r="G3793">
        <v>18</v>
      </c>
      <c r="H3793">
        <v>613</v>
      </c>
      <c r="I3793">
        <v>1600000</v>
      </c>
      <c r="J3793">
        <v>1300000</v>
      </c>
      <c r="K3793">
        <v>2600000</v>
      </c>
      <c r="L3793">
        <v>600000</v>
      </c>
      <c r="M3793" t="s">
        <v>34</v>
      </c>
      <c r="N3793">
        <f t="shared" si="355"/>
        <v>1</v>
      </c>
      <c r="O3793" t="str">
        <f t="shared" si="354"/>
        <v>Low</v>
      </c>
      <c r="P3793" t="str">
        <f t="shared" si="356"/>
        <v>High</v>
      </c>
      <c r="Q3793" t="str">
        <f t="shared" si="357"/>
        <v>Low Loan</v>
      </c>
      <c r="R3793">
        <f t="shared" si="358"/>
        <v>6100000</v>
      </c>
      <c r="S3793" t="str">
        <f t="shared" si="359"/>
        <v>Moderate</v>
      </c>
    </row>
    <row r="3794" spans="1:19" x14ac:dyDescent="0.25">
      <c r="A3794">
        <v>3793</v>
      </c>
      <c r="B3794">
        <v>5</v>
      </c>
      <c r="C3794" t="s">
        <v>30</v>
      </c>
      <c r="D3794" t="s">
        <v>32</v>
      </c>
      <c r="E3794">
        <v>2800000</v>
      </c>
      <c r="F3794">
        <v>7200000</v>
      </c>
      <c r="G3794">
        <v>16</v>
      </c>
      <c r="H3794">
        <v>424</v>
      </c>
      <c r="I3794">
        <v>900000</v>
      </c>
      <c r="J3794">
        <v>5000000</v>
      </c>
      <c r="K3794">
        <v>6100000</v>
      </c>
      <c r="L3794">
        <v>3200000</v>
      </c>
      <c r="M3794" t="s">
        <v>35</v>
      </c>
      <c r="N3794">
        <f t="shared" si="355"/>
        <v>0</v>
      </c>
      <c r="O3794" t="str">
        <f t="shared" si="354"/>
        <v>Low</v>
      </c>
      <c r="P3794" t="str">
        <f t="shared" si="356"/>
        <v>High</v>
      </c>
      <c r="Q3794" t="str">
        <f t="shared" si="357"/>
        <v>Low Loan</v>
      </c>
      <c r="R3794">
        <f t="shared" si="358"/>
        <v>15200000</v>
      </c>
      <c r="S3794" t="str">
        <f t="shared" si="359"/>
        <v>Strong</v>
      </c>
    </row>
    <row r="3795" spans="1:19" x14ac:dyDescent="0.25">
      <c r="A3795">
        <v>3794</v>
      </c>
      <c r="B3795">
        <v>2</v>
      </c>
      <c r="C3795" t="s">
        <v>31</v>
      </c>
      <c r="D3795" t="s">
        <v>32</v>
      </c>
      <c r="E3795">
        <v>8300000</v>
      </c>
      <c r="F3795">
        <v>20800000</v>
      </c>
      <c r="G3795">
        <v>6</v>
      </c>
      <c r="H3795">
        <v>667</v>
      </c>
      <c r="I3795">
        <v>19300000</v>
      </c>
      <c r="J3795">
        <v>4100000</v>
      </c>
      <c r="K3795">
        <v>25400000</v>
      </c>
      <c r="L3795">
        <v>6800000</v>
      </c>
      <c r="M3795" t="s">
        <v>34</v>
      </c>
      <c r="N3795">
        <f t="shared" si="355"/>
        <v>1</v>
      </c>
      <c r="O3795" t="str">
        <f t="shared" si="354"/>
        <v>Medium</v>
      </c>
      <c r="P3795" t="str">
        <f t="shared" si="356"/>
        <v>High</v>
      </c>
      <c r="Q3795" t="str">
        <f t="shared" si="357"/>
        <v>High Loan</v>
      </c>
      <c r="R3795">
        <f t="shared" si="358"/>
        <v>55600000</v>
      </c>
      <c r="S3795" t="str">
        <f t="shared" si="359"/>
        <v>Strong</v>
      </c>
    </row>
    <row r="3796" spans="1:19" x14ac:dyDescent="0.25">
      <c r="A3796">
        <v>3795</v>
      </c>
      <c r="B3796">
        <v>4</v>
      </c>
      <c r="C3796" t="s">
        <v>31</v>
      </c>
      <c r="D3796" t="s">
        <v>33</v>
      </c>
      <c r="E3796">
        <v>6900000</v>
      </c>
      <c r="F3796">
        <v>18300000</v>
      </c>
      <c r="G3796">
        <v>18</v>
      </c>
      <c r="H3796">
        <v>715</v>
      </c>
      <c r="I3796">
        <v>8200000</v>
      </c>
      <c r="J3796">
        <v>600000</v>
      </c>
      <c r="K3796">
        <v>15000000</v>
      </c>
      <c r="L3796">
        <v>7500000</v>
      </c>
      <c r="M3796" t="s">
        <v>34</v>
      </c>
      <c r="N3796">
        <f t="shared" si="355"/>
        <v>1</v>
      </c>
      <c r="O3796" t="str">
        <f t="shared" si="354"/>
        <v>Good</v>
      </c>
      <c r="P3796" t="str">
        <f t="shared" si="356"/>
        <v>High</v>
      </c>
      <c r="Q3796" t="str">
        <f t="shared" si="357"/>
        <v>Low Loan</v>
      </c>
      <c r="R3796">
        <f t="shared" si="358"/>
        <v>31300000</v>
      </c>
      <c r="S3796" t="str">
        <f t="shared" si="359"/>
        <v>Strong</v>
      </c>
    </row>
    <row r="3797" spans="1:19" x14ac:dyDescent="0.25">
      <c r="A3797">
        <v>3796</v>
      </c>
      <c r="B3797">
        <v>5</v>
      </c>
      <c r="C3797" t="s">
        <v>31</v>
      </c>
      <c r="D3797" t="s">
        <v>33</v>
      </c>
      <c r="E3797">
        <v>3800000</v>
      </c>
      <c r="F3797">
        <v>9100000</v>
      </c>
      <c r="G3797">
        <v>18</v>
      </c>
      <c r="H3797">
        <v>654</v>
      </c>
      <c r="I3797">
        <v>9000000</v>
      </c>
      <c r="J3797">
        <v>4000000</v>
      </c>
      <c r="K3797">
        <v>10200000</v>
      </c>
      <c r="L3797">
        <v>3000000</v>
      </c>
      <c r="M3797" t="s">
        <v>34</v>
      </c>
      <c r="N3797">
        <f t="shared" si="355"/>
        <v>1</v>
      </c>
      <c r="O3797" t="str">
        <f t="shared" si="354"/>
        <v>Medium</v>
      </c>
      <c r="P3797" t="str">
        <f t="shared" si="356"/>
        <v>High</v>
      </c>
      <c r="Q3797" t="str">
        <f t="shared" si="357"/>
        <v>Low Loan</v>
      </c>
      <c r="R3797">
        <f t="shared" si="358"/>
        <v>26200000</v>
      </c>
      <c r="S3797" t="str">
        <f t="shared" si="359"/>
        <v>Strong</v>
      </c>
    </row>
    <row r="3798" spans="1:19" x14ac:dyDescent="0.25">
      <c r="A3798">
        <v>3797</v>
      </c>
      <c r="B3798">
        <v>2</v>
      </c>
      <c r="C3798" t="s">
        <v>31</v>
      </c>
      <c r="D3798" t="s">
        <v>32</v>
      </c>
      <c r="E3798">
        <v>8000000</v>
      </c>
      <c r="F3798">
        <v>17800000</v>
      </c>
      <c r="G3798">
        <v>20</v>
      </c>
      <c r="H3798">
        <v>549</v>
      </c>
      <c r="I3798">
        <v>2400000</v>
      </c>
      <c r="J3798">
        <v>9700000</v>
      </c>
      <c r="K3798">
        <v>27400000</v>
      </c>
      <c r="L3798">
        <v>10800000</v>
      </c>
      <c r="M3798" t="s">
        <v>35</v>
      </c>
      <c r="N3798">
        <f t="shared" si="355"/>
        <v>0</v>
      </c>
      <c r="O3798" t="str">
        <f t="shared" si="354"/>
        <v>Low</v>
      </c>
      <c r="P3798" t="str">
        <f t="shared" si="356"/>
        <v>High</v>
      </c>
      <c r="Q3798" t="str">
        <f t="shared" si="357"/>
        <v>Low Loan</v>
      </c>
      <c r="R3798">
        <f t="shared" si="358"/>
        <v>50300000</v>
      </c>
      <c r="S3798" t="str">
        <f t="shared" si="359"/>
        <v>Strong</v>
      </c>
    </row>
    <row r="3799" spans="1:19" x14ac:dyDescent="0.25">
      <c r="A3799">
        <v>3798</v>
      </c>
      <c r="B3799">
        <v>4</v>
      </c>
      <c r="C3799" t="s">
        <v>30</v>
      </c>
      <c r="D3799" t="s">
        <v>33</v>
      </c>
      <c r="E3799">
        <v>9800000</v>
      </c>
      <c r="F3799">
        <v>29700000</v>
      </c>
      <c r="G3799">
        <v>4</v>
      </c>
      <c r="H3799">
        <v>373</v>
      </c>
      <c r="I3799">
        <v>11100000</v>
      </c>
      <c r="J3799">
        <v>5500000</v>
      </c>
      <c r="K3799">
        <v>37800000</v>
      </c>
      <c r="L3799">
        <v>10000000</v>
      </c>
      <c r="M3799" t="s">
        <v>34</v>
      </c>
      <c r="N3799">
        <f t="shared" si="355"/>
        <v>1</v>
      </c>
      <c r="O3799" t="str">
        <f t="shared" si="354"/>
        <v>Low</v>
      </c>
      <c r="P3799" t="str">
        <f t="shared" si="356"/>
        <v>High</v>
      </c>
      <c r="Q3799" t="str">
        <f t="shared" si="357"/>
        <v>High Loan</v>
      </c>
      <c r="R3799">
        <f t="shared" si="358"/>
        <v>64400000</v>
      </c>
      <c r="S3799" t="str">
        <f t="shared" si="359"/>
        <v>Strong</v>
      </c>
    </row>
    <row r="3800" spans="1:19" x14ac:dyDescent="0.25">
      <c r="A3800">
        <v>3799</v>
      </c>
      <c r="B3800">
        <v>0</v>
      </c>
      <c r="C3800" t="s">
        <v>30</v>
      </c>
      <c r="D3800" t="s">
        <v>33</v>
      </c>
      <c r="E3800">
        <v>2900000</v>
      </c>
      <c r="F3800">
        <v>7200000</v>
      </c>
      <c r="G3800">
        <v>16</v>
      </c>
      <c r="H3800">
        <v>332</v>
      </c>
      <c r="I3800">
        <v>3600000</v>
      </c>
      <c r="J3800">
        <v>5700000</v>
      </c>
      <c r="K3800">
        <v>7600000</v>
      </c>
      <c r="L3800">
        <v>3600000</v>
      </c>
      <c r="M3800" t="s">
        <v>35</v>
      </c>
      <c r="N3800">
        <f t="shared" si="355"/>
        <v>0</v>
      </c>
      <c r="O3800" t="str">
        <f t="shared" si="354"/>
        <v>Low</v>
      </c>
      <c r="P3800" t="str">
        <f t="shared" si="356"/>
        <v>High</v>
      </c>
      <c r="Q3800" t="str">
        <f t="shared" si="357"/>
        <v>Low Loan</v>
      </c>
      <c r="R3800">
        <f t="shared" si="358"/>
        <v>20500000</v>
      </c>
      <c r="S3800" t="str">
        <f t="shared" si="359"/>
        <v>Strong</v>
      </c>
    </row>
    <row r="3801" spans="1:19" x14ac:dyDescent="0.25">
      <c r="A3801">
        <v>3800</v>
      </c>
      <c r="B3801">
        <v>4</v>
      </c>
      <c r="C3801" t="s">
        <v>30</v>
      </c>
      <c r="D3801" t="s">
        <v>32</v>
      </c>
      <c r="E3801">
        <v>7900000</v>
      </c>
      <c r="F3801">
        <v>31500000</v>
      </c>
      <c r="G3801">
        <v>20</v>
      </c>
      <c r="H3801">
        <v>534</v>
      </c>
      <c r="I3801">
        <v>12400000</v>
      </c>
      <c r="J3801">
        <v>8500000</v>
      </c>
      <c r="K3801">
        <v>21600000</v>
      </c>
      <c r="L3801">
        <v>6400000</v>
      </c>
      <c r="M3801" t="s">
        <v>35</v>
      </c>
      <c r="N3801">
        <f t="shared" si="355"/>
        <v>0</v>
      </c>
      <c r="O3801" t="str">
        <f t="shared" si="354"/>
        <v>Low</v>
      </c>
      <c r="P3801" t="str">
        <f t="shared" si="356"/>
        <v>High</v>
      </c>
      <c r="Q3801" t="str">
        <f t="shared" si="357"/>
        <v>High Loan</v>
      </c>
      <c r="R3801">
        <f t="shared" si="358"/>
        <v>48900000</v>
      </c>
      <c r="S3801" t="str">
        <f t="shared" si="359"/>
        <v>Strong</v>
      </c>
    </row>
    <row r="3802" spans="1:19" x14ac:dyDescent="0.25">
      <c r="A3802">
        <v>3801</v>
      </c>
      <c r="B3802">
        <v>3</v>
      </c>
      <c r="C3802" t="s">
        <v>31</v>
      </c>
      <c r="D3802" t="s">
        <v>32</v>
      </c>
      <c r="E3802">
        <v>4600000</v>
      </c>
      <c r="F3802">
        <v>17900000</v>
      </c>
      <c r="G3802">
        <v>8</v>
      </c>
      <c r="H3802">
        <v>396</v>
      </c>
      <c r="I3802">
        <v>10700000</v>
      </c>
      <c r="J3802">
        <v>4000000</v>
      </c>
      <c r="K3802">
        <v>12300000</v>
      </c>
      <c r="L3802">
        <v>2600000</v>
      </c>
      <c r="M3802" t="s">
        <v>35</v>
      </c>
      <c r="N3802">
        <f t="shared" si="355"/>
        <v>0</v>
      </c>
      <c r="O3802" t="str">
        <f t="shared" si="354"/>
        <v>Low</v>
      </c>
      <c r="P3802" t="str">
        <f t="shared" si="356"/>
        <v>High</v>
      </c>
      <c r="Q3802" t="str">
        <f t="shared" si="357"/>
        <v>Low Loan</v>
      </c>
      <c r="R3802">
        <f t="shared" si="358"/>
        <v>29600000</v>
      </c>
      <c r="S3802" t="str">
        <f t="shared" si="359"/>
        <v>Strong</v>
      </c>
    </row>
    <row r="3803" spans="1:19" x14ac:dyDescent="0.25">
      <c r="A3803">
        <v>3802</v>
      </c>
      <c r="B3803">
        <v>2</v>
      </c>
      <c r="C3803" t="s">
        <v>30</v>
      </c>
      <c r="D3803" t="s">
        <v>32</v>
      </c>
      <c r="E3803">
        <v>1000000</v>
      </c>
      <c r="F3803">
        <v>3700000</v>
      </c>
      <c r="G3803">
        <v>18</v>
      </c>
      <c r="H3803">
        <v>892</v>
      </c>
      <c r="I3803">
        <v>2200000</v>
      </c>
      <c r="J3803">
        <v>800000</v>
      </c>
      <c r="K3803">
        <v>3000000</v>
      </c>
      <c r="L3803">
        <v>500000</v>
      </c>
      <c r="M3803" t="s">
        <v>34</v>
      </c>
      <c r="N3803">
        <f t="shared" si="355"/>
        <v>1</v>
      </c>
      <c r="O3803" t="str">
        <f t="shared" si="354"/>
        <v>Excellent</v>
      </c>
      <c r="P3803" t="str">
        <f t="shared" si="356"/>
        <v>High</v>
      </c>
      <c r="Q3803" t="str">
        <f t="shared" si="357"/>
        <v>Low Loan</v>
      </c>
      <c r="R3803">
        <f t="shared" si="358"/>
        <v>6500000</v>
      </c>
      <c r="S3803" t="str">
        <f t="shared" si="359"/>
        <v>Moderate</v>
      </c>
    </row>
    <row r="3804" spans="1:19" x14ac:dyDescent="0.25">
      <c r="A3804">
        <v>3803</v>
      </c>
      <c r="B3804">
        <v>5</v>
      </c>
      <c r="C3804" t="s">
        <v>30</v>
      </c>
      <c r="D3804" t="s">
        <v>32</v>
      </c>
      <c r="E3804">
        <v>9000000</v>
      </c>
      <c r="F3804">
        <v>21300000</v>
      </c>
      <c r="G3804">
        <v>14</v>
      </c>
      <c r="H3804">
        <v>602</v>
      </c>
      <c r="I3804">
        <v>3400000</v>
      </c>
      <c r="J3804">
        <v>7700000</v>
      </c>
      <c r="K3804">
        <v>35400000</v>
      </c>
      <c r="L3804">
        <v>11000000</v>
      </c>
      <c r="M3804" t="s">
        <v>34</v>
      </c>
      <c r="N3804">
        <f t="shared" si="355"/>
        <v>1</v>
      </c>
      <c r="O3804" t="str">
        <f t="shared" si="354"/>
        <v>Low</v>
      </c>
      <c r="P3804" t="str">
        <f t="shared" si="356"/>
        <v>High</v>
      </c>
      <c r="Q3804" t="str">
        <f t="shared" si="357"/>
        <v>High Loan</v>
      </c>
      <c r="R3804">
        <f t="shared" si="358"/>
        <v>57500000</v>
      </c>
      <c r="S3804" t="str">
        <f t="shared" si="359"/>
        <v>Strong</v>
      </c>
    </row>
    <row r="3805" spans="1:19" x14ac:dyDescent="0.25">
      <c r="A3805">
        <v>3804</v>
      </c>
      <c r="B3805">
        <v>0</v>
      </c>
      <c r="C3805" t="s">
        <v>30</v>
      </c>
      <c r="D3805" t="s">
        <v>33</v>
      </c>
      <c r="E3805">
        <v>9400000</v>
      </c>
      <c r="F3805">
        <v>36100000</v>
      </c>
      <c r="G3805">
        <v>10</v>
      </c>
      <c r="H3805">
        <v>615</v>
      </c>
      <c r="I3805">
        <v>21200000</v>
      </c>
      <c r="J3805">
        <v>3800000</v>
      </c>
      <c r="K3805">
        <v>27400000</v>
      </c>
      <c r="L3805">
        <v>9100000</v>
      </c>
      <c r="M3805" t="s">
        <v>34</v>
      </c>
      <c r="N3805">
        <f t="shared" si="355"/>
        <v>1</v>
      </c>
      <c r="O3805" t="str">
        <f t="shared" si="354"/>
        <v>Low</v>
      </c>
      <c r="P3805" t="str">
        <f t="shared" si="356"/>
        <v>High</v>
      </c>
      <c r="Q3805" t="str">
        <f t="shared" si="357"/>
        <v>High Loan</v>
      </c>
      <c r="R3805">
        <f t="shared" si="358"/>
        <v>61500000</v>
      </c>
      <c r="S3805" t="str">
        <f t="shared" si="359"/>
        <v>Strong</v>
      </c>
    </row>
    <row r="3806" spans="1:19" x14ac:dyDescent="0.25">
      <c r="A3806">
        <v>3805</v>
      </c>
      <c r="B3806">
        <v>5</v>
      </c>
      <c r="C3806" t="s">
        <v>30</v>
      </c>
      <c r="D3806" t="s">
        <v>33</v>
      </c>
      <c r="E3806">
        <v>7400000</v>
      </c>
      <c r="F3806">
        <v>23300000</v>
      </c>
      <c r="G3806">
        <v>20</v>
      </c>
      <c r="H3806">
        <v>482</v>
      </c>
      <c r="I3806">
        <v>15700000</v>
      </c>
      <c r="J3806">
        <v>3600000</v>
      </c>
      <c r="K3806">
        <v>29100000</v>
      </c>
      <c r="L3806">
        <v>6800000</v>
      </c>
      <c r="M3806" t="s">
        <v>35</v>
      </c>
      <c r="N3806">
        <f t="shared" si="355"/>
        <v>0</v>
      </c>
      <c r="O3806" t="str">
        <f t="shared" si="354"/>
        <v>Low</v>
      </c>
      <c r="P3806" t="str">
        <f t="shared" si="356"/>
        <v>High</v>
      </c>
      <c r="Q3806" t="str">
        <f t="shared" si="357"/>
        <v>High Loan</v>
      </c>
      <c r="R3806">
        <f t="shared" si="358"/>
        <v>55200000</v>
      </c>
      <c r="S3806" t="str">
        <f t="shared" si="359"/>
        <v>Strong</v>
      </c>
    </row>
    <row r="3807" spans="1:19" x14ac:dyDescent="0.25">
      <c r="A3807">
        <v>3806</v>
      </c>
      <c r="B3807">
        <v>0</v>
      </c>
      <c r="C3807" t="s">
        <v>30</v>
      </c>
      <c r="D3807" t="s">
        <v>32</v>
      </c>
      <c r="E3807">
        <v>6600000</v>
      </c>
      <c r="F3807">
        <v>20100000</v>
      </c>
      <c r="G3807">
        <v>16</v>
      </c>
      <c r="H3807">
        <v>397</v>
      </c>
      <c r="I3807">
        <v>19200000</v>
      </c>
      <c r="J3807">
        <v>7000000</v>
      </c>
      <c r="K3807">
        <v>17200000</v>
      </c>
      <c r="L3807">
        <v>8400000</v>
      </c>
      <c r="M3807" t="s">
        <v>35</v>
      </c>
      <c r="N3807">
        <f t="shared" si="355"/>
        <v>0</v>
      </c>
      <c r="O3807" t="str">
        <f t="shared" si="354"/>
        <v>Low</v>
      </c>
      <c r="P3807" t="str">
        <f t="shared" si="356"/>
        <v>High</v>
      </c>
      <c r="Q3807" t="str">
        <f t="shared" si="357"/>
        <v>High Loan</v>
      </c>
      <c r="R3807">
        <f t="shared" si="358"/>
        <v>51800000</v>
      </c>
      <c r="S3807" t="str">
        <f t="shared" si="359"/>
        <v>Strong</v>
      </c>
    </row>
    <row r="3808" spans="1:19" x14ac:dyDescent="0.25">
      <c r="A3808">
        <v>3807</v>
      </c>
      <c r="B3808">
        <v>0</v>
      </c>
      <c r="C3808" t="s">
        <v>31</v>
      </c>
      <c r="D3808" t="s">
        <v>32</v>
      </c>
      <c r="E3808">
        <v>1300000</v>
      </c>
      <c r="F3808">
        <v>3400000</v>
      </c>
      <c r="G3808">
        <v>10</v>
      </c>
      <c r="H3808">
        <v>464</v>
      </c>
      <c r="I3808">
        <v>1200000</v>
      </c>
      <c r="J3808">
        <v>200000</v>
      </c>
      <c r="K3808">
        <v>3500000</v>
      </c>
      <c r="L3808">
        <v>1400000</v>
      </c>
      <c r="M3808" t="s">
        <v>35</v>
      </c>
      <c r="N3808">
        <f t="shared" si="355"/>
        <v>0</v>
      </c>
      <c r="O3808" t="str">
        <f t="shared" si="354"/>
        <v>Low</v>
      </c>
      <c r="P3808" t="str">
        <f t="shared" si="356"/>
        <v>High</v>
      </c>
      <c r="Q3808" t="str">
        <f t="shared" si="357"/>
        <v>Low Loan</v>
      </c>
      <c r="R3808">
        <f t="shared" si="358"/>
        <v>6300000</v>
      </c>
      <c r="S3808" t="str">
        <f t="shared" si="359"/>
        <v>Moderate</v>
      </c>
    </row>
    <row r="3809" spans="1:19" x14ac:dyDescent="0.25">
      <c r="A3809">
        <v>3808</v>
      </c>
      <c r="B3809">
        <v>0</v>
      </c>
      <c r="C3809" t="s">
        <v>30</v>
      </c>
      <c r="D3809" t="s">
        <v>33</v>
      </c>
      <c r="E3809">
        <v>1100000</v>
      </c>
      <c r="F3809">
        <v>3400000</v>
      </c>
      <c r="G3809">
        <v>14</v>
      </c>
      <c r="H3809">
        <v>832</v>
      </c>
      <c r="I3809">
        <v>3200000</v>
      </c>
      <c r="J3809">
        <v>200000</v>
      </c>
      <c r="K3809">
        <v>4400000</v>
      </c>
      <c r="L3809">
        <v>1600000</v>
      </c>
      <c r="M3809" t="s">
        <v>34</v>
      </c>
      <c r="N3809">
        <f t="shared" si="355"/>
        <v>1</v>
      </c>
      <c r="O3809" t="str">
        <f t="shared" si="354"/>
        <v>Excellent</v>
      </c>
      <c r="P3809" t="str">
        <f t="shared" si="356"/>
        <v>High</v>
      </c>
      <c r="Q3809" t="str">
        <f t="shared" si="357"/>
        <v>Low Loan</v>
      </c>
      <c r="R3809">
        <f t="shared" si="358"/>
        <v>9400000</v>
      </c>
      <c r="S3809" t="str">
        <f t="shared" si="359"/>
        <v>Moderate</v>
      </c>
    </row>
    <row r="3810" spans="1:19" x14ac:dyDescent="0.25">
      <c r="A3810">
        <v>3809</v>
      </c>
      <c r="B3810">
        <v>5</v>
      </c>
      <c r="C3810" t="s">
        <v>30</v>
      </c>
      <c r="D3810" t="s">
        <v>32</v>
      </c>
      <c r="E3810">
        <v>9200000</v>
      </c>
      <c r="F3810">
        <v>34800000</v>
      </c>
      <c r="G3810">
        <v>12</v>
      </c>
      <c r="H3810">
        <v>802</v>
      </c>
      <c r="I3810">
        <v>22000000</v>
      </c>
      <c r="J3810">
        <v>11000000</v>
      </c>
      <c r="K3810">
        <v>19800000</v>
      </c>
      <c r="L3810">
        <v>12500000</v>
      </c>
      <c r="M3810" t="s">
        <v>34</v>
      </c>
      <c r="N3810">
        <f t="shared" si="355"/>
        <v>1</v>
      </c>
      <c r="O3810" t="str">
        <f t="shared" si="354"/>
        <v>Excellent</v>
      </c>
      <c r="P3810" t="str">
        <f t="shared" si="356"/>
        <v>High</v>
      </c>
      <c r="Q3810" t="str">
        <f t="shared" si="357"/>
        <v>High Loan</v>
      </c>
      <c r="R3810">
        <f t="shared" si="358"/>
        <v>65300000</v>
      </c>
      <c r="S3810" t="str">
        <f t="shared" si="359"/>
        <v>Strong</v>
      </c>
    </row>
    <row r="3811" spans="1:19" x14ac:dyDescent="0.25">
      <c r="A3811">
        <v>3810</v>
      </c>
      <c r="B3811">
        <v>2</v>
      </c>
      <c r="C3811" t="s">
        <v>30</v>
      </c>
      <c r="D3811" t="s">
        <v>32</v>
      </c>
      <c r="E3811">
        <v>7000000</v>
      </c>
      <c r="F3811">
        <v>23900000</v>
      </c>
      <c r="G3811">
        <v>18</v>
      </c>
      <c r="H3811">
        <v>628</v>
      </c>
      <c r="I3811">
        <v>13400000</v>
      </c>
      <c r="J3811">
        <v>6600000</v>
      </c>
      <c r="K3811">
        <v>25200000</v>
      </c>
      <c r="L3811">
        <v>7200000</v>
      </c>
      <c r="M3811" t="s">
        <v>34</v>
      </c>
      <c r="N3811">
        <f t="shared" si="355"/>
        <v>1</v>
      </c>
      <c r="O3811" t="str">
        <f t="shared" si="354"/>
        <v>Low</v>
      </c>
      <c r="P3811" t="str">
        <f t="shared" si="356"/>
        <v>High</v>
      </c>
      <c r="Q3811" t="str">
        <f t="shared" si="357"/>
        <v>High Loan</v>
      </c>
      <c r="R3811">
        <f t="shared" si="358"/>
        <v>52400000</v>
      </c>
      <c r="S3811" t="str">
        <f t="shared" si="359"/>
        <v>Strong</v>
      </c>
    </row>
    <row r="3812" spans="1:19" x14ac:dyDescent="0.25">
      <c r="A3812">
        <v>3811</v>
      </c>
      <c r="B3812">
        <v>4</v>
      </c>
      <c r="C3812" t="s">
        <v>30</v>
      </c>
      <c r="D3812" t="s">
        <v>32</v>
      </c>
      <c r="E3812">
        <v>5100000</v>
      </c>
      <c r="F3812">
        <v>18800000</v>
      </c>
      <c r="G3812">
        <v>10</v>
      </c>
      <c r="H3812">
        <v>694</v>
      </c>
      <c r="I3812">
        <v>6400000</v>
      </c>
      <c r="J3812">
        <v>5300000</v>
      </c>
      <c r="K3812">
        <v>13500000</v>
      </c>
      <c r="L3812">
        <v>4100000</v>
      </c>
      <c r="M3812" t="s">
        <v>34</v>
      </c>
      <c r="N3812">
        <f t="shared" si="355"/>
        <v>1</v>
      </c>
      <c r="O3812" t="str">
        <f t="shared" si="354"/>
        <v>Medium</v>
      </c>
      <c r="P3812" t="str">
        <f t="shared" si="356"/>
        <v>High</v>
      </c>
      <c r="Q3812" t="str">
        <f t="shared" si="357"/>
        <v>Low Loan</v>
      </c>
      <c r="R3812">
        <f t="shared" si="358"/>
        <v>29300000</v>
      </c>
      <c r="S3812" t="str">
        <f t="shared" si="359"/>
        <v>Strong</v>
      </c>
    </row>
    <row r="3813" spans="1:19" x14ac:dyDescent="0.25">
      <c r="A3813">
        <v>3812</v>
      </c>
      <c r="B3813">
        <v>1</v>
      </c>
      <c r="C3813" t="s">
        <v>31</v>
      </c>
      <c r="D3813" t="s">
        <v>33</v>
      </c>
      <c r="E3813">
        <v>3200000</v>
      </c>
      <c r="F3813">
        <v>9300000</v>
      </c>
      <c r="G3813">
        <v>20</v>
      </c>
      <c r="H3813">
        <v>741</v>
      </c>
      <c r="I3813">
        <v>3800000</v>
      </c>
      <c r="J3813">
        <v>3500000</v>
      </c>
      <c r="K3813">
        <v>6900000</v>
      </c>
      <c r="L3813">
        <v>2300000</v>
      </c>
      <c r="M3813" t="s">
        <v>34</v>
      </c>
      <c r="N3813">
        <f t="shared" si="355"/>
        <v>1</v>
      </c>
      <c r="O3813" t="str">
        <f t="shared" si="354"/>
        <v>Good</v>
      </c>
      <c r="P3813" t="str">
        <f t="shared" si="356"/>
        <v>High</v>
      </c>
      <c r="Q3813" t="str">
        <f t="shared" si="357"/>
        <v>Low Loan</v>
      </c>
      <c r="R3813">
        <f t="shared" si="358"/>
        <v>16500000</v>
      </c>
      <c r="S3813" t="str">
        <f t="shared" si="359"/>
        <v>Strong</v>
      </c>
    </row>
    <row r="3814" spans="1:19" x14ac:dyDescent="0.25">
      <c r="A3814">
        <v>3813</v>
      </c>
      <c r="B3814">
        <v>1</v>
      </c>
      <c r="C3814" t="s">
        <v>31</v>
      </c>
      <c r="D3814" t="s">
        <v>33</v>
      </c>
      <c r="E3814">
        <v>3700000</v>
      </c>
      <c r="F3814">
        <v>10900000</v>
      </c>
      <c r="G3814">
        <v>14</v>
      </c>
      <c r="H3814">
        <v>748</v>
      </c>
      <c r="I3814">
        <v>3700000</v>
      </c>
      <c r="J3814">
        <v>2800000</v>
      </c>
      <c r="K3814">
        <v>13200000</v>
      </c>
      <c r="L3814">
        <v>4100000</v>
      </c>
      <c r="M3814" t="s">
        <v>34</v>
      </c>
      <c r="N3814">
        <f t="shared" si="355"/>
        <v>1</v>
      </c>
      <c r="O3814" t="str">
        <f t="shared" si="354"/>
        <v>Good</v>
      </c>
      <c r="P3814" t="str">
        <f t="shared" si="356"/>
        <v>High</v>
      </c>
      <c r="Q3814" t="str">
        <f t="shared" si="357"/>
        <v>Low Loan</v>
      </c>
      <c r="R3814">
        <f t="shared" si="358"/>
        <v>23800000</v>
      </c>
      <c r="S3814" t="str">
        <f t="shared" si="359"/>
        <v>Strong</v>
      </c>
    </row>
    <row r="3815" spans="1:19" x14ac:dyDescent="0.25">
      <c r="A3815">
        <v>3814</v>
      </c>
      <c r="B3815">
        <v>5</v>
      </c>
      <c r="C3815" t="s">
        <v>30</v>
      </c>
      <c r="D3815" t="s">
        <v>32</v>
      </c>
      <c r="E3815">
        <v>3600000</v>
      </c>
      <c r="F3815">
        <v>12800000</v>
      </c>
      <c r="G3815">
        <v>4</v>
      </c>
      <c r="H3815">
        <v>320</v>
      </c>
      <c r="I3815">
        <v>2500000</v>
      </c>
      <c r="J3815">
        <v>2900000</v>
      </c>
      <c r="K3815">
        <v>12600000</v>
      </c>
      <c r="L3815">
        <v>2900000</v>
      </c>
      <c r="M3815" t="s">
        <v>34</v>
      </c>
      <c r="N3815">
        <f t="shared" si="355"/>
        <v>1</v>
      </c>
      <c r="O3815" t="str">
        <f t="shared" si="354"/>
        <v>Low</v>
      </c>
      <c r="P3815" t="str">
        <f t="shared" si="356"/>
        <v>High</v>
      </c>
      <c r="Q3815" t="str">
        <f t="shared" si="357"/>
        <v>Low Loan</v>
      </c>
      <c r="R3815">
        <f t="shared" si="358"/>
        <v>20900000</v>
      </c>
      <c r="S3815" t="str">
        <f t="shared" si="359"/>
        <v>Strong</v>
      </c>
    </row>
    <row r="3816" spans="1:19" x14ac:dyDescent="0.25">
      <c r="A3816">
        <v>3815</v>
      </c>
      <c r="B3816">
        <v>1</v>
      </c>
      <c r="C3816" t="s">
        <v>30</v>
      </c>
      <c r="D3816" t="s">
        <v>32</v>
      </c>
      <c r="E3816">
        <v>5600000</v>
      </c>
      <c r="F3816">
        <v>11700000</v>
      </c>
      <c r="G3816">
        <v>10</v>
      </c>
      <c r="H3816">
        <v>774</v>
      </c>
      <c r="I3816">
        <v>11000000</v>
      </c>
      <c r="J3816">
        <v>4300000</v>
      </c>
      <c r="K3816">
        <v>13100000</v>
      </c>
      <c r="L3816">
        <v>6500000</v>
      </c>
      <c r="M3816" t="s">
        <v>34</v>
      </c>
      <c r="N3816">
        <f t="shared" si="355"/>
        <v>1</v>
      </c>
      <c r="O3816" t="str">
        <f t="shared" si="354"/>
        <v>Excellent</v>
      </c>
      <c r="P3816" t="str">
        <f t="shared" si="356"/>
        <v>High</v>
      </c>
      <c r="Q3816" t="str">
        <f t="shared" si="357"/>
        <v>Low Loan</v>
      </c>
      <c r="R3816">
        <f t="shared" si="358"/>
        <v>34900000</v>
      </c>
      <c r="S3816" t="str">
        <f t="shared" si="359"/>
        <v>Strong</v>
      </c>
    </row>
    <row r="3817" spans="1:19" x14ac:dyDescent="0.25">
      <c r="A3817">
        <v>3816</v>
      </c>
      <c r="B3817">
        <v>0</v>
      </c>
      <c r="C3817" t="s">
        <v>31</v>
      </c>
      <c r="D3817" t="s">
        <v>33</v>
      </c>
      <c r="E3817">
        <v>9500000</v>
      </c>
      <c r="F3817">
        <v>32000000</v>
      </c>
      <c r="G3817">
        <v>2</v>
      </c>
      <c r="H3817">
        <v>500</v>
      </c>
      <c r="I3817">
        <v>8300000</v>
      </c>
      <c r="J3817">
        <v>9700000</v>
      </c>
      <c r="K3817">
        <v>24500000</v>
      </c>
      <c r="L3817">
        <v>5600000</v>
      </c>
      <c r="M3817" t="s">
        <v>34</v>
      </c>
      <c r="N3817">
        <f t="shared" si="355"/>
        <v>1</v>
      </c>
      <c r="O3817" t="str">
        <f t="shared" si="354"/>
        <v>Low</v>
      </c>
      <c r="P3817" t="str">
        <f t="shared" si="356"/>
        <v>High</v>
      </c>
      <c r="Q3817" t="str">
        <f t="shared" si="357"/>
        <v>High Loan</v>
      </c>
      <c r="R3817">
        <f t="shared" si="358"/>
        <v>48100000</v>
      </c>
      <c r="S3817" t="str">
        <f t="shared" si="359"/>
        <v>Strong</v>
      </c>
    </row>
    <row r="3818" spans="1:19" x14ac:dyDescent="0.25">
      <c r="A3818">
        <v>3817</v>
      </c>
      <c r="B3818">
        <v>4</v>
      </c>
      <c r="C3818" t="s">
        <v>31</v>
      </c>
      <c r="D3818" t="s">
        <v>32</v>
      </c>
      <c r="E3818">
        <v>1500000</v>
      </c>
      <c r="F3818">
        <v>4000000</v>
      </c>
      <c r="G3818">
        <v>18</v>
      </c>
      <c r="H3818">
        <v>706</v>
      </c>
      <c r="I3818">
        <v>0</v>
      </c>
      <c r="J3818">
        <v>2700000</v>
      </c>
      <c r="K3818">
        <v>4400000</v>
      </c>
      <c r="L3818">
        <v>1700000</v>
      </c>
      <c r="M3818" t="s">
        <v>34</v>
      </c>
      <c r="N3818">
        <f t="shared" si="355"/>
        <v>1</v>
      </c>
      <c r="O3818" t="str">
        <f t="shared" si="354"/>
        <v>Good</v>
      </c>
      <c r="P3818" t="str">
        <f t="shared" si="356"/>
        <v>High</v>
      </c>
      <c r="Q3818" t="str">
        <f t="shared" si="357"/>
        <v>Low Loan</v>
      </c>
      <c r="R3818">
        <f t="shared" si="358"/>
        <v>8800000</v>
      </c>
      <c r="S3818" t="str">
        <f t="shared" si="359"/>
        <v>Moderate</v>
      </c>
    </row>
    <row r="3819" spans="1:19" x14ac:dyDescent="0.25">
      <c r="A3819">
        <v>3818</v>
      </c>
      <c r="B3819">
        <v>4</v>
      </c>
      <c r="C3819" t="s">
        <v>31</v>
      </c>
      <c r="D3819" t="s">
        <v>32</v>
      </c>
      <c r="E3819">
        <v>7400000</v>
      </c>
      <c r="F3819">
        <v>18300000</v>
      </c>
      <c r="G3819">
        <v>10</v>
      </c>
      <c r="H3819">
        <v>601</v>
      </c>
      <c r="I3819">
        <v>16400000</v>
      </c>
      <c r="J3819">
        <v>12600000</v>
      </c>
      <c r="K3819">
        <v>28800000</v>
      </c>
      <c r="L3819">
        <v>6100000</v>
      </c>
      <c r="M3819" t="s">
        <v>34</v>
      </c>
      <c r="N3819">
        <f t="shared" si="355"/>
        <v>1</v>
      </c>
      <c r="O3819" t="str">
        <f t="shared" si="354"/>
        <v>Low</v>
      </c>
      <c r="P3819" t="str">
        <f t="shared" si="356"/>
        <v>High</v>
      </c>
      <c r="Q3819" t="str">
        <f t="shared" si="357"/>
        <v>Low Loan</v>
      </c>
      <c r="R3819">
        <f t="shared" si="358"/>
        <v>63900000</v>
      </c>
      <c r="S3819" t="str">
        <f t="shared" si="359"/>
        <v>Strong</v>
      </c>
    </row>
    <row r="3820" spans="1:19" x14ac:dyDescent="0.25">
      <c r="A3820">
        <v>3819</v>
      </c>
      <c r="B3820">
        <v>2</v>
      </c>
      <c r="C3820" t="s">
        <v>30</v>
      </c>
      <c r="D3820" t="s">
        <v>32</v>
      </c>
      <c r="E3820">
        <v>6000000</v>
      </c>
      <c r="F3820">
        <v>17400000</v>
      </c>
      <c r="G3820">
        <v>16</v>
      </c>
      <c r="H3820">
        <v>806</v>
      </c>
      <c r="I3820">
        <v>1800000</v>
      </c>
      <c r="J3820">
        <v>2100000</v>
      </c>
      <c r="K3820">
        <v>20200000</v>
      </c>
      <c r="L3820">
        <v>3500000</v>
      </c>
      <c r="M3820" t="s">
        <v>34</v>
      </c>
      <c r="N3820">
        <f t="shared" si="355"/>
        <v>1</v>
      </c>
      <c r="O3820" t="str">
        <f t="shared" si="354"/>
        <v>Excellent</v>
      </c>
      <c r="P3820" t="str">
        <f t="shared" si="356"/>
        <v>High</v>
      </c>
      <c r="Q3820" t="str">
        <f t="shared" si="357"/>
        <v>Low Loan</v>
      </c>
      <c r="R3820">
        <f t="shared" si="358"/>
        <v>27600000</v>
      </c>
      <c r="S3820" t="str">
        <f t="shared" si="359"/>
        <v>Strong</v>
      </c>
    </row>
    <row r="3821" spans="1:19" x14ac:dyDescent="0.25">
      <c r="A3821">
        <v>3820</v>
      </c>
      <c r="B3821">
        <v>0</v>
      </c>
      <c r="C3821" t="s">
        <v>30</v>
      </c>
      <c r="D3821" t="s">
        <v>33</v>
      </c>
      <c r="E3821">
        <v>3000000</v>
      </c>
      <c r="F3821">
        <v>9600000</v>
      </c>
      <c r="G3821">
        <v>6</v>
      </c>
      <c r="H3821">
        <v>644</v>
      </c>
      <c r="I3821">
        <v>3900000</v>
      </c>
      <c r="J3821">
        <v>700000</v>
      </c>
      <c r="K3821">
        <v>10500000</v>
      </c>
      <c r="L3821">
        <v>3000000</v>
      </c>
      <c r="M3821" t="s">
        <v>34</v>
      </c>
      <c r="N3821">
        <f t="shared" si="355"/>
        <v>1</v>
      </c>
      <c r="O3821" t="str">
        <f t="shared" si="354"/>
        <v>Low</v>
      </c>
      <c r="P3821" t="str">
        <f t="shared" si="356"/>
        <v>High</v>
      </c>
      <c r="Q3821" t="str">
        <f t="shared" si="357"/>
        <v>Low Loan</v>
      </c>
      <c r="R3821">
        <f t="shared" si="358"/>
        <v>18100000</v>
      </c>
      <c r="S3821" t="str">
        <f t="shared" si="359"/>
        <v>Strong</v>
      </c>
    </row>
    <row r="3822" spans="1:19" x14ac:dyDescent="0.25">
      <c r="A3822">
        <v>3821</v>
      </c>
      <c r="B3822">
        <v>4</v>
      </c>
      <c r="C3822" t="s">
        <v>30</v>
      </c>
      <c r="D3822" t="s">
        <v>33</v>
      </c>
      <c r="E3822">
        <v>6000000</v>
      </c>
      <c r="F3822">
        <v>12900000</v>
      </c>
      <c r="G3822">
        <v>14</v>
      </c>
      <c r="H3822">
        <v>723</v>
      </c>
      <c r="I3822">
        <v>700000</v>
      </c>
      <c r="J3822">
        <v>1600000</v>
      </c>
      <c r="K3822">
        <v>13600000</v>
      </c>
      <c r="L3822">
        <v>4100000</v>
      </c>
      <c r="M3822" t="s">
        <v>34</v>
      </c>
      <c r="N3822">
        <f t="shared" si="355"/>
        <v>1</v>
      </c>
      <c r="O3822" t="str">
        <f t="shared" si="354"/>
        <v>Good</v>
      </c>
      <c r="P3822" t="str">
        <f t="shared" si="356"/>
        <v>High</v>
      </c>
      <c r="Q3822" t="str">
        <f t="shared" si="357"/>
        <v>Low Loan</v>
      </c>
      <c r="R3822">
        <f t="shared" si="358"/>
        <v>20000000</v>
      </c>
      <c r="S3822" t="str">
        <f t="shared" si="359"/>
        <v>Strong</v>
      </c>
    </row>
    <row r="3823" spans="1:19" x14ac:dyDescent="0.25">
      <c r="A3823">
        <v>3822</v>
      </c>
      <c r="B3823">
        <v>5</v>
      </c>
      <c r="C3823" t="s">
        <v>30</v>
      </c>
      <c r="D3823" t="s">
        <v>33</v>
      </c>
      <c r="E3823">
        <v>600000</v>
      </c>
      <c r="F3823">
        <v>1500000</v>
      </c>
      <c r="G3823">
        <v>12</v>
      </c>
      <c r="H3823">
        <v>509</v>
      </c>
      <c r="I3823">
        <v>1600000</v>
      </c>
      <c r="J3823">
        <v>100000</v>
      </c>
      <c r="K3823">
        <v>1900000</v>
      </c>
      <c r="L3823">
        <v>800000</v>
      </c>
      <c r="M3823" t="s">
        <v>35</v>
      </c>
      <c r="N3823">
        <f t="shared" si="355"/>
        <v>0</v>
      </c>
      <c r="O3823" t="str">
        <f t="shared" si="354"/>
        <v>Low</v>
      </c>
      <c r="P3823" t="str">
        <f t="shared" si="356"/>
        <v>Middle</v>
      </c>
      <c r="Q3823" t="str">
        <f t="shared" si="357"/>
        <v>Low Loan</v>
      </c>
      <c r="R3823">
        <f t="shared" si="358"/>
        <v>4400000</v>
      </c>
      <c r="S3823" t="str">
        <f t="shared" si="359"/>
        <v>Weak</v>
      </c>
    </row>
    <row r="3824" spans="1:19" x14ac:dyDescent="0.25">
      <c r="A3824">
        <v>3823</v>
      </c>
      <c r="B3824">
        <v>0</v>
      </c>
      <c r="C3824" t="s">
        <v>30</v>
      </c>
      <c r="D3824" t="s">
        <v>32</v>
      </c>
      <c r="E3824">
        <v>1800000</v>
      </c>
      <c r="F3824">
        <v>6600000</v>
      </c>
      <c r="G3824">
        <v>4</v>
      </c>
      <c r="H3824">
        <v>898</v>
      </c>
      <c r="I3824">
        <v>2400000</v>
      </c>
      <c r="J3824">
        <v>100000</v>
      </c>
      <c r="K3824">
        <v>4600000</v>
      </c>
      <c r="L3824">
        <v>1400000</v>
      </c>
      <c r="M3824" t="s">
        <v>34</v>
      </c>
      <c r="N3824">
        <f t="shared" si="355"/>
        <v>1</v>
      </c>
      <c r="O3824" t="str">
        <f t="shared" si="354"/>
        <v>Excellent</v>
      </c>
      <c r="P3824" t="str">
        <f t="shared" si="356"/>
        <v>High</v>
      </c>
      <c r="Q3824" t="str">
        <f t="shared" si="357"/>
        <v>Low Loan</v>
      </c>
      <c r="R3824">
        <f t="shared" si="358"/>
        <v>8500000</v>
      </c>
      <c r="S3824" t="str">
        <f t="shared" si="359"/>
        <v>Moderate</v>
      </c>
    </row>
    <row r="3825" spans="1:19" x14ac:dyDescent="0.25">
      <c r="A3825">
        <v>3824</v>
      </c>
      <c r="B3825">
        <v>2</v>
      </c>
      <c r="C3825" t="s">
        <v>30</v>
      </c>
      <c r="D3825" t="s">
        <v>33</v>
      </c>
      <c r="E3825">
        <v>5500000</v>
      </c>
      <c r="F3825">
        <v>12000000</v>
      </c>
      <c r="G3825">
        <v>2</v>
      </c>
      <c r="H3825">
        <v>567</v>
      </c>
      <c r="I3825">
        <v>7200000</v>
      </c>
      <c r="J3825">
        <v>4700000</v>
      </c>
      <c r="K3825">
        <v>11500000</v>
      </c>
      <c r="L3825">
        <v>7000000</v>
      </c>
      <c r="M3825" t="s">
        <v>34</v>
      </c>
      <c r="N3825">
        <f t="shared" si="355"/>
        <v>1</v>
      </c>
      <c r="O3825" t="str">
        <f t="shared" si="354"/>
        <v>Low</v>
      </c>
      <c r="P3825" t="str">
        <f t="shared" si="356"/>
        <v>High</v>
      </c>
      <c r="Q3825" t="str">
        <f t="shared" si="357"/>
        <v>Low Loan</v>
      </c>
      <c r="R3825">
        <f t="shared" si="358"/>
        <v>30400000</v>
      </c>
      <c r="S3825" t="str">
        <f t="shared" si="359"/>
        <v>Strong</v>
      </c>
    </row>
    <row r="3826" spans="1:19" x14ac:dyDescent="0.25">
      <c r="A3826">
        <v>3825</v>
      </c>
      <c r="B3826">
        <v>1</v>
      </c>
      <c r="C3826" t="s">
        <v>30</v>
      </c>
      <c r="D3826" t="s">
        <v>32</v>
      </c>
      <c r="E3826">
        <v>1000000</v>
      </c>
      <c r="F3826">
        <v>2100000</v>
      </c>
      <c r="G3826">
        <v>6</v>
      </c>
      <c r="H3826">
        <v>715</v>
      </c>
      <c r="I3826">
        <v>2200000</v>
      </c>
      <c r="J3826">
        <v>1000000</v>
      </c>
      <c r="K3826">
        <v>2200000</v>
      </c>
      <c r="L3826">
        <v>1100000</v>
      </c>
      <c r="M3826" t="s">
        <v>34</v>
      </c>
      <c r="N3826">
        <f t="shared" si="355"/>
        <v>1</v>
      </c>
      <c r="O3826" t="str">
        <f t="shared" si="354"/>
        <v>Good</v>
      </c>
      <c r="P3826" t="str">
        <f t="shared" si="356"/>
        <v>High</v>
      </c>
      <c r="Q3826" t="str">
        <f t="shared" si="357"/>
        <v>Low Loan</v>
      </c>
      <c r="R3826">
        <f t="shared" si="358"/>
        <v>6500000</v>
      </c>
      <c r="S3826" t="str">
        <f t="shared" si="359"/>
        <v>Moderate</v>
      </c>
    </row>
    <row r="3827" spans="1:19" x14ac:dyDescent="0.25">
      <c r="A3827">
        <v>3826</v>
      </c>
      <c r="B3827">
        <v>2</v>
      </c>
      <c r="C3827" t="s">
        <v>31</v>
      </c>
      <c r="D3827" t="s">
        <v>33</v>
      </c>
      <c r="E3827">
        <v>1700000</v>
      </c>
      <c r="F3827">
        <v>3500000</v>
      </c>
      <c r="G3827">
        <v>10</v>
      </c>
      <c r="H3827">
        <v>854</v>
      </c>
      <c r="I3827">
        <v>5000000</v>
      </c>
      <c r="J3827">
        <v>2400000</v>
      </c>
      <c r="K3827">
        <v>3400000</v>
      </c>
      <c r="L3827">
        <v>1700000</v>
      </c>
      <c r="M3827" t="s">
        <v>34</v>
      </c>
      <c r="N3827">
        <f t="shared" si="355"/>
        <v>1</v>
      </c>
      <c r="O3827" t="str">
        <f t="shared" si="354"/>
        <v>Excellent</v>
      </c>
      <c r="P3827" t="str">
        <f t="shared" si="356"/>
        <v>High</v>
      </c>
      <c r="Q3827" t="str">
        <f t="shared" si="357"/>
        <v>Low Loan</v>
      </c>
      <c r="R3827">
        <f t="shared" si="358"/>
        <v>12500000</v>
      </c>
      <c r="S3827" t="str">
        <f t="shared" si="359"/>
        <v>Strong</v>
      </c>
    </row>
    <row r="3828" spans="1:19" x14ac:dyDescent="0.25">
      <c r="A3828">
        <v>3827</v>
      </c>
      <c r="B3828">
        <v>1</v>
      </c>
      <c r="C3828" t="s">
        <v>30</v>
      </c>
      <c r="D3828" t="s">
        <v>33</v>
      </c>
      <c r="E3828">
        <v>3400000</v>
      </c>
      <c r="F3828">
        <v>12300000</v>
      </c>
      <c r="G3828">
        <v>8</v>
      </c>
      <c r="H3828">
        <v>523</v>
      </c>
      <c r="I3828">
        <v>6100000</v>
      </c>
      <c r="J3828">
        <v>4700000</v>
      </c>
      <c r="K3828">
        <v>8300000</v>
      </c>
      <c r="L3828">
        <v>2600000</v>
      </c>
      <c r="M3828" t="s">
        <v>35</v>
      </c>
      <c r="N3828">
        <f t="shared" si="355"/>
        <v>0</v>
      </c>
      <c r="O3828" t="str">
        <f t="shared" si="354"/>
        <v>Low</v>
      </c>
      <c r="P3828" t="str">
        <f t="shared" si="356"/>
        <v>High</v>
      </c>
      <c r="Q3828" t="str">
        <f t="shared" si="357"/>
        <v>Low Loan</v>
      </c>
      <c r="R3828">
        <f t="shared" si="358"/>
        <v>21700000</v>
      </c>
      <c r="S3828" t="str">
        <f t="shared" si="359"/>
        <v>Strong</v>
      </c>
    </row>
    <row r="3829" spans="1:19" x14ac:dyDescent="0.25">
      <c r="A3829">
        <v>3828</v>
      </c>
      <c r="B3829">
        <v>1</v>
      </c>
      <c r="C3829" t="s">
        <v>30</v>
      </c>
      <c r="D3829" t="s">
        <v>33</v>
      </c>
      <c r="E3829">
        <v>9600000</v>
      </c>
      <c r="F3829">
        <v>35900000</v>
      </c>
      <c r="G3829">
        <v>8</v>
      </c>
      <c r="H3829">
        <v>534</v>
      </c>
      <c r="I3829">
        <v>24500000</v>
      </c>
      <c r="J3829">
        <v>17700000</v>
      </c>
      <c r="K3829">
        <v>31900000</v>
      </c>
      <c r="L3829">
        <v>5400000</v>
      </c>
      <c r="M3829" t="s">
        <v>35</v>
      </c>
      <c r="N3829">
        <f t="shared" si="355"/>
        <v>0</v>
      </c>
      <c r="O3829" t="str">
        <f t="shared" si="354"/>
        <v>Low</v>
      </c>
      <c r="P3829" t="str">
        <f t="shared" si="356"/>
        <v>High</v>
      </c>
      <c r="Q3829" t="str">
        <f t="shared" si="357"/>
        <v>High Loan</v>
      </c>
      <c r="R3829">
        <f t="shared" si="358"/>
        <v>79500000</v>
      </c>
      <c r="S3829" t="str">
        <f t="shared" si="359"/>
        <v>Strong</v>
      </c>
    </row>
    <row r="3830" spans="1:19" x14ac:dyDescent="0.25">
      <c r="A3830">
        <v>3829</v>
      </c>
      <c r="B3830">
        <v>0</v>
      </c>
      <c r="C3830" t="s">
        <v>31</v>
      </c>
      <c r="D3830" t="s">
        <v>33</v>
      </c>
      <c r="E3830">
        <v>2600000</v>
      </c>
      <c r="F3830">
        <v>7600000</v>
      </c>
      <c r="G3830">
        <v>18</v>
      </c>
      <c r="H3830">
        <v>470</v>
      </c>
      <c r="I3830">
        <v>700000</v>
      </c>
      <c r="J3830">
        <v>700000</v>
      </c>
      <c r="K3830">
        <v>5500000</v>
      </c>
      <c r="L3830">
        <v>2900000</v>
      </c>
      <c r="M3830" t="s">
        <v>35</v>
      </c>
      <c r="N3830">
        <f t="shared" si="355"/>
        <v>0</v>
      </c>
      <c r="O3830" t="str">
        <f t="shared" si="354"/>
        <v>Low</v>
      </c>
      <c r="P3830" t="str">
        <f t="shared" si="356"/>
        <v>High</v>
      </c>
      <c r="Q3830" t="str">
        <f t="shared" si="357"/>
        <v>Low Loan</v>
      </c>
      <c r="R3830">
        <f t="shared" si="358"/>
        <v>9800000</v>
      </c>
      <c r="S3830" t="str">
        <f t="shared" si="359"/>
        <v>Moderate</v>
      </c>
    </row>
    <row r="3831" spans="1:19" x14ac:dyDescent="0.25">
      <c r="A3831">
        <v>3830</v>
      </c>
      <c r="B3831">
        <v>1</v>
      </c>
      <c r="C3831" t="s">
        <v>30</v>
      </c>
      <c r="D3831" t="s">
        <v>32</v>
      </c>
      <c r="E3831">
        <v>1600000</v>
      </c>
      <c r="F3831">
        <v>3500000</v>
      </c>
      <c r="G3831">
        <v>18</v>
      </c>
      <c r="H3831">
        <v>619</v>
      </c>
      <c r="I3831">
        <v>3200000</v>
      </c>
      <c r="J3831">
        <v>100000</v>
      </c>
      <c r="K3831">
        <v>6300000</v>
      </c>
      <c r="L3831">
        <v>1500000</v>
      </c>
      <c r="M3831" t="s">
        <v>34</v>
      </c>
      <c r="N3831">
        <f t="shared" si="355"/>
        <v>1</v>
      </c>
      <c r="O3831" t="str">
        <f t="shared" si="354"/>
        <v>Low</v>
      </c>
      <c r="P3831" t="str">
        <f t="shared" si="356"/>
        <v>High</v>
      </c>
      <c r="Q3831" t="str">
        <f t="shared" si="357"/>
        <v>Low Loan</v>
      </c>
      <c r="R3831">
        <f t="shared" si="358"/>
        <v>11100000</v>
      </c>
      <c r="S3831" t="str">
        <f t="shared" si="359"/>
        <v>Strong</v>
      </c>
    </row>
    <row r="3832" spans="1:19" x14ac:dyDescent="0.25">
      <c r="A3832">
        <v>3831</v>
      </c>
      <c r="B3832">
        <v>0</v>
      </c>
      <c r="C3832" t="s">
        <v>30</v>
      </c>
      <c r="D3832" t="s">
        <v>33</v>
      </c>
      <c r="E3832">
        <v>4300000</v>
      </c>
      <c r="F3832">
        <v>12800000</v>
      </c>
      <c r="G3832">
        <v>20</v>
      </c>
      <c r="H3832">
        <v>572</v>
      </c>
      <c r="I3832">
        <v>8600000</v>
      </c>
      <c r="J3832">
        <v>2200000</v>
      </c>
      <c r="K3832">
        <v>11000000</v>
      </c>
      <c r="L3832">
        <v>6100000</v>
      </c>
      <c r="M3832" t="s">
        <v>34</v>
      </c>
      <c r="N3832">
        <f t="shared" si="355"/>
        <v>1</v>
      </c>
      <c r="O3832" t="str">
        <f t="shared" si="354"/>
        <v>Low</v>
      </c>
      <c r="P3832" t="str">
        <f t="shared" si="356"/>
        <v>High</v>
      </c>
      <c r="Q3832" t="str">
        <f t="shared" si="357"/>
        <v>Low Loan</v>
      </c>
      <c r="R3832">
        <f t="shared" si="358"/>
        <v>27900000</v>
      </c>
      <c r="S3832" t="str">
        <f t="shared" si="359"/>
        <v>Strong</v>
      </c>
    </row>
    <row r="3833" spans="1:19" x14ac:dyDescent="0.25">
      <c r="A3833">
        <v>3832</v>
      </c>
      <c r="B3833">
        <v>3</v>
      </c>
      <c r="C3833" t="s">
        <v>30</v>
      </c>
      <c r="D3833" t="s">
        <v>32</v>
      </c>
      <c r="E3833">
        <v>1400000</v>
      </c>
      <c r="F3833">
        <v>3500000</v>
      </c>
      <c r="G3833">
        <v>16</v>
      </c>
      <c r="H3833">
        <v>365</v>
      </c>
      <c r="I3833">
        <v>2600000</v>
      </c>
      <c r="J3833">
        <v>2200000</v>
      </c>
      <c r="K3833">
        <v>2900000</v>
      </c>
      <c r="L3833">
        <v>1600000</v>
      </c>
      <c r="M3833" t="s">
        <v>35</v>
      </c>
      <c r="N3833">
        <f t="shared" si="355"/>
        <v>0</v>
      </c>
      <c r="O3833" t="str">
        <f t="shared" si="354"/>
        <v>Low</v>
      </c>
      <c r="P3833" t="str">
        <f t="shared" si="356"/>
        <v>High</v>
      </c>
      <c r="Q3833" t="str">
        <f t="shared" si="357"/>
        <v>Low Loan</v>
      </c>
      <c r="R3833">
        <f t="shared" si="358"/>
        <v>9300000</v>
      </c>
      <c r="S3833" t="str">
        <f t="shared" si="359"/>
        <v>Moderate</v>
      </c>
    </row>
    <row r="3834" spans="1:19" x14ac:dyDescent="0.25">
      <c r="A3834">
        <v>3833</v>
      </c>
      <c r="B3834">
        <v>0</v>
      </c>
      <c r="C3834" t="s">
        <v>31</v>
      </c>
      <c r="D3834" t="s">
        <v>32</v>
      </c>
      <c r="E3834">
        <v>8000000</v>
      </c>
      <c r="F3834">
        <v>18000000</v>
      </c>
      <c r="G3834">
        <v>16</v>
      </c>
      <c r="H3834">
        <v>791</v>
      </c>
      <c r="I3834">
        <v>13900000</v>
      </c>
      <c r="J3834">
        <v>10300000</v>
      </c>
      <c r="K3834">
        <v>23400000</v>
      </c>
      <c r="L3834">
        <v>10600000</v>
      </c>
      <c r="M3834" t="s">
        <v>34</v>
      </c>
      <c r="N3834">
        <f t="shared" si="355"/>
        <v>1</v>
      </c>
      <c r="O3834" t="str">
        <f t="shared" si="354"/>
        <v>Excellent</v>
      </c>
      <c r="P3834" t="str">
        <f t="shared" si="356"/>
        <v>High</v>
      </c>
      <c r="Q3834" t="str">
        <f t="shared" si="357"/>
        <v>Low Loan</v>
      </c>
      <c r="R3834">
        <f t="shared" si="358"/>
        <v>58200000</v>
      </c>
      <c r="S3834" t="str">
        <f t="shared" si="359"/>
        <v>Strong</v>
      </c>
    </row>
    <row r="3835" spans="1:19" x14ac:dyDescent="0.25">
      <c r="A3835">
        <v>3834</v>
      </c>
      <c r="B3835">
        <v>4</v>
      </c>
      <c r="C3835" t="s">
        <v>31</v>
      </c>
      <c r="D3835" t="s">
        <v>33</v>
      </c>
      <c r="E3835">
        <v>5000000</v>
      </c>
      <c r="F3835">
        <v>18100000</v>
      </c>
      <c r="G3835">
        <v>12</v>
      </c>
      <c r="H3835">
        <v>424</v>
      </c>
      <c r="I3835">
        <v>5200000</v>
      </c>
      <c r="J3835">
        <v>2000000</v>
      </c>
      <c r="K3835">
        <v>14500000</v>
      </c>
      <c r="L3835">
        <v>6100000</v>
      </c>
      <c r="M3835" t="s">
        <v>35</v>
      </c>
      <c r="N3835">
        <f t="shared" si="355"/>
        <v>0</v>
      </c>
      <c r="O3835" t="str">
        <f t="shared" si="354"/>
        <v>Low</v>
      </c>
      <c r="P3835" t="str">
        <f t="shared" si="356"/>
        <v>High</v>
      </c>
      <c r="Q3835" t="str">
        <f t="shared" si="357"/>
        <v>Low Loan</v>
      </c>
      <c r="R3835">
        <f t="shared" si="358"/>
        <v>27800000</v>
      </c>
      <c r="S3835" t="str">
        <f t="shared" si="359"/>
        <v>Strong</v>
      </c>
    </row>
    <row r="3836" spans="1:19" x14ac:dyDescent="0.25">
      <c r="A3836">
        <v>3835</v>
      </c>
      <c r="B3836">
        <v>5</v>
      </c>
      <c r="C3836" t="s">
        <v>30</v>
      </c>
      <c r="D3836" t="s">
        <v>32</v>
      </c>
      <c r="E3836">
        <v>4500000</v>
      </c>
      <c r="F3836">
        <v>10200000</v>
      </c>
      <c r="G3836">
        <v>12</v>
      </c>
      <c r="H3836">
        <v>726</v>
      </c>
      <c r="I3836">
        <v>2900000</v>
      </c>
      <c r="J3836">
        <v>8600000</v>
      </c>
      <c r="K3836">
        <v>17500000</v>
      </c>
      <c r="L3836">
        <v>4200000</v>
      </c>
      <c r="M3836" t="s">
        <v>34</v>
      </c>
      <c r="N3836">
        <f t="shared" si="355"/>
        <v>1</v>
      </c>
      <c r="O3836" t="str">
        <f t="shared" si="354"/>
        <v>Good</v>
      </c>
      <c r="P3836" t="str">
        <f t="shared" si="356"/>
        <v>High</v>
      </c>
      <c r="Q3836" t="str">
        <f t="shared" si="357"/>
        <v>Low Loan</v>
      </c>
      <c r="R3836">
        <f t="shared" si="358"/>
        <v>33200000</v>
      </c>
      <c r="S3836" t="str">
        <f t="shared" si="359"/>
        <v>Strong</v>
      </c>
    </row>
    <row r="3837" spans="1:19" x14ac:dyDescent="0.25">
      <c r="A3837">
        <v>3836</v>
      </c>
      <c r="B3837">
        <v>1</v>
      </c>
      <c r="C3837" t="s">
        <v>30</v>
      </c>
      <c r="D3837" t="s">
        <v>32</v>
      </c>
      <c r="E3837">
        <v>3400000</v>
      </c>
      <c r="F3837">
        <v>9900000</v>
      </c>
      <c r="G3837">
        <v>2</v>
      </c>
      <c r="H3837">
        <v>736</v>
      </c>
      <c r="I3837">
        <v>3900000</v>
      </c>
      <c r="J3837">
        <v>4800000</v>
      </c>
      <c r="K3837">
        <v>10600000</v>
      </c>
      <c r="L3837">
        <v>4500000</v>
      </c>
      <c r="M3837" t="s">
        <v>34</v>
      </c>
      <c r="N3837">
        <f t="shared" si="355"/>
        <v>1</v>
      </c>
      <c r="O3837" t="str">
        <f t="shared" si="354"/>
        <v>Good</v>
      </c>
      <c r="P3837" t="str">
        <f t="shared" si="356"/>
        <v>High</v>
      </c>
      <c r="Q3837" t="str">
        <f t="shared" si="357"/>
        <v>Low Loan</v>
      </c>
      <c r="R3837">
        <f t="shared" si="358"/>
        <v>23800000</v>
      </c>
      <c r="S3837" t="str">
        <f t="shared" si="359"/>
        <v>Strong</v>
      </c>
    </row>
    <row r="3838" spans="1:19" x14ac:dyDescent="0.25">
      <c r="A3838">
        <v>3837</v>
      </c>
      <c r="B3838">
        <v>5</v>
      </c>
      <c r="C3838" t="s">
        <v>30</v>
      </c>
      <c r="D3838" t="s">
        <v>33</v>
      </c>
      <c r="E3838">
        <v>5700000</v>
      </c>
      <c r="F3838">
        <v>12800000</v>
      </c>
      <c r="G3838">
        <v>14</v>
      </c>
      <c r="H3838">
        <v>488</v>
      </c>
      <c r="I3838">
        <v>13600000</v>
      </c>
      <c r="J3838">
        <v>1000000</v>
      </c>
      <c r="K3838">
        <v>13200000</v>
      </c>
      <c r="L3838">
        <v>5500000</v>
      </c>
      <c r="M3838" t="s">
        <v>35</v>
      </c>
      <c r="N3838">
        <f t="shared" si="355"/>
        <v>0</v>
      </c>
      <c r="O3838" t="str">
        <f t="shared" si="354"/>
        <v>Low</v>
      </c>
      <c r="P3838" t="str">
        <f t="shared" si="356"/>
        <v>High</v>
      </c>
      <c r="Q3838" t="str">
        <f t="shared" si="357"/>
        <v>Low Loan</v>
      </c>
      <c r="R3838">
        <f t="shared" si="358"/>
        <v>33300000</v>
      </c>
      <c r="S3838" t="str">
        <f t="shared" si="359"/>
        <v>Strong</v>
      </c>
    </row>
    <row r="3839" spans="1:19" x14ac:dyDescent="0.25">
      <c r="A3839">
        <v>3838</v>
      </c>
      <c r="B3839">
        <v>2</v>
      </c>
      <c r="C3839" t="s">
        <v>31</v>
      </c>
      <c r="D3839" t="s">
        <v>33</v>
      </c>
      <c r="E3839">
        <v>2600000</v>
      </c>
      <c r="F3839">
        <v>7600000</v>
      </c>
      <c r="G3839">
        <v>10</v>
      </c>
      <c r="H3839">
        <v>400</v>
      </c>
      <c r="I3839">
        <v>6800000</v>
      </c>
      <c r="J3839">
        <v>2800000</v>
      </c>
      <c r="K3839">
        <v>10100000</v>
      </c>
      <c r="L3839">
        <v>3200000</v>
      </c>
      <c r="M3839" t="s">
        <v>35</v>
      </c>
      <c r="N3839">
        <f t="shared" si="355"/>
        <v>0</v>
      </c>
      <c r="O3839" t="str">
        <f t="shared" si="354"/>
        <v>Low</v>
      </c>
      <c r="P3839" t="str">
        <f t="shared" si="356"/>
        <v>High</v>
      </c>
      <c r="Q3839" t="str">
        <f t="shared" si="357"/>
        <v>Low Loan</v>
      </c>
      <c r="R3839">
        <f t="shared" si="358"/>
        <v>22900000</v>
      </c>
      <c r="S3839" t="str">
        <f t="shared" si="359"/>
        <v>Strong</v>
      </c>
    </row>
    <row r="3840" spans="1:19" x14ac:dyDescent="0.25">
      <c r="A3840">
        <v>3839</v>
      </c>
      <c r="B3840">
        <v>0</v>
      </c>
      <c r="C3840" t="s">
        <v>30</v>
      </c>
      <c r="D3840" t="s">
        <v>33</v>
      </c>
      <c r="E3840">
        <v>4500000</v>
      </c>
      <c r="F3840">
        <v>12200000</v>
      </c>
      <c r="G3840">
        <v>20</v>
      </c>
      <c r="H3840">
        <v>311</v>
      </c>
      <c r="I3840">
        <v>11200000</v>
      </c>
      <c r="J3840">
        <v>5000000</v>
      </c>
      <c r="K3840">
        <v>12700000</v>
      </c>
      <c r="L3840">
        <v>2400000</v>
      </c>
      <c r="M3840" t="s">
        <v>35</v>
      </c>
      <c r="N3840">
        <f t="shared" si="355"/>
        <v>0</v>
      </c>
      <c r="O3840" t="str">
        <f t="shared" si="354"/>
        <v>Low</v>
      </c>
      <c r="P3840" t="str">
        <f t="shared" si="356"/>
        <v>High</v>
      </c>
      <c r="Q3840" t="str">
        <f t="shared" si="357"/>
        <v>Low Loan</v>
      </c>
      <c r="R3840">
        <f t="shared" si="358"/>
        <v>31300000</v>
      </c>
      <c r="S3840" t="str">
        <f t="shared" si="359"/>
        <v>Strong</v>
      </c>
    </row>
    <row r="3841" spans="1:19" x14ac:dyDescent="0.25">
      <c r="A3841">
        <v>3840</v>
      </c>
      <c r="B3841">
        <v>2</v>
      </c>
      <c r="C3841" t="s">
        <v>31</v>
      </c>
      <c r="D3841" t="s">
        <v>33</v>
      </c>
      <c r="E3841">
        <v>5100000</v>
      </c>
      <c r="F3841">
        <v>16800000</v>
      </c>
      <c r="G3841">
        <v>2</v>
      </c>
      <c r="H3841">
        <v>504</v>
      </c>
      <c r="I3841">
        <v>6400000</v>
      </c>
      <c r="J3841">
        <v>2700000</v>
      </c>
      <c r="K3841">
        <v>17100000</v>
      </c>
      <c r="L3841">
        <v>4400000</v>
      </c>
      <c r="M3841" t="s">
        <v>34</v>
      </c>
      <c r="N3841">
        <f t="shared" si="355"/>
        <v>1</v>
      </c>
      <c r="O3841" t="str">
        <f t="shared" si="354"/>
        <v>Low</v>
      </c>
      <c r="P3841" t="str">
        <f t="shared" si="356"/>
        <v>High</v>
      </c>
      <c r="Q3841" t="str">
        <f t="shared" si="357"/>
        <v>Low Loan</v>
      </c>
      <c r="R3841">
        <f t="shared" si="358"/>
        <v>30600000</v>
      </c>
      <c r="S3841" t="str">
        <f t="shared" si="359"/>
        <v>Strong</v>
      </c>
    </row>
    <row r="3842" spans="1:19" x14ac:dyDescent="0.25">
      <c r="A3842">
        <v>3841</v>
      </c>
      <c r="B3842">
        <v>4</v>
      </c>
      <c r="C3842" t="s">
        <v>31</v>
      </c>
      <c r="D3842" t="s">
        <v>33</v>
      </c>
      <c r="E3842">
        <v>5100000</v>
      </c>
      <c r="F3842">
        <v>18600000</v>
      </c>
      <c r="G3842">
        <v>20</v>
      </c>
      <c r="H3842">
        <v>312</v>
      </c>
      <c r="I3842">
        <v>9600000</v>
      </c>
      <c r="J3842">
        <v>6000000</v>
      </c>
      <c r="K3842">
        <v>16500000</v>
      </c>
      <c r="L3842">
        <v>5500000</v>
      </c>
      <c r="M3842" t="s">
        <v>35</v>
      </c>
      <c r="N3842">
        <f t="shared" si="355"/>
        <v>0</v>
      </c>
      <c r="O3842" t="str">
        <f t="shared" ref="O3842:O3905" si="360">IF(H3842&lt;650,"Low",
 IF(H3842&lt;700,"Medium",
 IF(H3842&lt;750,"Good","Excellent")))</f>
        <v>Low</v>
      </c>
      <c r="P3842" t="str">
        <f t="shared" si="356"/>
        <v>High</v>
      </c>
      <c r="Q3842" t="str">
        <f t="shared" si="357"/>
        <v>Low Loan</v>
      </c>
      <c r="R3842">
        <f t="shared" si="358"/>
        <v>37600000</v>
      </c>
      <c r="S3842" t="str">
        <f t="shared" si="359"/>
        <v>Strong</v>
      </c>
    </row>
    <row r="3843" spans="1:19" x14ac:dyDescent="0.25">
      <c r="A3843">
        <v>3842</v>
      </c>
      <c r="B3843">
        <v>5</v>
      </c>
      <c r="C3843" t="s">
        <v>30</v>
      </c>
      <c r="D3843" t="s">
        <v>33</v>
      </c>
      <c r="E3843">
        <v>1700000</v>
      </c>
      <c r="F3843">
        <v>6500000</v>
      </c>
      <c r="G3843">
        <v>14</v>
      </c>
      <c r="H3843">
        <v>587</v>
      </c>
      <c r="I3843">
        <v>1100000</v>
      </c>
      <c r="J3843">
        <v>1000000</v>
      </c>
      <c r="K3843">
        <v>6400000</v>
      </c>
      <c r="L3843">
        <v>1500000</v>
      </c>
      <c r="M3843" t="s">
        <v>34</v>
      </c>
      <c r="N3843">
        <f t="shared" ref="N3843:N3906" si="361">IF(TRIM(CLEAN(M3843))="Approved",1,0)</f>
        <v>1</v>
      </c>
      <c r="O3843" t="str">
        <f t="shared" si="360"/>
        <v>Low</v>
      </c>
      <c r="P3843" t="str">
        <f t="shared" ref="P3843:P3906" si="362">IF(E3843&lt;300000,"Low",
 IF(E3843&lt;700000,"Middle","High"))</f>
        <v>High</v>
      </c>
      <c r="Q3843" t="str">
        <f t="shared" ref="Q3843:Q3906" si="363">IF(F3843&lt;20000000,"Low Loan","High Loan")</f>
        <v>Low Loan</v>
      </c>
      <c r="R3843">
        <f t="shared" ref="R3843:R3906" si="364">I3843+J3843+K3843+L3843</f>
        <v>10000000</v>
      </c>
      <c r="S3843" t="str">
        <f t="shared" ref="S3843:S3906" si="365">IF(R3843&lt;5000000,"Weak",
 IF(R3843&lt;10000000,"Moderate","Strong"))</f>
        <v>Strong</v>
      </c>
    </row>
    <row r="3844" spans="1:19" x14ac:dyDescent="0.25">
      <c r="A3844">
        <v>3843</v>
      </c>
      <c r="B3844">
        <v>1</v>
      </c>
      <c r="C3844" t="s">
        <v>31</v>
      </c>
      <c r="D3844" t="s">
        <v>32</v>
      </c>
      <c r="E3844">
        <v>5200000</v>
      </c>
      <c r="F3844">
        <v>10500000</v>
      </c>
      <c r="G3844">
        <v>20</v>
      </c>
      <c r="H3844">
        <v>317</v>
      </c>
      <c r="I3844">
        <v>3000000</v>
      </c>
      <c r="J3844">
        <v>8000000</v>
      </c>
      <c r="K3844">
        <v>19300000</v>
      </c>
      <c r="L3844">
        <v>5300000</v>
      </c>
      <c r="M3844" t="s">
        <v>35</v>
      </c>
      <c r="N3844">
        <f t="shared" si="361"/>
        <v>0</v>
      </c>
      <c r="O3844" t="str">
        <f t="shared" si="360"/>
        <v>Low</v>
      </c>
      <c r="P3844" t="str">
        <f t="shared" si="362"/>
        <v>High</v>
      </c>
      <c r="Q3844" t="str">
        <f t="shared" si="363"/>
        <v>Low Loan</v>
      </c>
      <c r="R3844">
        <f t="shared" si="364"/>
        <v>35600000</v>
      </c>
      <c r="S3844" t="str">
        <f t="shared" si="365"/>
        <v>Strong</v>
      </c>
    </row>
    <row r="3845" spans="1:19" x14ac:dyDescent="0.25">
      <c r="A3845">
        <v>3844</v>
      </c>
      <c r="B3845">
        <v>4</v>
      </c>
      <c r="C3845" t="s">
        <v>31</v>
      </c>
      <c r="D3845" t="s">
        <v>32</v>
      </c>
      <c r="E3845">
        <v>8400000</v>
      </c>
      <c r="F3845">
        <v>29000000</v>
      </c>
      <c r="G3845">
        <v>2</v>
      </c>
      <c r="H3845">
        <v>463</v>
      </c>
      <c r="I3845">
        <v>12700000</v>
      </c>
      <c r="J3845">
        <v>1100000</v>
      </c>
      <c r="K3845">
        <v>20100000</v>
      </c>
      <c r="L3845">
        <v>6700000</v>
      </c>
      <c r="M3845" t="s">
        <v>34</v>
      </c>
      <c r="N3845">
        <f t="shared" si="361"/>
        <v>1</v>
      </c>
      <c r="O3845" t="str">
        <f t="shared" si="360"/>
        <v>Low</v>
      </c>
      <c r="P3845" t="str">
        <f t="shared" si="362"/>
        <v>High</v>
      </c>
      <c r="Q3845" t="str">
        <f t="shared" si="363"/>
        <v>High Loan</v>
      </c>
      <c r="R3845">
        <f t="shared" si="364"/>
        <v>40600000</v>
      </c>
      <c r="S3845" t="str">
        <f t="shared" si="365"/>
        <v>Strong</v>
      </c>
    </row>
    <row r="3846" spans="1:19" x14ac:dyDescent="0.25">
      <c r="A3846">
        <v>3845</v>
      </c>
      <c r="B3846">
        <v>1</v>
      </c>
      <c r="C3846" t="s">
        <v>31</v>
      </c>
      <c r="D3846" t="s">
        <v>33</v>
      </c>
      <c r="E3846">
        <v>9000000</v>
      </c>
      <c r="F3846">
        <v>34000000</v>
      </c>
      <c r="G3846">
        <v>16</v>
      </c>
      <c r="H3846">
        <v>842</v>
      </c>
      <c r="I3846">
        <v>6300000</v>
      </c>
      <c r="J3846">
        <v>16900000</v>
      </c>
      <c r="K3846">
        <v>22900000</v>
      </c>
      <c r="L3846">
        <v>5800000</v>
      </c>
      <c r="M3846" t="s">
        <v>34</v>
      </c>
      <c r="N3846">
        <f t="shared" si="361"/>
        <v>1</v>
      </c>
      <c r="O3846" t="str">
        <f t="shared" si="360"/>
        <v>Excellent</v>
      </c>
      <c r="P3846" t="str">
        <f t="shared" si="362"/>
        <v>High</v>
      </c>
      <c r="Q3846" t="str">
        <f t="shared" si="363"/>
        <v>High Loan</v>
      </c>
      <c r="R3846">
        <f t="shared" si="364"/>
        <v>51900000</v>
      </c>
      <c r="S3846" t="str">
        <f t="shared" si="365"/>
        <v>Strong</v>
      </c>
    </row>
    <row r="3847" spans="1:19" x14ac:dyDescent="0.25">
      <c r="A3847">
        <v>3846</v>
      </c>
      <c r="B3847">
        <v>4</v>
      </c>
      <c r="C3847" t="s">
        <v>30</v>
      </c>
      <c r="D3847" t="s">
        <v>33</v>
      </c>
      <c r="E3847">
        <v>3400000</v>
      </c>
      <c r="F3847">
        <v>11800000</v>
      </c>
      <c r="G3847">
        <v>20</v>
      </c>
      <c r="H3847">
        <v>616</v>
      </c>
      <c r="I3847">
        <v>5000000</v>
      </c>
      <c r="J3847">
        <v>3300000</v>
      </c>
      <c r="K3847">
        <v>9900000</v>
      </c>
      <c r="L3847">
        <v>2900000</v>
      </c>
      <c r="M3847" t="s">
        <v>34</v>
      </c>
      <c r="N3847">
        <f t="shared" si="361"/>
        <v>1</v>
      </c>
      <c r="O3847" t="str">
        <f t="shared" si="360"/>
        <v>Low</v>
      </c>
      <c r="P3847" t="str">
        <f t="shared" si="362"/>
        <v>High</v>
      </c>
      <c r="Q3847" t="str">
        <f t="shared" si="363"/>
        <v>Low Loan</v>
      </c>
      <c r="R3847">
        <f t="shared" si="364"/>
        <v>21100000</v>
      </c>
      <c r="S3847" t="str">
        <f t="shared" si="365"/>
        <v>Strong</v>
      </c>
    </row>
    <row r="3848" spans="1:19" x14ac:dyDescent="0.25">
      <c r="A3848">
        <v>3847</v>
      </c>
      <c r="B3848">
        <v>1</v>
      </c>
      <c r="C3848" t="s">
        <v>31</v>
      </c>
      <c r="D3848" t="s">
        <v>32</v>
      </c>
      <c r="E3848">
        <v>5400000</v>
      </c>
      <c r="F3848">
        <v>19400000</v>
      </c>
      <c r="G3848">
        <v>8</v>
      </c>
      <c r="H3848">
        <v>800</v>
      </c>
      <c r="I3848">
        <v>800000</v>
      </c>
      <c r="J3848">
        <v>6100000</v>
      </c>
      <c r="K3848">
        <v>19500000</v>
      </c>
      <c r="L3848">
        <v>3000000</v>
      </c>
      <c r="M3848" t="s">
        <v>34</v>
      </c>
      <c r="N3848">
        <f t="shared" si="361"/>
        <v>1</v>
      </c>
      <c r="O3848" t="str">
        <f t="shared" si="360"/>
        <v>Excellent</v>
      </c>
      <c r="P3848" t="str">
        <f t="shared" si="362"/>
        <v>High</v>
      </c>
      <c r="Q3848" t="str">
        <f t="shared" si="363"/>
        <v>Low Loan</v>
      </c>
      <c r="R3848">
        <f t="shared" si="364"/>
        <v>29400000</v>
      </c>
      <c r="S3848" t="str">
        <f t="shared" si="365"/>
        <v>Strong</v>
      </c>
    </row>
    <row r="3849" spans="1:19" x14ac:dyDescent="0.25">
      <c r="A3849">
        <v>3848</v>
      </c>
      <c r="B3849">
        <v>0</v>
      </c>
      <c r="C3849" t="s">
        <v>30</v>
      </c>
      <c r="D3849" t="s">
        <v>33</v>
      </c>
      <c r="E3849">
        <v>700000</v>
      </c>
      <c r="F3849">
        <v>2100000</v>
      </c>
      <c r="G3849">
        <v>12</v>
      </c>
      <c r="H3849">
        <v>813</v>
      </c>
      <c r="I3849">
        <v>200000</v>
      </c>
      <c r="J3849">
        <v>1300000</v>
      </c>
      <c r="K3849">
        <v>2200000</v>
      </c>
      <c r="L3849">
        <v>500000</v>
      </c>
      <c r="M3849" t="s">
        <v>34</v>
      </c>
      <c r="N3849">
        <f t="shared" si="361"/>
        <v>1</v>
      </c>
      <c r="O3849" t="str">
        <f t="shared" si="360"/>
        <v>Excellent</v>
      </c>
      <c r="P3849" t="str">
        <f t="shared" si="362"/>
        <v>High</v>
      </c>
      <c r="Q3849" t="str">
        <f t="shared" si="363"/>
        <v>Low Loan</v>
      </c>
      <c r="R3849">
        <f t="shared" si="364"/>
        <v>4200000</v>
      </c>
      <c r="S3849" t="str">
        <f t="shared" si="365"/>
        <v>Weak</v>
      </c>
    </row>
    <row r="3850" spans="1:19" x14ac:dyDescent="0.25">
      <c r="A3850">
        <v>3849</v>
      </c>
      <c r="B3850">
        <v>2</v>
      </c>
      <c r="C3850" t="s">
        <v>30</v>
      </c>
      <c r="D3850" t="s">
        <v>32</v>
      </c>
      <c r="E3850">
        <v>7600000</v>
      </c>
      <c r="F3850">
        <v>24800000</v>
      </c>
      <c r="G3850">
        <v>12</v>
      </c>
      <c r="H3850">
        <v>564</v>
      </c>
      <c r="I3850">
        <v>14000000</v>
      </c>
      <c r="J3850">
        <v>6200000</v>
      </c>
      <c r="K3850">
        <v>24700000</v>
      </c>
      <c r="L3850">
        <v>6700000</v>
      </c>
      <c r="M3850" t="s">
        <v>34</v>
      </c>
      <c r="N3850">
        <f t="shared" si="361"/>
        <v>1</v>
      </c>
      <c r="O3850" t="str">
        <f t="shared" si="360"/>
        <v>Low</v>
      </c>
      <c r="P3850" t="str">
        <f t="shared" si="362"/>
        <v>High</v>
      </c>
      <c r="Q3850" t="str">
        <f t="shared" si="363"/>
        <v>High Loan</v>
      </c>
      <c r="R3850">
        <f t="shared" si="364"/>
        <v>51600000</v>
      </c>
      <c r="S3850" t="str">
        <f t="shared" si="365"/>
        <v>Strong</v>
      </c>
    </row>
    <row r="3851" spans="1:19" x14ac:dyDescent="0.25">
      <c r="A3851">
        <v>3850</v>
      </c>
      <c r="B3851">
        <v>2</v>
      </c>
      <c r="C3851" t="s">
        <v>31</v>
      </c>
      <c r="D3851" t="s">
        <v>32</v>
      </c>
      <c r="E3851">
        <v>5000000</v>
      </c>
      <c r="F3851">
        <v>14700000</v>
      </c>
      <c r="G3851">
        <v>12</v>
      </c>
      <c r="H3851">
        <v>837</v>
      </c>
      <c r="I3851">
        <v>2200000</v>
      </c>
      <c r="J3851">
        <v>7200000</v>
      </c>
      <c r="K3851">
        <v>11700000</v>
      </c>
      <c r="L3851">
        <v>4800000</v>
      </c>
      <c r="M3851" t="s">
        <v>34</v>
      </c>
      <c r="N3851">
        <f t="shared" si="361"/>
        <v>1</v>
      </c>
      <c r="O3851" t="str">
        <f t="shared" si="360"/>
        <v>Excellent</v>
      </c>
      <c r="P3851" t="str">
        <f t="shared" si="362"/>
        <v>High</v>
      </c>
      <c r="Q3851" t="str">
        <f t="shared" si="363"/>
        <v>Low Loan</v>
      </c>
      <c r="R3851">
        <f t="shared" si="364"/>
        <v>25900000</v>
      </c>
      <c r="S3851" t="str">
        <f t="shared" si="365"/>
        <v>Strong</v>
      </c>
    </row>
    <row r="3852" spans="1:19" x14ac:dyDescent="0.25">
      <c r="A3852">
        <v>3851</v>
      </c>
      <c r="B3852">
        <v>5</v>
      </c>
      <c r="C3852" t="s">
        <v>31</v>
      </c>
      <c r="D3852" t="s">
        <v>33</v>
      </c>
      <c r="E3852">
        <v>2500000</v>
      </c>
      <c r="F3852">
        <v>9400000</v>
      </c>
      <c r="G3852">
        <v>16</v>
      </c>
      <c r="H3852">
        <v>735</v>
      </c>
      <c r="I3852">
        <v>0</v>
      </c>
      <c r="J3852">
        <v>2200000</v>
      </c>
      <c r="K3852">
        <v>9500000</v>
      </c>
      <c r="L3852">
        <v>1700000</v>
      </c>
      <c r="M3852" t="s">
        <v>34</v>
      </c>
      <c r="N3852">
        <f t="shared" si="361"/>
        <v>1</v>
      </c>
      <c r="O3852" t="str">
        <f t="shared" si="360"/>
        <v>Good</v>
      </c>
      <c r="P3852" t="str">
        <f t="shared" si="362"/>
        <v>High</v>
      </c>
      <c r="Q3852" t="str">
        <f t="shared" si="363"/>
        <v>Low Loan</v>
      </c>
      <c r="R3852">
        <f t="shared" si="364"/>
        <v>13400000</v>
      </c>
      <c r="S3852" t="str">
        <f t="shared" si="365"/>
        <v>Strong</v>
      </c>
    </row>
    <row r="3853" spans="1:19" x14ac:dyDescent="0.25">
      <c r="A3853">
        <v>3852</v>
      </c>
      <c r="B3853">
        <v>4</v>
      </c>
      <c r="C3853" t="s">
        <v>31</v>
      </c>
      <c r="D3853" t="s">
        <v>33</v>
      </c>
      <c r="E3853">
        <v>2000000</v>
      </c>
      <c r="F3853">
        <v>5200000</v>
      </c>
      <c r="G3853">
        <v>16</v>
      </c>
      <c r="H3853">
        <v>724</v>
      </c>
      <c r="I3853">
        <v>5200000</v>
      </c>
      <c r="J3853">
        <v>3800000</v>
      </c>
      <c r="K3853">
        <v>4600000</v>
      </c>
      <c r="L3853">
        <v>2800000</v>
      </c>
      <c r="M3853" t="s">
        <v>34</v>
      </c>
      <c r="N3853">
        <f t="shared" si="361"/>
        <v>1</v>
      </c>
      <c r="O3853" t="str">
        <f t="shared" si="360"/>
        <v>Good</v>
      </c>
      <c r="P3853" t="str">
        <f t="shared" si="362"/>
        <v>High</v>
      </c>
      <c r="Q3853" t="str">
        <f t="shared" si="363"/>
        <v>Low Loan</v>
      </c>
      <c r="R3853">
        <f t="shared" si="364"/>
        <v>16400000</v>
      </c>
      <c r="S3853" t="str">
        <f t="shared" si="365"/>
        <v>Strong</v>
      </c>
    </row>
    <row r="3854" spans="1:19" x14ac:dyDescent="0.25">
      <c r="A3854">
        <v>3853</v>
      </c>
      <c r="B3854">
        <v>5</v>
      </c>
      <c r="C3854" t="s">
        <v>31</v>
      </c>
      <c r="D3854" t="s">
        <v>32</v>
      </c>
      <c r="E3854">
        <v>9000000</v>
      </c>
      <c r="F3854">
        <v>23900000</v>
      </c>
      <c r="G3854">
        <v>12</v>
      </c>
      <c r="H3854">
        <v>658</v>
      </c>
      <c r="I3854">
        <v>5700000</v>
      </c>
      <c r="J3854">
        <v>4600000</v>
      </c>
      <c r="K3854">
        <v>32100000</v>
      </c>
      <c r="L3854">
        <v>6100000</v>
      </c>
      <c r="M3854" t="s">
        <v>34</v>
      </c>
      <c r="N3854">
        <f t="shared" si="361"/>
        <v>1</v>
      </c>
      <c r="O3854" t="str">
        <f t="shared" si="360"/>
        <v>Medium</v>
      </c>
      <c r="P3854" t="str">
        <f t="shared" si="362"/>
        <v>High</v>
      </c>
      <c r="Q3854" t="str">
        <f t="shared" si="363"/>
        <v>High Loan</v>
      </c>
      <c r="R3854">
        <f t="shared" si="364"/>
        <v>48500000</v>
      </c>
      <c r="S3854" t="str">
        <f t="shared" si="365"/>
        <v>Strong</v>
      </c>
    </row>
    <row r="3855" spans="1:19" x14ac:dyDescent="0.25">
      <c r="A3855">
        <v>3854</v>
      </c>
      <c r="B3855">
        <v>5</v>
      </c>
      <c r="C3855" t="s">
        <v>30</v>
      </c>
      <c r="D3855" t="s">
        <v>32</v>
      </c>
      <c r="E3855">
        <v>8300000</v>
      </c>
      <c r="F3855">
        <v>31800000</v>
      </c>
      <c r="G3855">
        <v>16</v>
      </c>
      <c r="H3855">
        <v>858</v>
      </c>
      <c r="I3855">
        <v>24600000</v>
      </c>
      <c r="J3855">
        <v>11100000</v>
      </c>
      <c r="K3855">
        <v>26300000</v>
      </c>
      <c r="L3855">
        <v>8500000</v>
      </c>
      <c r="M3855" t="s">
        <v>34</v>
      </c>
      <c r="N3855">
        <f t="shared" si="361"/>
        <v>1</v>
      </c>
      <c r="O3855" t="str">
        <f t="shared" si="360"/>
        <v>Excellent</v>
      </c>
      <c r="P3855" t="str">
        <f t="shared" si="362"/>
        <v>High</v>
      </c>
      <c r="Q3855" t="str">
        <f t="shared" si="363"/>
        <v>High Loan</v>
      </c>
      <c r="R3855">
        <f t="shared" si="364"/>
        <v>70500000</v>
      </c>
      <c r="S3855" t="str">
        <f t="shared" si="365"/>
        <v>Strong</v>
      </c>
    </row>
    <row r="3856" spans="1:19" x14ac:dyDescent="0.25">
      <c r="A3856">
        <v>3855</v>
      </c>
      <c r="B3856">
        <v>0</v>
      </c>
      <c r="C3856" t="s">
        <v>31</v>
      </c>
      <c r="D3856" t="s">
        <v>33</v>
      </c>
      <c r="E3856">
        <v>3100000</v>
      </c>
      <c r="F3856">
        <v>8500000</v>
      </c>
      <c r="G3856">
        <v>8</v>
      </c>
      <c r="H3856">
        <v>614</v>
      </c>
      <c r="I3856">
        <v>1700000</v>
      </c>
      <c r="J3856">
        <v>4600000</v>
      </c>
      <c r="K3856">
        <v>11000000</v>
      </c>
      <c r="L3856">
        <v>3300000</v>
      </c>
      <c r="M3856" t="s">
        <v>34</v>
      </c>
      <c r="N3856">
        <f t="shared" si="361"/>
        <v>1</v>
      </c>
      <c r="O3856" t="str">
        <f t="shared" si="360"/>
        <v>Low</v>
      </c>
      <c r="P3856" t="str">
        <f t="shared" si="362"/>
        <v>High</v>
      </c>
      <c r="Q3856" t="str">
        <f t="shared" si="363"/>
        <v>Low Loan</v>
      </c>
      <c r="R3856">
        <f t="shared" si="364"/>
        <v>20600000</v>
      </c>
      <c r="S3856" t="str">
        <f t="shared" si="365"/>
        <v>Strong</v>
      </c>
    </row>
    <row r="3857" spans="1:19" x14ac:dyDescent="0.25">
      <c r="A3857">
        <v>3856</v>
      </c>
      <c r="B3857">
        <v>2</v>
      </c>
      <c r="C3857" t="s">
        <v>30</v>
      </c>
      <c r="D3857" t="s">
        <v>33</v>
      </c>
      <c r="E3857">
        <v>8500000</v>
      </c>
      <c r="F3857">
        <v>25600000</v>
      </c>
      <c r="G3857">
        <v>16</v>
      </c>
      <c r="H3857">
        <v>714</v>
      </c>
      <c r="I3857">
        <v>11400000</v>
      </c>
      <c r="J3857">
        <v>14800000</v>
      </c>
      <c r="K3857">
        <v>17200000</v>
      </c>
      <c r="L3857">
        <v>5700000</v>
      </c>
      <c r="M3857" t="s">
        <v>34</v>
      </c>
      <c r="N3857">
        <f t="shared" si="361"/>
        <v>1</v>
      </c>
      <c r="O3857" t="str">
        <f t="shared" si="360"/>
        <v>Good</v>
      </c>
      <c r="P3857" t="str">
        <f t="shared" si="362"/>
        <v>High</v>
      </c>
      <c r="Q3857" t="str">
        <f t="shared" si="363"/>
        <v>High Loan</v>
      </c>
      <c r="R3857">
        <f t="shared" si="364"/>
        <v>49100000</v>
      </c>
      <c r="S3857" t="str">
        <f t="shared" si="365"/>
        <v>Strong</v>
      </c>
    </row>
    <row r="3858" spans="1:19" x14ac:dyDescent="0.25">
      <c r="A3858">
        <v>3857</v>
      </c>
      <c r="B3858">
        <v>2</v>
      </c>
      <c r="C3858" t="s">
        <v>30</v>
      </c>
      <c r="D3858" t="s">
        <v>33</v>
      </c>
      <c r="E3858">
        <v>1200000</v>
      </c>
      <c r="F3858">
        <v>4600000</v>
      </c>
      <c r="G3858">
        <v>20</v>
      </c>
      <c r="H3858">
        <v>605</v>
      </c>
      <c r="I3858">
        <v>3600000</v>
      </c>
      <c r="J3858">
        <v>1500000</v>
      </c>
      <c r="K3858">
        <v>4600000</v>
      </c>
      <c r="L3858">
        <v>600000</v>
      </c>
      <c r="M3858" t="s">
        <v>34</v>
      </c>
      <c r="N3858">
        <f t="shared" si="361"/>
        <v>1</v>
      </c>
      <c r="O3858" t="str">
        <f t="shared" si="360"/>
        <v>Low</v>
      </c>
      <c r="P3858" t="str">
        <f t="shared" si="362"/>
        <v>High</v>
      </c>
      <c r="Q3858" t="str">
        <f t="shared" si="363"/>
        <v>Low Loan</v>
      </c>
      <c r="R3858">
        <f t="shared" si="364"/>
        <v>10300000</v>
      </c>
      <c r="S3858" t="str">
        <f t="shared" si="365"/>
        <v>Strong</v>
      </c>
    </row>
    <row r="3859" spans="1:19" x14ac:dyDescent="0.25">
      <c r="A3859">
        <v>3858</v>
      </c>
      <c r="B3859">
        <v>4</v>
      </c>
      <c r="C3859" t="s">
        <v>30</v>
      </c>
      <c r="D3859" t="s">
        <v>33</v>
      </c>
      <c r="E3859">
        <v>2800000</v>
      </c>
      <c r="F3859">
        <v>5500000</v>
      </c>
      <c r="G3859">
        <v>8</v>
      </c>
      <c r="H3859">
        <v>875</v>
      </c>
      <c r="I3859">
        <v>6900000</v>
      </c>
      <c r="J3859">
        <v>4000000</v>
      </c>
      <c r="K3859">
        <v>6000000</v>
      </c>
      <c r="L3859">
        <v>3300000</v>
      </c>
      <c r="M3859" t="s">
        <v>34</v>
      </c>
      <c r="N3859">
        <f t="shared" si="361"/>
        <v>1</v>
      </c>
      <c r="O3859" t="str">
        <f t="shared" si="360"/>
        <v>Excellent</v>
      </c>
      <c r="P3859" t="str">
        <f t="shared" si="362"/>
        <v>High</v>
      </c>
      <c r="Q3859" t="str">
        <f t="shared" si="363"/>
        <v>Low Loan</v>
      </c>
      <c r="R3859">
        <f t="shared" si="364"/>
        <v>20200000</v>
      </c>
      <c r="S3859" t="str">
        <f t="shared" si="365"/>
        <v>Strong</v>
      </c>
    </row>
    <row r="3860" spans="1:19" x14ac:dyDescent="0.25">
      <c r="A3860">
        <v>3859</v>
      </c>
      <c r="B3860">
        <v>5</v>
      </c>
      <c r="C3860" t="s">
        <v>30</v>
      </c>
      <c r="D3860" t="s">
        <v>33</v>
      </c>
      <c r="E3860">
        <v>2800000</v>
      </c>
      <c r="F3860">
        <v>10900000</v>
      </c>
      <c r="G3860">
        <v>6</v>
      </c>
      <c r="H3860">
        <v>359</v>
      </c>
      <c r="I3860">
        <v>5000000</v>
      </c>
      <c r="J3860">
        <v>3300000</v>
      </c>
      <c r="K3860">
        <v>7600000</v>
      </c>
      <c r="L3860">
        <v>3000000</v>
      </c>
      <c r="M3860" t="s">
        <v>35</v>
      </c>
      <c r="N3860">
        <f t="shared" si="361"/>
        <v>0</v>
      </c>
      <c r="O3860" t="str">
        <f t="shared" si="360"/>
        <v>Low</v>
      </c>
      <c r="P3860" t="str">
        <f t="shared" si="362"/>
        <v>High</v>
      </c>
      <c r="Q3860" t="str">
        <f t="shared" si="363"/>
        <v>Low Loan</v>
      </c>
      <c r="R3860">
        <f t="shared" si="364"/>
        <v>18900000</v>
      </c>
      <c r="S3860" t="str">
        <f t="shared" si="365"/>
        <v>Strong</v>
      </c>
    </row>
    <row r="3861" spans="1:19" x14ac:dyDescent="0.25">
      <c r="A3861">
        <v>3860</v>
      </c>
      <c r="B3861">
        <v>5</v>
      </c>
      <c r="C3861" t="s">
        <v>30</v>
      </c>
      <c r="D3861" t="s">
        <v>33</v>
      </c>
      <c r="E3861">
        <v>6500000</v>
      </c>
      <c r="F3861">
        <v>24100000</v>
      </c>
      <c r="G3861">
        <v>6</v>
      </c>
      <c r="H3861">
        <v>441</v>
      </c>
      <c r="I3861">
        <v>14100000</v>
      </c>
      <c r="J3861">
        <v>9600000</v>
      </c>
      <c r="K3861">
        <v>15300000</v>
      </c>
      <c r="L3861">
        <v>5200000</v>
      </c>
      <c r="M3861" t="s">
        <v>35</v>
      </c>
      <c r="N3861">
        <f t="shared" si="361"/>
        <v>0</v>
      </c>
      <c r="O3861" t="str">
        <f t="shared" si="360"/>
        <v>Low</v>
      </c>
      <c r="P3861" t="str">
        <f t="shared" si="362"/>
        <v>High</v>
      </c>
      <c r="Q3861" t="str">
        <f t="shared" si="363"/>
        <v>High Loan</v>
      </c>
      <c r="R3861">
        <f t="shared" si="364"/>
        <v>44200000</v>
      </c>
      <c r="S3861" t="str">
        <f t="shared" si="365"/>
        <v>Strong</v>
      </c>
    </row>
    <row r="3862" spans="1:19" x14ac:dyDescent="0.25">
      <c r="A3862">
        <v>3861</v>
      </c>
      <c r="B3862">
        <v>4</v>
      </c>
      <c r="C3862" t="s">
        <v>30</v>
      </c>
      <c r="D3862" t="s">
        <v>32</v>
      </c>
      <c r="E3862">
        <v>8700000</v>
      </c>
      <c r="F3862">
        <v>25200000</v>
      </c>
      <c r="G3862">
        <v>18</v>
      </c>
      <c r="H3862">
        <v>790</v>
      </c>
      <c r="I3862">
        <v>25000000</v>
      </c>
      <c r="J3862">
        <v>9100000</v>
      </c>
      <c r="K3862">
        <v>18400000</v>
      </c>
      <c r="L3862">
        <v>8400000</v>
      </c>
      <c r="M3862" t="s">
        <v>34</v>
      </c>
      <c r="N3862">
        <f t="shared" si="361"/>
        <v>1</v>
      </c>
      <c r="O3862" t="str">
        <f t="shared" si="360"/>
        <v>Excellent</v>
      </c>
      <c r="P3862" t="str">
        <f t="shared" si="362"/>
        <v>High</v>
      </c>
      <c r="Q3862" t="str">
        <f t="shared" si="363"/>
        <v>High Loan</v>
      </c>
      <c r="R3862">
        <f t="shared" si="364"/>
        <v>60900000</v>
      </c>
      <c r="S3862" t="str">
        <f t="shared" si="365"/>
        <v>Strong</v>
      </c>
    </row>
    <row r="3863" spans="1:19" x14ac:dyDescent="0.25">
      <c r="A3863">
        <v>3862</v>
      </c>
      <c r="B3863">
        <v>1</v>
      </c>
      <c r="C3863" t="s">
        <v>31</v>
      </c>
      <c r="D3863" t="s">
        <v>33</v>
      </c>
      <c r="E3863">
        <v>5400000</v>
      </c>
      <c r="F3863">
        <v>13600000</v>
      </c>
      <c r="G3863">
        <v>4</v>
      </c>
      <c r="H3863">
        <v>821</v>
      </c>
      <c r="I3863">
        <v>11600000</v>
      </c>
      <c r="J3863">
        <v>8700000</v>
      </c>
      <c r="K3863">
        <v>19900000</v>
      </c>
      <c r="L3863">
        <v>5600000</v>
      </c>
      <c r="M3863" t="s">
        <v>34</v>
      </c>
      <c r="N3863">
        <f t="shared" si="361"/>
        <v>1</v>
      </c>
      <c r="O3863" t="str">
        <f t="shared" si="360"/>
        <v>Excellent</v>
      </c>
      <c r="P3863" t="str">
        <f t="shared" si="362"/>
        <v>High</v>
      </c>
      <c r="Q3863" t="str">
        <f t="shared" si="363"/>
        <v>Low Loan</v>
      </c>
      <c r="R3863">
        <f t="shared" si="364"/>
        <v>45800000</v>
      </c>
      <c r="S3863" t="str">
        <f t="shared" si="365"/>
        <v>Strong</v>
      </c>
    </row>
    <row r="3864" spans="1:19" x14ac:dyDescent="0.25">
      <c r="A3864">
        <v>3863</v>
      </c>
      <c r="B3864">
        <v>2</v>
      </c>
      <c r="C3864" t="s">
        <v>31</v>
      </c>
      <c r="D3864" t="s">
        <v>32</v>
      </c>
      <c r="E3864">
        <v>8600000</v>
      </c>
      <c r="F3864">
        <v>33300000</v>
      </c>
      <c r="G3864">
        <v>16</v>
      </c>
      <c r="H3864">
        <v>375</v>
      </c>
      <c r="I3864">
        <v>19600000</v>
      </c>
      <c r="J3864">
        <v>11200000</v>
      </c>
      <c r="K3864">
        <v>25500000</v>
      </c>
      <c r="L3864">
        <v>11200000</v>
      </c>
      <c r="M3864" t="s">
        <v>35</v>
      </c>
      <c r="N3864">
        <f t="shared" si="361"/>
        <v>0</v>
      </c>
      <c r="O3864" t="str">
        <f t="shared" si="360"/>
        <v>Low</v>
      </c>
      <c r="P3864" t="str">
        <f t="shared" si="362"/>
        <v>High</v>
      </c>
      <c r="Q3864" t="str">
        <f t="shared" si="363"/>
        <v>High Loan</v>
      </c>
      <c r="R3864">
        <f t="shared" si="364"/>
        <v>67500000</v>
      </c>
      <c r="S3864" t="str">
        <f t="shared" si="365"/>
        <v>Strong</v>
      </c>
    </row>
    <row r="3865" spans="1:19" x14ac:dyDescent="0.25">
      <c r="A3865">
        <v>3864</v>
      </c>
      <c r="B3865">
        <v>3</v>
      </c>
      <c r="C3865" t="s">
        <v>30</v>
      </c>
      <c r="D3865" t="s">
        <v>32</v>
      </c>
      <c r="E3865">
        <v>4700000</v>
      </c>
      <c r="F3865">
        <v>9600000</v>
      </c>
      <c r="G3865">
        <v>10</v>
      </c>
      <c r="H3865">
        <v>545</v>
      </c>
      <c r="I3865">
        <v>5200000</v>
      </c>
      <c r="J3865">
        <v>7200000</v>
      </c>
      <c r="K3865">
        <v>12000000</v>
      </c>
      <c r="L3865">
        <v>5300000</v>
      </c>
      <c r="M3865" t="s">
        <v>35</v>
      </c>
      <c r="N3865">
        <f t="shared" si="361"/>
        <v>0</v>
      </c>
      <c r="O3865" t="str">
        <f t="shared" si="360"/>
        <v>Low</v>
      </c>
      <c r="P3865" t="str">
        <f t="shared" si="362"/>
        <v>High</v>
      </c>
      <c r="Q3865" t="str">
        <f t="shared" si="363"/>
        <v>Low Loan</v>
      </c>
      <c r="R3865">
        <f t="shared" si="364"/>
        <v>29700000</v>
      </c>
      <c r="S3865" t="str">
        <f t="shared" si="365"/>
        <v>Strong</v>
      </c>
    </row>
    <row r="3866" spans="1:19" x14ac:dyDescent="0.25">
      <c r="A3866">
        <v>3865</v>
      </c>
      <c r="B3866">
        <v>5</v>
      </c>
      <c r="C3866" t="s">
        <v>31</v>
      </c>
      <c r="D3866" t="s">
        <v>33</v>
      </c>
      <c r="E3866">
        <v>1100000</v>
      </c>
      <c r="F3866">
        <v>3900000</v>
      </c>
      <c r="G3866">
        <v>4</v>
      </c>
      <c r="H3866">
        <v>891</v>
      </c>
      <c r="I3866">
        <v>1100000</v>
      </c>
      <c r="J3866">
        <v>200000</v>
      </c>
      <c r="K3866">
        <v>3400000</v>
      </c>
      <c r="L3866">
        <v>900000</v>
      </c>
      <c r="M3866" t="s">
        <v>34</v>
      </c>
      <c r="N3866">
        <f t="shared" si="361"/>
        <v>1</v>
      </c>
      <c r="O3866" t="str">
        <f t="shared" si="360"/>
        <v>Excellent</v>
      </c>
      <c r="P3866" t="str">
        <f t="shared" si="362"/>
        <v>High</v>
      </c>
      <c r="Q3866" t="str">
        <f t="shared" si="363"/>
        <v>Low Loan</v>
      </c>
      <c r="R3866">
        <f t="shared" si="364"/>
        <v>5600000</v>
      </c>
      <c r="S3866" t="str">
        <f t="shared" si="365"/>
        <v>Moderate</v>
      </c>
    </row>
    <row r="3867" spans="1:19" x14ac:dyDescent="0.25">
      <c r="A3867">
        <v>3866</v>
      </c>
      <c r="B3867">
        <v>0</v>
      </c>
      <c r="C3867" t="s">
        <v>30</v>
      </c>
      <c r="D3867" t="s">
        <v>32</v>
      </c>
      <c r="E3867">
        <v>6400000</v>
      </c>
      <c r="F3867">
        <v>14000000</v>
      </c>
      <c r="G3867">
        <v>8</v>
      </c>
      <c r="H3867">
        <v>486</v>
      </c>
      <c r="I3867">
        <v>5100000</v>
      </c>
      <c r="J3867">
        <v>12700000</v>
      </c>
      <c r="K3867">
        <v>23900000</v>
      </c>
      <c r="L3867">
        <v>3700000</v>
      </c>
      <c r="M3867" t="s">
        <v>35</v>
      </c>
      <c r="N3867">
        <f t="shared" si="361"/>
        <v>0</v>
      </c>
      <c r="O3867" t="str">
        <f t="shared" si="360"/>
        <v>Low</v>
      </c>
      <c r="P3867" t="str">
        <f t="shared" si="362"/>
        <v>High</v>
      </c>
      <c r="Q3867" t="str">
        <f t="shared" si="363"/>
        <v>Low Loan</v>
      </c>
      <c r="R3867">
        <f t="shared" si="364"/>
        <v>45400000</v>
      </c>
      <c r="S3867" t="str">
        <f t="shared" si="365"/>
        <v>Strong</v>
      </c>
    </row>
    <row r="3868" spans="1:19" x14ac:dyDescent="0.25">
      <c r="A3868">
        <v>3867</v>
      </c>
      <c r="B3868">
        <v>0</v>
      </c>
      <c r="C3868" t="s">
        <v>30</v>
      </c>
      <c r="D3868" t="s">
        <v>32</v>
      </c>
      <c r="E3868">
        <v>4300000</v>
      </c>
      <c r="F3868">
        <v>9900000</v>
      </c>
      <c r="G3868">
        <v>4</v>
      </c>
      <c r="H3868">
        <v>696</v>
      </c>
      <c r="I3868">
        <v>12400000</v>
      </c>
      <c r="J3868">
        <v>2100000</v>
      </c>
      <c r="K3868">
        <v>17000000</v>
      </c>
      <c r="L3868">
        <v>2100000</v>
      </c>
      <c r="M3868" t="s">
        <v>34</v>
      </c>
      <c r="N3868">
        <f t="shared" si="361"/>
        <v>1</v>
      </c>
      <c r="O3868" t="str">
        <f t="shared" si="360"/>
        <v>Medium</v>
      </c>
      <c r="P3868" t="str">
        <f t="shared" si="362"/>
        <v>High</v>
      </c>
      <c r="Q3868" t="str">
        <f t="shared" si="363"/>
        <v>Low Loan</v>
      </c>
      <c r="R3868">
        <f t="shared" si="364"/>
        <v>33600000</v>
      </c>
      <c r="S3868" t="str">
        <f t="shared" si="365"/>
        <v>Strong</v>
      </c>
    </row>
    <row r="3869" spans="1:19" x14ac:dyDescent="0.25">
      <c r="A3869">
        <v>3868</v>
      </c>
      <c r="B3869">
        <v>5</v>
      </c>
      <c r="C3869" t="s">
        <v>31</v>
      </c>
      <c r="D3869" t="s">
        <v>33</v>
      </c>
      <c r="E3869">
        <v>2900000</v>
      </c>
      <c r="F3869">
        <v>11100000</v>
      </c>
      <c r="G3869">
        <v>4</v>
      </c>
      <c r="H3869">
        <v>683</v>
      </c>
      <c r="I3869">
        <v>1700000</v>
      </c>
      <c r="J3869">
        <v>3900000</v>
      </c>
      <c r="K3869">
        <v>9400000</v>
      </c>
      <c r="L3869">
        <v>3300000</v>
      </c>
      <c r="M3869" t="s">
        <v>34</v>
      </c>
      <c r="N3869">
        <f t="shared" si="361"/>
        <v>1</v>
      </c>
      <c r="O3869" t="str">
        <f t="shared" si="360"/>
        <v>Medium</v>
      </c>
      <c r="P3869" t="str">
        <f t="shared" si="362"/>
        <v>High</v>
      </c>
      <c r="Q3869" t="str">
        <f t="shared" si="363"/>
        <v>Low Loan</v>
      </c>
      <c r="R3869">
        <f t="shared" si="364"/>
        <v>18300000</v>
      </c>
      <c r="S3869" t="str">
        <f t="shared" si="365"/>
        <v>Strong</v>
      </c>
    </row>
    <row r="3870" spans="1:19" x14ac:dyDescent="0.25">
      <c r="A3870">
        <v>3869</v>
      </c>
      <c r="B3870">
        <v>5</v>
      </c>
      <c r="C3870" t="s">
        <v>31</v>
      </c>
      <c r="D3870" t="s">
        <v>32</v>
      </c>
      <c r="E3870">
        <v>9600000</v>
      </c>
      <c r="F3870">
        <v>27100000</v>
      </c>
      <c r="G3870">
        <v>8</v>
      </c>
      <c r="H3870">
        <v>594</v>
      </c>
      <c r="I3870">
        <v>25500000</v>
      </c>
      <c r="J3870">
        <v>4600000</v>
      </c>
      <c r="K3870">
        <v>26800000</v>
      </c>
      <c r="L3870">
        <v>13300000</v>
      </c>
      <c r="M3870" t="s">
        <v>34</v>
      </c>
      <c r="N3870">
        <f t="shared" si="361"/>
        <v>1</v>
      </c>
      <c r="O3870" t="str">
        <f t="shared" si="360"/>
        <v>Low</v>
      </c>
      <c r="P3870" t="str">
        <f t="shared" si="362"/>
        <v>High</v>
      </c>
      <c r="Q3870" t="str">
        <f t="shared" si="363"/>
        <v>High Loan</v>
      </c>
      <c r="R3870">
        <f t="shared" si="364"/>
        <v>70200000</v>
      </c>
      <c r="S3870" t="str">
        <f t="shared" si="365"/>
        <v>Strong</v>
      </c>
    </row>
    <row r="3871" spans="1:19" x14ac:dyDescent="0.25">
      <c r="A3871">
        <v>3870</v>
      </c>
      <c r="B3871">
        <v>3</v>
      </c>
      <c r="C3871" t="s">
        <v>31</v>
      </c>
      <c r="D3871" t="s">
        <v>33</v>
      </c>
      <c r="E3871">
        <v>900000</v>
      </c>
      <c r="F3871">
        <v>2500000</v>
      </c>
      <c r="G3871">
        <v>20</v>
      </c>
      <c r="H3871">
        <v>529</v>
      </c>
      <c r="I3871">
        <v>900000</v>
      </c>
      <c r="J3871">
        <v>300000</v>
      </c>
      <c r="K3871">
        <v>3200000</v>
      </c>
      <c r="L3871">
        <v>700000</v>
      </c>
      <c r="M3871" t="s">
        <v>35</v>
      </c>
      <c r="N3871">
        <f t="shared" si="361"/>
        <v>0</v>
      </c>
      <c r="O3871" t="str">
        <f t="shared" si="360"/>
        <v>Low</v>
      </c>
      <c r="P3871" t="str">
        <f t="shared" si="362"/>
        <v>High</v>
      </c>
      <c r="Q3871" t="str">
        <f t="shared" si="363"/>
        <v>Low Loan</v>
      </c>
      <c r="R3871">
        <f t="shared" si="364"/>
        <v>5100000</v>
      </c>
      <c r="S3871" t="str">
        <f t="shared" si="365"/>
        <v>Moderate</v>
      </c>
    </row>
    <row r="3872" spans="1:19" x14ac:dyDescent="0.25">
      <c r="A3872">
        <v>3871</v>
      </c>
      <c r="B3872">
        <v>5</v>
      </c>
      <c r="C3872" t="s">
        <v>31</v>
      </c>
      <c r="D3872" t="s">
        <v>32</v>
      </c>
      <c r="E3872">
        <v>8100000</v>
      </c>
      <c r="F3872">
        <v>26300000</v>
      </c>
      <c r="G3872">
        <v>4</v>
      </c>
      <c r="H3872">
        <v>429</v>
      </c>
      <c r="I3872">
        <v>3600000</v>
      </c>
      <c r="J3872">
        <v>8500000</v>
      </c>
      <c r="K3872">
        <v>22200000</v>
      </c>
      <c r="L3872">
        <v>6900000</v>
      </c>
      <c r="M3872" t="s">
        <v>34</v>
      </c>
      <c r="N3872">
        <f t="shared" si="361"/>
        <v>1</v>
      </c>
      <c r="O3872" t="str">
        <f t="shared" si="360"/>
        <v>Low</v>
      </c>
      <c r="P3872" t="str">
        <f t="shared" si="362"/>
        <v>High</v>
      </c>
      <c r="Q3872" t="str">
        <f t="shared" si="363"/>
        <v>High Loan</v>
      </c>
      <c r="R3872">
        <f t="shared" si="364"/>
        <v>41200000</v>
      </c>
      <c r="S3872" t="str">
        <f t="shared" si="365"/>
        <v>Strong</v>
      </c>
    </row>
    <row r="3873" spans="1:19" x14ac:dyDescent="0.25">
      <c r="A3873">
        <v>3872</v>
      </c>
      <c r="B3873">
        <v>0</v>
      </c>
      <c r="C3873" t="s">
        <v>31</v>
      </c>
      <c r="D3873" t="s">
        <v>33</v>
      </c>
      <c r="E3873">
        <v>8800000</v>
      </c>
      <c r="F3873">
        <v>25000000</v>
      </c>
      <c r="G3873">
        <v>4</v>
      </c>
      <c r="H3873">
        <v>400</v>
      </c>
      <c r="I3873">
        <v>11300000</v>
      </c>
      <c r="J3873">
        <v>4000000</v>
      </c>
      <c r="K3873">
        <v>23600000</v>
      </c>
      <c r="L3873">
        <v>9400000</v>
      </c>
      <c r="M3873" t="s">
        <v>35</v>
      </c>
      <c r="N3873">
        <f t="shared" si="361"/>
        <v>0</v>
      </c>
      <c r="O3873" t="str">
        <f t="shared" si="360"/>
        <v>Low</v>
      </c>
      <c r="P3873" t="str">
        <f t="shared" si="362"/>
        <v>High</v>
      </c>
      <c r="Q3873" t="str">
        <f t="shared" si="363"/>
        <v>High Loan</v>
      </c>
      <c r="R3873">
        <f t="shared" si="364"/>
        <v>48300000</v>
      </c>
      <c r="S3873" t="str">
        <f t="shared" si="365"/>
        <v>Strong</v>
      </c>
    </row>
    <row r="3874" spans="1:19" x14ac:dyDescent="0.25">
      <c r="A3874">
        <v>3873</v>
      </c>
      <c r="B3874">
        <v>0</v>
      </c>
      <c r="C3874" t="s">
        <v>30</v>
      </c>
      <c r="D3874" t="s">
        <v>32</v>
      </c>
      <c r="E3874">
        <v>8800000</v>
      </c>
      <c r="F3874">
        <v>17500000</v>
      </c>
      <c r="G3874">
        <v>4</v>
      </c>
      <c r="H3874">
        <v>848</v>
      </c>
      <c r="I3874">
        <v>25400000</v>
      </c>
      <c r="J3874">
        <v>8200000</v>
      </c>
      <c r="K3874">
        <v>31600000</v>
      </c>
      <c r="L3874">
        <v>5100000</v>
      </c>
      <c r="M3874" t="s">
        <v>34</v>
      </c>
      <c r="N3874">
        <f t="shared" si="361"/>
        <v>1</v>
      </c>
      <c r="O3874" t="str">
        <f t="shared" si="360"/>
        <v>Excellent</v>
      </c>
      <c r="P3874" t="str">
        <f t="shared" si="362"/>
        <v>High</v>
      </c>
      <c r="Q3874" t="str">
        <f t="shared" si="363"/>
        <v>Low Loan</v>
      </c>
      <c r="R3874">
        <f t="shared" si="364"/>
        <v>70300000</v>
      </c>
      <c r="S3874" t="str">
        <f t="shared" si="365"/>
        <v>Strong</v>
      </c>
    </row>
    <row r="3875" spans="1:19" x14ac:dyDescent="0.25">
      <c r="A3875">
        <v>3874</v>
      </c>
      <c r="B3875">
        <v>1</v>
      </c>
      <c r="C3875" t="s">
        <v>31</v>
      </c>
      <c r="D3875" t="s">
        <v>32</v>
      </c>
      <c r="E3875">
        <v>6400000</v>
      </c>
      <c r="F3875">
        <v>21500000</v>
      </c>
      <c r="G3875">
        <v>6</v>
      </c>
      <c r="H3875">
        <v>489</v>
      </c>
      <c r="I3875">
        <v>1600000</v>
      </c>
      <c r="J3875">
        <v>4600000</v>
      </c>
      <c r="K3875">
        <v>17600000</v>
      </c>
      <c r="L3875">
        <v>8900000</v>
      </c>
      <c r="M3875" t="s">
        <v>35</v>
      </c>
      <c r="N3875">
        <f t="shared" si="361"/>
        <v>0</v>
      </c>
      <c r="O3875" t="str">
        <f t="shared" si="360"/>
        <v>Low</v>
      </c>
      <c r="P3875" t="str">
        <f t="shared" si="362"/>
        <v>High</v>
      </c>
      <c r="Q3875" t="str">
        <f t="shared" si="363"/>
        <v>High Loan</v>
      </c>
      <c r="R3875">
        <f t="shared" si="364"/>
        <v>32700000</v>
      </c>
      <c r="S3875" t="str">
        <f t="shared" si="365"/>
        <v>Strong</v>
      </c>
    </row>
    <row r="3876" spans="1:19" x14ac:dyDescent="0.25">
      <c r="A3876">
        <v>3875</v>
      </c>
      <c r="B3876">
        <v>2</v>
      </c>
      <c r="C3876" t="s">
        <v>30</v>
      </c>
      <c r="D3876" t="s">
        <v>32</v>
      </c>
      <c r="E3876">
        <v>2900000</v>
      </c>
      <c r="F3876">
        <v>6600000</v>
      </c>
      <c r="G3876">
        <v>10</v>
      </c>
      <c r="H3876">
        <v>326</v>
      </c>
      <c r="I3876">
        <v>8600000</v>
      </c>
      <c r="J3876">
        <v>2200000</v>
      </c>
      <c r="K3876">
        <v>7400000</v>
      </c>
      <c r="L3876">
        <v>3400000</v>
      </c>
      <c r="M3876" t="s">
        <v>35</v>
      </c>
      <c r="N3876">
        <f t="shared" si="361"/>
        <v>0</v>
      </c>
      <c r="O3876" t="str">
        <f t="shared" si="360"/>
        <v>Low</v>
      </c>
      <c r="P3876" t="str">
        <f t="shared" si="362"/>
        <v>High</v>
      </c>
      <c r="Q3876" t="str">
        <f t="shared" si="363"/>
        <v>Low Loan</v>
      </c>
      <c r="R3876">
        <f t="shared" si="364"/>
        <v>21600000</v>
      </c>
      <c r="S3876" t="str">
        <f t="shared" si="365"/>
        <v>Strong</v>
      </c>
    </row>
    <row r="3877" spans="1:19" x14ac:dyDescent="0.25">
      <c r="A3877">
        <v>3876</v>
      </c>
      <c r="B3877">
        <v>5</v>
      </c>
      <c r="C3877" t="s">
        <v>30</v>
      </c>
      <c r="D3877" t="s">
        <v>32</v>
      </c>
      <c r="E3877">
        <v>1600000</v>
      </c>
      <c r="F3877">
        <v>6100000</v>
      </c>
      <c r="G3877">
        <v>8</v>
      </c>
      <c r="H3877">
        <v>663</v>
      </c>
      <c r="I3877">
        <v>3900000</v>
      </c>
      <c r="J3877">
        <v>800000</v>
      </c>
      <c r="K3877">
        <v>6400000</v>
      </c>
      <c r="L3877">
        <v>1200000</v>
      </c>
      <c r="M3877" t="s">
        <v>34</v>
      </c>
      <c r="N3877">
        <f t="shared" si="361"/>
        <v>1</v>
      </c>
      <c r="O3877" t="str">
        <f t="shared" si="360"/>
        <v>Medium</v>
      </c>
      <c r="P3877" t="str">
        <f t="shared" si="362"/>
        <v>High</v>
      </c>
      <c r="Q3877" t="str">
        <f t="shared" si="363"/>
        <v>Low Loan</v>
      </c>
      <c r="R3877">
        <f t="shared" si="364"/>
        <v>12300000</v>
      </c>
      <c r="S3877" t="str">
        <f t="shared" si="365"/>
        <v>Strong</v>
      </c>
    </row>
    <row r="3878" spans="1:19" x14ac:dyDescent="0.25">
      <c r="A3878">
        <v>3877</v>
      </c>
      <c r="B3878">
        <v>1</v>
      </c>
      <c r="C3878" t="s">
        <v>31</v>
      </c>
      <c r="D3878" t="s">
        <v>32</v>
      </c>
      <c r="E3878">
        <v>1600000</v>
      </c>
      <c r="F3878">
        <v>5100000</v>
      </c>
      <c r="G3878">
        <v>18</v>
      </c>
      <c r="H3878">
        <v>729</v>
      </c>
      <c r="I3878">
        <v>2500000</v>
      </c>
      <c r="J3878">
        <v>2000000</v>
      </c>
      <c r="K3878">
        <v>6200000</v>
      </c>
      <c r="L3878">
        <v>900000</v>
      </c>
      <c r="M3878" t="s">
        <v>34</v>
      </c>
      <c r="N3878">
        <f t="shared" si="361"/>
        <v>1</v>
      </c>
      <c r="O3878" t="str">
        <f t="shared" si="360"/>
        <v>Good</v>
      </c>
      <c r="P3878" t="str">
        <f t="shared" si="362"/>
        <v>High</v>
      </c>
      <c r="Q3878" t="str">
        <f t="shared" si="363"/>
        <v>Low Loan</v>
      </c>
      <c r="R3878">
        <f t="shared" si="364"/>
        <v>11600000</v>
      </c>
      <c r="S3878" t="str">
        <f t="shared" si="365"/>
        <v>Strong</v>
      </c>
    </row>
    <row r="3879" spans="1:19" x14ac:dyDescent="0.25">
      <c r="A3879">
        <v>3878</v>
      </c>
      <c r="B3879">
        <v>2</v>
      </c>
      <c r="C3879" t="s">
        <v>30</v>
      </c>
      <c r="D3879" t="s">
        <v>33</v>
      </c>
      <c r="E3879">
        <v>3100000</v>
      </c>
      <c r="F3879">
        <v>10700000</v>
      </c>
      <c r="G3879">
        <v>4</v>
      </c>
      <c r="H3879">
        <v>398</v>
      </c>
      <c r="I3879">
        <v>3100000</v>
      </c>
      <c r="J3879">
        <v>3000000</v>
      </c>
      <c r="K3879">
        <v>7400000</v>
      </c>
      <c r="L3879">
        <v>2000000</v>
      </c>
      <c r="M3879" t="s">
        <v>34</v>
      </c>
      <c r="N3879">
        <f t="shared" si="361"/>
        <v>1</v>
      </c>
      <c r="O3879" t="str">
        <f t="shared" si="360"/>
        <v>Low</v>
      </c>
      <c r="P3879" t="str">
        <f t="shared" si="362"/>
        <v>High</v>
      </c>
      <c r="Q3879" t="str">
        <f t="shared" si="363"/>
        <v>Low Loan</v>
      </c>
      <c r="R3879">
        <f t="shared" si="364"/>
        <v>15500000</v>
      </c>
      <c r="S3879" t="str">
        <f t="shared" si="365"/>
        <v>Strong</v>
      </c>
    </row>
    <row r="3880" spans="1:19" x14ac:dyDescent="0.25">
      <c r="A3880">
        <v>3879</v>
      </c>
      <c r="B3880">
        <v>2</v>
      </c>
      <c r="C3880" t="s">
        <v>31</v>
      </c>
      <c r="D3880" t="s">
        <v>33</v>
      </c>
      <c r="E3880">
        <v>5600000</v>
      </c>
      <c r="F3880">
        <v>16700000</v>
      </c>
      <c r="G3880">
        <v>14</v>
      </c>
      <c r="H3880">
        <v>856</v>
      </c>
      <c r="I3880">
        <v>400000</v>
      </c>
      <c r="J3880">
        <v>10200000</v>
      </c>
      <c r="K3880">
        <v>14700000</v>
      </c>
      <c r="L3880">
        <v>5200000</v>
      </c>
      <c r="M3880" t="s">
        <v>34</v>
      </c>
      <c r="N3880">
        <f t="shared" si="361"/>
        <v>1</v>
      </c>
      <c r="O3880" t="str">
        <f t="shared" si="360"/>
        <v>Excellent</v>
      </c>
      <c r="P3880" t="str">
        <f t="shared" si="362"/>
        <v>High</v>
      </c>
      <c r="Q3880" t="str">
        <f t="shared" si="363"/>
        <v>Low Loan</v>
      </c>
      <c r="R3880">
        <f t="shared" si="364"/>
        <v>30500000</v>
      </c>
      <c r="S3880" t="str">
        <f t="shared" si="365"/>
        <v>Strong</v>
      </c>
    </row>
    <row r="3881" spans="1:19" x14ac:dyDescent="0.25">
      <c r="A3881">
        <v>3880</v>
      </c>
      <c r="B3881">
        <v>3</v>
      </c>
      <c r="C3881" t="s">
        <v>30</v>
      </c>
      <c r="D3881" t="s">
        <v>33</v>
      </c>
      <c r="E3881">
        <v>8100000</v>
      </c>
      <c r="F3881">
        <v>19900000</v>
      </c>
      <c r="G3881">
        <v>20</v>
      </c>
      <c r="H3881">
        <v>347</v>
      </c>
      <c r="I3881">
        <v>22800000</v>
      </c>
      <c r="J3881">
        <v>14400000</v>
      </c>
      <c r="K3881">
        <v>29800000</v>
      </c>
      <c r="L3881">
        <v>5500000</v>
      </c>
      <c r="M3881" t="s">
        <v>35</v>
      </c>
      <c r="N3881">
        <f t="shared" si="361"/>
        <v>0</v>
      </c>
      <c r="O3881" t="str">
        <f t="shared" si="360"/>
        <v>Low</v>
      </c>
      <c r="P3881" t="str">
        <f t="shared" si="362"/>
        <v>High</v>
      </c>
      <c r="Q3881" t="str">
        <f t="shared" si="363"/>
        <v>Low Loan</v>
      </c>
      <c r="R3881">
        <f t="shared" si="364"/>
        <v>72500000</v>
      </c>
      <c r="S3881" t="str">
        <f t="shared" si="365"/>
        <v>Strong</v>
      </c>
    </row>
    <row r="3882" spans="1:19" x14ac:dyDescent="0.25">
      <c r="A3882">
        <v>3881</v>
      </c>
      <c r="B3882">
        <v>3</v>
      </c>
      <c r="C3882" t="s">
        <v>31</v>
      </c>
      <c r="D3882" t="s">
        <v>32</v>
      </c>
      <c r="E3882">
        <v>9100000</v>
      </c>
      <c r="F3882">
        <v>19300000</v>
      </c>
      <c r="G3882">
        <v>12</v>
      </c>
      <c r="H3882">
        <v>696</v>
      </c>
      <c r="I3882">
        <v>26200000</v>
      </c>
      <c r="J3882">
        <v>7700000</v>
      </c>
      <c r="K3882">
        <v>30100000</v>
      </c>
      <c r="L3882">
        <v>13300000</v>
      </c>
      <c r="M3882" t="s">
        <v>34</v>
      </c>
      <c r="N3882">
        <f t="shared" si="361"/>
        <v>1</v>
      </c>
      <c r="O3882" t="str">
        <f t="shared" si="360"/>
        <v>Medium</v>
      </c>
      <c r="P3882" t="str">
        <f t="shared" si="362"/>
        <v>High</v>
      </c>
      <c r="Q3882" t="str">
        <f t="shared" si="363"/>
        <v>Low Loan</v>
      </c>
      <c r="R3882">
        <f t="shared" si="364"/>
        <v>77300000</v>
      </c>
      <c r="S3882" t="str">
        <f t="shared" si="365"/>
        <v>Strong</v>
      </c>
    </row>
    <row r="3883" spans="1:19" x14ac:dyDescent="0.25">
      <c r="A3883">
        <v>3882</v>
      </c>
      <c r="B3883">
        <v>0</v>
      </c>
      <c r="C3883" t="s">
        <v>30</v>
      </c>
      <c r="D3883" t="s">
        <v>33</v>
      </c>
      <c r="E3883">
        <v>5500000</v>
      </c>
      <c r="F3883">
        <v>17100000</v>
      </c>
      <c r="G3883">
        <v>8</v>
      </c>
      <c r="H3883">
        <v>353</v>
      </c>
      <c r="I3883">
        <v>400000</v>
      </c>
      <c r="J3883">
        <v>200000</v>
      </c>
      <c r="K3883">
        <v>17100000</v>
      </c>
      <c r="L3883">
        <v>5200000</v>
      </c>
      <c r="M3883" t="s">
        <v>35</v>
      </c>
      <c r="N3883">
        <f t="shared" si="361"/>
        <v>0</v>
      </c>
      <c r="O3883" t="str">
        <f t="shared" si="360"/>
        <v>Low</v>
      </c>
      <c r="P3883" t="str">
        <f t="shared" si="362"/>
        <v>High</v>
      </c>
      <c r="Q3883" t="str">
        <f t="shared" si="363"/>
        <v>Low Loan</v>
      </c>
      <c r="R3883">
        <f t="shared" si="364"/>
        <v>22900000</v>
      </c>
      <c r="S3883" t="str">
        <f t="shared" si="365"/>
        <v>Strong</v>
      </c>
    </row>
    <row r="3884" spans="1:19" x14ac:dyDescent="0.25">
      <c r="A3884">
        <v>3883</v>
      </c>
      <c r="B3884">
        <v>1</v>
      </c>
      <c r="C3884" t="s">
        <v>30</v>
      </c>
      <c r="D3884" t="s">
        <v>33</v>
      </c>
      <c r="E3884">
        <v>9700000</v>
      </c>
      <c r="F3884">
        <v>34300000</v>
      </c>
      <c r="G3884">
        <v>20</v>
      </c>
      <c r="H3884">
        <v>756</v>
      </c>
      <c r="I3884">
        <v>15700000</v>
      </c>
      <c r="J3884">
        <v>18500000</v>
      </c>
      <c r="K3884">
        <v>26800000</v>
      </c>
      <c r="L3884">
        <v>14100000</v>
      </c>
      <c r="M3884" t="s">
        <v>34</v>
      </c>
      <c r="N3884">
        <f t="shared" si="361"/>
        <v>1</v>
      </c>
      <c r="O3884" t="str">
        <f t="shared" si="360"/>
        <v>Excellent</v>
      </c>
      <c r="P3884" t="str">
        <f t="shared" si="362"/>
        <v>High</v>
      </c>
      <c r="Q3884" t="str">
        <f t="shared" si="363"/>
        <v>High Loan</v>
      </c>
      <c r="R3884">
        <f t="shared" si="364"/>
        <v>75100000</v>
      </c>
      <c r="S3884" t="str">
        <f t="shared" si="365"/>
        <v>Strong</v>
      </c>
    </row>
    <row r="3885" spans="1:19" x14ac:dyDescent="0.25">
      <c r="A3885">
        <v>3884</v>
      </c>
      <c r="B3885">
        <v>4</v>
      </c>
      <c r="C3885" t="s">
        <v>30</v>
      </c>
      <c r="D3885" t="s">
        <v>32</v>
      </c>
      <c r="E3885">
        <v>2300000</v>
      </c>
      <c r="F3885">
        <v>5400000</v>
      </c>
      <c r="G3885">
        <v>16</v>
      </c>
      <c r="H3885">
        <v>490</v>
      </c>
      <c r="I3885">
        <v>6200000</v>
      </c>
      <c r="J3885">
        <v>3700000</v>
      </c>
      <c r="K3885">
        <v>5500000</v>
      </c>
      <c r="L3885">
        <v>2100000</v>
      </c>
      <c r="M3885" t="s">
        <v>35</v>
      </c>
      <c r="N3885">
        <f t="shared" si="361"/>
        <v>0</v>
      </c>
      <c r="O3885" t="str">
        <f t="shared" si="360"/>
        <v>Low</v>
      </c>
      <c r="P3885" t="str">
        <f t="shared" si="362"/>
        <v>High</v>
      </c>
      <c r="Q3885" t="str">
        <f t="shared" si="363"/>
        <v>Low Loan</v>
      </c>
      <c r="R3885">
        <f t="shared" si="364"/>
        <v>17500000</v>
      </c>
      <c r="S3885" t="str">
        <f t="shared" si="365"/>
        <v>Strong</v>
      </c>
    </row>
    <row r="3886" spans="1:19" x14ac:dyDescent="0.25">
      <c r="A3886">
        <v>3885</v>
      </c>
      <c r="B3886">
        <v>1</v>
      </c>
      <c r="C3886" t="s">
        <v>31</v>
      </c>
      <c r="D3886" t="s">
        <v>33</v>
      </c>
      <c r="E3886">
        <v>5600000</v>
      </c>
      <c r="F3886">
        <v>18000000</v>
      </c>
      <c r="G3886">
        <v>10</v>
      </c>
      <c r="H3886">
        <v>531</v>
      </c>
      <c r="I3886">
        <v>6500000</v>
      </c>
      <c r="J3886">
        <v>9000000</v>
      </c>
      <c r="K3886">
        <v>19800000</v>
      </c>
      <c r="L3886">
        <v>8400000</v>
      </c>
      <c r="M3886" t="s">
        <v>35</v>
      </c>
      <c r="N3886">
        <f t="shared" si="361"/>
        <v>0</v>
      </c>
      <c r="O3886" t="str">
        <f t="shared" si="360"/>
        <v>Low</v>
      </c>
      <c r="P3886" t="str">
        <f t="shared" si="362"/>
        <v>High</v>
      </c>
      <c r="Q3886" t="str">
        <f t="shared" si="363"/>
        <v>Low Loan</v>
      </c>
      <c r="R3886">
        <f t="shared" si="364"/>
        <v>43700000</v>
      </c>
      <c r="S3886" t="str">
        <f t="shared" si="365"/>
        <v>Strong</v>
      </c>
    </row>
    <row r="3887" spans="1:19" x14ac:dyDescent="0.25">
      <c r="A3887">
        <v>3886</v>
      </c>
      <c r="B3887">
        <v>2</v>
      </c>
      <c r="C3887" t="s">
        <v>31</v>
      </c>
      <c r="D3887" t="s">
        <v>33</v>
      </c>
      <c r="E3887">
        <v>4500000</v>
      </c>
      <c r="F3887">
        <v>16600000</v>
      </c>
      <c r="G3887">
        <v>4</v>
      </c>
      <c r="H3887">
        <v>679</v>
      </c>
      <c r="I3887">
        <v>10300000</v>
      </c>
      <c r="J3887">
        <v>3100000</v>
      </c>
      <c r="K3887">
        <v>11700000</v>
      </c>
      <c r="L3887">
        <v>5000000</v>
      </c>
      <c r="M3887" t="s">
        <v>34</v>
      </c>
      <c r="N3887">
        <f t="shared" si="361"/>
        <v>1</v>
      </c>
      <c r="O3887" t="str">
        <f t="shared" si="360"/>
        <v>Medium</v>
      </c>
      <c r="P3887" t="str">
        <f t="shared" si="362"/>
        <v>High</v>
      </c>
      <c r="Q3887" t="str">
        <f t="shared" si="363"/>
        <v>Low Loan</v>
      </c>
      <c r="R3887">
        <f t="shared" si="364"/>
        <v>30100000</v>
      </c>
      <c r="S3887" t="str">
        <f t="shared" si="365"/>
        <v>Strong</v>
      </c>
    </row>
    <row r="3888" spans="1:19" x14ac:dyDescent="0.25">
      <c r="A3888">
        <v>3887</v>
      </c>
      <c r="B3888">
        <v>1</v>
      </c>
      <c r="C3888" t="s">
        <v>30</v>
      </c>
      <c r="D3888" t="s">
        <v>33</v>
      </c>
      <c r="E3888">
        <v>500000</v>
      </c>
      <c r="F3888">
        <v>1800000</v>
      </c>
      <c r="G3888">
        <v>8</v>
      </c>
      <c r="H3888">
        <v>877</v>
      </c>
      <c r="I3888">
        <v>100000</v>
      </c>
      <c r="J3888">
        <v>200000</v>
      </c>
      <c r="K3888">
        <v>1100000</v>
      </c>
      <c r="L3888">
        <v>600000</v>
      </c>
      <c r="M3888" t="s">
        <v>34</v>
      </c>
      <c r="N3888">
        <f t="shared" si="361"/>
        <v>1</v>
      </c>
      <c r="O3888" t="str">
        <f t="shared" si="360"/>
        <v>Excellent</v>
      </c>
      <c r="P3888" t="str">
        <f t="shared" si="362"/>
        <v>Middle</v>
      </c>
      <c r="Q3888" t="str">
        <f t="shared" si="363"/>
        <v>Low Loan</v>
      </c>
      <c r="R3888">
        <f t="shared" si="364"/>
        <v>2000000</v>
      </c>
      <c r="S3888" t="str">
        <f t="shared" si="365"/>
        <v>Weak</v>
      </c>
    </row>
    <row r="3889" spans="1:19" x14ac:dyDescent="0.25">
      <c r="A3889">
        <v>3888</v>
      </c>
      <c r="B3889">
        <v>0</v>
      </c>
      <c r="C3889" t="s">
        <v>30</v>
      </c>
      <c r="D3889" t="s">
        <v>32</v>
      </c>
      <c r="E3889">
        <v>4200000</v>
      </c>
      <c r="F3889">
        <v>11000000</v>
      </c>
      <c r="G3889">
        <v>20</v>
      </c>
      <c r="H3889">
        <v>817</v>
      </c>
      <c r="I3889">
        <v>6700000</v>
      </c>
      <c r="J3889">
        <v>2400000</v>
      </c>
      <c r="K3889">
        <v>11700000</v>
      </c>
      <c r="L3889">
        <v>6100000</v>
      </c>
      <c r="M3889" t="s">
        <v>34</v>
      </c>
      <c r="N3889">
        <f t="shared" si="361"/>
        <v>1</v>
      </c>
      <c r="O3889" t="str">
        <f t="shared" si="360"/>
        <v>Excellent</v>
      </c>
      <c r="P3889" t="str">
        <f t="shared" si="362"/>
        <v>High</v>
      </c>
      <c r="Q3889" t="str">
        <f t="shared" si="363"/>
        <v>Low Loan</v>
      </c>
      <c r="R3889">
        <f t="shared" si="364"/>
        <v>26900000</v>
      </c>
      <c r="S3889" t="str">
        <f t="shared" si="365"/>
        <v>Strong</v>
      </c>
    </row>
    <row r="3890" spans="1:19" x14ac:dyDescent="0.25">
      <c r="A3890">
        <v>3889</v>
      </c>
      <c r="B3890">
        <v>1</v>
      </c>
      <c r="C3890" t="s">
        <v>31</v>
      </c>
      <c r="D3890" t="s">
        <v>32</v>
      </c>
      <c r="E3890">
        <v>9100000</v>
      </c>
      <c r="F3890">
        <v>23300000</v>
      </c>
      <c r="G3890">
        <v>18</v>
      </c>
      <c r="H3890">
        <v>792</v>
      </c>
      <c r="I3890">
        <v>800000</v>
      </c>
      <c r="J3890">
        <v>12600000</v>
      </c>
      <c r="K3890">
        <v>32100000</v>
      </c>
      <c r="L3890">
        <v>12400000</v>
      </c>
      <c r="M3890" t="s">
        <v>34</v>
      </c>
      <c r="N3890">
        <f t="shared" si="361"/>
        <v>1</v>
      </c>
      <c r="O3890" t="str">
        <f t="shared" si="360"/>
        <v>Excellent</v>
      </c>
      <c r="P3890" t="str">
        <f t="shared" si="362"/>
        <v>High</v>
      </c>
      <c r="Q3890" t="str">
        <f t="shared" si="363"/>
        <v>High Loan</v>
      </c>
      <c r="R3890">
        <f t="shared" si="364"/>
        <v>57900000</v>
      </c>
      <c r="S3890" t="str">
        <f t="shared" si="365"/>
        <v>Strong</v>
      </c>
    </row>
    <row r="3891" spans="1:19" x14ac:dyDescent="0.25">
      <c r="A3891">
        <v>3890</v>
      </c>
      <c r="B3891">
        <v>4</v>
      </c>
      <c r="C3891" t="s">
        <v>30</v>
      </c>
      <c r="D3891" t="s">
        <v>33</v>
      </c>
      <c r="E3891">
        <v>3200000</v>
      </c>
      <c r="F3891">
        <v>12800000</v>
      </c>
      <c r="G3891">
        <v>18</v>
      </c>
      <c r="H3891">
        <v>664</v>
      </c>
      <c r="I3891">
        <v>6300000</v>
      </c>
      <c r="J3891">
        <v>3400000</v>
      </c>
      <c r="K3891">
        <v>7600000</v>
      </c>
      <c r="L3891">
        <v>2100000</v>
      </c>
      <c r="M3891" t="s">
        <v>34</v>
      </c>
      <c r="N3891">
        <f t="shared" si="361"/>
        <v>1</v>
      </c>
      <c r="O3891" t="str">
        <f t="shared" si="360"/>
        <v>Medium</v>
      </c>
      <c r="P3891" t="str">
        <f t="shared" si="362"/>
        <v>High</v>
      </c>
      <c r="Q3891" t="str">
        <f t="shared" si="363"/>
        <v>Low Loan</v>
      </c>
      <c r="R3891">
        <f t="shared" si="364"/>
        <v>19400000</v>
      </c>
      <c r="S3891" t="str">
        <f t="shared" si="365"/>
        <v>Strong</v>
      </c>
    </row>
    <row r="3892" spans="1:19" x14ac:dyDescent="0.25">
      <c r="A3892">
        <v>3891</v>
      </c>
      <c r="B3892">
        <v>4</v>
      </c>
      <c r="C3892" t="s">
        <v>30</v>
      </c>
      <c r="D3892" t="s">
        <v>33</v>
      </c>
      <c r="E3892">
        <v>6200000</v>
      </c>
      <c r="F3892">
        <v>21300000</v>
      </c>
      <c r="G3892">
        <v>16</v>
      </c>
      <c r="H3892">
        <v>882</v>
      </c>
      <c r="I3892">
        <v>11800000</v>
      </c>
      <c r="J3892">
        <v>3500000</v>
      </c>
      <c r="K3892">
        <v>12900000</v>
      </c>
      <c r="L3892">
        <v>4100000</v>
      </c>
      <c r="M3892" t="s">
        <v>34</v>
      </c>
      <c r="N3892">
        <f t="shared" si="361"/>
        <v>1</v>
      </c>
      <c r="O3892" t="str">
        <f t="shared" si="360"/>
        <v>Excellent</v>
      </c>
      <c r="P3892" t="str">
        <f t="shared" si="362"/>
        <v>High</v>
      </c>
      <c r="Q3892" t="str">
        <f t="shared" si="363"/>
        <v>High Loan</v>
      </c>
      <c r="R3892">
        <f t="shared" si="364"/>
        <v>32300000</v>
      </c>
      <c r="S3892" t="str">
        <f t="shared" si="365"/>
        <v>Strong</v>
      </c>
    </row>
    <row r="3893" spans="1:19" x14ac:dyDescent="0.25">
      <c r="A3893">
        <v>3892</v>
      </c>
      <c r="B3893">
        <v>3</v>
      </c>
      <c r="C3893" t="s">
        <v>31</v>
      </c>
      <c r="D3893" t="s">
        <v>33</v>
      </c>
      <c r="E3893">
        <v>2500000</v>
      </c>
      <c r="F3893">
        <v>7700000</v>
      </c>
      <c r="G3893">
        <v>10</v>
      </c>
      <c r="H3893">
        <v>768</v>
      </c>
      <c r="I3893">
        <v>4500000</v>
      </c>
      <c r="J3893">
        <v>400000</v>
      </c>
      <c r="K3893">
        <v>8000000</v>
      </c>
      <c r="L3893">
        <v>2600000</v>
      </c>
      <c r="M3893" t="s">
        <v>34</v>
      </c>
      <c r="N3893">
        <f t="shared" si="361"/>
        <v>1</v>
      </c>
      <c r="O3893" t="str">
        <f t="shared" si="360"/>
        <v>Excellent</v>
      </c>
      <c r="P3893" t="str">
        <f t="shared" si="362"/>
        <v>High</v>
      </c>
      <c r="Q3893" t="str">
        <f t="shared" si="363"/>
        <v>Low Loan</v>
      </c>
      <c r="R3893">
        <f t="shared" si="364"/>
        <v>15500000</v>
      </c>
      <c r="S3893" t="str">
        <f t="shared" si="365"/>
        <v>Strong</v>
      </c>
    </row>
    <row r="3894" spans="1:19" x14ac:dyDescent="0.25">
      <c r="A3894">
        <v>3893</v>
      </c>
      <c r="B3894">
        <v>0</v>
      </c>
      <c r="C3894" t="s">
        <v>30</v>
      </c>
      <c r="D3894" t="s">
        <v>32</v>
      </c>
      <c r="E3894">
        <v>9100000</v>
      </c>
      <c r="F3894">
        <v>27100000</v>
      </c>
      <c r="G3894">
        <v>12</v>
      </c>
      <c r="H3894">
        <v>787</v>
      </c>
      <c r="I3894">
        <v>24300000</v>
      </c>
      <c r="J3894">
        <v>2900000</v>
      </c>
      <c r="K3894">
        <v>34800000</v>
      </c>
      <c r="L3894">
        <v>9500000</v>
      </c>
      <c r="M3894" t="s">
        <v>34</v>
      </c>
      <c r="N3894">
        <f t="shared" si="361"/>
        <v>1</v>
      </c>
      <c r="O3894" t="str">
        <f t="shared" si="360"/>
        <v>Excellent</v>
      </c>
      <c r="P3894" t="str">
        <f t="shared" si="362"/>
        <v>High</v>
      </c>
      <c r="Q3894" t="str">
        <f t="shared" si="363"/>
        <v>High Loan</v>
      </c>
      <c r="R3894">
        <f t="shared" si="364"/>
        <v>71500000</v>
      </c>
      <c r="S3894" t="str">
        <f t="shared" si="365"/>
        <v>Strong</v>
      </c>
    </row>
    <row r="3895" spans="1:19" x14ac:dyDescent="0.25">
      <c r="A3895">
        <v>3894</v>
      </c>
      <c r="B3895">
        <v>3</v>
      </c>
      <c r="C3895" t="s">
        <v>30</v>
      </c>
      <c r="D3895" t="s">
        <v>33</v>
      </c>
      <c r="E3895">
        <v>500000</v>
      </c>
      <c r="F3895">
        <v>900000</v>
      </c>
      <c r="G3895">
        <v>12</v>
      </c>
      <c r="H3895">
        <v>538</v>
      </c>
      <c r="I3895">
        <v>0</v>
      </c>
      <c r="J3895">
        <v>700000</v>
      </c>
      <c r="K3895">
        <v>1500000</v>
      </c>
      <c r="L3895">
        <v>300000</v>
      </c>
      <c r="M3895" t="s">
        <v>35</v>
      </c>
      <c r="N3895">
        <f t="shared" si="361"/>
        <v>0</v>
      </c>
      <c r="O3895" t="str">
        <f t="shared" si="360"/>
        <v>Low</v>
      </c>
      <c r="P3895" t="str">
        <f t="shared" si="362"/>
        <v>Middle</v>
      </c>
      <c r="Q3895" t="str">
        <f t="shared" si="363"/>
        <v>Low Loan</v>
      </c>
      <c r="R3895">
        <f t="shared" si="364"/>
        <v>2500000</v>
      </c>
      <c r="S3895" t="str">
        <f t="shared" si="365"/>
        <v>Weak</v>
      </c>
    </row>
    <row r="3896" spans="1:19" x14ac:dyDescent="0.25">
      <c r="A3896">
        <v>3895</v>
      </c>
      <c r="B3896">
        <v>4</v>
      </c>
      <c r="C3896" t="s">
        <v>31</v>
      </c>
      <c r="D3896" t="s">
        <v>32</v>
      </c>
      <c r="E3896">
        <v>6900000</v>
      </c>
      <c r="F3896">
        <v>18000000</v>
      </c>
      <c r="G3896">
        <v>8</v>
      </c>
      <c r="H3896">
        <v>347</v>
      </c>
      <c r="I3896">
        <v>16400000</v>
      </c>
      <c r="J3896">
        <v>9300000</v>
      </c>
      <c r="K3896">
        <v>18300000</v>
      </c>
      <c r="L3896">
        <v>8700000</v>
      </c>
      <c r="M3896" t="s">
        <v>35</v>
      </c>
      <c r="N3896">
        <f t="shared" si="361"/>
        <v>0</v>
      </c>
      <c r="O3896" t="str">
        <f t="shared" si="360"/>
        <v>Low</v>
      </c>
      <c r="P3896" t="str">
        <f t="shared" si="362"/>
        <v>High</v>
      </c>
      <c r="Q3896" t="str">
        <f t="shared" si="363"/>
        <v>Low Loan</v>
      </c>
      <c r="R3896">
        <f t="shared" si="364"/>
        <v>52700000</v>
      </c>
      <c r="S3896" t="str">
        <f t="shared" si="365"/>
        <v>Strong</v>
      </c>
    </row>
    <row r="3897" spans="1:19" x14ac:dyDescent="0.25">
      <c r="A3897">
        <v>3896</v>
      </c>
      <c r="B3897">
        <v>0</v>
      </c>
      <c r="C3897" t="s">
        <v>30</v>
      </c>
      <c r="D3897" t="s">
        <v>33</v>
      </c>
      <c r="E3897">
        <v>1800000</v>
      </c>
      <c r="F3897">
        <v>5200000</v>
      </c>
      <c r="G3897">
        <v>16</v>
      </c>
      <c r="H3897">
        <v>317</v>
      </c>
      <c r="I3897">
        <v>4900000</v>
      </c>
      <c r="J3897">
        <v>1500000</v>
      </c>
      <c r="K3897">
        <v>4000000</v>
      </c>
      <c r="L3897">
        <v>1300000</v>
      </c>
      <c r="M3897" t="s">
        <v>35</v>
      </c>
      <c r="N3897">
        <f t="shared" si="361"/>
        <v>0</v>
      </c>
      <c r="O3897" t="str">
        <f t="shared" si="360"/>
        <v>Low</v>
      </c>
      <c r="P3897" t="str">
        <f t="shared" si="362"/>
        <v>High</v>
      </c>
      <c r="Q3897" t="str">
        <f t="shared" si="363"/>
        <v>Low Loan</v>
      </c>
      <c r="R3897">
        <f t="shared" si="364"/>
        <v>11700000</v>
      </c>
      <c r="S3897" t="str">
        <f t="shared" si="365"/>
        <v>Strong</v>
      </c>
    </row>
    <row r="3898" spans="1:19" x14ac:dyDescent="0.25">
      <c r="A3898">
        <v>3897</v>
      </c>
      <c r="B3898">
        <v>0</v>
      </c>
      <c r="C3898" t="s">
        <v>30</v>
      </c>
      <c r="D3898" t="s">
        <v>33</v>
      </c>
      <c r="E3898">
        <v>4000000</v>
      </c>
      <c r="F3898">
        <v>14500000</v>
      </c>
      <c r="G3898">
        <v>2</v>
      </c>
      <c r="H3898">
        <v>713</v>
      </c>
      <c r="I3898">
        <v>6200000</v>
      </c>
      <c r="J3898">
        <v>4900000</v>
      </c>
      <c r="K3898">
        <v>12200000</v>
      </c>
      <c r="L3898">
        <v>4700000</v>
      </c>
      <c r="M3898" t="s">
        <v>34</v>
      </c>
      <c r="N3898">
        <f t="shared" si="361"/>
        <v>1</v>
      </c>
      <c r="O3898" t="str">
        <f t="shared" si="360"/>
        <v>Good</v>
      </c>
      <c r="P3898" t="str">
        <f t="shared" si="362"/>
        <v>High</v>
      </c>
      <c r="Q3898" t="str">
        <f t="shared" si="363"/>
        <v>Low Loan</v>
      </c>
      <c r="R3898">
        <f t="shared" si="364"/>
        <v>28000000</v>
      </c>
      <c r="S3898" t="str">
        <f t="shared" si="365"/>
        <v>Strong</v>
      </c>
    </row>
    <row r="3899" spans="1:19" x14ac:dyDescent="0.25">
      <c r="A3899">
        <v>3898</v>
      </c>
      <c r="B3899">
        <v>1</v>
      </c>
      <c r="C3899" t="s">
        <v>31</v>
      </c>
      <c r="D3899" t="s">
        <v>32</v>
      </c>
      <c r="E3899">
        <v>3900000</v>
      </c>
      <c r="F3899">
        <v>12300000</v>
      </c>
      <c r="G3899">
        <v>10</v>
      </c>
      <c r="H3899">
        <v>683</v>
      </c>
      <c r="I3899">
        <v>1000000</v>
      </c>
      <c r="J3899">
        <v>700000</v>
      </c>
      <c r="K3899">
        <v>11700000</v>
      </c>
      <c r="L3899">
        <v>2400000</v>
      </c>
      <c r="M3899" t="s">
        <v>34</v>
      </c>
      <c r="N3899">
        <f t="shared" si="361"/>
        <v>1</v>
      </c>
      <c r="O3899" t="str">
        <f t="shared" si="360"/>
        <v>Medium</v>
      </c>
      <c r="P3899" t="str">
        <f t="shared" si="362"/>
        <v>High</v>
      </c>
      <c r="Q3899" t="str">
        <f t="shared" si="363"/>
        <v>Low Loan</v>
      </c>
      <c r="R3899">
        <f t="shared" si="364"/>
        <v>15800000</v>
      </c>
      <c r="S3899" t="str">
        <f t="shared" si="365"/>
        <v>Strong</v>
      </c>
    </row>
    <row r="3900" spans="1:19" x14ac:dyDescent="0.25">
      <c r="A3900">
        <v>3899</v>
      </c>
      <c r="B3900">
        <v>2</v>
      </c>
      <c r="C3900" t="s">
        <v>31</v>
      </c>
      <c r="D3900" t="s">
        <v>33</v>
      </c>
      <c r="E3900">
        <v>8000000</v>
      </c>
      <c r="F3900">
        <v>28100000</v>
      </c>
      <c r="G3900">
        <v>18</v>
      </c>
      <c r="H3900">
        <v>765</v>
      </c>
      <c r="I3900">
        <v>24000000</v>
      </c>
      <c r="J3900">
        <v>10500000</v>
      </c>
      <c r="K3900">
        <v>17700000</v>
      </c>
      <c r="L3900">
        <v>8200000</v>
      </c>
      <c r="M3900" t="s">
        <v>34</v>
      </c>
      <c r="N3900">
        <f t="shared" si="361"/>
        <v>1</v>
      </c>
      <c r="O3900" t="str">
        <f t="shared" si="360"/>
        <v>Excellent</v>
      </c>
      <c r="P3900" t="str">
        <f t="shared" si="362"/>
        <v>High</v>
      </c>
      <c r="Q3900" t="str">
        <f t="shared" si="363"/>
        <v>High Loan</v>
      </c>
      <c r="R3900">
        <f t="shared" si="364"/>
        <v>60400000</v>
      </c>
      <c r="S3900" t="str">
        <f t="shared" si="365"/>
        <v>Strong</v>
      </c>
    </row>
    <row r="3901" spans="1:19" x14ac:dyDescent="0.25">
      <c r="A3901">
        <v>3900</v>
      </c>
      <c r="B3901">
        <v>5</v>
      </c>
      <c r="C3901" t="s">
        <v>30</v>
      </c>
      <c r="D3901" t="s">
        <v>32</v>
      </c>
      <c r="E3901">
        <v>900000</v>
      </c>
      <c r="F3901">
        <v>3200000</v>
      </c>
      <c r="G3901">
        <v>10</v>
      </c>
      <c r="H3901">
        <v>803</v>
      </c>
      <c r="I3901">
        <v>1600000</v>
      </c>
      <c r="J3901">
        <v>1700000</v>
      </c>
      <c r="K3901">
        <v>2300000</v>
      </c>
      <c r="L3901">
        <v>800000</v>
      </c>
      <c r="M3901" t="s">
        <v>34</v>
      </c>
      <c r="N3901">
        <f t="shared" si="361"/>
        <v>1</v>
      </c>
      <c r="O3901" t="str">
        <f t="shared" si="360"/>
        <v>Excellent</v>
      </c>
      <c r="P3901" t="str">
        <f t="shared" si="362"/>
        <v>High</v>
      </c>
      <c r="Q3901" t="str">
        <f t="shared" si="363"/>
        <v>Low Loan</v>
      </c>
      <c r="R3901">
        <f t="shared" si="364"/>
        <v>6400000</v>
      </c>
      <c r="S3901" t="str">
        <f t="shared" si="365"/>
        <v>Moderate</v>
      </c>
    </row>
    <row r="3902" spans="1:19" x14ac:dyDescent="0.25">
      <c r="A3902">
        <v>3901</v>
      </c>
      <c r="B3902">
        <v>0</v>
      </c>
      <c r="C3902" t="s">
        <v>30</v>
      </c>
      <c r="D3902" t="s">
        <v>33</v>
      </c>
      <c r="E3902">
        <v>8200000</v>
      </c>
      <c r="F3902">
        <v>29700000</v>
      </c>
      <c r="G3902">
        <v>6</v>
      </c>
      <c r="H3902">
        <v>405</v>
      </c>
      <c r="I3902">
        <v>3900000</v>
      </c>
      <c r="J3902">
        <v>800000</v>
      </c>
      <c r="K3902">
        <v>23900000</v>
      </c>
      <c r="L3902">
        <v>5700000</v>
      </c>
      <c r="M3902" t="s">
        <v>35</v>
      </c>
      <c r="N3902">
        <f t="shared" si="361"/>
        <v>0</v>
      </c>
      <c r="O3902" t="str">
        <f t="shared" si="360"/>
        <v>Low</v>
      </c>
      <c r="P3902" t="str">
        <f t="shared" si="362"/>
        <v>High</v>
      </c>
      <c r="Q3902" t="str">
        <f t="shared" si="363"/>
        <v>High Loan</v>
      </c>
      <c r="R3902">
        <f t="shared" si="364"/>
        <v>34300000</v>
      </c>
      <c r="S3902" t="str">
        <f t="shared" si="365"/>
        <v>Strong</v>
      </c>
    </row>
    <row r="3903" spans="1:19" x14ac:dyDescent="0.25">
      <c r="A3903">
        <v>3902</v>
      </c>
      <c r="B3903">
        <v>5</v>
      </c>
      <c r="C3903" t="s">
        <v>30</v>
      </c>
      <c r="D3903" t="s">
        <v>32</v>
      </c>
      <c r="E3903">
        <v>2300000</v>
      </c>
      <c r="F3903">
        <v>4900000</v>
      </c>
      <c r="G3903">
        <v>4</v>
      </c>
      <c r="H3903">
        <v>529</v>
      </c>
      <c r="I3903">
        <v>6200000</v>
      </c>
      <c r="J3903">
        <v>3900000</v>
      </c>
      <c r="K3903">
        <v>9200000</v>
      </c>
      <c r="L3903">
        <v>2000000</v>
      </c>
      <c r="M3903" t="s">
        <v>35</v>
      </c>
      <c r="N3903">
        <f t="shared" si="361"/>
        <v>0</v>
      </c>
      <c r="O3903" t="str">
        <f t="shared" si="360"/>
        <v>Low</v>
      </c>
      <c r="P3903" t="str">
        <f t="shared" si="362"/>
        <v>High</v>
      </c>
      <c r="Q3903" t="str">
        <f t="shared" si="363"/>
        <v>Low Loan</v>
      </c>
      <c r="R3903">
        <f t="shared" si="364"/>
        <v>21300000</v>
      </c>
      <c r="S3903" t="str">
        <f t="shared" si="365"/>
        <v>Strong</v>
      </c>
    </row>
    <row r="3904" spans="1:19" x14ac:dyDescent="0.25">
      <c r="A3904">
        <v>3903</v>
      </c>
      <c r="B3904">
        <v>5</v>
      </c>
      <c r="C3904" t="s">
        <v>30</v>
      </c>
      <c r="D3904" t="s">
        <v>33</v>
      </c>
      <c r="E3904">
        <v>6900000</v>
      </c>
      <c r="F3904">
        <v>19400000</v>
      </c>
      <c r="G3904">
        <v>6</v>
      </c>
      <c r="H3904">
        <v>801</v>
      </c>
      <c r="I3904">
        <v>10100000</v>
      </c>
      <c r="J3904">
        <v>9400000</v>
      </c>
      <c r="K3904">
        <v>17000000</v>
      </c>
      <c r="L3904">
        <v>5500000</v>
      </c>
      <c r="M3904" t="s">
        <v>34</v>
      </c>
      <c r="N3904">
        <f t="shared" si="361"/>
        <v>1</v>
      </c>
      <c r="O3904" t="str">
        <f t="shared" si="360"/>
        <v>Excellent</v>
      </c>
      <c r="P3904" t="str">
        <f t="shared" si="362"/>
        <v>High</v>
      </c>
      <c r="Q3904" t="str">
        <f t="shared" si="363"/>
        <v>Low Loan</v>
      </c>
      <c r="R3904">
        <f t="shared" si="364"/>
        <v>42000000</v>
      </c>
      <c r="S3904" t="str">
        <f t="shared" si="365"/>
        <v>Strong</v>
      </c>
    </row>
    <row r="3905" spans="1:19" x14ac:dyDescent="0.25">
      <c r="A3905">
        <v>3904</v>
      </c>
      <c r="B3905">
        <v>3</v>
      </c>
      <c r="C3905" t="s">
        <v>31</v>
      </c>
      <c r="D3905" t="s">
        <v>32</v>
      </c>
      <c r="E3905">
        <v>8800000</v>
      </c>
      <c r="F3905">
        <v>30700000</v>
      </c>
      <c r="G3905">
        <v>12</v>
      </c>
      <c r="H3905">
        <v>707</v>
      </c>
      <c r="I3905">
        <v>15000000</v>
      </c>
      <c r="J3905">
        <v>100000</v>
      </c>
      <c r="K3905">
        <v>32800000</v>
      </c>
      <c r="L3905">
        <v>8000000</v>
      </c>
      <c r="M3905" t="s">
        <v>34</v>
      </c>
      <c r="N3905">
        <f t="shared" si="361"/>
        <v>1</v>
      </c>
      <c r="O3905" t="str">
        <f t="shared" si="360"/>
        <v>Good</v>
      </c>
      <c r="P3905" t="str">
        <f t="shared" si="362"/>
        <v>High</v>
      </c>
      <c r="Q3905" t="str">
        <f t="shared" si="363"/>
        <v>High Loan</v>
      </c>
      <c r="R3905">
        <f t="shared" si="364"/>
        <v>55900000</v>
      </c>
      <c r="S3905" t="str">
        <f t="shared" si="365"/>
        <v>Strong</v>
      </c>
    </row>
    <row r="3906" spans="1:19" x14ac:dyDescent="0.25">
      <c r="A3906">
        <v>3905</v>
      </c>
      <c r="B3906">
        <v>1</v>
      </c>
      <c r="C3906" t="s">
        <v>30</v>
      </c>
      <c r="D3906" t="s">
        <v>32</v>
      </c>
      <c r="E3906">
        <v>2600000</v>
      </c>
      <c r="F3906">
        <v>7200000</v>
      </c>
      <c r="G3906">
        <v>8</v>
      </c>
      <c r="H3906">
        <v>349</v>
      </c>
      <c r="I3906">
        <v>5900000</v>
      </c>
      <c r="J3906">
        <v>1400000</v>
      </c>
      <c r="K3906">
        <v>9400000</v>
      </c>
      <c r="L3906">
        <v>3000000</v>
      </c>
      <c r="M3906" t="s">
        <v>35</v>
      </c>
      <c r="N3906">
        <f t="shared" si="361"/>
        <v>0</v>
      </c>
      <c r="O3906" t="str">
        <f t="shared" ref="O3906:O3969" si="366">IF(H3906&lt;650,"Low",
 IF(H3906&lt;700,"Medium",
 IF(H3906&lt;750,"Good","Excellent")))</f>
        <v>Low</v>
      </c>
      <c r="P3906" t="str">
        <f t="shared" si="362"/>
        <v>High</v>
      </c>
      <c r="Q3906" t="str">
        <f t="shared" si="363"/>
        <v>Low Loan</v>
      </c>
      <c r="R3906">
        <f t="shared" si="364"/>
        <v>19700000</v>
      </c>
      <c r="S3906" t="str">
        <f t="shared" si="365"/>
        <v>Strong</v>
      </c>
    </row>
    <row r="3907" spans="1:19" x14ac:dyDescent="0.25">
      <c r="A3907">
        <v>3906</v>
      </c>
      <c r="B3907">
        <v>1</v>
      </c>
      <c r="C3907" t="s">
        <v>30</v>
      </c>
      <c r="D3907" t="s">
        <v>32</v>
      </c>
      <c r="E3907">
        <v>3700000</v>
      </c>
      <c r="F3907">
        <v>8700000</v>
      </c>
      <c r="G3907">
        <v>20</v>
      </c>
      <c r="H3907">
        <v>885</v>
      </c>
      <c r="I3907">
        <v>6200000</v>
      </c>
      <c r="J3907">
        <v>3500000</v>
      </c>
      <c r="K3907">
        <v>10900000</v>
      </c>
      <c r="L3907">
        <v>2600000</v>
      </c>
      <c r="M3907" t="s">
        <v>34</v>
      </c>
      <c r="N3907">
        <f t="shared" ref="N3907:N3970" si="367">IF(TRIM(CLEAN(M3907))="Approved",1,0)</f>
        <v>1</v>
      </c>
      <c r="O3907" t="str">
        <f t="shared" si="366"/>
        <v>Excellent</v>
      </c>
      <c r="P3907" t="str">
        <f t="shared" ref="P3907:P3970" si="368">IF(E3907&lt;300000,"Low",
 IF(E3907&lt;700000,"Middle","High"))</f>
        <v>High</v>
      </c>
      <c r="Q3907" t="str">
        <f t="shared" ref="Q3907:Q3970" si="369">IF(F3907&lt;20000000,"Low Loan","High Loan")</f>
        <v>Low Loan</v>
      </c>
      <c r="R3907">
        <f t="shared" ref="R3907:R3970" si="370">I3907+J3907+K3907+L3907</f>
        <v>23200000</v>
      </c>
      <c r="S3907" t="str">
        <f t="shared" ref="S3907:S3970" si="371">IF(R3907&lt;5000000,"Weak",
 IF(R3907&lt;10000000,"Moderate","Strong"))</f>
        <v>Strong</v>
      </c>
    </row>
    <row r="3908" spans="1:19" x14ac:dyDescent="0.25">
      <c r="A3908">
        <v>3907</v>
      </c>
      <c r="B3908">
        <v>2</v>
      </c>
      <c r="C3908" t="s">
        <v>30</v>
      </c>
      <c r="D3908" t="s">
        <v>33</v>
      </c>
      <c r="E3908">
        <v>6200000</v>
      </c>
      <c r="F3908">
        <v>23800000</v>
      </c>
      <c r="G3908">
        <v>4</v>
      </c>
      <c r="H3908">
        <v>489</v>
      </c>
      <c r="I3908">
        <v>2900000</v>
      </c>
      <c r="J3908">
        <v>7500000</v>
      </c>
      <c r="K3908">
        <v>21300000</v>
      </c>
      <c r="L3908">
        <v>3300000</v>
      </c>
      <c r="M3908" t="s">
        <v>34</v>
      </c>
      <c r="N3908">
        <f t="shared" si="367"/>
        <v>1</v>
      </c>
      <c r="O3908" t="str">
        <f t="shared" si="366"/>
        <v>Low</v>
      </c>
      <c r="P3908" t="str">
        <f t="shared" si="368"/>
        <v>High</v>
      </c>
      <c r="Q3908" t="str">
        <f t="shared" si="369"/>
        <v>High Loan</v>
      </c>
      <c r="R3908">
        <f t="shared" si="370"/>
        <v>35000000</v>
      </c>
      <c r="S3908" t="str">
        <f t="shared" si="371"/>
        <v>Strong</v>
      </c>
    </row>
    <row r="3909" spans="1:19" x14ac:dyDescent="0.25">
      <c r="A3909">
        <v>3908</v>
      </c>
      <c r="B3909">
        <v>3</v>
      </c>
      <c r="C3909" t="s">
        <v>30</v>
      </c>
      <c r="D3909" t="s">
        <v>33</v>
      </c>
      <c r="E3909">
        <v>1000000</v>
      </c>
      <c r="F3909">
        <v>2600000</v>
      </c>
      <c r="G3909">
        <v>6</v>
      </c>
      <c r="H3909">
        <v>341</v>
      </c>
      <c r="I3909">
        <v>2900000</v>
      </c>
      <c r="J3909">
        <v>1700000</v>
      </c>
      <c r="K3909">
        <v>3600000</v>
      </c>
      <c r="L3909">
        <v>1100000</v>
      </c>
      <c r="M3909" t="s">
        <v>35</v>
      </c>
      <c r="N3909">
        <f t="shared" si="367"/>
        <v>0</v>
      </c>
      <c r="O3909" t="str">
        <f t="shared" si="366"/>
        <v>Low</v>
      </c>
      <c r="P3909" t="str">
        <f t="shared" si="368"/>
        <v>High</v>
      </c>
      <c r="Q3909" t="str">
        <f t="shared" si="369"/>
        <v>Low Loan</v>
      </c>
      <c r="R3909">
        <f t="shared" si="370"/>
        <v>9300000</v>
      </c>
      <c r="S3909" t="str">
        <f t="shared" si="371"/>
        <v>Moderate</v>
      </c>
    </row>
    <row r="3910" spans="1:19" x14ac:dyDescent="0.25">
      <c r="A3910">
        <v>3909</v>
      </c>
      <c r="B3910">
        <v>1</v>
      </c>
      <c r="C3910" t="s">
        <v>31</v>
      </c>
      <c r="D3910" t="s">
        <v>32</v>
      </c>
      <c r="E3910">
        <v>6000000</v>
      </c>
      <c r="F3910">
        <v>20000000</v>
      </c>
      <c r="G3910">
        <v>12</v>
      </c>
      <c r="H3910">
        <v>637</v>
      </c>
      <c r="I3910">
        <v>10800000</v>
      </c>
      <c r="J3910">
        <v>4300000</v>
      </c>
      <c r="K3910">
        <v>20000000</v>
      </c>
      <c r="L3910">
        <v>8600000</v>
      </c>
      <c r="M3910" t="s">
        <v>34</v>
      </c>
      <c r="N3910">
        <f t="shared" si="367"/>
        <v>1</v>
      </c>
      <c r="O3910" t="str">
        <f t="shared" si="366"/>
        <v>Low</v>
      </c>
      <c r="P3910" t="str">
        <f t="shared" si="368"/>
        <v>High</v>
      </c>
      <c r="Q3910" t="str">
        <f t="shared" si="369"/>
        <v>High Loan</v>
      </c>
      <c r="R3910">
        <f t="shared" si="370"/>
        <v>43700000</v>
      </c>
      <c r="S3910" t="str">
        <f t="shared" si="371"/>
        <v>Strong</v>
      </c>
    </row>
    <row r="3911" spans="1:19" x14ac:dyDescent="0.25">
      <c r="A3911">
        <v>3910</v>
      </c>
      <c r="B3911">
        <v>1</v>
      </c>
      <c r="C3911" t="s">
        <v>31</v>
      </c>
      <c r="D3911" t="s">
        <v>33</v>
      </c>
      <c r="E3911">
        <v>9100000</v>
      </c>
      <c r="F3911">
        <v>31400000</v>
      </c>
      <c r="G3911">
        <v>4</v>
      </c>
      <c r="H3911">
        <v>304</v>
      </c>
      <c r="I3911">
        <v>14100000</v>
      </c>
      <c r="J3911">
        <v>16700000</v>
      </c>
      <c r="K3911">
        <v>30200000</v>
      </c>
      <c r="L3911">
        <v>9600000</v>
      </c>
      <c r="M3911" t="s">
        <v>34</v>
      </c>
      <c r="N3911">
        <f t="shared" si="367"/>
        <v>1</v>
      </c>
      <c r="O3911" t="str">
        <f t="shared" si="366"/>
        <v>Low</v>
      </c>
      <c r="P3911" t="str">
        <f t="shared" si="368"/>
        <v>High</v>
      </c>
      <c r="Q3911" t="str">
        <f t="shared" si="369"/>
        <v>High Loan</v>
      </c>
      <c r="R3911">
        <f t="shared" si="370"/>
        <v>70600000</v>
      </c>
      <c r="S3911" t="str">
        <f t="shared" si="371"/>
        <v>Strong</v>
      </c>
    </row>
    <row r="3912" spans="1:19" x14ac:dyDescent="0.25">
      <c r="A3912">
        <v>3911</v>
      </c>
      <c r="B3912">
        <v>1</v>
      </c>
      <c r="C3912" t="s">
        <v>30</v>
      </c>
      <c r="D3912" t="s">
        <v>32</v>
      </c>
      <c r="E3912">
        <v>1700000</v>
      </c>
      <c r="F3912">
        <v>6700000</v>
      </c>
      <c r="G3912">
        <v>16</v>
      </c>
      <c r="H3912">
        <v>537</v>
      </c>
      <c r="I3912">
        <v>4300000</v>
      </c>
      <c r="J3912">
        <v>2900000</v>
      </c>
      <c r="K3912">
        <v>3500000</v>
      </c>
      <c r="L3912">
        <v>1100000</v>
      </c>
      <c r="M3912" t="s">
        <v>35</v>
      </c>
      <c r="N3912">
        <f t="shared" si="367"/>
        <v>0</v>
      </c>
      <c r="O3912" t="str">
        <f t="shared" si="366"/>
        <v>Low</v>
      </c>
      <c r="P3912" t="str">
        <f t="shared" si="368"/>
        <v>High</v>
      </c>
      <c r="Q3912" t="str">
        <f t="shared" si="369"/>
        <v>Low Loan</v>
      </c>
      <c r="R3912">
        <f t="shared" si="370"/>
        <v>11800000</v>
      </c>
      <c r="S3912" t="str">
        <f t="shared" si="371"/>
        <v>Strong</v>
      </c>
    </row>
    <row r="3913" spans="1:19" x14ac:dyDescent="0.25">
      <c r="A3913">
        <v>3912</v>
      </c>
      <c r="B3913">
        <v>5</v>
      </c>
      <c r="C3913" t="s">
        <v>31</v>
      </c>
      <c r="D3913" t="s">
        <v>33</v>
      </c>
      <c r="E3913">
        <v>1700000</v>
      </c>
      <c r="F3913">
        <v>4600000</v>
      </c>
      <c r="G3913">
        <v>12</v>
      </c>
      <c r="H3913">
        <v>503</v>
      </c>
      <c r="I3913">
        <v>900000</v>
      </c>
      <c r="J3913">
        <v>2200000</v>
      </c>
      <c r="K3913">
        <v>4800000</v>
      </c>
      <c r="L3913">
        <v>1200000</v>
      </c>
      <c r="M3913" t="s">
        <v>35</v>
      </c>
      <c r="N3913">
        <f t="shared" si="367"/>
        <v>0</v>
      </c>
      <c r="O3913" t="str">
        <f t="shared" si="366"/>
        <v>Low</v>
      </c>
      <c r="P3913" t="str">
        <f t="shared" si="368"/>
        <v>High</v>
      </c>
      <c r="Q3913" t="str">
        <f t="shared" si="369"/>
        <v>Low Loan</v>
      </c>
      <c r="R3913">
        <f t="shared" si="370"/>
        <v>9100000</v>
      </c>
      <c r="S3913" t="str">
        <f t="shared" si="371"/>
        <v>Moderate</v>
      </c>
    </row>
    <row r="3914" spans="1:19" x14ac:dyDescent="0.25">
      <c r="A3914">
        <v>3913</v>
      </c>
      <c r="B3914">
        <v>1</v>
      </c>
      <c r="C3914" t="s">
        <v>30</v>
      </c>
      <c r="D3914" t="s">
        <v>32</v>
      </c>
      <c r="E3914">
        <v>7100000</v>
      </c>
      <c r="F3914">
        <v>14300000</v>
      </c>
      <c r="G3914">
        <v>12</v>
      </c>
      <c r="H3914">
        <v>720</v>
      </c>
      <c r="I3914">
        <v>4600000</v>
      </c>
      <c r="J3914">
        <v>500000</v>
      </c>
      <c r="K3914">
        <v>27300000</v>
      </c>
      <c r="L3914">
        <v>8400000</v>
      </c>
      <c r="M3914" t="s">
        <v>34</v>
      </c>
      <c r="N3914">
        <f t="shared" si="367"/>
        <v>1</v>
      </c>
      <c r="O3914" t="str">
        <f t="shared" si="366"/>
        <v>Good</v>
      </c>
      <c r="P3914" t="str">
        <f t="shared" si="368"/>
        <v>High</v>
      </c>
      <c r="Q3914" t="str">
        <f t="shared" si="369"/>
        <v>Low Loan</v>
      </c>
      <c r="R3914">
        <f t="shared" si="370"/>
        <v>40800000</v>
      </c>
      <c r="S3914" t="str">
        <f t="shared" si="371"/>
        <v>Strong</v>
      </c>
    </row>
    <row r="3915" spans="1:19" x14ac:dyDescent="0.25">
      <c r="A3915">
        <v>3914</v>
      </c>
      <c r="B3915">
        <v>5</v>
      </c>
      <c r="C3915" t="s">
        <v>30</v>
      </c>
      <c r="D3915" t="s">
        <v>32</v>
      </c>
      <c r="E3915">
        <v>9400000</v>
      </c>
      <c r="F3915">
        <v>36800000</v>
      </c>
      <c r="G3915">
        <v>10</v>
      </c>
      <c r="H3915">
        <v>509</v>
      </c>
      <c r="I3915">
        <v>20700000</v>
      </c>
      <c r="J3915">
        <v>7400000</v>
      </c>
      <c r="K3915">
        <v>22400000</v>
      </c>
      <c r="L3915">
        <v>6300000</v>
      </c>
      <c r="M3915" t="s">
        <v>35</v>
      </c>
      <c r="N3915">
        <f t="shared" si="367"/>
        <v>0</v>
      </c>
      <c r="O3915" t="str">
        <f t="shared" si="366"/>
        <v>Low</v>
      </c>
      <c r="P3915" t="str">
        <f t="shared" si="368"/>
        <v>High</v>
      </c>
      <c r="Q3915" t="str">
        <f t="shared" si="369"/>
        <v>High Loan</v>
      </c>
      <c r="R3915">
        <f t="shared" si="370"/>
        <v>56800000</v>
      </c>
      <c r="S3915" t="str">
        <f t="shared" si="371"/>
        <v>Strong</v>
      </c>
    </row>
    <row r="3916" spans="1:19" x14ac:dyDescent="0.25">
      <c r="A3916">
        <v>3915</v>
      </c>
      <c r="B3916">
        <v>5</v>
      </c>
      <c r="C3916" t="s">
        <v>31</v>
      </c>
      <c r="D3916" t="s">
        <v>32</v>
      </c>
      <c r="E3916">
        <v>6200000</v>
      </c>
      <c r="F3916">
        <v>16400000</v>
      </c>
      <c r="G3916">
        <v>6</v>
      </c>
      <c r="H3916">
        <v>360</v>
      </c>
      <c r="I3916">
        <v>900000</v>
      </c>
      <c r="J3916">
        <v>7200000</v>
      </c>
      <c r="K3916">
        <v>22400000</v>
      </c>
      <c r="L3916">
        <v>6300000</v>
      </c>
      <c r="M3916" t="s">
        <v>35</v>
      </c>
      <c r="N3916">
        <f t="shared" si="367"/>
        <v>0</v>
      </c>
      <c r="O3916" t="str">
        <f t="shared" si="366"/>
        <v>Low</v>
      </c>
      <c r="P3916" t="str">
        <f t="shared" si="368"/>
        <v>High</v>
      </c>
      <c r="Q3916" t="str">
        <f t="shared" si="369"/>
        <v>Low Loan</v>
      </c>
      <c r="R3916">
        <f t="shared" si="370"/>
        <v>36800000</v>
      </c>
      <c r="S3916" t="str">
        <f t="shared" si="371"/>
        <v>Strong</v>
      </c>
    </row>
    <row r="3917" spans="1:19" x14ac:dyDescent="0.25">
      <c r="A3917">
        <v>3916</v>
      </c>
      <c r="B3917">
        <v>1</v>
      </c>
      <c r="C3917" t="s">
        <v>30</v>
      </c>
      <c r="D3917" t="s">
        <v>32</v>
      </c>
      <c r="E3917">
        <v>8300000</v>
      </c>
      <c r="F3917">
        <v>31800000</v>
      </c>
      <c r="G3917">
        <v>16</v>
      </c>
      <c r="H3917">
        <v>818</v>
      </c>
      <c r="I3917">
        <v>23400000</v>
      </c>
      <c r="J3917">
        <v>7400000</v>
      </c>
      <c r="K3917">
        <v>32200000</v>
      </c>
      <c r="L3917">
        <v>8500000</v>
      </c>
      <c r="M3917" t="s">
        <v>34</v>
      </c>
      <c r="N3917">
        <f t="shared" si="367"/>
        <v>1</v>
      </c>
      <c r="O3917" t="str">
        <f t="shared" si="366"/>
        <v>Excellent</v>
      </c>
      <c r="P3917" t="str">
        <f t="shared" si="368"/>
        <v>High</v>
      </c>
      <c r="Q3917" t="str">
        <f t="shared" si="369"/>
        <v>High Loan</v>
      </c>
      <c r="R3917">
        <f t="shared" si="370"/>
        <v>71500000</v>
      </c>
      <c r="S3917" t="str">
        <f t="shared" si="371"/>
        <v>Strong</v>
      </c>
    </row>
    <row r="3918" spans="1:19" x14ac:dyDescent="0.25">
      <c r="A3918">
        <v>3917</v>
      </c>
      <c r="B3918">
        <v>1</v>
      </c>
      <c r="C3918" t="s">
        <v>30</v>
      </c>
      <c r="D3918" t="s">
        <v>33</v>
      </c>
      <c r="E3918">
        <v>8900000</v>
      </c>
      <c r="F3918">
        <v>21200000</v>
      </c>
      <c r="G3918">
        <v>8</v>
      </c>
      <c r="H3918">
        <v>716</v>
      </c>
      <c r="I3918">
        <v>5400000</v>
      </c>
      <c r="J3918">
        <v>9200000</v>
      </c>
      <c r="K3918">
        <v>23800000</v>
      </c>
      <c r="L3918">
        <v>7900000</v>
      </c>
      <c r="M3918" t="s">
        <v>34</v>
      </c>
      <c r="N3918">
        <f t="shared" si="367"/>
        <v>1</v>
      </c>
      <c r="O3918" t="str">
        <f t="shared" si="366"/>
        <v>Good</v>
      </c>
      <c r="P3918" t="str">
        <f t="shared" si="368"/>
        <v>High</v>
      </c>
      <c r="Q3918" t="str">
        <f t="shared" si="369"/>
        <v>High Loan</v>
      </c>
      <c r="R3918">
        <f t="shared" si="370"/>
        <v>46300000</v>
      </c>
      <c r="S3918" t="str">
        <f t="shared" si="371"/>
        <v>Strong</v>
      </c>
    </row>
    <row r="3919" spans="1:19" x14ac:dyDescent="0.25">
      <c r="A3919">
        <v>3918</v>
      </c>
      <c r="B3919">
        <v>1</v>
      </c>
      <c r="C3919" t="s">
        <v>30</v>
      </c>
      <c r="D3919" t="s">
        <v>33</v>
      </c>
      <c r="E3919">
        <v>6500000</v>
      </c>
      <c r="F3919">
        <v>14800000</v>
      </c>
      <c r="G3919">
        <v>12</v>
      </c>
      <c r="H3919">
        <v>360</v>
      </c>
      <c r="I3919">
        <v>3500000</v>
      </c>
      <c r="J3919">
        <v>2100000</v>
      </c>
      <c r="K3919">
        <v>15000000</v>
      </c>
      <c r="L3919">
        <v>7300000</v>
      </c>
      <c r="M3919" t="s">
        <v>35</v>
      </c>
      <c r="N3919">
        <f t="shared" si="367"/>
        <v>0</v>
      </c>
      <c r="O3919" t="str">
        <f t="shared" si="366"/>
        <v>Low</v>
      </c>
      <c r="P3919" t="str">
        <f t="shared" si="368"/>
        <v>High</v>
      </c>
      <c r="Q3919" t="str">
        <f t="shared" si="369"/>
        <v>Low Loan</v>
      </c>
      <c r="R3919">
        <f t="shared" si="370"/>
        <v>27900000</v>
      </c>
      <c r="S3919" t="str">
        <f t="shared" si="371"/>
        <v>Strong</v>
      </c>
    </row>
    <row r="3920" spans="1:19" x14ac:dyDescent="0.25">
      <c r="A3920">
        <v>3919</v>
      </c>
      <c r="B3920">
        <v>3</v>
      </c>
      <c r="C3920" t="s">
        <v>30</v>
      </c>
      <c r="D3920" t="s">
        <v>33</v>
      </c>
      <c r="E3920">
        <v>8100000</v>
      </c>
      <c r="F3920">
        <v>26700000</v>
      </c>
      <c r="G3920">
        <v>10</v>
      </c>
      <c r="H3920">
        <v>895</v>
      </c>
      <c r="I3920">
        <v>5100000</v>
      </c>
      <c r="J3920">
        <v>9800000</v>
      </c>
      <c r="K3920">
        <v>17100000</v>
      </c>
      <c r="L3920">
        <v>9900000</v>
      </c>
      <c r="M3920" t="s">
        <v>34</v>
      </c>
      <c r="N3920">
        <f t="shared" si="367"/>
        <v>1</v>
      </c>
      <c r="O3920" t="str">
        <f t="shared" si="366"/>
        <v>Excellent</v>
      </c>
      <c r="P3920" t="str">
        <f t="shared" si="368"/>
        <v>High</v>
      </c>
      <c r="Q3920" t="str">
        <f t="shared" si="369"/>
        <v>High Loan</v>
      </c>
      <c r="R3920">
        <f t="shared" si="370"/>
        <v>41900000</v>
      </c>
      <c r="S3920" t="str">
        <f t="shared" si="371"/>
        <v>Strong</v>
      </c>
    </row>
    <row r="3921" spans="1:19" x14ac:dyDescent="0.25">
      <c r="A3921">
        <v>3920</v>
      </c>
      <c r="B3921">
        <v>2</v>
      </c>
      <c r="C3921" t="s">
        <v>31</v>
      </c>
      <c r="D3921" t="s">
        <v>32</v>
      </c>
      <c r="E3921">
        <v>4900000</v>
      </c>
      <c r="F3921">
        <v>13500000</v>
      </c>
      <c r="G3921">
        <v>8</v>
      </c>
      <c r="H3921">
        <v>328</v>
      </c>
      <c r="I3921">
        <v>10500000</v>
      </c>
      <c r="J3921">
        <v>8100000</v>
      </c>
      <c r="K3921">
        <v>18300000</v>
      </c>
      <c r="L3921">
        <v>3400000</v>
      </c>
      <c r="M3921" t="s">
        <v>35</v>
      </c>
      <c r="N3921">
        <f t="shared" si="367"/>
        <v>0</v>
      </c>
      <c r="O3921" t="str">
        <f t="shared" si="366"/>
        <v>Low</v>
      </c>
      <c r="P3921" t="str">
        <f t="shared" si="368"/>
        <v>High</v>
      </c>
      <c r="Q3921" t="str">
        <f t="shared" si="369"/>
        <v>Low Loan</v>
      </c>
      <c r="R3921">
        <f t="shared" si="370"/>
        <v>40300000</v>
      </c>
      <c r="S3921" t="str">
        <f t="shared" si="371"/>
        <v>Strong</v>
      </c>
    </row>
    <row r="3922" spans="1:19" x14ac:dyDescent="0.25">
      <c r="A3922">
        <v>3921</v>
      </c>
      <c r="B3922">
        <v>4</v>
      </c>
      <c r="C3922" t="s">
        <v>30</v>
      </c>
      <c r="D3922" t="s">
        <v>32</v>
      </c>
      <c r="E3922">
        <v>9100000</v>
      </c>
      <c r="F3922">
        <v>26600000</v>
      </c>
      <c r="G3922">
        <v>2</v>
      </c>
      <c r="H3922">
        <v>812</v>
      </c>
      <c r="I3922">
        <v>23300000</v>
      </c>
      <c r="J3922">
        <v>11900000</v>
      </c>
      <c r="K3922">
        <v>33100000</v>
      </c>
      <c r="L3922">
        <v>10400000</v>
      </c>
      <c r="M3922" t="s">
        <v>34</v>
      </c>
      <c r="N3922">
        <f t="shared" si="367"/>
        <v>1</v>
      </c>
      <c r="O3922" t="str">
        <f t="shared" si="366"/>
        <v>Excellent</v>
      </c>
      <c r="P3922" t="str">
        <f t="shared" si="368"/>
        <v>High</v>
      </c>
      <c r="Q3922" t="str">
        <f t="shared" si="369"/>
        <v>High Loan</v>
      </c>
      <c r="R3922">
        <f t="shared" si="370"/>
        <v>78700000</v>
      </c>
      <c r="S3922" t="str">
        <f t="shared" si="371"/>
        <v>Strong</v>
      </c>
    </row>
    <row r="3923" spans="1:19" x14ac:dyDescent="0.25">
      <c r="A3923">
        <v>3922</v>
      </c>
      <c r="B3923">
        <v>3</v>
      </c>
      <c r="C3923" t="s">
        <v>30</v>
      </c>
      <c r="D3923" t="s">
        <v>33</v>
      </c>
      <c r="E3923">
        <v>9000000</v>
      </c>
      <c r="F3923">
        <v>33100000</v>
      </c>
      <c r="G3923">
        <v>16</v>
      </c>
      <c r="H3923">
        <v>456</v>
      </c>
      <c r="I3923">
        <v>23800000</v>
      </c>
      <c r="J3923">
        <v>7000000</v>
      </c>
      <c r="K3923">
        <v>26000000</v>
      </c>
      <c r="L3923">
        <v>7100000</v>
      </c>
      <c r="M3923" t="s">
        <v>35</v>
      </c>
      <c r="N3923">
        <f t="shared" si="367"/>
        <v>0</v>
      </c>
      <c r="O3923" t="str">
        <f t="shared" si="366"/>
        <v>Low</v>
      </c>
      <c r="P3923" t="str">
        <f t="shared" si="368"/>
        <v>High</v>
      </c>
      <c r="Q3923" t="str">
        <f t="shared" si="369"/>
        <v>High Loan</v>
      </c>
      <c r="R3923">
        <f t="shared" si="370"/>
        <v>63900000</v>
      </c>
      <c r="S3923" t="str">
        <f t="shared" si="371"/>
        <v>Strong</v>
      </c>
    </row>
    <row r="3924" spans="1:19" x14ac:dyDescent="0.25">
      <c r="A3924">
        <v>3923</v>
      </c>
      <c r="B3924">
        <v>4</v>
      </c>
      <c r="C3924" t="s">
        <v>30</v>
      </c>
      <c r="D3924" t="s">
        <v>33</v>
      </c>
      <c r="E3924">
        <v>1300000</v>
      </c>
      <c r="F3924">
        <v>3900000</v>
      </c>
      <c r="G3924">
        <v>16</v>
      </c>
      <c r="H3924">
        <v>566</v>
      </c>
      <c r="I3924">
        <v>700000</v>
      </c>
      <c r="J3924">
        <v>200000</v>
      </c>
      <c r="K3924">
        <v>3400000</v>
      </c>
      <c r="L3924">
        <v>1600000</v>
      </c>
      <c r="M3924" t="s">
        <v>34</v>
      </c>
      <c r="N3924">
        <f t="shared" si="367"/>
        <v>1</v>
      </c>
      <c r="O3924" t="str">
        <f t="shared" si="366"/>
        <v>Low</v>
      </c>
      <c r="P3924" t="str">
        <f t="shared" si="368"/>
        <v>High</v>
      </c>
      <c r="Q3924" t="str">
        <f t="shared" si="369"/>
        <v>Low Loan</v>
      </c>
      <c r="R3924">
        <f t="shared" si="370"/>
        <v>5900000</v>
      </c>
      <c r="S3924" t="str">
        <f t="shared" si="371"/>
        <v>Moderate</v>
      </c>
    </row>
    <row r="3925" spans="1:19" x14ac:dyDescent="0.25">
      <c r="A3925">
        <v>3924</v>
      </c>
      <c r="B3925">
        <v>1</v>
      </c>
      <c r="C3925" t="s">
        <v>31</v>
      </c>
      <c r="D3925" t="s">
        <v>32</v>
      </c>
      <c r="E3925">
        <v>6700000</v>
      </c>
      <c r="F3925">
        <v>25000000</v>
      </c>
      <c r="G3925">
        <v>20</v>
      </c>
      <c r="H3925">
        <v>598</v>
      </c>
      <c r="I3925">
        <v>5300000</v>
      </c>
      <c r="J3925">
        <v>12900000</v>
      </c>
      <c r="K3925">
        <v>13600000</v>
      </c>
      <c r="L3925">
        <v>7000000</v>
      </c>
      <c r="M3925" t="s">
        <v>34</v>
      </c>
      <c r="N3925">
        <f t="shared" si="367"/>
        <v>1</v>
      </c>
      <c r="O3925" t="str">
        <f t="shared" si="366"/>
        <v>Low</v>
      </c>
      <c r="P3925" t="str">
        <f t="shared" si="368"/>
        <v>High</v>
      </c>
      <c r="Q3925" t="str">
        <f t="shared" si="369"/>
        <v>High Loan</v>
      </c>
      <c r="R3925">
        <f t="shared" si="370"/>
        <v>38800000</v>
      </c>
      <c r="S3925" t="str">
        <f t="shared" si="371"/>
        <v>Strong</v>
      </c>
    </row>
    <row r="3926" spans="1:19" x14ac:dyDescent="0.25">
      <c r="A3926">
        <v>3925</v>
      </c>
      <c r="B3926">
        <v>5</v>
      </c>
      <c r="C3926" t="s">
        <v>31</v>
      </c>
      <c r="D3926" t="s">
        <v>32</v>
      </c>
      <c r="E3926">
        <v>3200000</v>
      </c>
      <c r="F3926">
        <v>9300000</v>
      </c>
      <c r="G3926">
        <v>6</v>
      </c>
      <c r="H3926">
        <v>656</v>
      </c>
      <c r="I3926">
        <v>7000000</v>
      </c>
      <c r="J3926">
        <v>3200000</v>
      </c>
      <c r="K3926">
        <v>12700000</v>
      </c>
      <c r="L3926">
        <v>4200000</v>
      </c>
      <c r="M3926" t="s">
        <v>34</v>
      </c>
      <c r="N3926">
        <f t="shared" si="367"/>
        <v>1</v>
      </c>
      <c r="O3926" t="str">
        <f t="shared" si="366"/>
        <v>Medium</v>
      </c>
      <c r="P3926" t="str">
        <f t="shared" si="368"/>
        <v>High</v>
      </c>
      <c r="Q3926" t="str">
        <f t="shared" si="369"/>
        <v>Low Loan</v>
      </c>
      <c r="R3926">
        <f t="shared" si="370"/>
        <v>27100000</v>
      </c>
      <c r="S3926" t="str">
        <f t="shared" si="371"/>
        <v>Strong</v>
      </c>
    </row>
    <row r="3927" spans="1:19" x14ac:dyDescent="0.25">
      <c r="A3927">
        <v>3926</v>
      </c>
      <c r="B3927">
        <v>0</v>
      </c>
      <c r="C3927" t="s">
        <v>31</v>
      </c>
      <c r="D3927" t="s">
        <v>32</v>
      </c>
      <c r="E3927">
        <v>7500000</v>
      </c>
      <c r="F3927">
        <v>28700000</v>
      </c>
      <c r="G3927">
        <v>2</v>
      </c>
      <c r="H3927">
        <v>895</v>
      </c>
      <c r="I3927">
        <v>2000000</v>
      </c>
      <c r="J3927">
        <v>4100000</v>
      </c>
      <c r="K3927">
        <v>21500000</v>
      </c>
      <c r="L3927">
        <v>7200000</v>
      </c>
      <c r="M3927" t="s">
        <v>34</v>
      </c>
      <c r="N3927">
        <f t="shared" si="367"/>
        <v>1</v>
      </c>
      <c r="O3927" t="str">
        <f t="shared" si="366"/>
        <v>Excellent</v>
      </c>
      <c r="P3927" t="str">
        <f t="shared" si="368"/>
        <v>High</v>
      </c>
      <c r="Q3927" t="str">
        <f t="shared" si="369"/>
        <v>High Loan</v>
      </c>
      <c r="R3927">
        <f t="shared" si="370"/>
        <v>34800000</v>
      </c>
      <c r="S3927" t="str">
        <f t="shared" si="371"/>
        <v>Strong</v>
      </c>
    </row>
    <row r="3928" spans="1:19" x14ac:dyDescent="0.25">
      <c r="A3928">
        <v>3927</v>
      </c>
      <c r="B3928">
        <v>3</v>
      </c>
      <c r="C3928" t="s">
        <v>30</v>
      </c>
      <c r="D3928" t="s">
        <v>32</v>
      </c>
      <c r="E3928">
        <v>4900000</v>
      </c>
      <c r="F3928">
        <v>12800000</v>
      </c>
      <c r="G3928">
        <v>14</v>
      </c>
      <c r="H3928">
        <v>653</v>
      </c>
      <c r="I3928">
        <v>7300000</v>
      </c>
      <c r="J3928">
        <v>1000000</v>
      </c>
      <c r="K3928">
        <v>13000000</v>
      </c>
      <c r="L3928">
        <v>7200000</v>
      </c>
      <c r="M3928" t="s">
        <v>34</v>
      </c>
      <c r="N3928">
        <f t="shared" si="367"/>
        <v>1</v>
      </c>
      <c r="O3928" t="str">
        <f t="shared" si="366"/>
        <v>Medium</v>
      </c>
      <c r="P3928" t="str">
        <f t="shared" si="368"/>
        <v>High</v>
      </c>
      <c r="Q3928" t="str">
        <f t="shared" si="369"/>
        <v>Low Loan</v>
      </c>
      <c r="R3928">
        <f t="shared" si="370"/>
        <v>28500000</v>
      </c>
      <c r="S3928" t="str">
        <f t="shared" si="371"/>
        <v>Strong</v>
      </c>
    </row>
    <row r="3929" spans="1:19" x14ac:dyDescent="0.25">
      <c r="A3929">
        <v>3928</v>
      </c>
      <c r="B3929">
        <v>1</v>
      </c>
      <c r="C3929" t="s">
        <v>31</v>
      </c>
      <c r="D3929" t="s">
        <v>33</v>
      </c>
      <c r="E3929">
        <v>700000</v>
      </c>
      <c r="F3929">
        <v>1800000</v>
      </c>
      <c r="G3929">
        <v>16</v>
      </c>
      <c r="H3929">
        <v>641</v>
      </c>
      <c r="I3929">
        <v>2100000</v>
      </c>
      <c r="J3929">
        <v>400000</v>
      </c>
      <c r="K3929">
        <v>1600000</v>
      </c>
      <c r="L3929">
        <v>900000</v>
      </c>
      <c r="M3929" t="s">
        <v>34</v>
      </c>
      <c r="N3929">
        <f t="shared" si="367"/>
        <v>1</v>
      </c>
      <c r="O3929" t="str">
        <f t="shared" si="366"/>
        <v>Low</v>
      </c>
      <c r="P3929" t="str">
        <f t="shared" si="368"/>
        <v>High</v>
      </c>
      <c r="Q3929" t="str">
        <f t="shared" si="369"/>
        <v>Low Loan</v>
      </c>
      <c r="R3929">
        <f t="shared" si="370"/>
        <v>5000000</v>
      </c>
      <c r="S3929" t="str">
        <f t="shared" si="371"/>
        <v>Moderate</v>
      </c>
    </row>
    <row r="3930" spans="1:19" x14ac:dyDescent="0.25">
      <c r="A3930">
        <v>3929</v>
      </c>
      <c r="B3930">
        <v>2</v>
      </c>
      <c r="C3930" t="s">
        <v>30</v>
      </c>
      <c r="D3930" t="s">
        <v>32</v>
      </c>
      <c r="E3930">
        <v>6400000</v>
      </c>
      <c r="F3930">
        <v>16500000</v>
      </c>
      <c r="G3930">
        <v>8</v>
      </c>
      <c r="H3930">
        <v>544</v>
      </c>
      <c r="I3930">
        <v>12100000</v>
      </c>
      <c r="J3930">
        <v>6300000</v>
      </c>
      <c r="K3930">
        <v>15200000</v>
      </c>
      <c r="L3930">
        <v>5400000</v>
      </c>
      <c r="M3930" t="s">
        <v>35</v>
      </c>
      <c r="N3930">
        <f t="shared" si="367"/>
        <v>0</v>
      </c>
      <c r="O3930" t="str">
        <f t="shared" si="366"/>
        <v>Low</v>
      </c>
      <c r="P3930" t="str">
        <f t="shared" si="368"/>
        <v>High</v>
      </c>
      <c r="Q3930" t="str">
        <f t="shared" si="369"/>
        <v>Low Loan</v>
      </c>
      <c r="R3930">
        <f t="shared" si="370"/>
        <v>39000000</v>
      </c>
      <c r="S3930" t="str">
        <f t="shared" si="371"/>
        <v>Strong</v>
      </c>
    </row>
    <row r="3931" spans="1:19" x14ac:dyDescent="0.25">
      <c r="A3931">
        <v>3930</v>
      </c>
      <c r="B3931">
        <v>0</v>
      </c>
      <c r="C3931" t="s">
        <v>31</v>
      </c>
      <c r="D3931" t="s">
        <v>33</v>
      </c>
      <c r="E3931">
        <v>3900000</v>
      </c>
      <c r="F3931">
        <v>14100000</v>
      </c>
      <c r="G3931">
        <v>20</v>
      </c>
      <c r="H3931">
        <v>811</v>
      </c>
      <c r="I3931">
        <v>5700000</v>
      </c>
      <c r="J3931">
        <v>3600000</v>
      </c>
      <c r="K3931">
        <v>10500000</v>
      </c>
      <c r="L3931">
        <v>5300000</v>
      </c>
      <c r="M3931" t="s">
        <v>34</v>
      </c>
      <c r="N3931">
        <f t="shared" si="367"/>
        <v>1</v>
      </c>
      <c r="O3931" t="str">
        <f t="shared" si="366"/>
        <v>Excellent</v>
      </c>
      <c r="P3931" t="str">
        <f t="shared" si="368"/>
        <v>High</v>
      </c>
      <c r="Q3931" t="str">
        <f t="shared" si="369"/>
        <v>Low Loan</v>
      </c>
      <c r="R3931">
        <f t="shared" si="370"/>
        <v>25100000</v>
      </c>
      <c r="S3931" t="str">
        <f t="shared" si="371"/>
        <v>Strong</v>
      </c>
    </row>
    <row r="3932" spans="1:19" x14ac:dyDescent="0.25">
      <c r="A3932">
        <v>3931</v>
      </c>
      <c r="B3932">
        <v>4</v>
      </c>
      <c r="C3932" t="s">
        <v>30</v>
      </c>
      <c r="D3932" t="s">
        <v>32</v>
      </c>
      <c r="E3932">
        <v>9700000</v>
      </c>
      <c r="F3932">
        <v>26900000</v>
      </c>
      <c r="G3932">
        <v>10</v>
      </c>
      <c r="H3932">
        <v>460</v>
      </c>
      <c r="I3932">
        <v>11400000</v>
      </c>
      <c r="J3932">
        <v>3900000</v>
      </c>
      <c r="K3932">
        <v>31400000</v>
      </c>
      <c r="L3932">
        <v>9300000</v>
      </c>
      <c r="M3932" t="s">
        <v>35</v>
      </c>
      <c r="N3932">
        <f t="shared" si="367"/>
        <v>0</v>
      </c>
      <c r="O3932" t="str">
        <f t="shared" si="366"/>
        <v>Low</v>
      </c>
      <c r="P3932" t="str">
        <f t="shared" si="368"/>
        <v>High</v>
      </c>
      <c r="Q3932" t="str">
        <f t="shared" si="369"/>
        <v>High Loan</v>
      </c>
      <c r="R3932">
        <f t="shared" si="370"/>
        <v>56000000</v>
      </c>
      <c r="S3932" t="str">
        <f t="shared" si="371"/>
        <v>Strong</v>
      </c>
    </row>
    <row r="3933" spans="1:19" x14ac:dyDescent="0.25">
      <c r="A3933">
        <v>3932</v>
      </c>
      <c r="B3933">
        <v>5</v>
      </c>
      <c r="C3933" t="s">
        <v>30</v>
      </c>
      <c r="D3933" t="s">
        <v>33</v>
      </c>
      <c r="E3933">
        <v>3600000</v>
      </c>
      <c r="F3933">
        <v>12500000</v>
      </c>
      <c r="G3933">
        <v>12</v>
      </c>
      <c r="H3933">
        <v>795</v>
      </c>
      <c r="I3933">
        <v>10600000</v>
      </c>
      <c r="J3933">
        <v>2700000</v>
      </c>
      <c r="K3933">
        <v>11100000</v>
      </c>
      <c r="L3933">
        <v>4800000</v>
      </c>
      <c r="M3933" t="s">
        <v>34</v>
      </c>
      <c r="N3933">
        <f t="shared" si="367"/>
        <v>1</v>
      </c>
      <c r="O3933" t="str">
        <f t="shared" si="366"/>
        <v>Excellent</v>
      </c>
      <c r="P3933" t="str">
        <f t="shared" si="368"/>
        <v>High</v>
      </c>
      <c r="Q3933" t="str">
        <f t="shared" si="369"/>
        <v>Low Loan</v>
      </c>
      <c r="R3933">
        <f t="shared" si="370"/>
        <v>29200000</v>
      </c>
      <c r="S3933" t="str">
        <f t="shared" si="371"/>
        <v>Strong</v>
      </c>
    </row>
    <row r="3934" spans="1:19" x14ac:dyDescent="0.25">
      <c r="A3934">
        <v>3933</v>
      </c>
      <c r="B3934">
        <v>2</v>
      </c>
      <c r="C3934" t="s">
        <v>30</v>
      </c>
      <c r="D3934" t="s">
        <v>33</v>
      </c>
      <c r="E3934">
        <v>3400000</v>
      </c>
      <c r="F3934">
        <v>10300000</v>
      </c>
      <c r="G3934">
        <v>4</v>
      </c>
      <c r="H3934">
        <v>745</v>
      </c>
      <c r="I3934">
        <v>4900000</v>
      </c>
      <c r="J3934">
        <v>4000000</v>
      </c>
      <c r="K3934">
        <v>10000000</v>
      </c>
      <c r="L3934">
        <v>3900000</v>
      </c>
      <c r="M3934" t="s">
        <v>34</v>
      </c>
      <c r="N3934">
        <f t="shared" si="367"/>
        <v>1</v>
      </c>
      <c r="O3934" t="str">
        <f t="shared" si="366"/>
        <v>Good</v>
      </c>
      <c r="P3934" t="str">
        <f t="shared" si="368"/>
        <v>High</v>
      </c>
      <c r="Q3934" t="str">
        <f t="shared" si="369"/>
        <v>Low Loan</v>
      </c>
      <c r="R3934">
        <f t="shared" si="370"/>
        <v>22800000</v>
      </c>
      <c r="S3934" t="str">
        <f t="shared" si="371"/>
        <v>Strong</v>
      </c>
    </row>
    <row r="3935" spans="1:19" x14ac:dyDescent="0.25">
      <c r="A3935">
        <v>3934</v>
      </c>
      <c r="B3935">
        <v>0</v>
      </c>
      <c r="C3935" t="s">
        <v>31</v>
      </c>
      <c r="D3935" t="s">
        <v>32</v>
      </c>
      <c r="E3935">
        <v>9800000</v>
      </c>
      <c r="F3935">
        <v>20100000</v>
      </c>
      <c r="G3935">
        <v>16</v>
      </c>
      <c r="H3935">
        <v>606</v>
      </c>
      <c r="I3935">
        <v>6200000</v>
      </c>
      <c r="J3935">
        <v>800000</v>
      </c>
      <c r="K3935">
        <v>37300000</v>
      </c>
      <c r="L3935">
        <v>8700000</v>
      </c>
      <c r="M3935" t="s">
        <v>34</v>
      </c>
      <c r="N3935">
        <f t="shared" si="367"/>
        <v>1</v>
      </c>
      <c r="O3935" t="str">
        <f t="shared" si="366"/>
        <v>Low</v>
      </c>
      <c r="P3935" t="str">
        <f t="shared" si="368"/>
        <v>High</v>
      </c>
      <c r="Q3935" t="str">
        <f t="shared" si="369"/>
        <v>High Loan</v>
      </c>
      <c r="R3935">
        <f t="shared" si="370"/>
        <v>53000000</v>
      </c>
      <c r="S3935" t="str">
        <f t="shared" si="371"/>
        <v>Strong</v>
      </c>
    </row>
    <row r="3936" spans="1:19" x14ac:dyDescent="0.25">
      <c r="A3936">
        <v>3935</v>
      </c>
      <c r="B3936">
        <v>1</v>
      </c>
      <c r="C3936" t="s">
        <v>31</v>
      </c>
      <c r="D3936" t="s">
        <v>32</v>
      </c>
      <c r="E3936">
        <v>5100000</v>
      </c>
      <c r="F3936">
        <v>14200000</v>
      </c>
      <c r="G3936">
        <v>6</v>
      </c>
      <c r="H3936">
        <v>451</v>
      </c>
      <c r="I3936">
        <v>6100000</v>
      </c>
      <c r="J3936">
        <v>7600000</v>
      </c>
      <c r="K3936">
        <v>11400000</v>
      </c>
      <c r="L3936">
        <v>5600000</v>
      </c>
      <c r="M3936" t="s">
        <v>35</v>
      </c>
      <c r="N3936">
        <f t="shared" si="367"/>
        <v>0</v>
      </c>
      <c r="O3936" t="str">
        <f t="shared" si="366"/>
        <v>Low</v>
      </c>
      <c r="P3936" t="str">
        <f t="shared" si="368"/>
        <v>High</v>
      </c>
      <c r="Q3936" t="str">
        <f t="shared" si="369"/>
        <v>Low Loan</v>
      </c>
      <c r="R3936">
        <f t="shared" si="370"/>
        <v>30700000</v>
      </c>
      <c r="S3936" t="str">
        <f t="shared" si="371"/>
        <v>Strong</v>
      </c>
    </row>
    <row r="3937" spans="1:19" x14ac:dyDescent="0.25">
      <c r="A3937">
        <v>3936</v>
      </c>
      <c r="B3937">
        <v>4</v>
      </c>
      <c r="C3937" t="s">
        <v>30</v>
      </c>
      <c r="D3937" t="s">
        <v>33</v>
      </c>
      <c r="E3937">
        <v>5900000</v>
      </c>
      <c r="F3937">
        <v>11800000</v>
      </c>
      <c r="G3937">
        <v>8</v>
      </c>
      <c r="H3937">
        <v>479</v>
      </c>
      <c r="I3937">
        <v>11000000</v>
      </c>
      <c r="J3937">
        <v>1200000</v>
      </c>
      <c r="K3937">
        <v>15700000</v>
      </c>
      <c r="L3937">
        <v>3900000</v>
      </c>
      <c r="M3937" t="s">
        <v>35</v>
      </c>
      <c r="N3937">
        <f t="shared" si="367"/>
        <v>0</v>
      </c>
      <c r="O3937" t="str">
        <f t="shared" si="366"/>
        <v>Low</v>
      </c>
      <c r="P3937" t="str">
        <f t="shared" si="368"/>
        <v>High</v>
      </c>
      <c r="Q3937" t="str">
        <f t="shared" si="369"/>
        <v>Low Loan</v>
      </c>
      <c r="R3937">
        <f t="shared" si="370"/>
        <v>31800000</v>
      </c>
      <c r="S3937" t="str">
        <f t="shared" si="371"/>
        <v>Strong</v>
      </c>
    </row>
    <row r="3938" spans="1:19" x14ac:dyDescent="0.25">
      <c r="A3938">
        <v>3937</v>
      </c>
      <c r="B3938">
        <v>5</v>
      </c>
      <c r="C3938" t="s">
        <v>30</v>
      </c>
      <c r="D3938" t="s">
        <v>32</v>
      </c>
      <c r="E3938">
        <v>1200000</v>
      </c>
      <c r="F3938">
        <v>2400000</v>
      </c>
      <c r="G3938">
        <v>14</v>
      </c>
      <c r="H3938">
        <v>495</v>
      </c>
      <c r="I3938">
        <v>1800000</v>
      </c>
      <c r="J3938">
        <v>1800000</v>
      </c>
      <c r="K3938">
        <v>4100000</v>
      </c>
      <c r="L3938">
        <v>1300000</v>
      </c>
      <c r="M3938" t="s">
        <v>35</v>
      </c>
      <c r="N3938">
        <f t="shared" si="367"/>
        <v>0</v>
      </c>
      <c r="O3938" t="str">
        <f t="shared" si="366"/>
        <v>Low</v>
      </c>
      <c r="P3938" t="str">
        <f t="shared" si="368"/>
        <v>High</v>
      </c>
      <c r="Q3938" t="str">
        <f t="shared" si="369"/>
        <v>Low Loan</v>
      </c>
      <c r="R3938">
        <f t="shared" si="370"/>
        <v>9000000</v>
      </c>
      <c r="S3938" t="str">
        <f t="shared" si="371"/>
        <v>Moderate</v>
      </c>
    </row>
    <row r="3939" spans="1:19" x14ac:dyDescent="0.25">
      <c r="A3939">
        <v>3938</v>
      </c>
      <c r="B3939">
        <v>2</v>
      </c>
      <c r="C3939" t="s">
        <v>31</v>
      </c>
      <c r="D3939" t="s">
        <v>32</v>
      </c>
      <c r="E3939">
        <v>9700000</v>
      </c>
      <c r="F3939">
        <v>30200000</v>
      </c>
      <c r="G3939">
        <v>14</v>
      </c>
      <c r="H3939">
        <v>769</v>
      </c>
      <c r="I3939">
        <v>23700000</v>
      </c>
      <c r="J3939">
        <v>13600000</v>
      </c>
      <c r="K3939">
        <v>26400000</v>
      </c>
      <c r="L3939">
        <v>7500000</v>
      </c>
      <c r="M3939" t="s">
        <v>34</v>
      </c>
      <c r="N3939">
        <f t="shared" si="367"/>
        <v>1</v>
      </c>
      <c r="O3939" t="str">
        <f t="shared" si="366"/>
        <v>Excellent</v>
      </c>
      <c r="P3939" t="str">
        <f t="shared" si="368"/>
        <v>High</v>
      </c>
      <c r="Q3939" t="str">
        <f t="shared" si="369"/>
        <v>High Loan</v>
      </c>
      <c r="R3939">
        <f t="shared" si="370"/>
        <v>71200000</v>
      </c>
      <c r="S3939" t="str">
        <f t="shared" si="371"/>
        <v>Strong</v>
      </c>
    </row>
    <row r="3940" spans="1:19" x14ac:dyDescent="0.25">
      <c r="A3940">
        <v>3939</v>
      </c>
      <c r="B3940">
        <v>5</v>
      </c>
      <c r="C3940" t="s">
        <v>31</v>
      </c>
      <c r="D3940" t="s">
        <v>33</v>
      </c>
      <c r="E3940">
        <v>4700000</v>
      </c>
      <c r="F3940">
        <v>11800000</v>
      </c>
      <c r="G3940">
        <v>4</v>
      </c>
      <c r="H3940">
        <v>639</v>
      </c>
      <c r="I3940">
        <v>3600000</v>
      </c>
      <c r="J3940">
        <v>700000</v>
      </c>
      <c r="K3940">
        <v>9400000</v>
      </c>
      <c r="L3940">
        <v>5500000</v>
      </c>
      <c r="M3940" t="s">
        <v>34</v>
      </c>
      <c r="N3940">
        <f t="shared" si="367"/>
        <v>1</v>
      </c>
      <c r="O3940" t="str">
        <f t="shared" si="366"/>
        <v>Low</v>
      </c>
      <c r="P3940" t="str">
        <f t="shared" si="368"/>
        <v>High</v>
      </c>
      <c r="Q3940" t="str">
        <f t="shared" si="369"/>
        <v>Low Loan</v>
      </c>
      <c r="R3940">
        <f t="shared" si="370"/>
        <v>19200000</v>
      </c>
      <c r="S3940" t="str">
        <f t="shared" si="371"/>
        <v>Strong</v>
      </c>
    </row>
    <row r="3941" spans="1:19" x14ac:dyDescent="0.25">
      <c r="A3941">
        <v>3940</v>
      </c>
      <c r="B3941">
        <v>5</v>
      </c>
      <c r="C3941" t="s">
        <v>30</v>
      </c>
      <c r="D3941" t="s">
        <v>32</v>
      </c>
      <c r="E3941">
        <v>4200000</v>
      </c>
      <c r="F3941">
        <v>12500000</v>
      </c>
      <c r="G3941">
        <v>18</v>
      </c>
      <c r="H3941">
        <v>723</v>
      </c>
      <c r="I3941">
        <v>1200000</v>
      </c>
      <c r="J3941">
        <v>300000</v>
      </c>
      <c r="K3941">
        <v>12900000</v>
      </c>
      <c r="L3941">
        <v>6100000</v>
      </c>
      <c r="M3941" t="s">
        <v>34</v>
      </c>
      <c r="N3941">
        <f t="shared" si="367"/>
        <v>1</v>
      </c>
      <c r="O3941" t="str">
        <f t="shared" si="366"/>
        <v>Good</v>
      </c>
      <c r="P3941" t="str">
        <f t="shared" si="368"/>
        <v>High</v>
      </c>
      <c r="Q3941" t="str">
        <f t="shared" si="369"/>
        <v>Low Loan</v>
      </c>
      <c r="R3941">
        <f t="shared" si="370"/>
        <v>20500000</v>
      </c>
      <c r="S3941" t="str">
        <f t="shared" si="371"/>
        <v>Strong</v>
      </c>
    </row>
    <row r="3942" spans="1:19" x14ac:dyDescent="0.25">
      <c r="A3942">
        <v>3941</v>
      </c>
      <c r="B3942">
        <v>4</v>
      </c>
      <c r="C3942" t="s">
        <v>30</v>
      </c>
      <c r="D3942" t="s">
        <v>32</v>
      </c>
      <c r="E3942">
        <v>9300000</v>
      </c>
      <c r="F3942">
        <v>26100000</v>
      </c>
      <c r="G3942">
        <v>16</v>
      </c>
      <c r="H3942">
        <v>623</v>
      </c>
      <c r="I3942">
        <v>11700000</v>
      </c>
      <c r="J3942">
        <v>10500000</v>
      </c>
      <c r="K3942">
        <v>21100000</v>
      </c>
      <c r="L3942">
        <v>10700000</v>
      </c>
      <c r="M3942" t="s">
        <v>34</v>
      </c>
      <c r="N3942">
        <f t="shared" si="367"/>
        <v>1</v>
      </c>
      <c r="O3942" t="str">
        <f t="shared" si="366"/>
        <v>Low</v>
      </c>
      <c r="P3942" t="str">
        <f t="shared" si="368"/>
        <v>High</v>
      </c>
      <c r="Q3942" t="str">
        <f t="shared" si="369"/>
        <v>High Loan</v>
      </c>
      <c r="R3942">
        <f t="shared" si="370"/>
        <v>54000000</v>
      </c>
      <c r="S3942" t="str">
        <f t="shared" si="371"/>
        <v>Strong</v>
      </c>
    </row>
    <row r="3943" spans="1:19" x14ac:dyDescent="0.25">
      <c r="A3943">
        <v>3942</v>
      </c>
      <c r="B3943">
        <v>3</v>
      </c>
      <c r="C3943" t="s">
        <v>31</v>
      </c>
      <c r="D3943" t="s">
        <v>33</v>
      </c>
      <c r="E3943">
        <v>5300000</v>
      </c>
      <c r="F3943">
        <v>20800000</v>
      </c>
      <c r="G3943">
        <v>6</v>
      </c>
      <c r="H3943">
        <v>487</v>
      </c>
      <c r="I3943">
        <v>9700000</v>
      </c>
      <c r="J3943">
        <v>3400000</v>
      </c>
      <c r="K3943">
        <v>18500000</v>
      </c>
      <c r="L3943">
        <v>4200000</v>
      </c>
      <c r="M3943" t="s">
        <v>35</v>
      </c>
      <c r="N3943">
        <f t="shared" si="367"/>
        <v>0</v>
      </c>
      <c r="O3943" t="str">
        <f t="shared" si="366"/>
        <v>Low</v>
      </c>
      <c r="P3943" t="str">
        <f t="shared" si="368"/>
        <v>High</v>
      </c>
      <c r="Q3943" t="str">
        <f t="shared" si="369"/>
        <v>High Loan</v>
      </c>
      <c r="R3943">
        <f t="shared" si="370"/>
        <v>35800000</v>
      </c>
      <c r="S3943" t="str">
        <f t="shared" si="371"/>
        <v>Strong</v>
      </c>
    </row>
    <row r="3944" spans="1:19" x14ac:dyDescent="0.25">
      <c r="A3944">
        <v>3943</v>
      </c>
      <c r="B3944">
        <v>0</v>
      </c>
      <c r="C3944" t="s">
        <v>30</v>
      </c>
      <c r="D3944" t="s">
        <v>32</v>
      </c>
      <c r="E3944">
        <v>7600000</v>
      </c>
      <c r="F3944">
        <v>30100000</v>
      </c>
      <c r="G3944">
        <v>2</v>
      </c>
      <c r="H3944">
        <v>743</v>
      </c>
      <c r="I3944">
        <v>20700000</v>
      </c>
      <c r="J3944">
        <v>8700000</v>
      </c>
      <c r="K3944">
        <v>27600000</v>
      </c>
      <c r="L3944">
        <v>9600000</v>
      </c>
      <c r="M3944" t="s">
        <v>34</v>
      </c>
      <c r="N3944">
        <f t="shared" si="367"/>
        <v>1</v>
      </c>
      <c r="O3944" t="str">
        <f t="shared" si="366"/>
        <v>Good</v>
      </c>
      <c r="P3944" t="str">
        <f t="shared" si="368"/>
        <v>High</v>
      </c>
      <c r="Q3944" t="str">
        <f t="shared" si="369"/>
        <v>High Loan</v>
      </c>
      <c r="R3944">
        <f t="shared" si="370"/>
        <v>66600000</v>
      </c>
      <c r="S3944" t="str">
        <f t="shared" si="371"/>
        <v>Strong</v>
      </c>
    </row>
    <row r="3945" spans="1:19" x14ac:dyDescent="0.25">
      <c r="A3945">
        <v>3944</v>
      </c>
      <c r="B3945">
        <v>2</v>
      </c>
      <c r="C3945" t="s">
        <v>30</v>
      </c>
      <c r="D3945" t="s">
        <v>32</v>
      </c>
      <c r="E3945">
        <v>6200000</v>
      </c>
      <c r="F3945">
        <v>16900000</v>
      </c>
      <c r="G3945">
        <v>12</v>
      </c>
      <c r="H3945">
        <v>754</v>
      </c>
      <c r="I3945">
        <v>2300000</v>
      </c>
      <c r="J3945">
        <v>4200000</v>
      </c>
      <c r="K3945">
        <v>15300000</v>
      </c>
      <c r="L3945">
        <v>7900000</v>
      </c>
      <c r="M3945" t="s">
        <v>34</v>
      </c>
      <c r="N3945">
        <f t="shared" si="367"/>
        <v>1</v>
      </c>
      <c r="O3945" t="str">
        <f t="shared" si="366"/>
        <v>Excellent</v>
      </c>
      <c r="P3945" t="str">
        <f t="shared" si="368"/>
        <v>High</v>
      </c>
      <c r="Q3945" t="str">
        <f t="shared" si="369"/>
        <v>Low Loan</v>
      </c>
      <c r="R3945">
        <f t="shared" si="370"/>
        <v>29700000</v>
      </c>
      <c r="S3945" t="str">
        <f t="shared" si="371"/>
        <v>Strong</v>
      </c>
    </row>
    <row r="3946" spans="1:19" x14ac:dyDescent="0.25">
      <c r="A3946">
        <v>3945</v>
      </c>
      <c r="B3946">
        <v>0</v>
      </c>
      <c r="C3946" t="s">
        <v>30</v>
      </c>
      <c r="D3946" t="s">
        <v>32</v>
      </c>
      <c r="E3946">
        <v>8900000</v>
      </c>
      <c r="F3946">
        <v>21600000</v>
      </c>
      <c r="G3946">
        <v>10</v>
      </c>
      <c r="H3946">
        <v>552</v>
      </c>
      <c r="I3946">
        <v>2300000</v>
      </c>
      <c r="J3946">
        <v>9900000</v>
      </c>
      <c r="K3946">
        <v>20700000</v>
      </c>
      <c r="L3946">
        <v>11900000</v>
      </c>
      <c r="M3946" t="s">
        <v>34</v>
      </c>
      <c r="N3946">
        <f t="shared" si="367"/>
        <v>1</v>
      </c>
      <c r="O3946" t="str">
        <f t="shared" si="366"/>
        <v>Low</v>
      </c>
      <c r="P3946" t="str">
        <f t="shared" si="368"/>
        <v>High</v>
      </c>
      <c r="Q3946" t="str">
        <f t="shared" si="369"/>
        <v>High Loan</v>
      </c>
      <c r="R3946">
        <f t="shared" si="370"/>
        <v>44800000</v>
      </c>
      <c r="S3946" t="str">
        <f t="shared" si="371"/>
        <v>Strong</v>
      </c>
    </row>
    <row r="3947" spans="1:19" x14ac:dyDescent="0.25">
      <c r="A3947">
        <v>3946</v>
      </c>
      <c r="B3947">
        <v>4</v>
      </c>
      <c r="C3947" t="s">
        <v>31</v>
      </c>
      <c r="D3947" t="s">
        <v>33</v>
      </c>
      <c r="E3947">
        <v>7900000</v>
      </c>
      <c r="F3947">
        <v>27300000</v>
      </c>
      <c r="G3947">
        <v>10</v>
      </c>
      <c r="H3947">
        <v>560</v>
      </c>
      <c r="I3947">
        <v>23100000</v>
      </c>
      <c r="J3947">
        <v>14400000</v>
      </c>
      <c r="K3947">
        <v>28500000</v>
      </c>
      <c r="L3947">
        <v>10900000</v>
      </c>
      <c r="M3947" t="s">
        <v>34</v>
      </c>
      <c r="N3947">
        <f t="shared" si="367"/>
        <v>1</v>
      </c>
      <c r="O3947" t="str">
        <f t="shared" si="366"/>
        <v>Low</v>
      </c>
      <c r="P3947" t="str">
        <f t="shared" si="368"/>
        <v>High</v>
      </c>
      <c r="Q3947" t="str">
        <f t="shared" si="369"/>
        <v>High Loan</v>
      </c>
      <c r="R3947">
        <f t="shared" si="370"/>
        <v>76900000</v>
      </c>
      <c r="S3947" t="str">
        <f t="shared" si="371"/>
        <v>Strong</v>
      </c>
    </row>
    <row r="3948" spans="1:19" x14ac:dyDescent="0.25">
      <c r="A3948">
        <v>3947</v>
      </c>
      <c r="B3948">
        <v>1</v>
      </c>
      <c r="C3948" t="s">
        <v>30</v>
      </c>
      <c r="D3948" t="s">
        <v>33</v>
      </c>
      <c r="E3948">
        <v>3500000</v>
      </c>
      <c r="F3948">
        <v>10800000</v>
      </c>
      <c r="G3948">
        <v>14</v>
      </c>
      <c r="H3948">
        <v>632</v>
      </c>
      <c r="I3948">
        <v>6900000</v>
      </c>
      <c r="J3948">
        <v>1500000</v>
      </c>
      <c r="K3948">
        <v>10900000</v>
      </c>
      <c r="L3948">
        <v>4200000</v>
      </c>
      <c r="M3948" t="s">
        <v>34</v>
      </c>
      <c r="N3948">
        <f t="shared" si="367"/>
        <v>1</v>
      </c>
      <c r="O3948" t="str">
        <f t="shared" si="366"/>
        <v>Low</v>
      </c>
      <c r="P3948" t="str">
        <f t="shared" si="368"/>
        <v>High</v>
      </c>
      <c r="Q3948" t="str">
        <f t="shared" si="369"/>
        <v>Low Loan</v>
      </c>
      <c r="R3948">
        <f t="shared" si="370"/>
        <v>23500000</v>
      </c>
      <c r="S3948" t="str">
        <f t="shared" si="371"/>
        <v>Strong</v>
      </c>
    </row>
    <row r="3949" spans="1:19" x14ac:dyDescent="0.25">
      <c r="A3949">
        <v>3948</v>
      </c>
      <c r="B3949">
        <v>2</v>
      </c>
      <c r="C3949" t="s">
        <v>30</v>
      </c>
      <c r="D3949" t="s">
        <v>32</v>
      </c>
      <c r="E3949">
        <v>5300000</v>
      </c>
      <c r="F3949">
        <v>16700000</v>
      </c>
      <c r="G3949">
        <v>18</v>
      </c>
      <c r="H3949">
        <v>339</v>
      </c>
      <c r="I3949">
        <v>4600000</v>
      </c>
      <c r="J3949">
        <v>3300000</v>
      </c>
      <c r="K3949">
        <v>12000000</v>
      </c>
      <c r="L3949">
        <v>4100000</v>
      </c>
      <c r="M3949" t="s">
        <v>35</v>
      </c>
      <c r="N3949">
        <f t="shared" si="367"/>
        <v>0</v>
      </c>
      <c r="O3949" t="str">
        <f t="shared" si="366"/>
        <v>Low</v>
      </c>
      <c r="P3949" t="str">
        <f t="shared" si="368"/>
        <v>High</v>
      </c>
      <c r="Q3949" t="str">
        <f t="shared" si="369"/>
        <v>Low Loan</v>
      </c>
      <c r="R3949">
        <f t="shared" si="370"/>
        <v>24000000</v>
      </c>
      <c r="S3949" t="str">
        <f t="shared" si="371"/>
        <v>Strong</v>
      </c>
    </row>
    <row r="3950" spans="1:19" x14ac:dyDescent="0.25">
      <c r="A3950">
        <v>3949</v>
      </c>
      <c r="B3950">
        <v>2</v>
      </c>
      <c r="C3950" t="s">
        <v>31</v>
      </c>
      <c r="D3950" t="s">
        <v>32</v>
      </c>
      <c r="E3950">
        <v>1400000</v>
      </c>
      <c r="F3950">
        <v>3100000</v>
      </c>
      <c r="G3950">
        <v>4</v>
      </c>
      <c r="H3950">
        <v>881</v>
      </c>
      <c r="I3950">
        <v>3700000</v>
      </c>
      <c r="J3950">
        <v>400000</v>
      </c>
      <c r="K3950">
        <v>5000000</v>
      </c>
      <c r="L3950">
        <v>1100000</v>
      </c>
      <c r="M3950" t="s">
        <v>34</v>
      </c>
      <c r="N3950">
        <f t="shared" si="367"/>
        <v>1</v>
      </c>
      <c r="O3950" t="str">
        <f t="shared" si="366"/>
        <v>Excellent</v>
      </c>
      <c r="P3950" t="str">
        <f t="shared" si="368"/>
        <v>High</v>
      </c>
      <c r="Q3950" t="str">
        <f t="shared" si="369"/>
        <v>Low Loan</v>
      </c>
      <c r="R3950">
        <f t="shared" si="370"/>
        <v>10200000</v>
      </c>
      <c r="S3950" t="str">
        <f t="shared" si="371"/>
        <v>Strong</v>
      </c>
    </row>
    <row r="3951" spans="1:19" x14ac:dyDescent="0.25">
      <c r="A3951">
        <v>3950</v>
      </c>
      <c r="B3951">
        <v>1</v>
      </c>
      <c r="C3951" t="s">
        <v>31</v>
      </c>
      <c r="D3951" t="s">
        <v>33</v>
      </c>
      <c r="E3951">
        <v>9100000</v>
      </c>
      <c r="F3951">
        <v>23600000</v>
      </c>
      <c r="G3951">
        <v>20</v>
      </c>
      <c r="H3951">
        <v>535</v>
      </c>
      <c r="I3951">
        <v>2800000</v>
      </c>
      <c r="J3951">
        <v>17600000</v>
      </c>
      <c r="K3951">
        <v>26400000</v>
      </c>
      <c r="L3951">
        <v>4500000</v>
      </c>
      <c r="M3951" t="s">
        <v>35</v>
      </c>
      <c r="N3951">
        <f t="shared" si="367"/>
        <v>0</v>
      </c>
      <c r="O3951" t="str">
        <f t="shared" si="366"/>
        <v>Low</v>
      </c>
      <c r="P3951" t="str">
        <f t="shared" si="368"/>
        <v>High</v>
      </c>
      <c r="Q3951" t="str">
        <f t="shared" si="369"/>
        <v>High Loan</v>
      </c>
      <c r="R3951">
        <f t="shared" si="370"/>
        <v>51300000</v>
      </c>
      <c r="S3951" t="str">
        <f t="shared" si="371"/>
        <v>Strong</v>
      </c>
    </row>
    <row r="3952" spans="1:19" x14ac:dyDescent="0.25">
      <c r="A3952">
        <v>3951</v>
      </c>
      <c r="B3952">
        <v>4</v>
      </c>
      <c r="C3952" t="s">
        <v>31</v>
      </c>
      <c r="D3952" t="s">
        <v>32</v>
      </c>
      <c r="E3952">
        <v>4400000</v>
      </c>
      <c r="F3952">
        <v>17200000</v>
      </c>
      <c r="G3952">
        <v>4</v>
      </c>
      <c r="H3952">
        <v>563</v>
      </c>
      <c r="I3952">
        <v>4100000</v>
      </c>
      <c r="J3952">
        <v>3700000</v>
      </c>
      <c r="K3952">
        <v>12700000</v>
      </c>
      <c r="L3952">
        <v>2900000</v>
      </c>
      <c r="M3952" t="s">
        <v>34</v>
      </c>
      <c r="N3952">
        <f t="shared" si="367"/>
        <v>1</v>
      </c>
      <c r="O3952" t="str">
        <f t="shared" si="366"/>
        <v>Low</v>
      </c>
      <c r="P3952" t="str">
        <f t="shared" si="368"/>
        <v>High</v>
      </c>
      <c r="Q3952" t="str">
        <f t="shared" si="369"/>
        <v>Low Loan</v>
      </c>
      <c r="R3952">
        <f t="shared" si="370"/>
        <v>23400000</v>
      </c>
      <c r="S3952" t="str">
        <f t="shared" si="371"/>
        <v>Strong</v>
      </c>
    </row>
    <row r="3953" spans="1:19" x14ac:dyDescent="0.25">
      <c r="A3953">
        <v>3952</v>
      </c>
      <c r="B3953">
        <v>5</v>
      </c>
      <c r="C3953" t="s">
        <v>31</v>
      </c>
      <c r="D3953" t="s">
        <v>32</v>
      </c>
      <c r="E3953">
        <v>2800000</v>
      </c>
      <c r="F3953">
        <v>8200000</v>
      </c>
      <c r="G3953">
        <v>14</v>
      </c>
      <c r="H3953">
        <v>615</v>
      </c>
      <c r="I3953">
        <v>7400000</v>
      </c>
      <c r="J3953">
        <v>3300000</v>
      </c>
      <c r="K3953">
        <v>6700000</v>
      </c>
      <c r="L3953">
        <v>2700000</v>
      </c>
      <c r="M3953" t="s">
        <v>34</v>
      </c>
      <c r="N3953">
        <f t="shared" si="367"/>
        <v>1</v>
      </c>
      <c r="O3953" t="str">
        <f t="shared" si="366"/>
        <v>Low</v>
      </c>
      <c r="P3953" t="str">
        <f t="shared" si="368"/>
        <v>High</v>
      </c>
      <c r="Q3953" t="str">
        <f t="shared" si="369"/>
        <v>Low Loan</v>
      </c>
      <c r="R3953">
        <f t="shared" si="370"/>
        <v>20100000</v>
      </c>
      <c r="S3953" t="str">
        <f t="shared" si="371"/>
        <v>Strong</v>
      </c>
    </row>
    <row r="3954" spans="1:19" x14ac:dyDescent="0.25">
      <c r="A3954">
        <v>3953</v>
      </c>
      <c r="B3954">
        <v>3</v>
      </c>
      <c r="C3954" t="s">
        <v>31</v>
      </c>
      <c r="D3954" t="s">
        <v>32</v>
      </c>
      <c r="E3954">
        <v>1300000</v>
      </c>
      <c r="F3954">
        <v>3300000</v>
      </c>
      <c r="G3954">
        <v>8</v>
      </c>
      <c r="H3954">
        <v>795</v>
      </c>
      <c r="I3954">
        <v>1400000</v>
      </c>
      <c r="J3954">
        <v>800000</v>
      </c>
      <c r="K3954">
        <v>4600000</v>
      </c>
      <c r="L3954">
        <v>1600000</v>
      </c>
      <c r="M3954" t="s">
        <v>34</v>
      </c>
      <c r="N3954">
        <f t="shared" si="367"/>
        <v>1</v>
      </c>
      <c r="O3954" t="str">
        <f t="shared" si="366"/>
        <v>Excellent</v>
      </c>
      <c r="P3954" t="str">
        <f t="shared" si="368"/>
        <v>High</v>
      </c>
      <c r="Q3954" t="str">
        <f t="shared" si="369"/>
        <v>Low Loan</v>
      </c>
      <c r="R3954">
        <f t="shared" si="370"/>
        <v>8400000</v>
      </c>
      <c r="S3954" t="str">
        <f t="shared" si="371"/>
        <v>Moderate</v>
      </c>
    </row>
    <row r="3955" spans="1:19" x14ac:dyDescent="0.25">
      <c r="A3955">
        <v>3954</v>
      </c>
      <c r="B3955">
        <v>4</v>
      </c>
      <c r="C3955" t="s">
        <v>30</v>
      </c>
      <c r="D3955" t="s">
        <v>32</v>
      </c>
      <c r="E3955">
        <v>8400000</v>
      </c>
      <c r="F3955">
        <v>28700000</v>
      </c>
      <c r="G3955">
        <v>14</v>
      </c>
      <c r="H3955">
        <v>878</v>
      </c>
      <c r="I3955">
        <v>23400000</v>
      </c>
      <c r="J3955">
        <v>8300000</v>
      </c>
      <c r="K3955">
        <v>23900000</v>
      </c>
      <c r="L3955">
        <v>8600000</v>
      </c>
      <c r="M3955" t="s">
        <v>34</v>
      </c>
      <c r="N3955">
        <f t="shared" si="367"/>
        <v>1</v>
      </c>
      <c r="O3955" t="str">
        <f t="shared" si="366"/>
        <v>Excellent</v>
      </c>
      <c r="P3955" t="str">
        <f t="shared" si="368"/>
        <v>High</v>
      </c>
      <c r="Q3955" t="str">
        <f t="shared" si="369"/>
        <v>High Loan</v>
      </c>
      <c r="R3955">
        <f t="shared" si="370"/>
        <v>64200000</v>
      </c>
      <c r="S3955" t="str">
        <f t="shared" si="371"/>
        <v>Strong</v>
      </c>
    </row>
    <row r="3956" spans="1:19" x14ac:dyDescent="0.25">
      <c r="A3956">
        <v>3955</v>
      </c>
      <c r="B3956">
        <v>5</v>
      </c>
      <c r="C3956" t="s">
        <v>30</v>
      </c>
      <c r="D3956" t="s">
        <v>33</v>
      </c>
      <c r="E3956">
        <v>5300000</v>
      </c>
      <c r="F3956">
        <v>14000000</v>
      </c>
      <c r="G3956">
        <v>6</v>
      </c>
      <c r="H3956">
        <v>633</v>
      </c>
      <c r="I3956">
        <v>11800000</v>
      </c>
      <c r="J3956">
        <v>4500000</v>
      </c>
      <c r="K3956">
        <v>12800000</v>
      </c>
      <c r="L3956">
        <v>6100000</v>
      </c>
      <c r="M3956" t="s">
        <v>34</v>
      </c>
      <c r="N3956">
        <f t="shared" si="367"/>
        <v>1</v>
      </c>
      <c r="O3956" t="str">
        <f t="shared" si="366"/>
        <v>Low</v>
      </c>
      <c r="P3956" t="str">
        <f t="shared" si="368"/>
        <v>High</v>
      </c>
      <c r="Q3956" t="str">
        <f t="shared" si="369"/>
        <v>Low Loan</v>
      </c>
      <c r="R3956">
        <f t="shared" si="370"/>
        <v>35200000</v>
      </c>
      <c r="S3956" t="str">
        <f t="shared" si="371"/>
        <v>Strong</v>
      </c>
    </row>
    <row r="3957" spans="1:19" x14ac:dyDescent="0.25">
      <c r="A3957">
        <v>3956</v>
      </c>
      <c r="B3957">
        <v>2</v>
      </c>
      <c r="C3957" t="s">
        <v>30</v>
      </c>
      <c r="D3957" t="s">
        <v>32</v>
      </c>
      <c r="E3957">
        <v>6000000</v>
      </c>
      <c r="F3957">
        <v>13900000</v>
      </c>
      <c r="G3957">
        <v>4</v>
      </c>
      <c r="H3957">
        <v>533</v>
      </c>
      <c r="I3957">
        <v>3000000</v>
      </c>
      <c r="J3957">
        <v>9600000</v>
      </c>
      <c r="K3957">
        <v>14600000</v>
      </c>
      <c r="L3957">
        <v>4100000</v>
      </c>
      <c r="M3957" t="s">
        <v>35</v>
      </c>
      <c r="N3957">
        <f t="shared" si="367"/>
        <v>0</v>
      </c>
      <c r="O3957" t="str">
        <f t="shared" si="366"/>
        <v>Low</v>
      </c>
      <c r="P3957" t="str">
        <f t="shared" si="368"/>
        <v>High</v>
      </c>
      <c r="Q3957" t="str">
        <f t="shared" si="369"/>
        <v>Low Loan</v>
      </c>
      <c r="R3957">
        <f t="shared" si="370"/>
        <v>31300000</v>
      </c>
      <c r="S3957" t="str">
        <f t="shared" si="371"/>
        <v>Strong</v>
      </c>
    </row>
    <row r="3958" spans="1:19" x14ac:dyDescent="0.25">
      <c r="A3958">
        <v>3957</v>
      </c>
      <c r="B3958">
        <v>2</v>
      </c>
      <c r="C3958" t="s">
        <v>31</v>
      </c>
      <c r="D3958" t="s">
        <v>33</v>
      </c>
      <c r="E3958">
        <v>2100000</v>
      </c>
      <c r="F3958">
        <v>6800000</v>
      </c>
      <c r="G3958">
        <v>12</v>
      </c>
      <c r="H3958">
        <v>795</v>
      </c>
      <c r="I3958">
        <v>6100000</v>
      </c>
      <c r="J3958">
        <v>1900000</v>
      </c>
      <c r="K3958">
        <v>7200000</v>
      </c>
      <c r="L3958">
        <v>2400000</v>
      </c>
      <c r="M3958" t="s">
        <v>34</v>
      </c>
      <c r="N3958">
        <f t="shared" si="367"/>
        <v>1</v>
      </c>
      <c r="O3958" t="str">
        <f t="shared" si="366"/>
        <v>Excellent</v>
      </c>
      <c r="P3958" t="str">
        <f t="shared" si="368"/>
        <v>High</v>
      </c>
      <c r="Q3958" t="str">
        <f t="shared" si="369"/>
        <v>Low Loan</v>
      </c>
      <c r="R3958">
        <f t="shared" si="370"/>
        <v>17600000</v>
      </c>
      <c r="S3958" t="str">
        <f t="shared" si="371"/>
        <v>Strong</v>
      </c>
    </row>
    <row r="3959" spans="1:19" x14ac:dyDescent="0.25">
      <c r="A3959">
        <v>3958</v>
      </c>
      <c r="B3959">
        <v>0</v>
      </c>
      <c r="C3959" t="s">
        <v>31</v>
      </c>
      <c r="D3959" t="s">
        <v>32</v>
      </c>
      <c r="E3959">
        <v>4300000</v>
      </c>
      <c r="F3959">
        <v>11000000</v>
      </c>
      <c r="G3959">
        <v>4</v>
      </c>
      <c r="H3959">
        <v>374</v>
      </c>
      <c r="I3959">
        <v>7100000</v>
      </c>
      <c r="J3959">
        <v>7300000</v>
      </c>
      <c r="K3959">
        <v>9300000</v>
      </c>
      <c r="L3959">
        <v>4700000</v>
      </c>
      <c r="M3959" t="s">
        <v>35</v>
      </c>
      <c r="N3959">
        <f t="shared" si="367"/>
        <v>0</v>
      </c>
      <c r="O3959" t="str">
        <f t="shared" si="366"/>
        <v>Low</v>
      </c>
      <c r="P3959" t="str">
        <f t="shared" si="368"/>
        <v>High</v>
      </c>
      <c r="Q3959" t="str">
        <f t="shared" si="369"/>
        <v>Low Loan</v>
      </c>
      <c r="R3959">
        <f t="shared" si="370"/>
        <v>28400000</v>
      </c>
      <c r="S3959" t="str">
        <f t="shared" si="371"/>
        <v>Strong</v>
      </c>
    </row>
    <row r="3960" spans="1:19" x14ac:dyDescent="0.25">
      <c r="A3960">
        <v>3959</v>
      </c>
      <c r="B3960">
        <v>4</v>
      </c>
      <c r="C3960" t="s">
        <v>31</v>
      </c>
      <c r="D3960" t="s">
        <v>33</v>
      </c>
      <c r="E3960">
        <v>7300000</v>
      </c>
      <c r="F3960">
        <v>22900000</v>
      </c>
      <c r="G3960">
        <v>12</v>
      </c>
      <c r="H3960">
        <v>848</v>
      </c>
      <c r="I3960">
        <v>6300000</v>
      </c>
      <c r="J3960">
        <v>2900000</v>
      </c>
      <c r="K3960">
        <v>28500000</v>
      </c>
      <c r="L3960">
        <v>4100000</v>
      </c>
      <c r="M3960" t="s">
        <v>34</v>
      </c>
      <c r="N3960">
        <f t="shared" si="367"/>
        <v>1</v>
      </c>
      <c r="O3960" t="str">
        <f t="shared" si="366"/>
        <v>Excellent</v>
      </c>
      <c r="P3960" t="str">
        <f t="shared" si="368"/>
        <v>High</v>
      </c>
      <c r="Q3960" t="str">
        <f t="shared" si="369"/>
        <v>High Loan</v>
      </c>
      <c r="R3960">
        <f t="shared" si="370"/>
        <v>41800000</v>
      </c>
      <c r="S3960" t="str">
        <f t="shared" si="371"/>
        <v>Strong</v>
      </c>
    </row>
    <row r="3961" spans="1:19" x14ac:dyDescent="0.25">
      <c r="A3961">
        <v>3960</v>
      </c>
      <c r="B3961">
        <v>2</v>
      </c>
      <c r="C3961" t="s">
        <v>30</v>
      </c>
      <c r="D3961" t="s">
        <v>32</v>
      </c>
      <c r="E3961">
        <v>5200000</v>
      </c>
      <c r="F3961">
        <v>16200000</v>
      </c>
      <c r="G3961">
        <v>12</v>
      </c>
      <c r="H3961">
        <v>890</v>
      </c>
      <c r="I3961">
        <v>10500000</v>
      </c>
      <c r="J3961">
        <v>9600000</v>
      </c>
      <c r="K3961">
        <v>15800000</v>
      </c>
      <c r="L3961">
        <v>3900000</v>
      </c>
      <c r="M3961" t="s">
        <v>34</v>
      </c>
      <c r="N3961">
        <f t="shared" si="367"/>
        <v>1</v>
      </c>
      <c r="O3961" t="str">
        <f t="shared" si="366"/>
        <v>Excellent</v>
      </c>
      <c r="P3961" t="str">
        <f t="shared" si="368"/>
        <v>High</v>
      </c>
      <c r="Q3961" t="str">
        <f t="shared" si="369"/>
        <v>Low Loan</v>
      </c>
      <c r="R3961">
        <f t="shared" si="370"/>
        <v>39800000</v>
      </c>
      <c r="S3961" t="str">
        <f t="shared" si="371"/>
        <v>Strong</v>
      </c>
    </row>
    <row r="3962" spans="1:19" x14ac:dyDescent="0.25">
      <c r="A3962">
        <v>3961</v>
      </c>
      <c r="B3962">
        <v>3</v>
      </c>
      <c r="C3962" t="s">
        <v>30</v>
      </c>
      <c r="D3962" t="s">
        <v>32</v>
      </c>
      <c r="E3962">
        <v>4700000</v>
      </c>
      <c r="F3962">
        <v>9800000</v>
      </c>
      <c r="G3962">
        <v>14</v>
      </c>
      <c r="H3962">
        <v>444</v>
      </c>
      <c r="I3962">
        <v>8200000</v>
      </c>
      <c r="J3962">
        <v>300000</v>
      </c>
      <c r="K3962">
        <v>15700000</v>
      </c>
      <c r="L3962">
        <v>3800000</v>
      </c>
      <c r="M3962" t="s">
        <v>35</v>
      </c>
      <c r="N3962">
        <f t="shared" si="367"/>
        <v>0</v>
      </c>
      <c r="O3962" t="str">
        <f t="shared" si="366"/>
        <v>Low</v>
      </c>
      <c r="P3962" t="str">
        <f t="shared" si="368"/>
        <v>High</v>
      </c>
      <c r="Q3962" t="str">
        <f t="shared" si="369"/>
        <v>Low Loan</v>
      </c>
      <c r="R3962">
        <f t="shared" si="370"/>
        <v>28000000</v>
      </c>
      <c r="S3962" t="str">
        <f t="shared" si="371"/>
        <v>Strong</v>
      </c>
    </row>
    <row r="3963" spans="1:19" x14ac:dyDescent="0.25">
      <c r="A3963">
        <v>3962</v>
      </c>
      <c r="B3963">
        <v>4</v>
      </c>
      <c r="C3963" t="s">
        <v>30</v>
      </c>
      <c r="D3963" t="s">
        <v>32</v>
      </c>
      <c r="E3963">
        <v>7800000</v>
      </c>
      <c r="F3963">
        <v>28500000</v>
      </c>
      <c r="G3963">
        <v>4</v>
      </c>
      <c r="H3963">
        <v>803</v>
      </c>
      <c r="I3963">
        <v>15500000</v>
      </c>
      <c r="J3963">
        <v>11300000</v>
      </c>
      <c r="K3963">
        <v>21100000</v>
      </c>
      <c r="L3963">
        <v>9800000</v>
      </c>
      <c r="M3963" t="s">
        <v>34</v>
      </c>
      <c r="N3963">
        <f t="shared" si="367"/>
        <v>1</v>
      </c>
      <c r="O3963" t="str">
        <f t="shared" si="366"/>
        <v>Excellent</v>
      </c>
      <c r="P3963" t="str">
        <f t="shared" si="368"/>
        <v>High</v>
      </c>
      <c r="Q3963" t="str">
        <f t="shared" si="369"/>
        <v>High Loan</v>
      </c>
      <c r="R3963">
        <f t="shared" si="370"/>
        <v>57700000</v>
      </c>
      <c r="S3963" t="str">
        <f t="shared" si="371"/>
        <v>Strong</v>
      </c>
    </row>
    <row r="3964" spans="1:19" x14ac:dyDescent="0.25">
      <c r="A3964">
        <v>3963</v>
      </c>
      <c r="B3964">
        <v>3</v>
      </c>
      <c r="C3964" t="s">
        <v>30</v>
      </c>
      <c r="D3964" t="s">
        <v>33</v>
      </c>
      <c r="E3964">
        <v>500000</v>
      </c>
      <c r="F3964">
        <v>1900000</v>
      </c>
      <c r="G3964">
        <v>18</v>
      </c>
      <c r="H3964">
        <v>618</v>
      </c>
      <c r="I3964">
        <v>-100000</v>
      </c>
      <c r="J3964">
        <v>600000</v>
      </c>
      <c r="K3964">
        <v>1000000</v>
      </c>
      <c r="L3964">
        <v>400000</v>
      </c>
      <c r="M3964" t="s">
        <v>34</v>
      </c>
      <c r="N3964">
        <f t="shared" si="367"/>
        <v>1</v>
      </c>
      <c r="O3964" t="str">
        <f t="shared" si="366"/>
        <v>Low</v>
      </c>
      <c r="P3964" t="str">
        <f t="shared" si="368"/>
        <v>Middle</v>
      </c>
      <c r="Q3964" t="str">
        <f t="shared" si="369"/>
        <v>Low Loan</v>
      </c>
      <c r="R3964">
        <f t="shared" si="370"/>
        <v>1900000</v>
      </c>
      <c r="S3964" t="str">
        <f t="shared" si="371"/>
        <v>Weak</v>
      </c>
    </row>
    <row r="3965" spans="1:19" x14ac:dyDescent="0.25">
      <c r="A3965">
        <v>3964</v>
      </c>
      <c r="B3965">
        <v>1</v>
      </c>
      <c r="C3965" t="s">
        <v>31</v>
      </c>
      <c r="D3965" t="s">
        <v>33</v>
      </c>
      <c r="E3965">
        <v>6000000</v>
      </c>
      <c r="F3965">
        <v>20300000</v>
      </c>
      <c r="G3965">
        <v>14</v>
      </c>
      <c r="H3965">
        <v>845</v>
      </c>
      <c r="I3965">
        <v>5000000</v>
      </c>
      <c r="J3965">
        <v>7800000</v>
      </c>
      <c r="K3965">
        <v>23700000</v>
      </c>
      <c r="L3965">
        <v>8700000</v>
      </c>
      <c r="M3965" t="s">
        <v>34</v>
      </c>
      <c r="N3965">
        <f t="shared" si="367"/>
        <v>1</v>
      </c>
      <c r="O3965" t="str">
        <f t="shared" si="366"/>
        <v>Excellent</v>
      </c>
      <c r="P3965" t="str">
        <f t="shared" si="368"/>
        <v>High</v>
      </c>
      <c r="Q3965" t="str">
        <f t="shared" si="369"/>
        <v>High Loan</v>
      </c>
      <c r="R3965">
        <f t="shared" si="370"/>
        <v>45200000</v>
      </c>
      <c r="S3965" t="str">
        <f t="shared" si="371"/>
        <v>Strong</v>
      </c>
    </row>
    <row r="3966" spans="1:19" x14ac:dyDescent="0.25">
      <c r="A3966">
        <v>3965</v>
      </c>
      <c r="B3966">
        <v>4</v>
      </c>
      <c r="C3966" t="s">
        <v>30</v>
      </c>
      <c r="D3966" t="s">
        <v>32</v>
      </c>
      <c r="E3966">
        <v>4800000</v>
      </c>
      <c r="F3966">
        <v>10800000</v>
      </c>
      <c r="G3966">
        <v>12</v>
      </c>
      <c r="H3966">
        <v>833</v>
      </c>
      <c r="I3966">
        <v>3000000</v>
      </c>
      <c r="J3966">
        <v>4000000</v>
      </c>
      <c r="K3966">
        <v>16400000</v>
      </c>
      <c r="L3966">
        <v>7100000</v>
      </c>
      <c r="M3966" t="s">
        <v>34</v>
      </c>
      <c r="N3966">
        <f t="shared" si="367"/>
        <v>1</v>
      </c>
      <c r="O3966" t="str">
        <f t="shared" si="366"/>
        <v>Excellent</v>
      </c>
      <c r="P3966" t="str">
        <f t="shared" si="368"/>
        <v>High</v>
      </c>
      <c r="Q3966" t="str">
        <f t="shared" si="369"/>
        <v>Low Loan</v>
      </c>
      <c r="R3966">
        <f t="shared" si="370"/>
        <v>30500000</v>
      </c>
      <c r="S3966" t="str">
        <f t="shared" si="371"/>
        <v>Strong</v>
      </c>
    </row>
    <row r="3967" spans="1:19" x14ac:dyDescent="0.25">
      <c r="A3967">
        <v>3966</v>
      </c>
      <c r="B3967">
        <v>3</v>
      </c>
      <c r="C3967" t="s">
        <v>30</v>
      </c>
      <c r="D3967" t="s">
        <v>33</v>
      </c>
      <c r="E3967">
        <v>8900000</v>
      </c>
      <c r="F3967">
        <v>19300000</v>
      </c>
      <c r="G3967">
        <v>12</v>
      </c>
      <c r="H3967">
        <v>767</v>
      </c>
      <c r="I3967">
        <v>12000000</v>
      </c>
      <c r="J3967">
        <v>2200000</v>
      </c>
      <c r="K3967">
        <v>24700000</v>
      </c>
      <c r="L3967">
        <v>7700000</v>
      </c>
      <c r="M3967" t="s">
        <v>34</v>
      </c>
      <c r="N3967">
        <f t="shared" si="367"/>
        <v>1</v>
      </c>
      <c r="O3967" t="str">
        <f t="shared" si="366"/>
        <v>Excellent</v>
      </c>
      <c r="P3967" t="str">
        <f t="shared" si="368"/>
        <v>High</v>
      </c>
      <c r="Q3967" t="str">
        <f t="shared" si="369"/>
        <v>Low Loan</v>
      </c>
      <c r="R3967">
        <f t="shared" si="370"/>
        <v>46600000</v>
      </c>
      <c r="S3967" t="str">
        <f t="shared" si="371"/>
        <v>Strong</v>
      </c>
    </row>
    <row r="3968" spans="1:19" x14ac:dyDescent="0.25">
      <c r="A3968">
        <v>3967</v>
      </c>
      <c r="B3968">
        <v>1</v>
      </c>
      <c r="C3968" t="s">
        <v>30</v>
      </c>
      <c r="D3968" t="s">
        <v>33</v>
      </c>
      <c r="E3968">
        <v>1800000</v>
      </c>
      <c r="F3968">
        <v>4000000</v>
      </c>
      <c r="G3968">
        <v>16</v>
      </c>
      <c r="H3968">
        <v>747</v>
      </c>
      <c r="I3968">
        <v>700000</v>
      </c>
      <c r="J3968">
        <v>200000</v>
      </c>
      <c r="K3968">
        <v>4600000</v>
      </c>
      <c r="L3968">
        <v>900000</v>
      </c>
      <c r="M3968" t="s">
        <v>34</v>
      </c>
      <c r="N3968">
        <f t="shared" si="367"/>
        <v>1</v>
      </c>
      <c r="O3968" t="str">
        <f t="shared" si="366"/>
        <v>Good</v>
      </c>
      <c r="P3968" t="str">
        <f t="shared" si="368"/>
        <v>High</v>
      </c>
      <c r="Q3968" t="str">
        <f t="shared" si="369"/>
        <v>Low Loan</v>
      </c>
      <c r="R3968">
        <f t="shared" si="370"/>
        <v>6400000</v>
      </c>
      <c r="S3968" t="str">
        <f t="shared" si="371"/>
        <v>Moderate</v>
      </c>
    </row>
    <row r="3969" spans="1:19" x14ac:dyDescent="0.25">
      <c r="A3969">
        <v>3968</v>
      </c>
      <c r="B3969">
        <v>2</v>
      </c>
      <c r="C3969" t="s">
        <v>30</v>
      </c>
      <c r="D3969" t="s">
        <v>32</v>
      </c>
      <c r="E3969">
        <v>3000000</v>
      </c>
      <c r="F3969">
        <v>7000000</v>
      </c>
      <c r="G3969">
        <v>4</v>
      </c>
      <c r="H3969">
        <v>588</v>
      </c>
      <c r="I3969">
        <v>5300000</v>
      </c>
      <c r="J3969">
        <v>3400000</v>
      </c>
      <c r="K3969">
        <v>11900000</v>
      </c>
      <c r="L3969">
        <v>3400000</v>
      </c>
      <c r="M3969" t="s">
        <v>34</v>
      </c>
      <c r="N3969">
        <f t="shared" si="367"/>
        <v>1</v>
      </c>
      <c r="O3969" t="str">
        <f t="shared" si="366"/>
        <v>Low</v>
      </c>
      <c r="P3969" t="str">
        <f t="shared" si="368"/>
        <v>High</v>
      </c>
      <c r="Q3969" t="str">
        <f t="shared" si="369"/>
        <v>Low Loan</v>
      </c>
      <c r="R3969">
        <f t="shared" si="370"/>
        <v>24000000</v>
      </c>
      <c r="S3969" t="str">
        <f t="shared" si="371"/>
        <v>Strong</v>
      </c>
    </row>
    <row r="3970" spans="1:19" x14ac:dyDescent="0.25">
      <c r="A3970">
        <v>3969</v>
      </c>
      <c r="B3970">
        <v>4</v>
      </c>
      <c r="C3970" t="s">
        <v>31</v>
      </c>
      <c r="D3970" t="s">
        <v>32</v>
      </c>
      <c r="E3970">
        <v>7700000</v>
      </c>
      <c r="F3970">
        <v>24500000</v>
      </c>
      <c r="G3970">
        <v>20</v>
      </c>
      <c r="H3970">
        <v>582</v>
      </c>
      <c r="I3970">
        <v>9800000</v>
      </c>
      <c r="J3970">
        <v>6600000</v>
      </c>
      <c r="K3970">
        <v>29100000</v>
      </c>
      <c r="L3970">
        <v>6500000</v>
      </c>
      <c r="M3970" t="s">
        <v>34</v>
      </c>
      <c r="N3970">
        <f t="shared" si="367"/>
        <v>1</v>
      </c>
      <c r="O3970" t="str">
        <f t="shared" ref="O3970:O4033" si="372">IF(H3970&lt;650,"Low",
 IF(H3970&lt;700,"Medium",
 IF(H3970&lt;750,"Good","Excellent")))</f>
        <v>Low</v>
      </c>
      <c r="P3970" t="str">
        <f t="shared" si="368"/>
        <v>High</v>
      </c>
      <c r="Q3970" t="str">
        <f t="shared" si="369"/>
        <v>High Loan</v>
      </c>
      <c r="R3970">
        <f t="shared" si="370"/>
        <v>52000000</v>
      </c>
      <c r="S3970" t="str">
        <f t="shared" si="371"/>
        <v>Strong</v>
      </c>
    </row>
    <row r="3971" spans="1:19" x14ac:dyDescent="0.25">
      <c r="A3971">
        <v>3970</v>
      </c>
      <c r="B3971">
        <v>1</v>
      </c>
      <c r="C3971" t="s">
        <v>31</v>
      </c>
      <c r="D3971" t="s">
        <v>32</v>
      </c>
      <c r="E3971">
        <v>8300000</v>
      </c>
      <c r="F3971">
        <v>20400000</v>
      </c>
      <c r="G3971">
        <v>14</v>
      </c>
      <c r="H3971">
        <v>348</v>
      </c>
      <c r="I3971">
        <v>5600000</v>
      </c>
      <c r="J3971">
        <v>12500000</v>
      </c>
      <c r="K3971">
        <v>29100000</v>
      </c>
      <c r="L3971">
        <v>4700000</v>
      </c>
      <c r="M3971" t="s">
        <v>35</v>
      </c>
      <c r="N3971">
        <f t="shared" ref="N3971:N4034" si="373">IF(TRIM(CLEAN(M3971))="Approved",1,0)</f>
        <v>0</v>
      </c>
      <c r="O3971" t="str">
        <f t="shared" si="372"/>
        <v>Low</v>
      </c>
      <c r="P3971" t="str">
        <f t="shared" ref="P3971:P4034" si="374">IF(E3971&lt;300000,"Low",
 IF(E3971&lt;700000,"Middle","High"))</f>
        <v>High</v>
      </c>
      <c r="Q3971" t="str">
        <f t="shared" ref="Q3971:Q4034" si="375">IF(F3971&lt;20000000,"Low Loan","High Loan")</f>
        <v>High Loan</v>
      </c>
      <c r="R3971">
        <f t="shared" ref="R3971:R4034" si="376">I3971+J3971+K3971+L3971</f>
        <v>51900000</v>
      </c>
      <c r="S3971" t="str">
        <f t="shared" ref="S3971:S4034" si="377">IF(R3971&lt;5000000,"Weak",
 IF(R3971&lt;10000000,"Moderate","Strong"))</f>
        <v>Strong</v>
      </c>
    </row>
    <row r="3972" spans="1:19" x14ac:dyDescent="0.25">
      <c r="A3972">
        <v>3971</v>
      </c>
      <c r="B3972">
        <v>4</v>
      </c>
      <c r="C3972" t="s">
        <v>31</v>
      </c>
      <c r="D3972" t="s">
        <v>32</v>
      </c>
      <c r="E3972">
        <v>4200000</v>
      </c>
      <c r="F3972">
        <v>9400000</v>
      </c>
      <c r="G3972">
        <v>4</v>
      </c>
      <c r="H3972">
        <v>726</v>
      </c>
      <c r="I3972">
        <v>10000000</v>
      </c>
      <c r="J3972">
        <v>8100000</v>
      </c>
      <c r="K3972">
        <v>16100000</v>
      </c>
      <c r="L3972">
        <v>5500000</v>
      </c>
      <c r="M3972" t="s">
        <v>34</v>
      </c>
      <c r="N3972">
        <f t="shared" si="373"/>
        <v>1</v>
      </c>
      <c r="O3972" t="str">
        <f t="shared" si="372"/>
        <v>Good</v>
      </c>
      <c r="P3972" t="str">
        <f t="shared" si="374"/>
        <v>High</v>
      </c>
      <c r="Q3972" t="str">
        <f t="shared" si="375"/>
        <v>Low Loan</v>
      </c>
      <c r="R3972">
        <f t="shared" si="376"/>
        <v>39700000</v>
      </c>
      <c r="S3972" t="str">
        <f t="shared" si="377"/>
        <v>Strong</v>
      </c>
    </row>
    <row r="3973" spans="1:19" x14ac:dyDescent="0.25">
      <c r="A3973">
        <v>3972</v>
      </c>
      <c r="B3973">
        <v>4</v>
      </c>
      <c r="C3973" t="s">
        <v>30</v>
      </c>
      <c r="D3973" t="s">
        <v>33</v>
      </c>
      <c r="E3973">
        <v>8000000</v>
      </c>
      <c r="F3973">
        <v>31200000</v>
      </c>
      <c r="G3973">
        <v>6</v>
      </c>
      <c r="H3973">
        <v>482</v>
      </c>
      <c r="I3973">
        <v>19800000</v>
      </c>
      <c r="J3973">
        <v>11500000</v>
      </c>
      <c r="K3973">
        <v>22200000</v>
      </c>
      <c r="L3973">
        <v>5700000</v>
      </c>
      <c r="M3973" t="s">
        <v>35</v>
      </c>
      <c r="N3973">
        <f t="shared" si="373"/>
        <v>0</v>
      </c>
      <c r="O3973" t="str">
        <f t="shared" si="372"/>
        <v>Low</v>
      </c>
      <c r="P3973" t="str">
        <f t="shared" si="374"/>
        <v>High</v>
      </c>
      <c r="Q3973" t="str">
        <f t="shared" si="375"/>
        <v>High Loan</v>
      </c>
      <c r="R3973">
        <f t="shared" si="376"/>
        <v>59200000</v>
      </c>
      <c r="S3973" t="str">
        <f t="shared" si="377"/>
        <v>Strong</v>
      </c>
    </row>
    <row r="3974" spans="1:19" x14ac:dyDescent="0.25">
      <c r="A3974">
        <v>3973</v>
      </c>
      <c r="B3974">
        <v>2</v>
      </c>
      <c r="C3974" t="s">
        <v>30</v>
      </c>
      <c r="D3974" t="s">
        <v>33</v>
      </c>
      <c r="E3974">
        <v>9400000</v>
      </c>
      <c r="F3974">
        <v>30000000</v>
      </c>
      <c r="G3974">
        <v>16</v>
      </c>
      <c r="H3974">
        <v>565</v>
      </c>
      <c r="I3974">
        <v>1200000</v>
      </c>
      <c r="J3974">
        <v>3900000</v>
      </c>
      <c r="K3974">
        <v>28200000</v>
      </c>
      <c r="L3974">
        <v>9000000</v>
      </c>
      <c r="M3974" t="s">
        <v>34</v>
      </c>
      <c r="N3974">
        <f t="shared" si="373"/>
        <v>1</v>
      </c>
      <c r="O3974" t="str">
        <f t="shared" si="372"/>
        <v>Low</v>
      </c>
      <c r="P3974" t="str">
        <f t="shared" si="374"/>
        <v>High</v>
      </c>
      <c r="Q3974" t="str">
        <f t="shared" si="375"/>
        <v>High Loan</v>
      </c>
      <c r="R3974">
        <f t="shared" si="376"/>
        <v>42300000</v>
      </c>
      <c r="S3974" t="str">
        <f t="shared" si="377"/>
        <v>Strong</v>
      </c>
    </row>
    <row r="3975" spans="1:19" x14ac:dyDescent="0.25">
      <c r="A3975">
        <v>3974</v>
      </c>
      <c r="B3975">
        <v>1</v>
      </c>
      <c r="C3975" t="s">
        <v>30</v>
      </c>
      <c r="D3975" t="s">
        <v>32</v>
      </c>
      <c r="E3975">
        <v>800000</v>
      </c>
      <c r="F3975">
        <v>2400000</v>
      </c>
      <c r="G3975">
        <v>16</v>
      </c>
      <c r="H3975">
        <v>872</v>
      </c>
      <c r="I3975">
        <v>2400000</v>
      </c>
      <c r="J3975">
        <v>1200000</v>
      </c>
      <c r="K3975">
        <v>1900000</v>
      </c>
      <c r="L3975">
        <v>900000</v>
      </c>
      <c r="M3975" t="s">
        <v>34</v>
      </c>
      <c r="N3975">
        <f t="shared" si="373"/>
        <v>1</v>
      </c>
      <c r="O3975" t="str">
        <f t="shared" si="372"/>
        <v>Excellent</v>
      </c>
      <c r="P3975" t="str">
        <f t="shared" si="374"/>
        <v>High</v>
      </c>
      <c r="Q3975" t="str">
        <f t="shared" si="375"/>
        <v>Low Loan</v>
      </c>
      <c r="R3975">
        <f t="shared" si="376"/>
        <v>6400000</v>
      </c>
      <c r="S3975" t="str">
        <f t="shared" si="377"/>
        <v>Moderate</v>
      </c>
    </row>
    <row r="3976" spans="1:19" x14ac:dyDescent="0.25">
      <c r="A3976">
        <v>3975</v>
      </c>
      <c r="B3976">
        <v>0</v>
      </c>
      <c r="C3976" t="s">
        <v>30</v>
      </c>
      <c r="D3976" t="s">
        <v>33</v>
      </c>
      <c r="E3976">
        <v>500000</v>
      </c>
      <c r="F3976">
        <v>1300000</v>
      </c>
      <c r="G3976">
        <v>4</v>
      </c>
      <c r="H3976">
        <v>825</v>
      </c>
      <c r="I3976">
        <v>600000</v>
      </c>
      <c r="J3976">
        <v>0</v>
      </c>
      <c r="K3976">
        <v>1800000</v>
      </c>
      <c r="L3976">
        <v>200000</v>
      </c>
      <c r="M3976" t="s">
        <v>34</v>
      </c>
      <c r="N3976">
        <f t="shared" si="373"/>
        <v>1</v>
      </c>
      <c r="O3976" t="str">
        <f t="shared" si="372"/>
        <v>Excellent</v>
      </c>
      <c r="P3976" t="str">
        <f t="shared" si="374"/>
        <v>Middle</v>
      </c>
      <c r="Q3976" t="str">
        <f t="shared" si="375"/>
        <v>Low Loan</v>
      </c>
      <c r="R3976">
        <f t="shared" si="376"/>
        <v>2600000</v>
      </c>
      <c r="S3976" t="str">
        <f t="shared" si="377"/>
        <v>Weak</v>
      </c>
    </row>
    <row r="3977" spans="1:19" x14ac:dyDescent="0.25">
      <c r="A3977">
        <v>3976</v>
      </c>
      <c r="B3977">
        <v>2</v>
      </c>
      <c r="C3977" t="s">
        <v>30</v>
      </c>
      <c r="D3977" t="s">
        <v>33</v>
      </c>
      <c r="E3977">
        <v>6100000</v>
      </c>
      <c r="F3977">
        <v>22300000</v>
      </c>
      <c r="G3977">
        <v>8</v>
      </c>
      <c r="H3977">
        <v>694</v>
      </c>
      <c r="I3977">
        <v>16200000</v>
      </c>
      <c r="J3977">
        <v>10900000</v>
      </c>
      <c r="K3977">
        <v>22900000</v>
      </c>
      <c r="L3977">
        <v>7200000</v>
      </c>
      <c r="M3977" t="s">
        <v>34</v>
      </c>
      <c r="N3977">
        <f t="shared" si="373"/>
        <v>1</v>
      </c>
      <c r="O3977" t="str">
        <f t="shared" si="372"/>
        <v>Medium</v>
      </c>
      <c r="P3977" t="str">
        <f t="shared" si="374"/>
        <v>High</v>
      </c>
      <c r="Q3977" t="str">
        <f t="shared" si="375"/>
        <v>High Loan</v>
      </c>
      <c r="R3977">
        <f t="shared" si="376"/>
        <v>57200000</v>
      </c>
      <c r="S3977" t="str">
        <f t="shared" si="377"/>
        <v>Strong</v>
      </c>
    </row>
    <row r="3978" spans="1:19" x14ac:dyDescent="0.25">
      <c r="A3978">
        <v>3977</v>
      </c>
      <c r="B3978">
        <v>3</v>
      </c>
      <c r="C3978" t="s">
        <v>30</v>
      </c>
      <c r="D3978" t="s">
        <v>33</v>
      </c>
      <c r="E3978">
        <v>8500000</v>
      </c>
      <c r="F3978">
        <v>30800000</v>
      </c>
      <c r="G3978">
        <v>20</v>
      </c>
      <c r="H3978">
        <v>448</v>
      </c>
      <c r="I3978">
        <v>23000000</v>
      </c>
      <c r="J3978">
        <v>1400000</v>
      </c>
      <c r="K3978">
        <v>22900000</v>
      </c>
      <c r="L3978">
        <v>7900000</v>
      </c>
      <c r="M3978" t="s">
        <v>35</v>
      </c>
      <c r="N3978">
        <f t="shared" si="373"/>
        <v>0</v>
      </c>
      <c r="O3978" t="str">
        <f t="shared" si="372"/>
        <v>Low</v>
      </c>
      <c r="P3978" t="str">
        <f t="shared" si="374"/>
        <v>High</v>
      </c>
      <c r="Q3978" t="str">
        <f t="shared" si="375"/>
        <v>High Loan</v>
      </c>
      <c r="R3978">
        <f t="shared" si="376"/>
        <v>55200000</v>
      </c>
      <c r="S3978" t="str">
        <f t="shared" si="377"/>
        <v>Strong</v>
      </c>
    </row>
    <row r="3979" spans="1:19" x14ac:dyDescent="0.25">
      <c r="A3979">
        <v>3978</v>
      </c>
      <c r="B3979">
        <v>5</v>
      </c>
      <c r="C3979" t="s">
        <v>30</v>
      </c>
      <c r="D3979" t="s">
        <v>33</v>
      </c>
      <c r="E3979">
        <v>7600000</v>
      </c>
      <c r="F3979">
        <v>18000000</v>
      </c>
      <c r="G3979">
        <v>12</v>
      </c>
      <c r="H3979">
        <v>452</v>
      </c>
      <c r="I3979">
        <v>7900000</v>
      </c>
      <c r="J3979">
        <v>4300000</v>
      </c>
      <c r="K3979">
        <v>23800000</v>
      </c>
      <c r="L3979">
        <v>4700000</v>
      </c>
      <c r="M3979" t="s">
        <v>35</v>
      </c>
      <c r="N3979">
        <f t="shared" si="373"/>
        <v>0</v>
      </c>
      <c r="O3979" t="str">
        <f t="shared" si="372"/>
        <v>Low</v>
      </c>
      <c r="P3979" t="str">
        <f t="shared" si="374"/>
        <v>High</v>
      </c>
      <c r="Q3979" t="str">
        <f t="shared" si="375"/>
        <v>Low Loan</v>
      </c>
      <c r="R3979">
        <f t="shared" si="376"/>
        <v>40700000</v>
      </c>
      <c r="S3979" t="str">
        <f t="shared" si="377"/>
        <v>Strong</v>
      </c>
    </row>
    <row r="3980" spans="1:19" x14ac:dyDescent="0.25">
      <c r="A3980">
        <v>3979</v>
      </c>
      <c r="B3980">
        <v>3</v>
      </c>
      <c r="C3980" t="s">
        <v>31</v>
      </c>
      <c r="D3980" t="s">
        <v>32</v>
      </c>
      <c r="E3980">
        <v>8700000</v>
      </c>
      <c r="F3980">
        <v>17900000</v>
      </c>
      <c r="G3980">
        <v>12</v>
      </c>
      <c r="H3980">
        <v>897</v>
      </c>
      <c r="I3980">
        <v>16400000</v>
      </c>
      <c r="J3980">
        <v>3500000</v>
      </c>
      <c r="K3980">
        <v>31600000</v>
      </c>
      <c r="L3980">
        <v>12500000</v>
      </c>
      <c r="M3980" t="s">
        <v>34</v>
      </c>
      <c r="N3980">
        <f t="shared" si="373"/>
        <v>1</v>
      </c>
      <c r="O3980" t="str">
        <f t="shared" si="372"/>
        <v>Excellent</v>
      </c>
      <c r="P3980" t="str">
        <f t="shared" si="374"/>
        <v>High</v>
      </c>
      <c r="Q3980" t="str">
        <f t="shared" si="375"/>
        <v>Low Loan</v>
      </c>
      <c r="R3980">
        <f t="shared" si="376"/>
        <v>64000000</v>
      </c>
      <c r="S3980" t="str">
        <f t="shared" si="377"/>
        <v>Strong</v>
      </c>
    </row>
    <row r="3981" spans="1:19" x14ac:dyDescent="0.25">
      <c r="A3981">
        <v>3980</v>
      </c>
      <c r="B3981">
        <v>4</v>
      </c>
      <c r="C3981" t="s">
        <v>31</v>
      </c>
      <c r="D3981" t="s">
        <v>32</v>
      </c>
      <c r="E3981">
        <v>9400000</v>
      </c>
      <c r="F3981">
        <v>20200000</v>
      </c>
      <c r="G3981">
        <v>10</v>
      </c>
      <c r="H3981">
        <v>803</v>
      </c>
      <c r="I3981">
        <v>24800000</v>
      </c>
      <c r="J3981">
        <v>1000000</v>
      </c>
      <c r="K3981">
        <v>34400000</v>
      </c>
      <c r="L3981">
        <v>4800000</v>
      </c>
      <c r="M3981" t="s">
        <v>34</v>
      </c>
      <c r="N3981">
        <f t="shared" si="373"/>
        <v>1</v>
      </c>
      <c r="O3981" t="str">
        <f t="shared" si="372"/>
        <v>Excellent</v>
      </c>
      <c r="P3981" t="str">
        <f t="shared" si="374"/>
        <v>High</v>
      </c>
      <c r="Q3981" t="str">
        <f t="shared" si="375"/>
        <v>High Loan</v>
      </c>
      <c r="R3981">
        <f t="shared" si="376"/>
        <v>65000000</v>
      </c>
      <c r="S3981" t="str">
        <f t="shared" si="377"/>
        <v>Strong</v>
      </c>
    </row>
    <row r="3982" spans="1:19" x14ac:dyDescent="0.25">
      <c r="A3982">
        <v>3981</v>
      </c>
      <c r="B3982">
        <v>1</v>
      </c>
      <c r="C3982" t="s">
        <v>31</v>
      </c>
      <c r="D3982" t="s">
        <v>33</v>
      </c>
      <c r="E3982">
        <v>400000</v>
      </c>
      <c r="F3982">
        <v>900000</v>
      </c>
      <c r="G3982">
        <v>8</v>
      </c>
      <c r="H3982">
        <v>828</v>
      </c>
      <c r="I3982">
        <v>600000</v>
      </c>
      <c r="J3982">
        <v>500000</v>
      </c>
      <c r="K3982">
        <v>1500000</v>
      </c>
      <c r="L3982">
        <v>300000</v>
      </c>
      <c r="M3982" t="s">
        <v>34</v>
      </c>
      <c r="N3982">
        <f t="shared" si="373"/>
        <v>1</v>
      </c>
      <c r="O3982" t="str">
        <f t="shared" si="372"/>
        <v>Excellent</v>
      </c>
      <c r="P3982" t="str">
        <f t="shared" si="374"/>
        <v>Middle</v>
      </c>
      <c r="Q3982" t="str">
        <f t="shared" si="375"/>
        <v>Low Loan</v>
      </c>
      <c r="R3982">
        <f t="shared" si="376"/>
        <v>2900000</v>
      </c>
      <c r="S3982" t="str">
        <f t="shared" si="377"/>
        <v>Weak</v>
      </c>
    </row>
    <row r="3983" spans="1:19" x14ac:dyDescent="0.25">
      <c r="A3983">
        <v>3982</v>
      </c>
      <c r="B3983">
        <v>0</v>
      </c>
      <c r="C3983" t="s">
        <v>30</v>
      </c>
      <c r="D3983" t="s">
        <v>32</v>
      </c>
      <c r="E3983">
        <v>2700000</v>
      </c>
      <c r="F3983">
        <v>7500000</v>
      </c>
      <c r="G3983">
        <v>6</v>
      </c>
      <c r="H3983">
        <v>832</v>
      </c>
      <c r="I3983">
        <v>7700000</v>
      </c>
      <c r="J3983">
        <v>1200000</v>
      </c>
      <c r="K3983">
        <v>10000000</v>
      </c>
      <c r="L3983">
        <v>2500000</v>
      </c>
      <c r="M3983" t="s">
        <v>34</v>
      </c>
      <c r="N3983">
        <f t="shared" si="373"/>
        <v>1</v>
      </c>
      <c r="O3983" t="str">
        <f t="shared" si="372"/>
        <v>Excellent</v>
      </c>
      <c r="P3983" t="str">
        <f t="shared" si="374"/>
        <v>High</v>
      </c>
      <c r="Q3983" t="str">
        <f t="shared" si="375"/>
        <v>Low Loan</v>
      </c>
      <c r="R3983">
        <f t="shared" si="376"/>
        <v>21400000</v>
      </c>
      <c r="S3983" t="str">
        <f t="shared" si="377"/>
        <v>Strong</v>
      </c>
    </row>
    <row r="3984" spans="1:19" x14ac:dyDescent="0.25">
      <c r="A3984">
        <v>3983</v>
      </c>
      <c r="B3984">
        <v>1</v>
      </c>
      <c r="C3984" t="s">
        <v>31</v>
      </c>
      <c r="D3984" t="s">
        <v>33</v>
      </c>
      <c r="E3984">
        <v>2300000</v>
      </c>
      <c r="F3984">
        <v>5500000</v>
      </c>
      <c r="G3984">
        <v>6</v>
      </c>
      <c r="H3984">
        <v>861</v>
      </c>
      <c r="I3984">
        <v>1600000</v>
      </c>
      <c r="J3984">
        <v>1200000</v>
      </c>
      <c r="K3984">
        <v>4700000</v>
      </c>
      <c r="L3984">
        <v>1700000</v>
      </c>
      <c r="M3984" t="s">
        <v>34</v>
      </c>
      <c r="N3984">
        <f t="shared" si="373"/>
        <v>1</v>
      </c>
      <c r="O3984" t="str">
        <f t="shared" si="372"/>
        <v>Excellent</v>
      </c>
      <c r="P3984" t="str">
        <f t="shared" si="374"/>
        <v>High</v>
      </c>
      <c r="Q3984" t="str">
        <f t="shared" si="375"/>
        <v>Low Loan</v>
      </c>
      <c r="R3984">
        <f t="shared" si="376"/>
        <v>9200000</v>
      </c>
      <c r="S3984" t="str">
        <f t="shared" si="377"/>
        <v>Moderate</v>
      </c>
    </row>
    <row r="3985" spans="1:19" x14ac:dyDescent="0.25">
      <c r="A3985">
        <v>3984</v>
      </c>
      <c r="B3985">
        <v>0</v>
      </c>
      <c r="C3985" t="s">
        <v>30</v>
      </c>
      <c r="D3985" t="s">
        <v>32</v>
      </c>
      <c r="E3985">
        <v>7500000</v>
      </c>
      <c r="F3985">
        <v>15900000</v>
      </c>
      <c r="G3985">
        <v>2</v>
      </c>
      <c r="H3985">
        <v>535</v>
      </c>
      <c r="I3985">
        <v>17500000</v>
      </c>
      <c r="J3985">
        <v>5700000</v>
      </c>
      <c r="K3985">
        <v>23600000</v>
      </c>
      <c r="L3985">
        <v>4500000</v>
      </c>
      <c r="M3985" t="s">
        <v>35</v>
      </c>
      <c r="N3985">
        <f t="shared" si="373"/>
        <v>0</v>
      </c>
      <c r="O3985" t="str">
        <f t="shared" si="372"/>
        <v>Low</v>
      </c>
      <c r="P3985" t="str">
        <f t="shared" si="374"/>
        <v>High</v>
      </c>
      <c r="Q3985" t="str">
        <f t="shared" si="375"/>
        <v>Low Loan</v>
      </c>
      <c r="R3985">
        <f t="shared" si="376"/>
        <v>51300000</v>
      </c>
      <c r="S3985" t="str">
        <f t="shared" si="377"/>
        <v>Strong</v>
      </c>
    </row>
    <row r="3986" spans="1:19" x14ac:dyDescent="0.25">
      <c r="A3986">
        <v>3985</v>
      </c>
      <c r="B3986">
        <v>4</v>
      </c>
      <c r="C3986" t="s">
        <v>31</v>
      </c>
      <c r="D3986" t="s">
        <v>33</v>
      </c>
      <c r="E3986">
        <v>7100000</v>
      </c>
      <c r="F3986">
        <v>19400000</v>
      </c>
      <c r="G3986">
        <v>16</v>
      </c>
      <c r="H3986">
        <v>363</v>
      </c>
      <c r="I3986">
        <v>17900000</v>
      </c>
      <c r="J3986">
        <v>2600000</v>
      </c>
      <c r="K3986">
        <v>22600000</v>
      </c>
      <c r="L3986">
        <v>4000000</v>
      </c>
      <c r="M3986" t="s">
        <v>35</v>
      </c>
      <c r="N3986">
        <f t="shared" si="373"/>
        <v>0</v>
      </c>
      <c r="O3986" t="str">
        <f t="shared" si="372"/>
        <v>Low</v>
      </c>
      <c r="P3986" t="str">
        <f t="shared" si="374"/>
        <v>High</v>
      </c>
      <c r="Q3986" t="str">
        <f t="shared" si="375"/>
        <v>Low Loan</v>
      </c>
      <c r="R3986">
        <f t="shared" si="376"/>
        <v>47100000</v>
      </c>
      <c r="S3986" t="str">
        <f t="shared" si="377"/>
        <v>Strong</v>
      </c>
    </row>
    <row r="3987" spans="1:19" x14ac:dyDescent="0.25">
      <c r="A3987">
        <v>3986</v>
      </c>
      <c r="B3987">
        <v>1</v>
      </c>
      <c r="C3987" t="s">
        <v>31</v>
      </c>
      <c r="D3987" t="s">
        <v>33</v>
      </c>
      <c r="E3987">
        <v>8800000</v>
      </c>
      <c r="F3987">
        <v>28600000</v>
      </c>
      <c r="G3987">
        <v>8</v>
      </c>
      <c r="H3987">
        <v>631</v>
      </c>
      <c r="I3987">
        <v>11000000</v>
      </c>
      <c r="J3987">
        <v>13200000</v>
      </c>
      <c r="K3987">
        <v>25000000</v>
      </c>
      <c r="L3987">
        <v>7700000</v>
      </c>
      <c r="M3987" t="s">
        <v>34</v>
      </c>
      <c r="N3987">
        <f t="shared" si="373"/>
        <v>1</v>
      </c>
      <c r="O3987" t="str">
        <f t="shared" si="372"/>
        <v>Low</v>
      </c>
      <c r="P3987" t="str">
        <f t="shared" si="374"/>
        <v>High</v>
      </c>
      <c r="Q3987" t="str">
        <f t="shared" si="375"/>
        <v>High Loan</v>
      </c>
      <c r="R3987">
        <f t="shared" si="376"/>
        <v>56900000</v>
      </c>
      <c r="S3987" t="str">
        <f t="shared" si="377"/>
        <v>Strong</v>
      </c>
    </row>
    <row r="3988" spans="1:19" x14ac:dyDescent="0.25">
      <c r="A3988">
        <v>3987</v>
      </c>
      <c r="B3988">
        <v>2</v>
      </c>
      <c r="C3988" t="s">
        <v>31</v>
      </c>
      <c r="D3988" t="s">
        <v>32</v>
      </c>
      <c r="E3988">
        <v>8400000</v>
      </c>
      <c r="F3988">
        <v>20700000</v>
      </c>
      <c r="G3988">
        <v>6</v>
      </c>
      <c r="H3988">
        <v>513</v>
      </c>
      <c r="I3988">
        <v>500000</v>
      </c>
      <c r="J3988">
        <v>16400000</v>
      </c>
      <c r="K3988">
        <v>18800000</v>
      </c>
      <c r="L3988">
        <v>7900000</v>
      </c>
      <c r="M3988" t="s">
        <v>35</v>
      </c>
      <c r="N3988">
        <f t="shared" si="373"/>
        <v>0</v>
      </c>
      <c r="O3988" t="str">
        <f t="shared" si="372"/>
        <v>Low</v>
      </c>
      <c r="P3988" t="str">
        <f t="shared" si="374"/>
        <v>High</v>
      </c>
      <c r="Q3988" t="str">
        <f t="shared" si="375"/>
        <v>High Loan</v>
      </c>
      <c r="R3988">
        <f t="shared" si="376"/>
        <v>43600000</v>
      </c>
      <c r="S3988" t="str">
        <f t="shared" si="377"/>
        <v>Strong</v>
      </c>
    </row>
    <row r="3989" spans="1:19" x14ac:dyDescent="0.25">
      <c r="A3989">
        <v>3988</v>
      </c>
      <c r="B3989">
        <v>0</v>
      </c>
      <c r="C3989" t="s">
        <v>30</v>
      </c>
      <c r="D3989" t="s">
        <v>33</v>
      </c>
      <c r="E3989">
        <v>4700000</v>
      </c>
      <c r="F3989">
        <v>16200000</v>
      </c>
      <c r="G3989">
        <v>16</v>
      </c>
      <c r="H3989">
        <v>317</v>
      </c>
      <c r="I3989">
        <v>12700000</v>
      </c>
      <c r="J3989">
        <v>400000</v>
      </c>
      <c r="K3989">
        <v>9400000</v>
      </c>
      <c r="L3989">
        <v>2500000</v>
      </c>
      <c r="M3989" t="s">
        <v>35</v>
      </c>
      <c r="N3989">
        <f t="shared" si="373"/>
        <v>0</v>
      </c>
      <c r="O3989" t="str">
        <f t="shared" si="372"/>
        <v>Low</v>
      </c>
      <c r="P3989" t="str">
        <f t="shared" si="374"/>
        <v>High</v>
      </c>
      <c r="Q3989" t="str">
        <f t="shared" si="375"/>
        <v>Low Loan</v>
      </c>
      <c r="R3989">
        <f t="shared" si="376"/>
        <v>25000000</v>
      </c>
      <c r="S3989" t="str">
        <f t="shared" si="377"/>
        <v>Strong</v>
      </c>
    </row>
    <row r="3990" spans="1:19" x14ac:dyDescent="0.25">
      <c r="A3990">
        <v>3989</v>
      </c>
      <c r="B3990">
        <v>1</v>
      </c>
      <c r="C3990" t="s">
        <v>30</v>
      </c>
      <c r="D3990" t="s">
        <v>32</v>
      </c>
      <c r="E3990">
        <v>6900000</v>
      </c>
      <c r="F3990">
        <v>19500000</v>
      </c>
      <c r="G3990">
        <v>2</v>
      </c>
      <c r="H3990">
        <v>809</v>
      </c>
      <c r="I3990">
        <v>6100000</v>
      </c>
      <c r="J3990">
        <v>10600000</v>
      </c>
      <c r="K3990">
        <v>22900000</v>
      </c>
      <c r="L3990">
        <v>9300000</v>
      </c>
      <c r="M3990" t="s">
        <v>34</v>
      </c>
      <c r="N3990">
        <f t="shared" si="373"/>
        <v>1</v>
      </c>
      <c r="O3990" t="str">
        <f t="shared" si="372"/>
        <v>Excellent</v>
      </c>
      <c r="P3990" t="str">
        <f t="shared" si="374"/>
        <v>High</v>
      </c>
      <c r="Q3990" t="str">
        <f t="shared" si="375"/>
        <v>Low Loan</v>
      </c>
      <c r="R3990">
        <f t="shared" si="376"/>
        <v>48900000</v>
      </c>
      <c r="S3990" t="str">
        <f t="shared" si="377"/>
        <v>Strong</v>
      </c>
    </row>
    <row r="3991" spans="1:19" x14ac:dyDescent="0.25">
      <c r="A3991">
        <v>3990</v>
      </c>
      <c r="B3991">
        <v>3</v>
      </c>
      <c r="C3991" t="s">
        <v>31</v>
      </c>
      <c r="D3991" t="s">
        <v>32</v>
      </c>
      <c r="E3991">
        <v>2400000</v>
      </c>
      <c r="F3991">
        <v>8200000</v>
      </c>
      <c r="G3991">
        <v>10</v>
      </c>
      <c r="H3991">
        <v>531</v>
      </c>
      <c r="I3991">
        <v>6800000</v>
      </c>
      <c r="J3991">
        <v>1900000</v>
      </c>
      <c r="K3991">
        <v>5700000</v>
      </c>
      <c r="L3991">
        <v>2000000</v>
      </c>
      <c r="M3991" t="s">
        <v>35</v>
      </c>
      <c r="N3991">
        <f t="shared" si="373"/>
        <v>0</v>
      </c>
      <c r="O3991" t="str">
        <f t="shared" si="372"/>
        <v>Low</v>
      </c>
      <c r="P3991" t="str">
        <f t="shared" si="374"/>
        <v>High</v>
      </c>
      <c r="Q3991" t="str">
        <f t="shared" si="375"/>
        <v>Low Loan</v>
      </c>
      <c r="R3991">
        <f t="shared" si="376"/>
        <v>16400000</v>
      </c>
      <c r="S3991" t="str">
        <f t="shared" si="377"/>
        <v>Strong</v>
      </c>
    </row>
    <row r="3992" spans="1:19" x14ac:dyDescent="0.25">
      <c r="A3992">
        <v>3991</v>
      </c>
      <c r="B3992">
        <v>1</v>
      </c>
      <c r="C3992" t="s">
        <v>31</v>
      </c>
      <c r="D3992" t="s">
        <v>33</v>
      </c>
      <c r="E3992">
        <v>1600000</v>
      </c>
      <c r="F3992">
        <v>4800000</v>
      </c>
      <c r="G3992">
        <v>14</v>
      </c>
      <c r="H3992">
        <v>544</v>
      </c>
      <c r="I3992">
        <v>2200000</v>
      </c>
      <c r="J3992">
        <v>200000</v>
      </c>
      <c r="K3992">
        <v>6200000</v>
      </c>
      <c r="L3992">
        <v>1200000</v>
      </c>
      <c r="M3992" t="s">
        <v>35</v>
      </c>
      <c r="N3992">
        <f t="shared" si="373"/>
        <v>0</v>
      </c>
      <c r="O3992" t="str">
        <f t="shared" si="372"/>
        <v>Low</v>
      </c>
      <c r="P3992" t="str">
        <f t="shared" si="374"/>
        <v>High</v>
      </c>
      <c r="Q3992" t="str">
        <f t="shared" si="375"/>
        <v>Low Loan</v>
      </c>
      <c r="R3992">
        <f t="shared" si="376"/>
        <v>9800000</v>
      </c>
      <c r="S3992" t="str">
        <f t="shared" si="377"/>
        <v>Moderate</v>
      </c>
    </row>
    <row r="3993" spans="1:19" x14ac:dyDescent="0.25">
      <c r="A3993">
        <v>3992</v>
      </c>
      <c r="B3993">
        <v>0</v>
      </c>
      <c r="C3993" t="s">
        <v>30</v>
      </c>
      <c r="D3993" t="s">
        <v>32</v>
      </c>
      <c r="E3993">
        <v>3500000</v>
      </c>
      <c r="F3993">
        <v>7800000</v>
      </c>
      <c r="G3993">
        <v>14</v>
      </c>
      <c r="H3993">
        <v>366</v>
      </c>
      <c r="I3993">
        <v>6400000</v>
      </c>
      <c r="J3993">
        <v>3000000</v>
      </c>
      <c r="K3993">
        <v>13700000</v>
      </c>
      <c r="L3993">
        <v>4900000</v>
      </c>
      <c r="M3993" t="s">
        <v>35</v>
      </c>
      <c r="N3993">
        <f t="shared" si="373"/>
        <v>0</v>
      </c>
      <c r="O3993" t="str">
        <f t="shared" si="372"/>
        <v>Low</v>
      </c>
      <c r="P3993" t="str">
        <f t="shared" si="374"/>
        <v>High</v>
      </c>
      <c r="Q3993" t="str">
        <f t="shared" si="375"/>
        <v>Low Loan</v>
      </c>
      <c r="R3993">
        <f t="shared" si="376"/>
        <v>28000000</v>
      </c>
      <c r="S3993" t="str">
        <f t="shared" si="377"/>
        <v>Strong</v>
      </c>
    </row>
    <row r="3994" spans="1:19" x14ac:dyDescent="0.25">
      <c r="A3994">
        <v>3993</v>
      </c>
      <c r="B3994">
        <v>0</v>
      </c>
      <c r="C3994" t="s">
        <v>31</v>
      </c>
      <c r="D3994" t="s">
        <v>32</v>
      </c>
      <c r="E3994">
        <v>3700000</v>
      </c>
      <c r="F3994">
        <v>12700000</v>
      </c>
      <c r="G3994">
        <v>14</v>
      </c>
      <c r="H3994">
        <v>797</v>
      </c>
      <c r="I3994">
        <v>1300000</v>
      </c>
      <c r="J3994">
        <v>1100000</v>
      </c>
      <c r="K3994">
        <v>12300000</v>
      </c>
      <c r="L3994">
        <v>3700000</v>
      </c>
      <c r="M3994" t="s">
        <v>34</v>
      </c>
      <c r="N3994">
        <f t="shared" si="373"/>
        <v>1</v>
      </c>
      <c r="O3994" t="str">
        <f t="shared" si="372"/>
        <v>Excellent</v>
      </c>
      <c r="P3994" t="str">
        <f t="shared" si="374"/>
        <v>High</v>
      </c>
      <c r="Q3994" t="str">
        <f t="shared" si="375"/>
        <v>Low Loan</v>
      </c>
      <c r="R3994">
        <f t="shared" si="376"/>
        <v>18400000</v>
      </c>
      <c r="S3994" t="str">
        <f t="shared" si="377"/>
        <v>Strong</v>
      </c>
    </row>
    <row r="3995" spans="1:19" x14ac:dyDescent="0.25">
      <c r="A3995">
        <v>3994</v>
      </c>
      <c r="B3995">
        <v>1</v>
      </c>
      <c r="C3995" t="s">
        <v>31</v>
      </c>
      <c r="D3995" t="s">
        <v>32</v>
      </c>
      <c r="E3995">
        <v>3200000</v>
      </c>
      <c r="F3995">
        <v>12000000</v>
      </c>
      <c r="G3995">
        <v>16</v>
      </c>
      <c r="H3995">
        <v>597</v>
      </c>
      <c r="I3995">
        <v>6800000</v>
      </c>
      <c r="J3995">
        <v>1900000</v>
      </c>
      <c r="K3995">
        <v>7700000</v>
      </c>
      <c r="L3995">
        <v>2200000</v>
      </c>
      <c r="M3995" t="s">
        <v>34</v>
      </c>
      <c r="N3995">
        <f t="shared" si="373"/>
        <v>1</v>
      </c>
      <c r="O3995" t="str">
        <f t="shared" si="372"/>
        <v>Low</v>
      </c>
      <c r="P3995" t="str">
        <f t="shared" si="374"/>
        <v>High</v>
      </c>
      <c r="Q3995" t="str">
        <f t="shared" si="375"/>
        <v>Low Loan</v>
      </c>
      <c r="R3995">
        <f t="shared" si="376"/>
        <v>18600000</v>
      </c>
      <c r="S3995" t="str">
        <f t="shared" si="377"/>
        <v>Strong</v>
      </c>
    </row>
    <row r="3996" spans="1:19" x14ac:dyDescent="0.25">
      <c r="A3996">
        <v>3995</v>
      </c>
      <c r="B3996">
        <v>2</v>
      </c>
      <c r="C3996" t="s">
        <v>31</v>
      </c>
      <c r="D3996" t="s">
        <v>33</v>
      </c>
      <c r="E3996">
        <v>7000000</v>
      </c>
      <c r="F3996">
        <v>22500000</v>
      </c>
      <c r="G3996">
        <v>12</v>
      </c>
      <c r="H3996">
        <v>632</v>
      </c>
      <c r="I3996">
        <v>12500000</v>
      </c>
      <c r="J3996">
        <v>4600000</v>
      </c>
      <c r="K3996">
        <v>20400000</v>
      </c>
      <c r="L3996">
        <v>4900000</v>
      </c>
      <c r="M3996" t="s">
        <v>34</v>
      </c>
      <c r="N3996">
        <f t="shared" si="373"/>
        <v>1</v>
      </c>
      <c r="O3996" t="str">
        <f t="shared" si="372"/>
        <v>Low</v>
      </c>
      <c r="P3996" t="str">
        <f t="shared" si="374"/>
        <v>High</v>
      </c>
      <c r="Q3996" t="str">
        <f t="shared" si="375"/>
        <v>High Loan</v>
      </c>
      <c r="R3996">
        <f t="shared" si="376"/>
        <v>42400000</v>
      </c>
      <c r="S3996" t="str">
        <f t="shared" si="377"/>
        <v>Strong</v>
      </c>
    </row>
    <row r="3997" spans="1:19" x14ac:dyDescent="0.25">
      <c r="A3997">
        <v>3996</v>
      </c>
      <c r="B3997">
        <v>5</v>
      </c>
      <c r="C3997" t="s">
        <v>31</v>
      </c>
      <c r="D3997" t="s">
        <v>32</v>
      </c>
      <c r="E3997">
        <v>9300000</v>
      </c>
      <c r="F3997">
        <v>28300000</v>
      </c>
      <c r="G3997">
        <v>12</v>
      </c>
      <c r="H3997">
        <v>741</v>
      </c>
      <c r="I3997">
        <v>7600000</v>
      </c>
      <c r="J3997">
        <v>12900000</v>
      </c>
      <c r="K3997">
        <v>32400000</v>
      </c>
      <c r="L3997">
        <v>5200000</v>
      </c>
      <c r="M3997" t="s">
        <v>34</v>
      </c>
      <c r="N3997">
        <f t="shared" si="373"/>
        <v>1</v>
      </c>
      <c r="O3997" t="str">
        <f t="shared" si="372"/>
        <v>Good</v>
      </c>
      <c r="P3997" t="str">
        <f t="shared" si="374"/>
        <v>High</v>
      </c>
      <c r="Q3997" t="str">
        <f t="shared" si="375"/>
        <v>High Loan</v>
      </c>
      <c r="R3997">
        <f t="shared" si="376"/>
        <v>58100000</v>
      </c>
      <c r="S3997" t="str">
        <f t="shared" si="377"/>
        <v>Strong</v>
      </c>
    </row>
    <row r="3998" spans="1:19" x14ac:dyDescent="0.25">
      <c r="A3998">
        <v>3997</v>
      </c>
      <c r="B3998">
        <v>0</v>
      </c>
      <c r="C3998" t="s">
        <v>31</v>
      </c>
      <c r="D3998" t="s">
        <v>32</v>
      </c>
      <c r="E3998">
        <v>200000</v>
      </c>
      <c r="F3998">
        <v>800000</v>
      </c>
      <c r="G3998">
        <v>20</v>
      </c>
      <c r="H3998">
        <v>331</v>
      </c>
      <c r="I3998">
        <v>300000</v>
      </c>
      <c r="J3998">
        <v>0</v>
      </c>
      <c r="K3998">
        <v>500000</v>
      </c>
      <c r="L3998">
        <v>100000</v>
      </c>
      <c r="M3998" t="s">
        <v>35</v>
      </c>
      <c r="N3998">
        <f t="shared" si="373"/>
        <v>0</v>
      </c>
      <c r="O3998" t="str">
        <f t="shared" si="372"/>
        <v>Low</v>
      </c>
      <c r="P3998" t="str">
        <f t="shared" si="374"/>
        <v>Low</v>
      </c>
      <c r="Q3998" t="str">
        <f t="shared" si="375"/>
        <v>Low Loan</v>
      </c>
      <c r="R3998">
        <f t="shared" si="376"/>
        <v>900000</v>
      </c>
      <c r="S3998" t="str">
        <f t="shared" si="377"/>
        <v>Weak</v>
      </c>
    </row>
    <row r="3999" spans="1:19" x14ac:dyDescent="0.25">
      <c r="A3999">
        <v>3998</v>
      </c>
      <c r="B3999">
        <v>4</v>
      </c>
      <c r="C3999" t="s">
        <v>30</v>
      </c>
      <c r="D3999" t="s">
        <v>32</v>
      </c>
      <c r="E3999">
        <v>6900000</v>
      </c>
      <c r="F3999">
        <v>16500000</v>
      </c>
      <c r="G3999">
        <v>8</v>
      </c>
      <c r="H3999">
        <v>426</v>
      </c>
      <c r="I3999">
        <v>3900000</v>
      </c>
      <c r="J3999">
        <v>5200000</v>
      </c>
      <c r="K3999">
        <v>18300000</v>
      </c>
      <c r="L3999">
        <v>9000000</v>
      </c>
      <c r="M3999" t="s">
        <v>35</v>
      </c>
      <c r="N3999">
        <f t="shared" si="373"/>
        <v>0</v>
      </c>
      <c r="O3999" t="str">
        <f t="shared" si="372"/>
        <v>Low</v>
      </c>
      <c r="P3999" t="str">
        <f t="shared" si="374"/>
        <v>High</v>
      </c>
      <c r="Q3999" t="str">
        <f t="shared" si="375"/>
        <v>Low Loan</v>
      </c>
      <c r="R3999">
        <f t="shared" si="376"/>
        <v>36400000</v>
      </c>
      <c r="S3999" t="str">
        <f t="shared" si="377"/>
        <v>Strong</v>
      </c>
    </row>
    <row r="4000" spans="1:19" x14ac:dyDescent="0.25">
      <c r="A4000">
        <v>3999</v>
      </c>
      <c r="B4000">
        <v>3</v>
      </c>
      <c r="C4000" t="s">
        <v>31</v>
      </c>
      <c r="D4000" t="s">
        <v>32</v>
      </c>
      <c r="E4000">
        <v>9000000</v>
      </c>
      <c r="F4000">
        <v>26500000</v>
      </c>
      <c r="G4000">
        <v>8</v>
      </c>
      <c r="H4000">
        <v>533</v>
      </c>
      <c r="I4000">
        <v>17100000</v>
      </c>
      <c r="J4000">
        <v>12400000</v>
      </c>
      <c r="K4000">
        <v>27800000</v>
      </c>
      <c r="L4000">
        <v>6000000</v>
      </c>
      <c r="M4000" t="s">
        <v>35</v>
      </c>
      <c r="N4000">
        <f t="shared" si="373"/>
        <v>0</v>
      </c>
      <c r="O4000" t="str">
        <f t="shared" si="372"/>
        <v>Low</v>
      </c>
      <c r="P4000" t="str">
        <f t="shared" si="374"/>
        <v>High</v>
      </c>
      <c r="Q4000" t="str">
        <f t="shared" si="375"/>
        <v>High Loan</v>
      </c>
      <c r="R4000">
        <f t="shared" si="376"/>
        <v>63300000</v>
      </c>
      <c r="S4000" t="str">
        <f t="shared" si="377"/>
        <v>Strong</v>
      </c>
    </row>
    <row r="4001" spans="1:19" x14ac:dyDescent="0.25">
      <c r="A4001">
        <v>4000</v>
      </c>
      <c r="B4001">
        <v>1</v>
      </c>
      <c r="C4001" t="s">
        <v>31</v>
      </c>
      <c r="D4001" t="s">
        <v>32</v>
      </c>
      <c r="E4001">
        <v>6900000</v>
      </c>
      <c r="F4001">
        <v>22700000</v>
      </c>
      <c r="G4001">
        <v>16</v>
      </c>
      <c r="H4001">
        <v>394</v>
      </c>
      <c r="I4001">
        <v>3800000</v>
      </c>
      <c r="J4001">
        <v>4300000</v>
      </c>
      <c r="K4001">
        <v>27400000</v>
      </c>
      <c r="L4001">
        <v>8700000</v>
      </c>
      <c r="M4001" t="s">
        <v>35</v>
      </c>
      <c r="N4001">
        <f t="shared" si="373"/>
        <v>0</v>
      </c>
      <c r="O4001" t="str">
        <f t="shared" si="372"/>
        <v>Low</v>
      </c>
      <c r="P4001" t="str">
        <f t="shared" si="374"/>
        <v>High</v>
      </c>
      <c r="Q4001" t="str">
        <f t="shared" si="375"/>
        <v>High Loan</v>
      </c>
      <c r="R4001">
        <f t="shared" si="376"/>
        <v>44200000</v>
      </c>
      <c r="S4001" t="str">
        <f t="shared" si="377"/>
        <v>Strong</v>
      </c>
    </row>
    <row r="4002" spans="1:19" x14ac:dyDescent="0.25">
      <c r="A4002">
        <v>4001</v>
      </c>
      <c r="B4002">
        <v>0</v>
      </c>
      <c r="C4002" t="s">
        <v>30</v>
      </c>
      <c r="D4002" t="s">
        <v>32</v>
      </c>
      <c r="E4002">
        <v>7500000</v>
      </c>
      <c r="F4002">
        <v>25100000</v>
      </c>
      <c r="G4002">
        <v>14</v>
      </c>
      <c r="H4002">
        <v>877</v>
      </c>
      <c r="I4002">
        <v>21000000</v>
      </c>
      <c r="J4002">
        <v>11400000</v>
      </c>
      <c r="K4002">
        <v>16900000</v>
      </c>
      <c r="L4002">
        <v>10700000</v>
      </c>
      <c r="M4002" t="s">
        <v>34</v>
      </c>
      <c r="N4002">
        <f t="shared" si="373"/>
        <v>1</v>
      </c>
      <c r="O4002" t="str">
        <f t="shared" si="372"/>
        <v>Excellent</v>
      </c>
      <c r="P4002" t="str">
        <f t="shared" si="374"/>
        <v>High</v>
      </c>
      <c r="Q4002" t="str">
        <f t="shared" si="375"/>
        <v>High Loan</v>
      </c>
      <c r="R4002">
        <f t="shared" si="376"/>
        <v>60000000</v>
      </c>
      <c r="S4002" t="str">
        <f t="shared" si="377"/>
        <v>Strong</v>
      </c>
    </row>
    <row r="4003" spans="1:19" x14ac:dyDescent="0.25">
      <c r="A4003">
        <v>4002</v>
      </c>
      <c r="B4003">
        <v>5</v>
      </c>
      <c r="C4003" t="s">
        <v>31</v>
      </c>
      <c r="D4003" t="s">
        <v>32</v>
      </c>
      <c r="E4003">
        <v>9200000</v>
      </c>
      <c r="F4003">
        <v>28000000</v>
      </c>
      <c r="G4003">
        <v>8</v>
      </c>
      <c r="H4003">
        <v>527</v>
      </c>
      <c r="I4003">
        <v>18700000</v>
      </c>
      <c r="J4003">
        <v>7700000</v>
      </c>
      <c r="K4003">
        <v>24400000</v>
      </c>
      <c r="L4003">
        <v>6400000</v>
      </c>
      <c r="M4003" t="s">
        <v>35</v>
      </c>
      <c r="N4003">
        <f t="shared" si="373"/>
        <v>0</v>
      </c>
      <c r="O4003" t="str">
        <f t="shared" si="372"/>
        <v>Low</v>
      </c>
      <c r="P4003" t="str">
        <f t="shared" si="374"/>
        <v>High</v>
      </c>
      <c r="Q4003" t="str">
        <f t="shared" si="375"/>
        <v>High Loan</v>
      </c>
      <c r="R4003">
        <f t="shared" si="376"/>
        <v>57200000</v>
      </c>
      <c r="S4003" t="str">
        <f t="shared" si="377"/>
        <v>Strong</v>
      </c>
    </row>
    <row r="4004" spans="1:19" x14ac:dyDescent="0.25">
      <c r="A4004">
        <v>4003</v>
      </c>
      <c r="B4004">
        <v>1</v>
      </c>
      <c r="C4004" t="s">
        <v>30</v>
      </c>
      <c r="D4004" t="s">
        <v>32</v>
      </c>
      <c r="E4004">
        <v>4600000</v>
      </c>
      <c r="F4004">
        <v>12700000</v>
      </c>
      <c r="G4004">
        <v>8</v>
      </c>
      <c r="H4004">
        <v>468</v>
      </c>
      <c r="I4004">
        <v>10400000</v>
      </c>
      <c r="J4004">
        <v>0</v>
      </c>
      <c r="K4004">
        <v>14500000</v>
      </c>
      <c r="L4004">
        <v>3900000</v>
      </c>
      <c r="M4004" t="s">
        <v>35</v>
      </c>
      <c r="N4004">
        <f t="shared" si="373"/>
        <v>0</v>
      </c>
      <c r="O4004" t="str">
        <f t="shared" si="372"/>
        <v>Low</v>
      </c>
      <c r="P4004" t="str">
        <f t="shared" si="374"/>
        <v>High</v>
      </c>
      <c r="Q4004" t="str">
        <f t="shared" si="375"/>
        <v>Low Loan</v>
      </c>
      <c r="R4004">
        <f t="shared" si="376"/>
        <v>28800000</v>
      </c>
      <c r="S4004" t="str">
        <f t="shared" si="377"/>
        <v>Strong</v>
      </c>
    </row>
    <row r="4005" spans="1:19" x14ac:dyDescent="0.25">
      <c r="A4005">
        <v>4004</v>
      </c>
      <c r="B4005">
        <v>4</v>
      </c>
      <c r="C4005" t="s">
        <v>30</v>
      </c>
      <c r="D4005" t="s">
        <v>33</v>
      </c>
      <c r="E4005">
        <v>5000000</v>
      </c>
      <c r="F4005">
        <v>19600000</v>
      </c>
      <c r="G4005">
        <v>18</v>
      </c>
      <c r="H4005">
        <v>611</v>
      </c>
      <c r="I4005">
        <v>13400000</v>
      </c>
      <c r="J4005">
        <v>4400000</v>
      </c>
      <c r="K4005">
        <v>14400000</v>
      </c>
      <c r="L4005">
        <v>4600000</v>
      </c>
      <c r="M4005" t="s">
        <v>34</v>
      </c>
      <c r="N4005">
        <f t="shared" si="373"/>
        <v>1</v>
      </c>
      <c r="O4005" t="str">
        <f t="shared" si="372"/>
        <v>Low</v>
      </c>
      <c r="P4005" t="str">
        <f t="shared" si="374"/>
        <v>High</v>
      </c>
      <c r="Q4005" t="str">
        <f t="shared" si="375"/>
        <v>Low Loan</v>
      </c>
      <c r="R4005">
        <f t="shared" si="376"/>
        <v>36800000</v>
      </c>
      <c r="S4005" t="str">
        <f t="shared" si="377"/>
        <v>Strong</v>
      </c>
    </row>
    <row r="4006" spans="1:19" x14ac:dyDescent="0.25">
      <c r="A4006">
        <v>4005</v>
      </c>
      <c r="B4006">
        <v>2</v>
      </c>
      <c r="C4006" t="s">
        <v>30</v>
      </c>
      <c r="D4006" t="s">
        <v>32</v>
      </c>
      <c r="E4006">
        <v>4500000</v>
      </c>
      <c r="F4006">
        <v>17200000</v>
      </c>
      <c r="G4006">
        <v>6</v>
      </c>
      <c r="H4006">
        <v>832</v>
      </c>
      <c r="I4006">
        <v>2700000</v>
      </c>
      <c r="J4006">
        <v>8500000</v>
      </c>
      <c r="K4006">
        <v>10900000</v>
      </c>
      <c r="L4006">
        <v>6700000</v>
      </c>
      <c r="M4006" t="s">
        <v>34</v>
      </c>
      <c r="N4006">
        <f t="shared" si="373"/>
        <v>1</v>
      </c>
      <c r="O4006" t="str">
        <f t="shared" si="372"/>
        <v>Excellent</v>
      </c>
      <c r="P4006" t="str">
        <f t="shared" si="374"/>
        <v>High</v>
      </c>
      <c r="Q4006" t="str">
        <f t="shared" si="375"/>
        <v>Low Loan</v>
      </c>
      <c r="R4006">
        <f t="shared" si="376"/>
        <v>28800000</v>
      </c>
      <c r="S4006" t="str">
        <f t="shared" si="377"/>
        <v>Strong</v>
      </c>
    </row>
    <row r="4007" spans="1:19" x14ac:dyDescent="0.25">
      <c r="A4007">
        <v>4006</v>
      </c>
      <c r="B4007">
        <v>0</v>
      </c>
      <c r="C4007" t="s">
        <v>30</v>
      </c>
      <c r="D4007" t="s">
        <v>32</v>
      </c>
      <c r="E4007">
        <v>7900000</v>
      </c>
      <c r="F4007">
        <v>22700000</v>
      </c>
      <c r="G4007">
        <v>18</v>
      </c>
      <c r="H4007">
        <v>508</v>
      </c>
      <c r="I4007">
        <v>6600000</v>
      </c>
      <c r="J4007">
        <v>7000000</v>
      </c>
      <c r="K4007">
        <v>31600000</v>
      </c>
      <c r="L4007">
        <v>8900000</v>
      </c>
      <c r="M4007" t="s">
        <v>35</v>
      </c>
      <c r="N4007">
        <f t="shared" si="373"/>
        <v>0</v>
      </c>
      <c r="O4007" t="str">
        <f t="shared" si="372"/>
        <v>Low</v>
      </c>
      <c r="P4007" t="str">
        <f t="shared" si="374"/>
        <v>High</v>
      </c>
      <c r="Q4007" t="str">
        <f t="shared" si="375"/>
        <v>High Loan</v>
      </c>
      <c r="R4007">
        <f t="shared" si="376"/>
        <v>54100000</v>
      </c>
      <c r="S4007" t="str">
        <f t="shared" si="377"/>
        <v>Strong</v>
      </c>
    </row>
    <row r="4008" spans="1:19" x14ac:dyDescent="0.25">
      <c r="A4008">
        <v>4007</v>
      </c>
      <c r="B4008">
        <v>5</v>
      </c>
      <c r="C4008" t="s">
        <v>31</v>
      </c>
      <c r="D4008" t="s">
        <v>32</v>
      </c>
      <c r="E4008">
        <v>5100000</v>
      </c>
      <c r="F4008">
        <v>13500000</v>
      </c>
      <c r="G4008">
        <v>20</v>
      </c>
      <c r="H4008">
        <v>840</v>
      </c>
      <c r="I4008">
        <v>1400000</v>
      </c>
      <c r="J4008">
        <v>5300000</v>
      </c>
      <c r="K4008">
        <v>14700000</v>
      </c>
      <c r="L4008">
        <v>4500000</v>
      </c>
      <c r="M4008" t="s">
        <v>34</v>
      </c>
      <c r="N4008">
        <f t="shared" si="373"/>
        <v>1</v>
      </c>
      <c r="O4008" t="str">
        <f t="shared" si="372"/>
        <v>Excellent</v>
      </c>
      <c r="P4008" t="str">
        <f t="shared" si="374"/>
        <v>High</v>
      </c>
      <c r="Q4008" t="str">
        <f t="shared" si="375"/>
        <v>Low Loan</v>
      </c>
      <c r="R4008">
        <f t="shared" si="376"/>
        <v>25900000</v>
      </c>
      <c r="S4008" t="str">
        <f t="shared" si="377"/>
        <v>Strong</v>
      </c>
    </row>
    <row r="4009" spans="1:19" x14ac:dyDescent="0.25">
      <c r="A4009">
        <v>4008</v>
      </c>
      <c r="B4009">
        <v>4</v>
      </c>
      <c r="C4009" t="s">
        <v>30</v>
      </c>
      <c r="D4009" t="s">
        <v>32</v>
      </c>
      <c r="E4009">
        <v>3700000</v>
      </c>
      <c r="F4009">
        <v>7600000</v>
      </c>
      <c r="G4009">
        <v>14</v>
      </c>
      <c r="H4009">
        <v>794</v>
      </c>
      <c r="I4009">
        <v>9500000</v>
      </c>
      <c r="J4009">
        <v>7300000</v>
      </c>
      <c r="K4009">
        <v>12100000</v>
      </c>
      <c r="L4009">
        <v>4500000</v>
      </c>
      <c r="M4009" t="s">
        <v>34</v>
      </c>
      <c r="N4009">
        <f t="shared" si="373"/>
        <v>1</v>
      </c>
      <c r="O4009" t="str">
        <f t="shared" si="372"/>
        <v>Excellent</v>
      </c>
      <c r="P4009" t="str">
        <f t="shared" si="374"/>
        <v>High</v>
      </c>
      <c r="Q4009" t="str">
        <f t="shared" si="375"/>
        <v>Low Loan</v>
      </c>
      <c r="R4009">
        <f t="shared" si="376"/>
        <v>33400000</v>
      </c>
      <c r="S4009" t="str">
        <f t="shared" si="377"/>
        <v>Strong</v>
      </c>
    </row>
    <row r="4010" spans="1:19" x14ac:dyDescent="0.25">
      <c r="A4010">
        <v>4009</v>
      </c>
      <c r="B4010">
        <v>1</v>
      </c>
      <c r="C4010" t="s">
        <v>31</v>
      </c>
      <c r="D4010" t="s">
        <v>32</v>
      </c>
      <c r="E4010">
        <v>5300000</v>
      </c>
      <c r="F4010">
        <v>17800000</v>
      </c>
      <c r="G4010">
        <v>12</v>
      </c>
      <c r="H4010">
        <v>889</v>
      </c>
      <c r="I4010">
        <v>15300000</v>
      </c>
      <c r="J4010">
        <v>500000</v>
      </c>
      <c r="K4010">
        <v>14900000</v>
      </c>
      <c r="L4010">
        <v>6800000</v>
      </c>
      <c r="M4010" t="s">
        <v>34</v>
      </c>
      <c r="N4010">
        <f t="shared" si="373"/>
        <v>1</v>
      </c>
      <c r="O4010" t="str">
        <f t="shared" si="372"/>
        <v>Excellent</v>
      </c>
      <c r="P4010" t="str">
        <f t="shared" si="374"/>
        <v>High</v>
      </c>
      <c r="Q4010" t="str">
        <f t="shared" si="375"/>
        <v>Low Loan</v>
      </c>
      <c r="R4010">
        <f t="shared" si="376"/>
        <v>37500000</v>
      </c>
      <c r="S4010" t="str">
        <f t="shared" si="377"/>
        <v>Strong</v>
      </c>
    </row>
    <row r="4011" spans="1:19" x14ac:dyDescent="0.25">
      <c r="A4011">
        <v>4010</v>
      </c>
      <c r="B4011">
        <v>4</v>
      </c>
      <c r="C4011" t="s">
        <v>31</v>
      </c>
      <c r="D4011" t="s">
        <v>32</v>
      </c>
      <c r="E4011">
        <v>200000</v>
      </c>
      <c r="F4011">
        <v>500000</v>
      </c>
      <c r="G4011">
        <v>16</v>
      </c>
      <c r="H4011">
        <v>765</v>
      </c>
      <c r="I4011">
        <v>600000</v>
      </c>
      <c r="J4011">
        <v>100000</v>
      </c>
      <c r="K4011">
        <v>600000</v>
      </c>
      <c r="L4011">
        <v>100000</v>
      </c>
      <c r="M4011" t="s">
        <v>34</v>
      </c>
      <c r="N4011">
        <f t="shared" si="373"/>
        <v>1</v>
      </c>
      <c r="O4011" t="str">
        <f t="shared" si="372"/>
        <v>Excellent</v>
      </c>
      <c r="P4011" t="str">
        <f t="shared" si="374"/>
        <v>Low</v>
      </c>
      <c r="Q4011" t="str">
        <f t="shared" si="375"/>
        <v>Low Loan</v>
      </c>
      <c r="R4011">
        <f t="shared" si="376"/>
        <v>1400000</v>
      </c>
      <c r="S4011" t="str">
        <f t="shared" si="377"/>
        <v>Weak</v>
      </c>
    </row>
    <row r="4012" spans="1:19" x14ac:dyDescent="0.25">
      <c r="A4012">
        <v>4011</v>
      </c>
      <c r="B4012">
        <v>3</v>
      </c>
      <c r="C4012" t="s">
        <v>30</v>
      </c>
      <c r="D4012" t="s">
        <v>33</v>
      </c>
      <c r="E4012">
        <v>9000000</v>
      </c>
      <c r="F4012">
        <v>18600000</v>
      </c>
      <c r="G4012">
        <v>16</v>
      </c>
      <c r="H4012">
        <v>518</v>
      </c>
      <c r="I4012">
        <v>18400000</v>
      </c>
      <c r="J4012">
        <v>17600000</v>
      </c>
      <c r="K4012">
        <v>28900000</v>
      </c>
      <c r="L4012">
        <v>10300000</v>
      </c>
      <c r="M4012" t="s">
        <v>35</v>
      </c>
      <c r="N4012">
        <f t="shared" si="373"/>
        <v>0</v>
      </c>
      <c r="O4012" t="str">
        <f t="shared" si="372"/>
        <v>Low</v>
      </c>
      <c r="P4012" t="str">
        <f t="shared" si="374"/>
        <v>High</v>
      </c>
      <c r="Q4012" t="str">
        <f t="shared" si="375"/>
        <v>Low Loan</v>
      </c>
      <c r="R4012">
        <f t="shared" si="376"/>
        <v>75200000</v>
      </c>
      <c r="S4012" t="str">
        <f t="shared" si="377"/>
        <v>Strong</v>
      </c>
    </row>
    <row r="4013" spans="1:19" x14ac:dyDescent="0.25">
      <c r="A4013">
        <v>4012</v>
      </c>
      <c r="B4013">
        <v>3</v>
      </c>
      <c r="C4013" t="s">
        <v>31</v>
      </c>
      <c r="D4013" t="s">
        <v>32</v>
      </c>
      <c r="E4013">
        <v>6900000</v>
      </c>
      <c r="F4013">
        <v>17100000</v>
      </c>
      <c r="G4013">
        <v>4</v>
      </c>
      <c r="H4013">
        <v>694</v>
      </c>
      <c r="I4013">
        <v>4200000</v>
      </c>
      <c r="J4013">
        <v>6100000</v>
      </c>
      <c r="K4013">
        <v>27000000</v>
      </c>
      <c r="L4013">
        <v>6000000</v>
      </c>
      <c r="M4013" t="s">
        <v>34</v>
      </c>
      <c r="N4013">
        <f t="shared" si="373"/>
        <v>1</v>
      </c>
      <c r="O4013" t="str">
        <f t="shared" si="372"/>
        <v>Medium</v>
      </c>
      <c r="P4013" t="str">
        <f t="shared" si="374"/>
        <v>High</v>
      </c>
      <c r="Q4013" t="str">
        <f t="shared" si="375"/>
        <v>Low Loan</v>
      </c>
      <c r="R4013">
        <f t="shared" si="376"/>
        <v>43300000</v>
      </c>
      <c r="S4013" t="str">
        <f t="shared" si="377"/>
        <v>Strong</v>
      </c>
    </row>
    <row r="4014" spans="1:19" x14ac:dyDescent="0.25">
      <c r="A4014">
        <v>4013</v>
      </c>
      <c r="B4014">
        <v>2</v>
      </c>
      <c r="C4014" t="s">
        <v>31</v>
      </c>
      <c r="D4014" t="s">
        <v>32</v>
      </c>
      <c r="E4014">
        <v>700000</v>
      </c>
      <c r="F4014">
        <v>2300000</v>
      </c>
      <c r="G4014">
        <v>8</v>
      </c>
      <c r="H4014">
        <v>663</v>
      </c>
      <c r="I4014">
        <v>700000</v>
      </c>
      <c r="J4014">
        <v>500000</v>
      </c>
      <c r="K4014">
        <v>2800000</v>
      </c>
      <c r="L4014">
        <v>1000000</v>
      </c>
      <c r="M4014" t="s">
        <v>34</v>
      </c>
      <c r="N4014">
        <f t="shared" si="373"/>
        <v>1</v>
      </c>
      <c r="O4014" t="str">
        <f t="shared" si="372"/>
        <v>Medium</v>
      </c>
      <c r="P4014" t="str">
        <f t="shared" si="374"/>
        <v>High</v>
      </c>
      <c r="Q4014" t="str">
        <f t="shared" si="375"/>
        <v>Low Loan</v>
      </c>
      <c r="R4014">
        <f t="shared" si="376"/>
        <v>5000000</v>
      </c>
      <c r="S4014" t="str">
        <f t="shared" si="377"/>
        <v>Moderate</v>
      </c>
    </row>
    <row r="4015" spans="1:19" x14ac:dyDescent="0.25">
      <c r="A4015">
        <v>4014</v>
      </c>
      <c r="B4015">
        <v>0</v>
      </c>
      <c r="C4015" t="s">
        <v>30</v>
      </c>
      <c r="D4015" t="s">
        <v>32</v>
      </c>
      <c r="E4015">
        <v>2500000</v>
      </c>
      <c r="F4015">
        <v>8900000</v>
      </c>
      <c r="G4015">
        <v>2</v>
      </c>
      <c r="H4015">
        <v>662</v>
      </c>
      <c r="I4015">
        <v>4000000</v>
      </c>
      <c r="J4015">
        <v>2100000</v>
      </c>
      <c r="K4015">
        <v>9700000</v>
      </c>
      <c r="L4015">
        <v>3000000</v>
      </c>
      <c r="M4015" t="s">
        <v>34</v>
      </c>
      <c r="N4015">
        <f t="shared" si="373"/>
        <v>1</v>
      </c>
      <c r="O4015" t="str">
        <f t="shared" si="372"/>
        <v>Medium</v>
      </c>
      <c r="P4015" t="str">
        <f t="shared" si="374"/>
        <v>High</v>
      </c>
      <c r="Q4015" t="str">
        <f t="shared" si="375"/>
        <v>Low Loan</v>
      </c>
      <c r="R4015">
        <f t="shared" si="376"/>
        <v>18800000</v>
      </c>
      <c r="S4015" t="str">
        <f t="shared" si="377"/>
        <v>Strong</v>
      </c>
    </row>
    <row r="4016" spans="1:19" x14ac:dyDescent="0.25">
      <c r="A4016">
        <v>4015</v>
      </c>
      <c r="B4016">
        <v>0</v>
      </c>
      <c r="C4016" t="s">
        <v>31</v>
      </c>
      <c r="D4016" t="s">
        <v>32</v>
      </c>
      <c r="E4016">
        <v>4600000</v>
      </c>
      <c r="F4016">
        <v>14400000</v>
      </c>
      <c r="G4016">
        <v>14</v>
      </c>
      <c r="H4016">
        <v>642</v>
      </c>
      <c r="I4016">
        <v>10100000</v>
      </c>
      <c r="J4016">
        <v>8700000</v>
      </c>
      <c r="K4016">
        <v>11100000</v>
      </c>
      <c r="L4016">
        <v>4800000</v>
      </c>
      <c r="M4016" t="s">
        <v>34</v>
      </c>
      <c r="N4016">
        <f t="shared" si="373"/>
        <v>1</v>
      </c>
      <c r="O4016" t="str">
        <f t="shared" si="372"/>
        <v>Low</v>
      </c>
      <c r="P4016" t="str">
        <f t="shared" si="374"/>
        <v>High</v>
      </c>
      <c r="Q4016" t="str">
        <f t="shared" si="375"/>
        <v>Low Loan</v>
      </c>
      <c r="R4016">
        <f t="shared" si="376"/>
        <v>34700000</v>
      </c>
      <c r="S4016" t="str">
        <f t="shared" si="377"/>
        <v>Strong</v>
      </c>
    </row>
    <row r="4017" spans="1:19" x14ac:dyDescent="0.25">
      <c r="A4017">
        <v>4016</v>
      </c>
      <c r="B4017">
        <v>4</v>
      </c>
      <c r="C4017" t="s">
        <v>30</v>
      </c>
      <c r="D4017" t="s">
        <v>32</v>
      </c>
      <c r="E4017">
        <v>1000000</v>
      </c>
      <c r="F4017">
        <v>3900000</v>
      </c>
      <c r="G4017">
        <v>10</v>
      </c>
      <c r="H4017">
        <v>701</v>
      </c>
      <c r="I4017">
        <v>2200000</v>
      </c>
      <c r="J4017">
        <v>1000000</v>
      </c>
      <c r="K4017">
        <v>4000000</v>
      </c>
      <c r="L4017">
        <v>900000</v>
      </c>
      <c r="M4017" t="s">
        <v>34</v>
      </c>
      <c r="N4017">
        <f t="shared" si="373"/>
        <v>1</v>
      </c>
      <c r="O4017" t="str">
        <f t="shared" si="372"/>
        <v>Good</v>
      </c>
      <c r="P4017" t="str">
        <f t="shared" si="374"/>
        <v>High</v>
      </c>
      <c r="Q4017" t="str">
        <f t="shared" si="375"/>
        <v>Low Loan</v>
      </c>
      <c r="R4017">
        <f t="shared" si="376"/>
        <v>8100000</v>
      </c>
      <c r="S4017" t="str">
        <f t="shared" si="377"/>
        <v>Moderate</v>
      </c>
    </row>
    <row r="4018" spans="1:19" x14ac:dyDescent="0.25">
      <c r="A4018">
        <v>4017</v>
      </c>
      <c r="B4018">
        <v>4</v>
      </c>
      <c r="C4018" t="s">
        <v>31</v>
      </c>
      <c r="D4018" t="s">
        <v>33</v>
      </c>
      <c r="E4018">
        <v>9200000</v>
      </c>
      <c r="F4018">
        <v>30100000</v>
      </c>
      <c r="G4018">
        <v>6</v>
      </c>
      <c r="H4018">
        <v>632</v>
      </c>
      <c r="I4018">
        <v>23700000</v>
      </c>
      <c r="J4018">
        <v>6600000</v>
      </c>
      <c r="K4018">
        <v>34200000</v>
      </c>
      <c r="L4018">
        <v>6200000</v>
      </c>
      <c r="M4018" t="s">
        <v>34</v>
      </c>
      <c r="N4018">
        <f t="shared" si="373"/>
        <v>1</v>
      </c>
      <c r="O4018" t="str">
        <f t="shared" si="372"/>
        <v>Low</v>
      </c>
      <c r="P4018" t="str">
        <f t="shared" si="374"/>
        <v>High</v>
      </c>
      <c r="Q4018" t="str">
        <f t="shared" si="375"/>
        <v>High Loan</v>
      </c>
      <c r="R4018">
        <f t="shared" si="376"/>
        <v>70700000</v>
      </c>
      <c r="S4018" t="str">
        <f t="shared" si="377"/>
        <v>Strong</v>
      </c>
    </row>
    <row r="4019" spans="1:19" x14ac:dyDescent="0.25">
      <c r="A4019">
        <v>4018</v>
      </c>
      <c r="B4019">
        <v>3</v>
      </c>
      <c r="C4019" t="s">
        <v>30</v>
      </c>
      <c r="D4019" t="s">
        <v>33</v>
      </c>
      <c r="E4019">
        <v>2200000</v>
      </c>
      <c r="F4019">
        <v>4400000</v>
      </c>
      <c r="G4019">
        <v>2</v>
      </c>
      <c r="H4019">
        <v>861</v>
      </c>
      <c r="I4019">
        <v>1300000</v>
      </c>
      <c r="J4019">
        <v>2600000</v>
      </c>
      <c r="K4019">
        <v>4500000</v>
      </c>
      <c r="L4019">
        <v>2300000</v>
      </c>
      <c r="M4019" t="s">
        <v>34</v>
      </c>
      <c r="N4019">
        <f t="shared" si="373"/>
        <v>1</v>
      </c>
      <c r="O4019" t="str">
        <f t="shared" si="372"/>
        <v>Excellent</v>
      </c>
      <c r="P4019" t="str">
        <f t="shared" si="374"/>
        <v>High</v>
      </c>
      <c r="Q4019" t="str">
        <f t="shared" si="375"/>
        <v>Low Loan</v>
      </c>
      <c r="R4019">
        <f t="shared" si="376"/>
        <v>10700000</v>
      </c>
      <c r="S4019" t="str">
        <f t="shared" si="377"/>
        <v>Strong</v>
      </c>
    </row>
    <row r="4020" spans="1:19" x14ac:dyDescent="0.25">
      <c r="A4020">
        <v>4019</v>
      </c>
      <c r="B4020">
        <v>4</v>
      </c>
      <c r="C4020" t="s">
        <v>30</v>
      </c>
      <c r="D4020" t="s">
        <v>33</v>
      </c>
      <c r="E4020">
        <v>9700000</v>
      </c>
      <c r="F4020">
        <v>33300000</v>
      </c>
      <c r="G4020">
        <v>12</v>
      </c>
      <c r="H4020">
        <v>784</v>
      </c>
      <c r="I4020">
        <v>14600000</v>
      </c>
      <c r="J4020">
        <v>15800000</v>
      </c>
      <c r="K4020">
        <v>37900000</v>
      </c>
      <c r="L4020">
        <v>6500000</v>
      </c>
      <c r="M4020" t="s">
        <v>34</v>
      </c>
      <c r="N4020">
        <f t="shared" si="373"/>
        <v>1</v>
      </c>
      <c r="O4020" t="str">
        <f t="shared" si="372"/>
        <v>Excellent</v>
      </c>
      <c r="P4020" t="str">
        <f t="shared" si="374"/>
        <v>High</v>
      </c>
      <c r="Q4020" t="str">
        <f t="shared" si="375"/>
        <v>High Loan</v>
      </c>
      <c r="R4020">
        <f t="shared" si="376"/>
        <v>74800000</v>
      </c>
      <c r="S4020" t="str">
        <f t="shared" si="377"/>
        <v>Strong</v>
      </c>
    </row>
    <row r="4021" spans="1:19" x14ac:dyDescent="0.25">
      <c r="A4021">
        <v>4020</v>
      </c>
      <c r="B4021">
        <v>0</v>
      </c>
      <c r="C4021" t="s">
        <v>30</v>
      </c>
      <c r="D4021" t="s">
        <v>33</v>
      </c>
      <c r="E4021">
        <v>5500000</v>
      </c>
      <c r="F4021">
        <v>18200000</v>
      </c>
      <c r="G4021">
        <v>4</v>
      </c>
      <c r="H4021">
        <v>332</v>
      </c>
      <c r="I4021">
        <v>8100000</v>
      </c>
      <c r="J4021">
        <v>4000000</v>
      </c>
      <c r="K4021">
        <v>16400000</v>
      </c>
      <c r="L4021">
        <v>5600000</v>
      </c>
      <c r="M4021" t="s">
        <v>34</v>
      </c>
      <c r="N4021">
        <f t="shared" si="373"/>
        <v>1</v>
      </c>
      <c r="O4021" t="str">
        <f t="shared" si="372"/>
        <v>Low</v>
      </c>
      <c r="P4021" t="str">
        <f t="shared" si="374"/>
        <v>High</v>
      </c>
      <c r="Q4021" t="str">
        <f t="shared" si="375"/>
        <v>Low Loan</v>
      </c>
      <c r="R4021">
        <f t="shared" si="376"/>
        <v>34100000</v>
      </c>
      <c r="S4021" t="str">
        <f t="shared" si="377"/>
        <v>Strong</v>
      </c>
    </row>
    <row r="4022" spans="1:19" x14ac:dyDescent="0.25">
      <c r="A4022">
        <v>4021</v>
      </c>
      <c r="B4022">
        <v>4</v>
      </c>
      <c r="C4022" t="s">
        <v>31</v>
      </c>
      <c r="D4022" t="s">
        <v>33</v>
      </c>
      <c r="E4022">
        <v>1300000</v>
      </c>
      <c r="F4022">
        <v>3400000</v>
      </c>
      <c r="G4022">
        <v>2</v>
      </c>
      <c r="H4022">
        <v>763</v>
      </c>
      <c r="I4022">
        <v>3800000</v>
      </c>
      <c r="J4022">
        <v>200000</v>
      </c>
      <c r="K4022">
        <v>5100000</v>
      </c>
      <c r="L4022">
        <v>1400000</v>
      </c>
      <c r="M4022" t="s">
        <v>34</v>
      </c>
      <c r="N4022">
        <f t="shared" si="373"/>
        <v>1</v>
      </c>
      <c r="O4022" t="str">
        <f t="shared" si="372"/>
        <v>Excellent</v>
      </c>
      <c r="P4022" t="str">
        <f t="shared" si="374"/>
        <v>High</v>
      </c>
      <c r="Q4022" t="str">
        <f t="shared" si="375"/>
        <v>Low Loan</v>
      </c>
      <c r="R4022">
        <f t="shared" si="376"/>
        <v>10500000</v>
      </c>
      <c r="S4022" t="str">
        <f t="shared" si="377"/>
        <v>Strong</v>
      </c>
    </row>
    <row r="4023" spans="1:19" x14ac:dyDescent="0.25">
      <c r="A4023">
        <v>4022</v>
      </c>
      <c r="B4023">
        <v>1</v>
      </c>
      <c r="C4023" t="s">
        <v>31</v>
      </c>
      <c r="D4023" t="s">
        <v>33</v>
      </c>
      <c r="E4023">
        <v>7900000</v>
      </c>
      <c r="F4023">
        <v>19100000</v>
      </c>
      <c r="G4023">
        <v>2</v>
      </c>
      <c r="H4023">
        <v>593</v>
      </c>
      <c r="I4023">
        <v>20800000</v>
      </c>
      <c r="J4023">
        <v>12200000</v>
      </c>
      <c r="K4023">
        <v>26100000</v>
      </c>
      <c r="L4023">
        <v>7800000</v>
      </c>
      <c r="M4023" t="s">
        <v>34</v>
      </c>
      <c r="N4023">
        <f t="shared" si="373"/>
        <v>1</v>
      </c>
      <c r="O4023" t="str">
        <f t="shared" si="372"/>
        <v>Low</v>
      </c>
      <c r="P4023" t="str">
        <f t="shared" si="374"/>
        <v>High</v>
      </c>
      <c r="Q4023" t="str">
        <f t="shared" si="375"/>
        <v>Low Loan</v>
      </c>
      <c r="R4023">
        <f t="shared" si="376"/>
        <v>66900000</v>
      </c>
      <c r="S4023" t="str">
        <f t="shared" si="377"/>
        <v>Strong</v>
      </c>
    </row>
    <row r="4024" spans="1:19" x14ac:dyDescent="0.25">
      <c r="A4024">
        <v>4023</v>
      </c>
      <c r="B4024">
        <v>2</v>
      </c>
      <c r="C4024" t="s">
        <v>31</v>
      </c>
      <c r="D4024" t="s">
        <v>32</v>
      </c>
      <c r="E4024">
        <v>4300000</v>
      </c>
      <c r="F4024">
        <v>8800000</v>
      </c>
      <c r="G4024">
        <v>6</v>
      </c>
      <c r="H4024">
        <v>512</v>
      </c>
      <c r="I4024">
        <v>7200000</v>
      </c>
      <c r="J4024">
        <v>6500000</v>
      </c>
      <c r="K4024">
        <v>16900000</v>
      </c>
      <c r="L4024">
        <v>2700000</v>
      </c>
      <c r="M4024" t="s">
        <v>35</v>
      </c>
      <c r="N4024">
        <f t="shared" si="373"/>
        <v>0</v>
      </c>
      <c r="O4024" t="str">
        <f t="shared" si="372"/>
        <v>Low</v>
      </c>
      <c r="P4024" t="str">
        <f t="shared" si="374"/>
        <v>High</v>
      </c>
      <c r="Q4024" t="str">
        <f t="shared" si="375"/>
        <v>Low Loan</v>
      </c>
      <c r="R4024">
        <f t="shared" si="376"/>
        <v>33300000</v>
      </c>
      <c r="S4024" t="str">
        <f t="shared" si="377"/>
        <v>Strong</v>
      </c>
    </row>
    <row r="4025" spans="1:19" x14ac:dyDescent="0.25">
      <c r="A4025">
        <v>4024</v>
      </c>
      <c r="B4025">
        <v>0</v>
      </c>
      <c r="C4025" t="s">
        <v>31</v>
      </c>
      <c r="D4025" t="s">
        <v>32</v>
      </c>
      <c r="E4025">
        <v>3800000</v>
      </c>
      <c r="F4025">
        <v>13300000</v>
      </c>
      <c r="G4025">
        <v>6</v>
      </c>
      <c r="H4025">
        <v>655</v>
      </c>
      <c r="I4025">
        <v>9600000</v>
      </c>
      <c r="J4025">
        <v>0</v>
      </c>
      <c r="K4025">
        <v>8600000</v>
      </c>
      <c r="L4025">
        <v>2600000</v>
      </c>
      <c r="M4025" t="s">
        <v>34</v>
      </c>
      <c r="N4025">
        <f t="shared" si="373"/>
        <v>1</v>
      </c>
      <c r="O4025" t="str">
        <f t="shared" si="372"/>
        <v>Medium</v>
      </c>
      <c r="P4025" t="str">
        <f t="shared" si="374"/>
        <v>High</v>
      </c>
      <c r="Q4025" t="str">
        <f t="shared" si="375"/>
        <v>Low Loan</v>
      </c>
      <c r="R4025">
        <f t="shared" si="376"/>
        <v>20800000</v>
      </c>
      <c r="S4025" t="str">
        <f t="shared" si="377"/>
        <v>Strong</v>
      </c>
    </row>
    <row r="4026" spans="1:19" x14ac:dyDescent="0.25">
      <c r="A4026">
        <v>4025</v>
      </c>
      <c r="B4026">
        <v>3</v>
      </c>
      <c r="C4026" t="s">
        <v>31</v>
      </c>
      <c r="D4026" t="s">
        <v>32</v>
      </c>
      <c r="E4026">
        <v>8700000</v>
      </c>
      <c r="F4026">
        <v>24700000</v>
      </c>
      <c r="G4026">
        <v>8</v>
      </c>
      <c r="H4026">
        <v>369</v>
      </c>
      <c r="I4026">
        <v>4000000</v>
      </c>
      <c r="J4026">
        <v>800000</v>
      </c>
      <c r="K4026">
        <v>31100000</v>
      </c>
      <c r="L4026">
        <v>4800000</v>
      </c>
      <c r="M4026" t="s">
        <v>35</v>
      </c>
      <c r="N4026">
        <f t="shared" si="373"/>
        <v>0</v>
      </c>
      <c r="O4026" t="str">
        <f t="shared" si="372"/>
        <v>Low</v>
      </c>
      <c r="P4026" t="str">
        <f t="shared" si="374"/>
        <v>High</v>
      </c>
      <c r="Q4026" t="str">
        <f t="shared" si="375"/>
        <v>High Loan</v>
      </c>
      <c r="R4026">
        <f t="shared" si="376"/>
        <v>40700000</v>
      </c>
      <c r="S4026" t="str">
        <f t="shared" si="377"/>
        <v>Strong</v>
      </c>
    </row>
    <row r="4027" spans="1:19" x14ac:dyDescent="0.25">
      <c r="A4027">
        <v>4026</v>
      </c>
      <c r="B4027">
        <v>3</v>
      </c>
      <c r="C4027" t="s">
        <v>30</v>
      </c>
      <c r="D4027" t="s">
        <v>32</v>
      </c>
      <c r="E4027">
        <v>1300000</v>
      </c>
      <c r="F4027">
        <v>3100000</v>
      </c>
      <c r="G4027">
        <v>14</v>
      </c>
      <c r="H4027">
        <v>348</v>
      </c>
      <c r="I4027">
        <v>1500000</v>
      </c>
      <c r="J4027">
        <v>600000</v>
      </c>
      <c r="K4027">
        <v>3900000</v>
      </c>
      <c r="L4027">
        <v>600000</v>
      </c>
      <c r="M4027" t="s">
        <v>35</v>
      </c>
      <c r="N4027">
        <f t="shared" si="373"/>
        <v>0</v>
      </c>
      <c r="O4027" t="str">
        <f t="shared" si="372"/>
        <v>Low</v>
      </c>
      <c r="P4027" t="str">
        <f t="shared" si="374"/>
        <v>High</v>
      </c>
      <c r="Q4027" t="str">
        <f t="shared" si="375"/>
        <v>Low Loan</v>
      </c>
      <c r="R4027">
        <f t="shared" si="376"/>
        <v>6600000</v>
      </c>
      <c r="S4027" t="str">
        <f t="shared" si="377"/>
        <v>Moderate</v>
      </c>
    </row>
    <row r="4028" spans="1:19" x14ac:dyDescent="0.25">
      <c r="A4028">
        <v>4027</v>
      </c>
      <c r="B4028">
        <v>1</v>
      </c>
      <c r="C4028" t="s">
        <v>31</v>
      </c>
      <c r="D4028" t="s">
        <v>33</v>
      </c>
      <c r="E4028">
        <v>6800000</v>
      </c>
      <c r="F4028">
        <v>16800000</v>
      </c>
      <c r="G4028">
        <v>10</v>
      </c>
      <c r="H4028">
        <v>736</v>
      </c>
      <c r="I4028">
        <v>2000000</v>
      </c>
      <c r="J4028">
        <v>2600000</v>
      </c>
      <c r="K4028">
        <v>23800000</v>
      </c>
      <c r="L4028">
        <v>5600000</v>
      </c>
      <c r="M4028" t="s">
        <v>34</v>
      </c>
      <c r="N4028">
        <f t="shared" si="373"/>
        <v>1</v>
      </c>
      <c r="O4028" t="str">
        <f t="shared" si="372"/>
        <v>Good</v>
      </c>
      <c r="P4028" t="str">
        <f t="shared" si="374"/>
        <v>High</v>
      </c>
      <c r="Q4028" t="str">
        <f t="shared" si="375"/>
        <v>Low Loan</v>
      </c>
      <c r="R4028">
        <f t="shared" si="376"/>
        <v>34000000</v>
      </c>
      <c r="S4028" t="str">
        <f t="shared" si="377"/>
        <v>Strong</v>
      </c>
    </row>
    <row r="4029" spans="1:19" x14ac:dyDescent="0.25">
      <c r="A4029">
        <v>4028</v>
      </c>
      <c r="B4029">
        <v>1</v>
      </c>
      <c r="C4029" t="s">
        <v>31</v>
      </c>
      <c r="D4029" t="s">
        <v>32</v>
      </c>
      <c r="E4029">
        <v>9100000</v>
      </c>
      <c r="F4029">
        <v>24000000</v>
      </c>
      <c r="G4029">
        <v>20</v>
      </c>
      <c r="H4029">
        <v>353</v>
      </c>
      <c r="I4029">
        <v>25100000</v>
      </c>
      <c r="J4029">
        <v>9200000</v>
      </c>
      <c r="K4029">
        <v>26100000</v>
      </c>
      <c r="L4029">
        <v>10900000</v>
      </c>
      <c r="M4029" t="s">
        <v>35</v>
      </c>
      <c r="N4029">
        <f t="shared" si="373"/>
        <v>0</v>
      </c>
      <c r="O4029" t="str">
        <f t="shared" si="372"/>
        <v>Low</v>
      </c>
      <c r="P4029" t="str">
        <f t="shared" si="374"/>
        <v>High</v>
      </c>
      <c r="Q4029" t="str">
        <f t="shared" si="375"/>
        <v>High Loan</v>
      </c>
      <c r="R4029">
        <f t="shared" si="376"/>
        <v>71300000</v>
      </c>
      <c r="S4029" t="str">
        <f t="shared" si="377"/>
        <v>Strong</v>
      </c>
    </row>
    <row r="4030" spans="1:19" x14ac:dyDescent="0.25">
      <c r="A4030">
        <v>4029</v>
      </c>
      <c r="B4030">
        <v>0</v>
      </c>
      <c r="C4030" t="s">
        <v>30</v>
      </c>
      <c r="D4030" t="s">
        <v>32</v>
      </c>
      <c r="E4030">
        <v>3000000</v>
      </c>
      <c r="F4030">
        <v>11300000</v>
      </c>
      <c r="G4030">
        <v>16</v>
      </c>
      <c r="H4030">
        <v>478</v>
      </c>
      <c r="I4030">
        <v>5600000</v>
      </c>
      <c r="J4030">
        <v>2000000</v>
      </c>
      <c r="K4030">
        <v>9800000</v>
      </c>
      <c r="L4030">
        <v>2000000</v>
      </c>
      <c r="M4030" t="s">
        <v>35</v>
      </c>
      <c r="N4030">
        <f t="shared" si="373"/>
        <v>0</v>
      </c>
      <c r="O4030" t="str">
        <f t="shared" si="372"/>
        <v>Low</v>
      </c>
      <c r="P4030" t="str">
        <f t="shared" si="374"/>
        <v>High</v>
      </c>
      <c r="Q4030" t="str">
        <f t="shared" si="375"/>
        <v>Low Loan</v>
      </c>
      <c r="R4030">
        <f t="shared" si="376"/>
        <v>19400000</v>
      </c>
      <c r="S4030" t="str">
        <f t="shared" si="377"/>
        <v>Strong</v>
      </c>
    </row>
    <row r="4031" spans="1:19" x14ac:dyDescent="0.25">
      <c r="A4031">
        <v>4030</v>
      </c>
      <c r="B4031">
        <v>0</v>
      </c>
      <c r="C4031" t="s">
        <v>31</v>
      </c>
      <c r="D4031" t="s">
        <v>33</v>
      </c>
      <c r="E4031">
        <v>1200000</v>
      </c>
      <c r="F4031">
        <v>3000000</v>
      </c>
      <c r="G4031">
        <v>4</v>
      </c>
      <c r="H4031">
        <v>827</v>
      </c>
      <c r="I4031">
        <v>3200000</v>
      </c>
      <c r="J4031">
        <v>600000</v>
      </c>
      <c r="K4031">
        <v>2300000</v>
      </c>
      <c r="L4031">
        <v>1500000</v>
      </c>
      <c r="M4031" t="s">
        <v>34</v>
      </c>
      <c r="N4031">
        <f t="shared" si="373"/>
        <v>1</v>
      </c>
      <c r="O4031" t="str">
        <f t="shared" si="372"/>
        <v>Excellent</v>
      </c>
      <c r="P4031" t="str">
        <f t="shared" si="374"/>
        <v>High</v>
      </c>
      <c r="Q4031" t="str">
        <f t="shared" si="375"/>
        <v>Low Loan</v>
      </c>
      <c r="R4031">
        <f t="shared" si="376"/>
        <v>7600000</v>
      </c>
      <c r="S4031" t="str">
        <f t="shared" si="377"/>
        <v>Moderate</v>
      </c>
    </row>
    <row r="4032" spans="1:19" x14ac:dyDescent="0.25">
      <c r="A4032">
        <v>4031</v>
      </c>
      <c r="B4032">
        <v>1</v>
      </c>
      <c r="C4032" t="s">
        <v>31</v>
      </c>
      <c r="D4032" t="s">
        <v>33</v>
      </c>
      <c r="E4032">
        <v>5000000</v>
      </c>
      <c r="F4032">
        <v>16900000</v>
      </c>
      <c r="G4032">
        <v>12</v>
      </c>
      <c r="H4032">
        <v>517</v>
      </c>
      <c r="I4032">
        <v>2200000</v>
      </c>
      <c r="J4032">
        <v>1500000</v>
      </c>
      <c r="K4032">
        <v>15500000</v>
      </c>
      <c r="L4032">
        <v>5400000</v>
      </c>
      <c r="M4032" t="s">
        <v>35</v>
      </c>
      <c r="N4032">
        <f t="shared" si="373"/>
        <v>0</v>
      </c>
      <c r="O4032" t="str">
        <f t="shared" si="372"/>
        <v>Low</v>
      </c>
      <c r="P4032" t="str">
        <f t="shared" si="374"/>
        <v>High</v>
      </c>
      <c r="Q4032" t="str">
        <f t="shared" si="375"/>
        <v>Low Loan</v>
      </c>
      <c r="R4032">
        <f t="shared" si="376"/>
        <v>24600000</v>
      </c>
      <c r="S4032" t="str">
        <f t="shared" si="377"/>
        <v>Strong</v>
      </c>
    </row>
    <row r="4033" spans="1:19" x14ac:dyDescent="0.25">
      <c r="A4033">
        <v>4032</v>
      </c>
      <c r="B4033">
        <v>5</v>
      </c>
      <c r="C4033" t="s">
        <v>30</v>
      </c>
      <c r="D4033" t="s">
        <v>33</v>
      </c>
      <c r="E4033">
        <v>9700000</v>
      </c>
      <c r="F4033">
        <v>24700000</v>
      </c>
      <c r="G4033">
        <v>18</v>
      </c>
      <c r="H4033">
        <v>648</v>
      </c>
      <c r="I4033">
        <v>15100000</v>
      </c>
      <c r="J4033">
        <v>600000</v>
      </c>
      <c r="K4033">
        <v>25200000</v>
      </c>
      <c r="L4033">
        <v>6800000</v>
      </c>
      <c r="M4033" t="s">
        <v>34</v>
      </c>
      <c r="N4033">
        <f t="shared" si="373"/>
        <v>1</v>
      </c>
      <c r="O4033" t="str">
        <f t="shared" si="372"/>
        <v>Low</v>
      </c>
      <c r="P4033" t="str">
        <f t="shared" si="374"/>
        <v>High</v>
      </c>
      <c r="Q4033" t="str">
        <f t="shared" si="375"/>
        <v>High Loan</v>
      </c>
      <c r="R4033">
        <f t="shared" si="376"/>
        <v>47700000</v>
      </c>
      <c r="S4033" t="str">
        <f t="shared" si="377"/>
        <v>Strong</v>
      </c>
    </row>
    <row r="4034" spans="1:19" x14ac:dyDescent="0.25">
      <c r="A4034">
        <v>4033</v>
      </c>
      <c r="B4034">
        <v>2</v>
      </c>
      <c r="C4034" t="s">
        <v>31</v>
      </c>
      <c r="D4034" t="s">
        <v>33</v>
      </c>
      <c r="E4034">
        <v>7000000</v>
      </c>
      <c r="F4034">
        <v>23800000</v>
      </c>
      <c r="G4034">
        <v>10</v>
      </c>
      <c r="H4034">
        <v>689</v>
      </c>
      <c r="I4034">
        <v>8400000</v>
      </c>
      <c r="J4034">
        <v>5400000</v>
      </c>
      <c r="K4034">
        <v>15700000</v>
      </c>
      <c r="L4034">
        <v>7800000</v>
      </c>
      <c r="M4034" t="s">
        <v>34</v>
      </c>
      <c r="N4034">
        <f t="shared" si="373"/>
        <v>1</v>
      </c>
      <c r="O4034" t="str">
        <f t="shared" ref="O4034:O4097" si="378">IF(H4034&lt;650,"Low",
 IF(H4034&lt;700,"Medium",
 IF(H4034&lt;750,"Good","Excellent")))</f>
        <v>Medium</v>
      </c>
      <c r="P4034" t="str">
        <f t="shared" si="374"/>
        <v>High</v>
      </c>
      <c r="Q4034" t="str">
        <f t="shared" si="375"/>
        <v>High Loan</v>
      </c>
      <c r="R4034">
        <f t="shared" si="376"/>
        <v>37300000</v>
      </c>
      <c r="S4034" t="str">
        <f t="shared" si="377"/>
        <v>Strong</v>
      </c>
    </row>
    <row r="4035" spans="1:19" x14ac:dyDescent="0.25">
      <c r="A4035">
        <v>4034</v>
      </c>
      <c r="B4035">
        <v>1</v>
      </c>
      <c r="C4035" t="s">
        <v>30</v>
      </c>
      <c r="D4035" t="s">
        <v>32</v>
      </c>
      <c r="E4035">
        <v>4100000</v>
      </c>
      <c r="F4035">
        <v>9100000</v>
      </c>
      <c r="G4035">
        <v>20</v>
      </c>
      <c r="H4035">
        <v>550</v>
      </c>
      <c r="I4035">
        <v>9900000</v>
      </c>
      <c r="J4035">
        <v>5200000</v>
      </c>
      <c r="K4035">
        <v>10800000</v>
      </c>
      <c r="L4035">
        <v>4800000</v>
      </c>
      <c r="M4035" t="s">
        <v>34</v>
      </c>
      <c r="N4035">
        <f t="shared" ref="N4035:N4098" si="379">IF(TRIM(CLEAN(M4035))="Approved",1,0)</f>
        <v>1</v>
      </c>
      <c r="O4035" t="str">
        <f t="shared" si="378"/>
        <v>Low</v>
      </c>
      <c r="P4035" t="str">
        <f t="shared" ref="P4035:P4098" si="380">IF(E4035&lt;300000,"Low",
 IF(E4035&lt;700000,"Middle","High"))</f>
        <v>High</v>
      </c>
      <c r="Q4035" t="str">
        <f t="shared" ref="Q4035:Q4098" si="381">IF(F4035&lt;20000000,"Low Loan","High Loan")</f>
        <v>Low Loan</v>
      </c>
      <c r="R4035">
        <f t="shared" ref="R4035:R4098" si="382">I4035+J4035+K4035+L4035</f>
        <v>30700000</v>
      </c>
      <c r="S4035" t="str">
        <f t="shared" ref="S4035:S4098" si="383">IF(R4035&lt;5000000,"Weak",
 IF(R4035&lt;10000000,"Moderate","Strong"))</f>
        <v>Strong</v>
      </c>
    </row>
    <row r="4036" spans="1:19" x14ac:dyDescent="0.25">
      <c r="A4036">
        <v>4035</v>
      </c>
      <c r="B4036">
        <v>0</v>
      </c>
      <c r="C4036" t="s">
        <v>30</v>
      </c>
      <c r="D4036" t="s">
        <v>33</v>
      </c>
      <c r="E4036">
        <v>5300000</v>
      </c>
      <c r="F4036">
        <v>12900000</v>
      </c>
      <c r="G4036">
        <v>20</v>
      </c>
      <c r="H4036">
        <v>826</v>
      </c>
      <c r="I4036">
        <v>15500000</v>
      </c>
      <c r="J4036">
        <v>6800000</v>
      </c>
      <c r="K4036">
        <v>12000000</v>
      </c>
      <c r="L4036">
        <v>5200000</v>
      </c>
      <c r="M4036" t="s">
        <v>34</v>
      </c>
      <c r="N4036">
        <f t="shared" si="379"/>
        <v>1</v>
      </c>
      <c r="O4036" t="str">
        <f t="shared" si="378"/>
        <v>Excellent</v>
      </c>
      <c r="P4036" t="str">
        <f t="shared" si="380"/>
        <v>High</v>
      </c>
      <c r="Q4036" t="str">
        <f t="shared" si="381"/>
        <v>Low Loan</v>
      </c>
      <c r="R4036">
        <f t="shared" si="382"/>
        <v>39500000</v>
      </c>
      <c r="S4036" t="str">
        <f t="shared" si="383"/>
        <v>Strong</v>
      </c>
    </row>
    <row r="4037" spans="1:19" x14ac:dyDescent="0.25">
      <c r="A4037">
        <v>4036</v>
      </c>
      <c r="B4037">
        <v>1</v>
      </c>
      <c r="C4037" t="s">
        <v>31</v>
      </c>
      <c r="D4037" t="s">
        <v>32</v>
      </c>
      <c r="E4037">
        <v>7300000</v>
      </c>
      <c r="F4037">
        <v>19200000</v>
      </c>
      <c r="G4037">
        <v>14</v>
      </c>
      <c r="H4037">
        <v>599</v>
      </c>
      <c r="I4037">
        <v>18400000</v>
      </c>
      <c r="J4037">
        <v>5400000</v>
      </c>
      <c r="K4037">
        <v>15900000</v>
      </c>
      <c r="L4037">
        <v>3700000</v>
      </c>
      <c r="M4037" t="s">
        <v>34</v>
      </c>
      <c r="N4037">
        <f t="shared" si="379"/>
        <v>1</v>
      </c>
      <c r="O4037" t="str">
        <f t="shared" si="378"/>
        <v>Low</v>
      </c>
      <c r="P4037" t="str">
        <f t="shared" si="380"/>
        <v>High</v>
      </c>
      <c r="Q4037" t="str">
        <f t="shared" si="381"/>
        <v>Low Loan</v>
      </c>
      <c r="R4037">
        <f t="shared" si="382"/>
        <v>43400000</v>
      </c>
      <c r="S4037" t="str">
        <f t="shared" si="383"/>
        <v>Strong</v>
      </c>
    </row>
    <row r="4038" spans="1:19" x14ac:dyDescent="0.25">
      <c r="A4038">
        <v>4037</v>
      </c>
      <c r="B4038">
        <v>1</v>
      </c>
      <c r="C4038" t="s">
        <v>30</v>
      </c>
      <c r="D4038" t="s">
        <v>32</v>
      </c>
      <c r="E4038">
        <v>6500000</v>
      </c>
      <c r="F4038">
        <v>18500000</v>
      </c>
      <c r="G4038">
        <v>16</v>
      </c>
      <c r="H4038">
        <v>815</v>
      </c>
      <c r="I4038">
        <v>6300000</v>
      </c>
      <c r="J4038">
        <v>10000000</v>
      </c>
      <c r="K4038">
        <v>13400000</v>
      </c>
      <c r="L4038">
        <v>4000000</v>
      </c>
      <c r="M4038" t="s">
        <v>34</v>
      </c>
      <c r="N4038">
        <f t="shared" si="379"/>
        <v>1</v>
      </c>
      <c r="O4038" t="str">
        <f t="shared" si="378"/>
        <v>Excellent</v>
      </c>
      <c r="P4038" t="str">
        <f t="shared" si="380"/>
        <v>High</v>
      </c>
      <c r="Q4038" t="str">
        <f t="shared" si="381"/>
        <v>Low Loan</v>
      </c>
      <c r="R4038">
        <f t="shared" si="382"/>
        <v>33700000</v>
      </c>
      <c r="S4038" t="str">
        <f t="shared" si="383"/>
        <v>Strong</v>
      </c>
    </row>
    <row r="4039" spans="1:19" x14ac:dyDescent="0.25">
      <c r="A4039">
        <v>4038</v>
      </c>
      <c r="B4039">
        <v>4</v>
      </c>
      <c r="C4039" t="s">
        <v>30</v>
      </c>
      <c r="D4039" t="s">
        <v>33</v>
      </c>
      <c r="E4039">
        <v>600000</v>
      </c>
      <c r="F4039">
        <v>1400000</v>
      </c>
      <c r="G4039">
        <v>4</v>
      </c>
      <c r="H4039">
        <v>761</v>
      </c>
      <c r="I4039">
        <v>800000</v>
      </c>
      <c r="J4039">
        <v>500000</v>
      </c>
      <c r="K4039">
        <v>2100000</v>
      </c>
      <c r="L4039">
        <v>300000</v>
      </c>
      <c r="M4039" t="s">
        <v>34</v>
      </c>
      <c r="N4039">
        <f t="shared" si="379"/>
        <v>1</v>
      </c>
      <c r="O4039" t="str">
        <f t="shared" si="378"/>
        <v>Excellent</v>
      </c>
      <c r="P4039" t="str">
        <f t="shared" si="380"/>
        <v>Middle</v>
      </c>
      <c r="Q4039" t="str">
        <f t="shared" si="381"/>
        <v>Low Loan</v>
      </c>
      <c r="R4039">
        <f t="shared" si="382"/>
        <v>3700000</v>
      </c>
      <c r="S4039" t="str">
        <f t="shared" si="383"/>
        <v>Weak</v>
      </c>
    </row>
    <row r="4040" spans="1:19" x14ac:dyDescent="0.25">
      <c r="A4040">
        <v>4039</v>
      </c>
      <c r="B4040">
        <v>3</v>
      </c>
      <c r="C4040" t="s">
        <v>31</v>
      </c>
      <c r="D4040" t="s">
        <v>33</v>
      </c>
      <c r="E4040">
        <v>5200000</v>
      </c>
      <c r="F4040">
        <v>15000000</v>
      </c>
      <c r="G4040">
        <v>20</v>
      </c>
      <c r="H4040">
        <v>432</v>
      </c>
      <c r="I4040">
        <v>6900000</v>
      </c>
      <c r="J4040">
        <v>5000000</v>
      </c>
      <c r="K4040">
        <v>15600000</v>
      </c>
      <c r="L4040">
        <v>5100000</v>
      </c>
      <c r="M4040" t="s">
        <v>35</v>
      </c>
      <c r="N4040">
        <f t="shared" si="379"/>
        <v>0</v>
      </c>
      <c r="O4040" t="str">
        <f t="shared" si="378"/>
        <v>Low</v>
      </c>
      <c r="P4040" t="str">
        <f t="shared" si="380"/>
        <v>High</v>
      </c>
      <c r="Q4040" t="str">
        <f t="shared" si="381"/>
        <v>Low Loan</v>
      </c>
      <c r="R4040">
        <f t="shared" si="382"/>
        <v>32600000</v>
      </c>
      <c r="S4040" t="str">
        <f t="shared" si="383"/>
        <v>Strong</v>
      </c>
    </row>
    <row r="4041" spans="1:19" x14ac:dyDescent="0.25">
      <c r="A4041">
        <v>4040</v>
      </c>
      <c r="B4041">
        <v>4</v>
      </c>
      <c r="C4041" t="s">
        <v>31</v>
      </c>
      <c r="D4041" t="s">
        <v>33</v>
      </c>
      <c r="E4041">
        <v>2800000</v>
      </c>
      <c r="F4041">
        <v>9200000</v>
      </c>
      <c r="G4041">
        <v>18</v>
      </c>
      <c r="H4041">
        <v>442</v>
      </c>
      <c r="I4041">
        <v>5800000</v>
      </c>
      <c r="J4041">
        <v>4800000</v>
      </c>
      <c r="K4041">
        <v>8400000</v>
      </c>
      <c r="L4041">
        <v>1300000</v>
      </c>
      <c r="M4041" t="s">
        <v>35</v>
      </c>
      <c r="N4041">
        <f t="shared" si="379"/>
        <v>0</v>
      </c>
      <c r="O4041" t="str">
        <f t="shared" si="378"/>
        <v>Low</v>
      </c>
      <c r="P4041" t="str">
        <f t="shared" si="380"/>
        <v>High</v>
      </c>
      <c r="Q4041" t="str">
        <f t="shared" si="381"/>
        <v>Low Loan</v>
      </c>
      <c r="R4041">
        <f t="shared" si="382"/>
        <v>20300000</v>
      </c>
      <c r="S4041" t="str">
        <f t="shared" si="383"/>
        <v>Strong</v>
      </c>
    </row>
    <row r="4042" spans="1:19" x14ac:dyDescent="0.25">
      <c r="A4042">
        <v>4041</v>
      </c>
      <c r="B4042">
        <v>1</v>
      </c>
      <c r="C4042" t="s">
        <v>30</v>
      </c>
      <c r="D4042" t="s">
        <v>33</v>
      </c>
      <c r="E4042">
        <v>7800000</v>
      </c>
      <c r="F4042">
        <v>23300000</v>
      </c>
      <c r="G4042">
        <v>6</v>
      </c>
      <c r="H4042">
        <v>620</v>
      </c>
      <c r="I4042">
        <v>3500000</v>
      </c>
      <c r="J4042">
        <v>2100000</v>
      </c>
      <c r="K4042">
        <v>22200000</v>
      </c>
      <c r="L4042">
        <v>7600000</v>
      </c>
      <c r="M4042" t="s">
        <v>34</v>
      </c>
      <c r="N4042">
        <f t="shared" si="379"/>
        <v>1</v>
      </c>
      <c r="O4042" t="str">
        <f t="shared" si="378"/>
        <v>Low</v>
      </c>
      <c r="P4042" t="str">
        <f t="shared" si="380"/>
        <v>High</v>
      </c>
      <c r="Q4042" t="str">
        <f t="shared" si="381"/>
        <v>High Loan</v>
      </c>
      <c r="R4042">
        <f t="shared" si="382"/>
        <v>35400000</v>
      </c>
      <c r="S4042" t="str">
        <f t="shared" si="383"/>
        <v>Strong</v>
      </c>
    </row>
    <row r="4043" spans="1:19" x14ac:dyDescent="0.25">
      <c r="A4043">
        <v>4042</v>
      </c>
      <c r="B4043">
        <v>2</v>
      </c>
      <c r="C4043" t="s">
        <v>30</v>
      </c>
      <c r="D4043" t="s">
        <v>32</v>
      </c>
      <c r="E4043">
        <v>3000000</v>
      </c>
      <c r="F4043">
        <v>6500000</v>
      </c>
      <c r="G4043">
        <v>4</v>
      </c>
      <c r="H4043">
        <v>476</v>
      </c>
      <c r="I4043">
        <v>7900000</v>
      </c>
      <c r="J4043">
        <v>300000</v>
      </c>
      <c r="K4043">
        <v>9400000</v>
      </c>
      <c r="L4043">
        <v>1500000</v>
      </c>
      <c r="M4043" t="s">
        <v>35</v>
      </c>
      <c r="N4043">
        <f t="shared" si="379"/>
        <v>0</v>
      </c>
      <c r="O4043" t="str">
        <f t="shared" si="378"/>
        <v>Low</v>
      </c>
      <c r="P4043" t="str">
        <f t="shared" si="380"/>
        <v>High</v>
      </c>
      <c r="Q4043" t="str">
        <f t="shared" si="381"/>
        <v>Low Loan</v>
      </c>
      <c r="R4043">
        <f t="shared" si="382"/>
        <v>19100000</v>
      </c>
      <c r="S4043" t="str">
        <f t="shared" si="383"/>
        <v>Strong</v>
      </c>
    </row>
    <row r="4044" spans="1:19" x14ac:dyDescent="0.25">
      <c r="A4044">
        <v>4043</v>
      </c>
      <c r="B4044">
        <v>4</v>
      </c>
      <c r="C4044" t="s">
        <v>30</v>
      </c>
      <c r="D4044" t="s">
        <v>32</v>
      </c>
      <c r="E4044">
        <v>9300000</v>
      </c>
      <c r="F4044">
        <v>34900000</v>
      </c>
      <c r="G4044">
        <v>6</v>
      </c>
      <c r="H4044">
        <v>837</v>
      </c>
      <c r="I4044">
        <v>27400000</v>
      </c>
      <c r="J4044">
        <v>800000</v>
      </c>
      <c r="K4044">
        <v>21400000</v>
      </c>
      <c r="L4044">
        <v>8500000</v>
      </c>
      <c r="M4044" t="s">
        <v>34</v>
      </c>
      <c r="N4044">
        <f t="shared" si="379"/>
        <v>1</v>
      </c>
      <c r="O4044" t="str">
        <f t="shared" si="378"/>
        <v>Excellent</v>
      </c>
      <c r="P4044" t="str">
        <f t="shared" si="380"/>
        <v>High</v>
      </c>
      <c r="Q4044" t="str">
        <f t="shared" si="381"/>
        <v>High Loan</v>
      </c>
      <c r="R4044">
        <f t="shared" si="382"/>
        <v>58100000</v>
      </c>
      <c r="S4044" t="str">
        <f t="shared" si="383"/>
        <v>Strong</v>
      </c>
    </row>
    <row r="4045" spans="1:19" x14ac:dyDescent="0.25">
      <c r="A4045">
        <v>4044</v>
      </c>
      <c r="B4045">
        <v>3</v>
      </c>
      <c r="C4045" t="s">
        <v>31</v>
      </c>
      <c r="D4045" t="s">
        <v>33</v>
      </c>
      <c r="E4045">
        <v>5100000</v>
      </c>
      <c r="F4045">
        <v>18000000</v>
      </c>
      <c r="G4045">
        <v>6</v>
      </c>
      <c r="H4045">
        <v>510</v>
      </c>
      <c r="I4045">
        <v>13400000</v>
      </c>
      <c r="J4045">
        <v>6600000</v>
      </c>
      <c r="K4045">
        <v>17200000</v>
      </c>
      <c r="L4045">
        <v>7600000</v>
      </c>
      <c r="M4045" t="s">
        <v>35</v>
      </c>
      <c r="N4045">
        <f t="shared" si="379"/>
        <v>0</v>
      </c>
      <c r="O4045" t="str">
        <f t="shared" si="378"/>
        <v>Low</v>
      </c>
      <c r="P4045" t="str">
        <f t="shared" si="380"/>
        <v>High</v>
      </c>
      <c r="Q4045" t="str">
        <f t="shared" si="381"/>
        <v>Low Loan</v>
      </c>
      <c r="R4045">
        <f t="shared" si="382"/>
        <v>44800000</v>
      </c>
      <c r="S4045" t="str">
        <f t="shared" si="383"/>
        <v>Strong</v>
      </c>
    </row>
    <row r="4046" spans="1:19" x14ac:dyDescent="0.25">
      <c r="A4046">
        <v>4045</v>
      </c>
      <c r="B4046">
        <v>4</v>
      </c>
      <c r="C4046" t="s">
        <v>31</v>
      </c>
      <c r="D4046" t="s">
        <v>33</v>
      </c>
      <c r="E4046">
        <v>4300000</v>
      </c>
      <c r="F4046">
        <v>16100000</v>
      </c>
      <c r="G4046">
        <v>18</v>
      </c>
      <c r="H4046">
        <v>849</v>
      </c>
      <c r="I4046">
        <v>3800000</v>
      </c>
      <c r="J4046">
        <v>6600000</v>
      </c>
      <c r="K4046">
        <v>17100000</v>
      </c>
      <c r="L4046">
        <v>6400000</v>
      </c>
      <c r="M4046" t="s">
        <v>34</v>
      </c>
      <c r="N4046">
        <f t="shared" si="379"/>
        <v>1</v>
      </c>
      <c r="O4046" t="str">
        <f t="shared" si="378"/>
        <v>Excellent</v>
      </c>
      <c r="P4046" t="str">
        <f t="shared" si="380"/>
        <v>High</v>
      </c>
      <c r="Q4046" t="str">
        <f t="shared" si="381"/>
        <v>Low Loan</v>
      </c>
      <c r="R4046">
        <f t="shared" si="382"/>
        <v>33900000</v>
      </c>
      <c r="S4046" t="str">
        <f t="shared" si="383"/>
        <v>Strong</v>
      </c>
    </row>
    <row r="4047" spans="1:19" x14ac:dyDescent="0.25">
      <c r="A4047">
        <v>4046</v>
      </c>
      <c r="B4047">
        <v>3</v>
      </c>
      <c r="C4047" t="s">
        <v>30</v>
      </c>
      <c r="D4047" t="s">
        <v>32</v>
      </c>
      <c r="E4047">
        <v>1100000</v>
      </c>
      <c r="F4047">
        <v>2100000</v>
      </c>
      <c r="G4047">
        <v>8</v>
      </c>
      <c r="H4047">
        <v>737</v>
      </c>
      <c r="I4047">
        <v>2900000</v>
      </c>
      <c r="J4047">
        <v>2000000</v>
      </c>
      <c r="K4047">
        <v>2500000</v>
      </c>
      <c r="L4047">
        <v>900000</v>
      </c>
      <c r="M4047" t="s">
        <v>34</v>
      </c>
      <c r="N4047">
        <f t="shared" si="379"/>
        <v>1</v>
      </c>
      <c r="O4047" t="str">
        <f t="shared" si="378"/>
        <v>Good</v>
      </c>
      <c r="P4047" t="str">
        <f t="shared" si="380"/>
        <v>High</v>
      </c>
      <c r="Q4047" t="str">
        <f t="shared" si="381"/>
        <v>Low Loan</v>
      </c>
      <c r="R4047">
        <f t="shared" si="382"/>
        <v>8300000</v>
      </c>
      <c r="S4047" t="str">
        <f t="shared" si="383"/>
        <v>Moderate</v>
      </c>
    </row>
    <row r="4048" spans="1:19" x14ac:dyDescent="0.25">
      <c r="A4048">
        <v>4047</v>
      </c>
      <c r="B4048">
        <v>2</v>
      </c>
      <c r="C4048" t="s">
        <v>30</v>
      </c>
      <c r="D4048" t="s">
        <v>32</v>
      </c>
      <c r="E4048">
        <v>6500000</v>
      </c>
      <c r="F4048">
        <v>16200000</v>
      </c>
      <c r="G4048">
        <v>10</v>
      </c>
      <c r="H4048">
        <v>809</v>
      </c>
      <c r="I4048">
        <v>14000000</v>
      </c>
      <c r="J4048">
        <v>4700000</v>
      </c>
      <c r="K4048">
        <v>13200000</v>
      </c>
      <c r="L4048">
        <v>8600000</v>
      </c>
      <c r="M4048" t="s">
        <v>34</v>
      </c>
      <c r="N4048">
        <f t="shared" si="379"/>
        <v>1</v>
      </c>
      <c r="O4048" t="str">
        <f t="shared" si="378"/>
        <v>Excellent</v>
      </c>
      <c r="P4048" t="str">
        <f t="shared" si="380"/>
        <v>High</v>
      </c>
      <c r="Q4048" t="str">
        <f t="shared" si="381"/>
        <v>Low Loan</v>
      </c>
      <c r="R4048">
        <f t="shared" si="382"/>
        <v>40500000</v>
      </c>
      <c r="S4048" t="str">
        <f t="shared" si="383"/>
        <v>Strong</v>
      </c>
    </row>
    <row r="4049" spans="1:19" x14ac:dyDescent="0.25">
      <c r="A4049">
        <v>4048</v>
      </c>
      <c r="B4049">
        <v>3</v>
      </c>
      <c r="C4049" t="s">
        <v>31</v>
      </c>
      <c r="D4049" t="s">
        <v>32</v>
      </c>
      <c r="E4049">
        <v>6400000</v>
      </c>
      <c r="F4049">
        <v>23000000</v>
      </c>
      <c r="G4049">
        <v>8</v>
      </c>
      <c r="H4049">
        <v>520</v>
      </c>
      <c r="I4049">
        <v>12100000</v>
      </c>
      <c r="J4049">
        <v>11400000</v>
      </c>
      <c r="K4049">
        <v>16000000</v>
      </c>
      <c r="L4049">
        <v>3800000</v>
      </c>
      <c r="M4049" t="s">
        <v>35</v>
      </c>
      <c r="N4049">
        <f t="shared" si="379"/>
        <v>0</v>
      </c>
      <c r="O4049" t="str">
        <f t="shared" si="378"/>
        <v>Low</v>
      </c>
      <c r="P4049" t="str">
        <f t="shared" si="380"/>
        <v>High</v>
      </c>
      <c r="Q4049" t="str">
        <f t="shared" si="381"/>
        <v>High Loan</v>
      </c>
      <c r="R4049">
        <f t="shared" si="382"/>
        <v>43300000</v>
      </c>
      <c r="S4049" t="str">
        <f t="shared" si="383"/>
        <v>Strong</v>
      </c>
    </row>
    <row r="4050" spans="1:19" x14ac:dyDescent="0.25">
      <c r="A4050">
        <v>4049</v>
      </c>
      <c r="B4050">
        <v>2</v>
      </c>
      <c r="C4050" t="s">
        <v>31</v>
      </c>
      <c r="D4050" t="s">
        <v>32</v>
      </c>
      <c r="E4050">
        <v>7400000</v>
      </c>
      <c r="F4050">
        <v>22500000</v>
      </c>
      <c r="G4050">
        <v>16</v>
      </c>
      <c r="H4050">
        <v>834</v>
      </c>
      <c r="I4050">
        <v>6400000</v>
      </c>
      <c r="J4050">
        <v>12600000</v>
      </c>
      <c r="K4050">
        <v>15700000</v>
      </c>
      <c r="L4050">
        <v>6000000</v>
      </c>
      <c r="M4050" t="s">
        <v>34</v>
      </c>
      <c r="N4050">
        <f t="shared" si="379"/>
        <v>1</v>
      </c>
      <c r="O4050" t="str">
        <f t="shared" si="378"/>
        <v>Excellent</v>
      </c>
      <c r="P4050" t="str">
        <f t="shared" si="380"/>
        <v>High</v>
      </c>
      <c r="Q4050" t="str">
        <f t="shared" si="381"/>
        <v>High Loan</v>
      </c>
      <c r="R4050">
        <f t="shared" si="382"/>
        <v>40700000</v>
      </c>
      <c r="S4050" t="str">
        <f t="shared" si="383"/>
        <v>Strong</v>
      </c>
    </row>
    <row r="4051" spans="1:19" x14ac:dyDescent="0.25">
      <c r="A4051">
        <v>4050</v>
      </c>
      <c r="B4051">
        <v>4</v>
      </c>
      <c r="C4051" t="s">
        <v>30</v>
      </c>
      <c r="D4051" t="s">
        <v>32</v>
      </c>
      <c r="E4051">
        <v>8700000</v>
      </c>
      <c r="F4051">
        <v>32100000</v>
      </c>
      <c r="G4051">
        <v>8</v>
      </c>
      <c r="H4051">
        <v>397</v>
      </c>
      <c r="I4051">
        <v>8900000</v>
      </c>
      <c r="J4051">
        <v>17000000</v>
      </c>
      <c r="K4051">
        <v>34700000</v>
      </c>
      <c r="L4051">
        <v>4800000</v>
      </c>
      <c r="M4051" t="s">
        <v>35</v>
      </c>
      <c r="N4051">
        <f t="shared" si="379"/>
        <v>0</v>
      </c>
      <c r="O4051" t="str">
        <f t="shared" si="378"/>
        <v>Low</v>
      </c>
      <c r="P4051" t="str">
        <f t="shared" si="380"/>
        <v>High</v>
      </c>
      <c r="Q4051" t="str">
        <f t="shared" si="381"/>
        <v>High Loan</v>
      </c>
      <c r="R4051">
        <f t="shared" si="382"/>
        <v>65400000</v>
      </c>
      <c r="S4051" t="str">
        <f t="shared" si="383"/>
        <v>Strong</v>
      </c>
    </row>
    <row r="4052" spans="1:19" x14ac:dyDescent="0.25">
      <c r="A4052">
        <v>4051</v>
      </c>
      <c r="B4052">
        <v>0</v>
      </c>
      <c r="C4052" t="s">
        <v>31</v>
      </c>
      <c r="D4052" t="s">
        <v>32</v>
      </c>
      <c r="E4052">
        <v>9200000</v>
      </c>
      <c r="F4052">
        <v>24700000</v>
      </c>
      <c r="G4052">
        <v>14</v>
      </c>
      <c r="H4052">
        <v>438</v>
      </c>
      <c r="I4052">
        <v>4800000</v>
      </c>
      <c r="J4052">
        <v>16000000</v>
      </c>
      <c r="K4052">
        <v>20600000</v>
      </c>
      <c r="L4052">
        <v>10700000</v>
      </c>
      <c r="M4052" t="s">
        <v>35</v>
      </c>
      <c r="N4052">
        <f t="shared" si="379"/>
        <v>0</v>
      </c>
      <c r="O4052" t="str">
        <f t="shared" si="378"/>
        <v>Low</v>
      </c>
      <c r="P4052" t="str">
        <f t="shared" si="380"/>
        <v>High</v>
      </c>
      <c r="Q4052" t="str">
        <f t="shared" si="381"/>
        <v>High Loan</v>
      </c>
      <c r="R4052">
        <f t="shared" si="382"/>
        <v>52100000</v>
      </c>
      <c r="S4052" t="str">
        <f t="shared" si="383"/>
        <v>Strong</v>
      </c>
    </row>
    <row r="4053" spans="1:19" x14ac:dyDescent="0.25">
      <c r="A4053">
        <v>4052</v>
      </c>
      <c r="B4053">
        <v>1</v>
      </c>
      <c r="C4053" t="s">
        <v>30</v>
      </c>
      <c r="D4053" t="s">
        <v>33</v>
      </c>
      <c r="E4053">
        <v>6200000</v>
      </c>
      <c r="F4053">
        <v>19700000</v>
      </c>
      <c r="G4053">
        <v>18</v>
      </c>
      <c r="H4053">
        <v>820</v>
      </c>
      <c r="I4053">
        <v>11200000</v>
      </c>
      <c r="J4053">
        <v>3400000</v>
      </c>
      <c r="K4053">
        <v>15600000</v>
      </c>
      <c r="L4053">
        <v>4700000</v>
      </c>
      <c r="M4053" t="s">
        <v>34</v>
      </c>
      <c r="N4053">
        <f t="shared" si="379"/>
        <v>1</v>
      </c>
      <c r="O4053" t="str">
        <f t="shared" si="378"/>
        <v>Excellent</v>
      </c>
      <c r="P4053" t="str">
        <f t="shared" si="380"/>
        <v>High</v>
      </c>
      <c r="Q4053" t="str">
        <f t="shared" si="381"/>
        <v>Low Loan</v>
      </c>
      <c r="R4053">
        <f t="shared" si="382"/>
        <v>34900000</v>
      </c>
      <c r="S4053" t="str">
        <f t="shared" si="383"/>
        <v>Strong</v>
      </c>
    </row>
    <row r="4054" spans="1:19" x14ac:dyDescent="0.25">
      <c r="A4054">
        <v>4053</v>
      </c>
      <c r="B4054">
        <v>1</v>
      </c>
      <c r="C4054" t="s">
        <v>31</v>
      </c>
      <c r="D4054" t="s">
        <v>32</v>
      </c>
      <c r="E4054">
        <v>1200000</v>
      </c>
      <c r="F4054">
        <v>4600000</v>
      </c>
      <c r="G4054">
        <v>20</v>
      </c>
      <c r="H4054">
        <v>323</v>
      </c>
      <c r="I4054">
        <v>2000000</v>
      </c>
      <c r="J4054">
        <v>1700000</v>
      </c>
      <c r="K4054">
        <v>2600000</v>
      </c>
      <c r="L4054">
        <v>1400000</v>
      </c>
      <c r="M4054" t="s">
        <v>35</v>
      </c>
      <c r="N4054">
        <f t="shared" si="379"/>
        <v>0</v>
      </c>
      <c r="O4054" t="str">
        <f t="shared" si="378"/>
        <v>Low</v>
      </c>
      <c r="P4054" t="str">
        <f t="shared" si="380"/>
        <v>High</v>
      </c>
      <c r="Q4054" t="str">
        <f t="shared" si="381"/>
        <v>Low Loan</v>
      </c>
      <c r="R4054">
        <f t="shared" si="382"/>
        <v>7700000</v>
      </c>
      <c r="S4054" t="str">
        <f t="shared" si="383"/>
        <v>Moderate</v>
      </c>
    </row>
    <row r="4055" spans="1:19" x14ac:dyDescent="0.25">
      <c r="A4055">
        <v>4054</v>
      </c>
      <c r="B4055">
        <v>1</v>
      </c>
      <c r="C4055" t="s">
        <v>31</v>
      </c>
      <c r="D4055" t="s">
        <v>33</v>
      </c>
      <c r="E4055">
        <v>7000000</v>
      </c>
      <c r="F4055">
        <v>20300000</v>
      </c>
      <c r="G4055">
        <v>14</v>
      </c>
      <c r="H4055">
        <v>837</v>
      </c>
      <c r="I4055">
        <v>7700000</v>
      </c>
      <c r="J4055">
        <v>2200000</v>
      </c>
      <c r="K4055">
        <v>19700000</v>
      </c>
      <c r="L4055">
        <v>5500000</v>
      </c>
      <c r="M4055" t="s">
        <v>34</v>
      </c>
      <c r="N4055">
        <f t="shared" si="379"/>
        <v>1</v>
      </c>
      <c r="O4055" t="str">
        <f t="shared" si="378"/>
        <v>Excellent</v>
      </c>
      <c r="P4055" t="str">
        <f t="shared" si="380"/>
        <v>High</v>
      </c>
      <c r="Q4055" t="str">
        <f t="shared" si="381"/>
        <v>High Loan</v>
      </c>
      <c r="R4055">
        <f t="shared" si="382"/>
        <v>35100000</v>
      </c>
      <c r="S4055" t="str">
        <f t="shared" si="383"/>
        <v>Strong</v>
      </c>
    </row>
    <row r="4056" spans="1:19" x14ac:dyDescent="0.25">
      <c r="A4056">
        <v>4055</v>
      </c>
      <c r="B4056">
        <v>5</v>
      </c>
      <c r="C4056" t="s">
        <v>30</v>
      </c>
      <c r="D4056" t="s">
        <v>33</v>
      </c>
      <c r="E4056">
        <v>3800000</v>
      </c>
      <c r="F4056">
        <v>10100000</v>
      </c>
      <c r="G4056">
        <v>2</v>
      </c>
      <c r="H4056">
        <v>571</v>
      </c>
      <c r="I4056">
        <v>7400000</v>
      </c>
      <c r="J4056">
        <v>6600000</v>
      </c>
      <c r="K4056">
        <v>12600000</v>
      </c>
      <c r="L4056">
        <v>3300000</v>
      </c>
      <c r="M4056" t="s">
        <v>34</v>
      </c>
      <c r="N4056">
        <f t="shared" si="379"/>
        <v>1</v>
      </c>
      <c r="O4056" t="str">
        <f t="shared" si="378"/>
        <v>Low</v>
      </c>
      <c r="P4056" t="str">
        <f t="shared" si="380"/>
        <v>High</v>
      </c>
      <c r="Q4056" t="str">
        <f t="shared" si="381"/>
        <v>Low Loan</v>
      </c>
      <c r="R4056">
        <f t="shared" si="382"/>
        <v>29900000</v>
      </c>
      <c r="S4056" t="str">
        <f t="shared" si="383"/>
        <v>Strong</v>
      </c>
    </row>
    <row r="4057" spans="1:19" x14ac:dyDescent="0.25">
      <c r="A4057">
        <v>4056</v>
      </c>
      <c r="B4057">
        <v>0</v>
      </c>
      <c r="C4057" t="s">
        <v>30</v>
      </c>
      <c r="D4057" t="s">
        <v>32</v>
      </c>
      <c r="E4057">
        <v>4900000</v>
      </c>
      <c r="F4057">
        <v>16300000</v>
      </c>
      <c r="G4057">
        <v>14</v>
      </c>
      <c r="H4057">
        <v>479</v>
      </c>
      <c r="I4057">
        <v>1600000</v>
      </c>
      <c r="J4057">
        <v>6400000</v>
      </c>
      <c r="K4057">
        <v>18600000</v>
      </c>
      <c r="L4057">
        <v>2700000</v>
      </c>
      <c r="M4057" t="s">
        <v>35</v>
      </c>
      <c r="N4057">
        <f t="shared" si="379"/>
        <v>0</v>
      </c>
      <c r="O4057" t="str">
        <f t="shared" si="378"/>
        <v>Low</v>
      </c>
      <c r="P4057" t="str">
        <f t="shared" si="380"/>
        <v>High</v>
      </c>
      <c r="Q4057" t="str">
        <f t="shared" si="381"/>
        <v>Low Loan</v>
      </c>
      <c r="R4057">
        <f t="shared" si="382"/>
        <v>29300000</v>
      </c>
      <c r="S4057" t="str">
        <f t="shared" si="383"/>
        <v>Strong</v>
      </c>
    </row>
    <row r="4058" spans="1:19" x14ac:dyDescent="0.25">
      <c r="A4058">
        <v>4057</v>
      </c>
      <c r="B4058">
        <v>2</v>
      </c>
      <c r="C4058" t="s">
        <v>30</v>
      </c>
      <c r="D4058" t="s">
        <v>33</v>
      </c>
      <c r="E4058">
        <v>7800000</v>
      </c>
      <c r="F4058">
        <v>22100000</v>
      </c>
      <c r="G4058">
        <v>6</v>
      </c>
      <c r="H4058">
        <v>533</v>
      </c>
      <c r="I4058">
        <v>11900000</v>
      </c>
      <c r="J4058">
        <v>2500000</v>
      </c>
      <c r="K4058">
        <v>19300000</v>
      </c>
      <c r="L4058">
        <v>10800000</v>
      </c>
      <c r="M4058" t="s">
        <v>35</v>
      </c>
      <c r="N4058">
        <f t="shared" si="379"/>
        <v>0</v>
      </c>
      <c r="O4058" t="str">
        <f t="shared" si="378"/>
        <v>Low</v>
      </c>
      <c r="P4058" t="str">
        <f t="shared" si="380"/>
        <v>High</v>
      </c>
      <c r="Q4058" t="str">
        <f t="shared" si="381"/>
        <v>High Loan</v>
      </c>
      <c r="R4058">
        <f t="shared" si="382"/>
        <v>44500000</v>
      </c>
      <c r="S4058" t="str">
        <f t="shared" si="383"/>
        <v>Strong</v>
      </c>
    </row>
    <row r="4059" spans="1:19" x14ac:dyDescent="0.25">
      <c r="A4059">
        <v>4058</v>
      </c>
      <c r="B4059">
        <v>1</v>
      </c>
      <c r="C4059" t="s">
        <v>31</v>
      </c>
      <c r="D4059" t="s">
        <v>33</v>
      </c>
      <c r="E4059">
        <v>7400000</v>
      </c>
      <c r="F4059">
        <v>17200000</v>
      </c>
      <c r="G4059">
        <v>8</v>
      </c>
      <c r="H4059">
        <v>899</v>
      </c>
      <c r="I4059">
        <v>16500000</v>
      </c>
      <c r="J4059">
        <v>8700000</v>
      </c>
      <c r="K4059">
        <v>16700000</v>
      </c>
      <c r="L4059">
        <v>4900000</v>
      </c>
      <c r="M4059" t="s">
        <v>34</v>
      </c>
      <c r="N4059">
        <f t="shared" si="379"/>
        <v>1</v>
      </c>
      <c r="O4059" t="str">
        <f t="shared" si="378"/>
        <v>Excellent</v>
      </c>
      <c r="P4059" t="str">
        <f t="shared" si="380"/>
        <v>High</v>
      </c>
      <c r="Q4059" t="str">
        <f t="shared" si="381"/>
        <v>Low Loan</v>
      </c>
      <c r="R4059">
        <f t="shared" si="382"/>
        <v>46800000</v>
      </c>
      <c r="S4059" t="str">
        <f t="shared" si="383"/>
        <v>Strong</v>
      </c>
    </row>
    <row r="4060" spans="1:19" x14ac:dyDescent="0.25">
      <c r="A4060">
        <v>4059</v>
      </c>
      <c r="B4060">
        <v>1</v>
      </c>
      <c r="C4060" t="s">
        <v>31</v>
      </c>
      <c r="D4060" t="s">
        <v>32</v>
      </c>
      <c r="E4060">
        <v>7000000</v>
      </c>
      <c r="F4060">
        <v>26600000</v>
      </c>
      <c r="G4060">
        <v>16</v>
      </c>
      <c r="H4060">
        <v>460</v>
      </c>
      <c r="I4060">
        <v>20500000</v>
      </c>
      <c r="J4060">
        <v>3300000</v>
      </c>
      <c r="K4060">
        <v>27700000</v>
      </c>
      <c r="L4060">
        <v>4600000</v>
      </c>
      <c r="M4060" t="s">
        <v>35</v>
      </c>
      <c r="N4060">
        <f t="shared" si="379"/>
        <v>0</v>
      </c>
      <c r="O4060" t="str">
        <f t="shared" si="378"/>
        <v>Low</v>
      </c>
      <c r="P4060" t="str">
        <f t="shared" si="380"/>
        <v>High</v>
      </c>
      <c r="Q4060" t="str">
        <f t="shared" si="381"/>
        <v>High Loan</v>
      </c>
      <c r="R4060">
        <f t="shared" si="382"/>
        <v>56100000</v>
      </c>
      <c r="S4060" t="str">
        <f t="shared" si="383"/>
        <v>Strong</v>
      </c>
    </row>
    <row r="4061" spans="1:19" x14ac:dyDescent="0.25">
      <c r="A4061">
        <v>4060</v>
      </c>
      <c r="B4061">
        <v>1</v>
      </c>
      <c r="C4061" t="s">
        <v>31</v>
      </c>
      <c r="D4061" t="s">
        <v>32</v>
      </c>
      <c r="E4061">
        <v>4900000</v>
      </c>
      <c r="F4061">
        <v>12500000</v>
      </c>
      <c r="G4061">
        <v>2</v>
      </c>
      <c r="H4061">
        <v>636</v>
      </c>
      <c r="I4061">
        <v>14200000</v>
      </c>
      <c r="J4061">
        <v>6400000</v>
      </c>
      <c r="K4061">
        <v>13900000</v>
      </c>
      <c r="L4061">
        <v>5000000</v>
      </c>
      <c r="M4061" t="s">
        <v>34</v>
      </c>
      <c r="N4061">
        <f t="shared" si="379"/>
        <v>1</v>
      </c>
      <c r="O4061" t="str">
        <f t="shared" si="378"/>
        <v>Low</v>
      </c>
      <c r="P4061" t="str">
        <f t="shared" si="380"/>
        <v>High</v>
      </c>
      <c r="Q4061" t="str">
        <f t="shared" si="381"/>
        <v>Low Loan</v>
      </c>
      <c r="R4061">
        <f t="shared" si="382"/>
        <v>39500000</v>
      </c>
      <c r="S4061" t="str">
        <f t="shared" si="383"/>
        <v>Strong</v>
      </c>
    </row>
    <row r="4062" spans="1:19" x14ac:dyDescent="0.25">
      <c r="A4062">
        <v>4061</v>
      </c>
      <c r="B4062">
        <v>3</v>
      </c>
      <c r="C4062" t="s">
        <v>31</v>
      </c>
      <c r="D4062" t="s">
        <v>32</v>
      </c>
      <c r="E4062">
        <v>5800000</v>
      </c>
      <c r="F4062">
        <v>20600000</v>
      </c>
      <c r="G4062">
        <v>20</v>
      </c>
      <c r="H4062">
        <v>434</v>
      </c>
      <c r="I4062">
        <v>8400000</v>
      </c>
      <c r="J4062">
        <v>2700000</v>
      </c>
      <c r="K4062">
        <v>22600000</v>
      </c>
      <c r="L4062">
        <v>7000000</v>
      </c>
      <c r="M4062" t="s">
        <v>35</v>
      </c>
      <c r="N4062">
        <f t="shared" si="379"/>
        <v>0</v>
      </c>
      <c r="O4062" t="str">
        <f t="shared" si="378"/>
        <v>Low</v>
      </c>
      <c r="P4062" t="str">
        <f t="shared" si="380"/>
        <v>High</v>
      </c>
      <c r="Q4062" t="str">
        <f t="shared" si="381"/>
        <v>High Loan</v>
      </c>
      <c r="R4062">
        <f t="shared" si="382"/>
        <v>40700000</v>
      </c>
      <c r="S4062" t="str">
        <f t="shared" si="383"/>
        <v>Strong</v>
      </c>
    </row>
    <row r="4063" spans="1:19" x14ac:dyDescent="0.25">
      <c r="A4063">
        <v>4062</v>
      </c>
      <c r="B4063">
        <v>5</v>
      </c>
      <c r="C4063" t="s">
        <v>31</v>
      </c>
      <c r="D4063" t="s">
        <v>32</v>
      </c>
      <c r="E4063">
        <v>2000000</v>
      </c>
      <c r="F4063">
        <v>6900000</v>
      </c>
      <c r="G4063">
        <v>18</v>
      </c>
      <c r="H4063">
        <v>516</v>
      </c>
      <c r="I4063">
        <v>4600000</v>
      </c>
      <c r="J4063">
        <v>3400000</v>
      </c>
      <c r="K4063">
        <v>6500000</v>
      </c>
      <c r="L4063">
        <v>1600000</v>
      </c>
      <c r="M4063" t="s">
        <v>35</v>
      </c>
      <c r="N4063">
        <f t="shared" si="379"/>
        <v>0</v>
      </c>
      <c r="O4063" t="str">
        <f t="shared" si="378"/>
        <v>Low</v>
      </c>
      <c r="P4063" t="str">
        <f t="shared" si="380"/>
        <v>High</v>
      </c>
      <c r="Q4063" t="str">
        <f t="shared" si="381"/>
        <v>Low Loan</v>
      </c>
      <c r="R4063">
        <f t="shared" si="382"/>
        <v>16100000</v>
      </c>
      <c r="S4063" t="str">
        <f t="shared" si="383"/>
        <v>Strong</v>
      </c>
    </row>
    <row r="4064" spans="1:19" x14ac:dyDescent="0.25">
      <c r="A4064">
        <v>4063</v>
      </c>
      <c r="B4064">
        <v>4</v>
      </c>
      <c r="C4064" t="s">
        <v>30</v>
      </c>
      <c r="D4064" t="s">
        <v>32</v>
      </c>
      <c r="E4064">
        <v>8300000</v>
      </c>
      <c r="F4064">
        <v>24600000</v>
      </c>
      <c r="G4064">
        <v>2</v>
      </c>
      <c r="H4064">
        <v>382</v>
      </c>
      <c r="I4064">
        <v>1400000</v>
      </c>
      <c r="J4064">
        <v>1200000</v>
      </c>
      <c r="K4064">
        <v>16700000</v>
      </c>
      <c r="L4064">
        <v>6600000</v>
      </c>
      <c r="M4064" t="s">
        <v>35</v>
      </c>
      <c r="N4064">
        <f t="shared" si="379"/>
        <v>0</v>
      </c>
      <c r="O4064" t="str">
        <f t="shared" si="378"/>
        <v>Low</v>
      </c>
      <c r="P4064" t="str">
        <f t="shared" si="380"/>
        <v>High</v>
      </c>
      <c r="Q4064" t="str">
        <f t="shared" si="381"/>
        <v>High Loan</v>
      </c>
      <c r="R4064">
        <f t="shared" si="382"/>
        <v>25900000</v>
      </c>
      <c r="S4064" t="str">
        <f t="shared" si="383"/>
        <v>Strong</v>
      </c>
    </row>
    <row r="4065" spans="1:19" x14ac:dyDescent="0.25">
      <c r="A4065">
        <v>4064</v>
      </c>
      <c r="B4065">
        <v>0</v>
      </c>
      <c r="C4065" t="s">
        <v>30</v>
      </c>
      <c r="D4065" t="s">
        <v>33</v>
      </c>
      <c r="E4065">
        <v>1000000</v>
      </c>
      <c r="F4065">
        <v>2800000</v>
      </c>
      <c r="G4065">
        <v>12</v>
      </c>
      <c r="H4065">
        <v>616</v>
      </c>
      <c r="I4065">
        <v>700000</v>
      </c>
      <c r="J4065">
        <v>700000</v>
      </c>
      <c r="K4065">
        <v>3900000</v>
      </c>
      <c r="L4065">
        <v>700000</v>
      </c>
      <c r="M4065" t="s">
        <v>34</v>
      </c>
      <c r="N4065">
        <f t="shared" si="379"/>
        <v>1</v>
      </c>
      <c r="O4065" t="str">
        <f t="shared" si="378"/>
        <v>Low</v>
      </c>
      <c r="P4065" t="str">
        <f t="shared" si="380"/>
        <v>High</v>
      </c>
      <c r="Q4065" t="str">
        <f t="shared" si="381"/>
        <v>Low Loan</v>
      </c>
      <c r="R4065">
        <f t="shared" si="382"/>
        <v>6000000</v>
      </c>
      <c r="S4065" t="str">
        <f t="shared" si="383"/>
        <v>Moderate</v>
      </c>
    </row>
    <row r="4066" spans="1:19" x14ac:dyDescent="0.25">
      <c r="A4066">
        <v>4065</v>
      </c>
      <c r="B4066">
        <v>3</v>
      </c>
      <c r="C4066" t="s">
        <v>30</v>
      </c>
      <c r="D4066" t="s">
        <v>32</v>
      </c>
      <c r="E4066">
        <v>5500000</v>
      </c>
      <c r="F4066">
        <v>11600000</v>
      </c>
      <c r="G4066">
        <v>6</v>
      </c>
      <c r="H4066">
        <v>745</v>
      </c>
      <c r="I4066">
        <v>9400000</v>
      </c>
      <c r="J4066">
        <v>8000000</v>
      </c>
      <c r="K4066">
        <v>12800000</v>
      </c>
      <c r="L4066">
        <v>5400000</v>
      </c>
      <c r="M4066" t="s">
        <v>34</v>
      </c>
      <c r="N4066">
        <f t="shared" si="379"/>
        <v>1</v>
      </c>
      <c r="O4066" t="str">
        <f t="shared" si="378"/>
        <v>Good</v>
      </c>
      <c r="P4066" t="str">
        <f t="shared" si="380"/>
        <v>High</v>
      </c>
      <c r="Q4066" t="str">
        <f t="shared" si="381"/>
        <v>Low Loan</v>
      </c>
      <c r="R4066">
        <f t="shared" si="382"/>
        <v>35600000</v>
      </c>
      <c r="S4066" t="str">
        <f t="shared" si="383"/>
        <v>Strong</v>
      </c>
    </row>
    <row r="4067" spans="1:19" x14ac:dyDescent="0.25">
      <c r="A4067">
        <v>4066</v>
      </c>
      <c r="B4067">
        <v>5</v>
      </c>
      <c r="C4067" t="s">
        <v>30</v>
      </c>
      <c r="D4067" t="s">
        <v>32</v>
      </c>
      <c r="E4067">
        <v>1400000</v>
      </c>
      <c r="F4067">
        <v>3400000</v>
      </c>
      <c r="G4067">
        <v>6</v>
      </c>
      <c r="H4067">
        <v>697</v>
      </c>
      <c r="I4067">
        <v>2000000</v>
      </c>
      <c r="J4067">
        <v>500000</v>
      </c>
      <c r="K4067">
        <v>4600000</v>
      </c>
      <c r="L4067">
        <v>1600000</v>
      </c>
      <c r="M4067" t="s">
        <v>34</v>
      </c>
      <c r="N4067">
        <f t="shared" si="379"/>
        <v>1</v>
      </c>
      <c r="O4067" t="str">
        <f t="shared" si="378"/>
        <v>Medium</v>
      </c>
      <c r="P4067" t="str">
        <f t="shared" si="380"/>
        <v>High</v>
      </c>
      <c r="Q4067" t="str">
        <f t="shared" si="381"/>
        <v>Low Loan</v>
      </c>
      <c r="R4067">
        <f t="shared" si="382"/>
        <v>8700000</v>
      </c>
      <c r="S4067" t="str">
        <f t="shared" si="383"/>
        <v>Moderate</v>
      </c>
    </row>
    <row r="4068" spans="1:19" x14ac:dyDescent="0.25">
      <c r="A4068">
        <v>4067</v>
      </c>
      <c r="B4068">
        <v>4</v>
      </c>
      <c r="C4068" t="s">
        <v>30</v>
      </c>
      <c r="D4068" t="s">
        <v>32</v>
      </c>
      <c r="E4068">
        <v>3700000</v>
      </c>
      <c r="F4068">
        <v>12300000</v>
      </c>
      <c r="G4068">
        <v>6</v>
      </c>
      <c r="H4068">
        <v>364</v>
      </c>
      <c r="I4068">
        <v>5900000</v>
      </c>
      <c r="J4068">
        <v>4200000</v>
      </c>
      <c r="K4068">
        <v>13700000</v>
      </c>
      <c r="L4068">
        <v>4400000</v>
      </c>
      <c r="M4068" t="s">
        <v>35</v>
      </c>
      <c r="N4068">
        <f t="shared" si="379"/>
        <v>0</v>
      </c>
      <c r="O4068" t="str">
        <f t="shared" si="378"/>
        <v>Low</v>
      </c>
      <c r="P4068" t="str">
        <f t="shared" si="380"/>
        <v>High</v>
      </c>
      <c r="Q4068" t="str">
        <f t="shared" si="381"/>
        <v>Low Loan</v>
      </c>
      <c r="R4068">
        <f t="shared" si="382"/>
        <v>28200000</v>
      </c>
      <c r="S4068" t="str">
        <f t="shared" si="383"/>
        <v>Strong</v>
      </c>
    </row>
    <row r="4069" spans="1:19" x14ac:dyDescent="0.25">
      <c r="A4069">
        <v>4068</v>
      </c>
      <c r="B4069">
        <v>2</v>
      </c>
      <c r="C4069" t="s">
        <v>31</v>
      </c>
      <c r="D4069" t="s">
        <v>33</v>
      </c>
      <c r="E4069">
        <v>2100000</v>
      </c>
      <c r="F4069">
        <v>6900000</v>
      </c>
      <c r="G4069">
        <v>2</v>
      </c>
      <c r="H4069">
        <v>566</v>
      </c>
      <c r="I4069">
        <v>700000</v>
      </c>
      <c r="J4069">
        <v>1500000</v>
      </c>
      <c r="K4069">
        <v>8100000</v>
      </c>
      <c r="L4069">
        <v>1000000</v>
      </c>
      <c r="M4069" t="s">
        <v>34</v>
      </c>
      <c r="N4069">
        <f t="shared" si="379"/>
        <v>1</v>
      </c>
      <c r="O4069" t="str">
        <f t="shared" si="378"/>
        <v>Low</v>
      </c>
      <c r="P4069" t="str">
        <f t="shared" si="380"/>
        <v>High</v>
      </c>
      <c r="Q4069" t="str">
        <f t="shared" si="381"/>
        <v>Low Loan</v>
      </c>
      <c r="R4069">
        <f t="shared" si="382"/>
        <v>11300000</v>
      </c>
      <c r="S4069" t="str">
        <f t="shared" si="383"/>
        <v>Strong</v>
      </c>
    </row>
    <row r="4070" spans="1:19" x14ac:dyDescent="0.25">
      <c r="A4070">
        <v>4069</v>
      </c>
      <c r="B4070">
        <v>4</v>
      </c>
      <c r="C4070" t="s">
        <v>31</v>
      </c>
      <c r="D4070" t="s">
        <v>32</v>
      </c>
      <c r="E4070">
        <v>6200000</v>
      </c>
      <c r="F4070">
        <v>21900000</v>
      </c>
      <c r="G4070">
        <v>12</v>
      </c>
      <c r="H4070">
        <v>462</v>
      </c>
      <c r="I4070">
        <v>9400000</v>
      </c>
      <c r="J4070">
        <v>2000000</v>
      </c>
      <c r="K4070">
        <v>16600000</v>
      </c>
      <c r="L4070">
        <v>8300000</v>
      </c>
      <c r="M4070" t="s">
        <v>35</v>
      </c>
      <c r="N4070">
        <f t="shared" si="379"/>
        <v>0</v>
      </c>
      <c r="O4070" t="str">
        <f t="shared" si="378"/>
        <v>Low</v>
      </c>
      <c r="P4070" t="str">
        <f t="shared" si="380"/>
        <v>High</v>
      </c>
      <c r="Q4070" t="str">
        <f t="shared" si="381"/>
        <v>High Loan</v>
      </c>
      <c r="R4070">
        <f t="shared" si="382"/>
        <v>36300000</v>
      </c>
      <c r="S4070" t="str">
        <f t="shared" si="383"/>
        <v>Strong</v>
      </c>
    </row>
    <row r="4071" spans="1:19" x14ac:dyDescent="0.25">
      <c r="A4071">
        <v>4070</v>
      </c>
      <c r="B4071">
        <v>0</v>
      </c>
      <c r="C4071" t="s">
        <v>31</v>
      </c>
      <c r="D4071" t="s">
        <v>32</v>
      </c>
      <c r="E4071">
        <v>9300000</v>
      </c>
      <c r="F4071">
        <v>31900000</v>
      </c>
      <c r="G4071">
        <v>2</v>
      </c>
      <c r="H4071">
        <v>331</v>
      </c>
      <c r="I4071">
        <v>7100000</v>
      </c>
      <c r="J4071">
        <v>11200000</v>
      </c>
      <c r="K4071">
        <v>23700000</v>
      </c>
      <c r="L4071">
        <v>8000000</v>
      </c>
      <c r="M4071" t="s">
        <v>34</v>
      </c>
      <c r="N4071">
        <f t="shared" si="379"/>
        <v>1</v>
      </c>
      <c r="O4071" t="str">
        <f t="shared" si="378"/>
        <v>Low</v>
      </c>
      <c r="P4071" t="str">
        <f t="shared" si="380"/>
        <v>High</v>
      </c>
      <c r="Q4071" t="str">
        <f t="shared" si="381"/>
        <v>High Loan</v>
      </c>
      <c r="R4071">
        <f t="shared" si="382"/>
        <v>50000000</v>
      </c>
      <c r="S4071" t="str">
        <f t="shared" si="383"/>
        <v>Strong</v>
      </c>
    </row>
    <row r="4072" spans="1:19" x14ac:dyDescent="0.25">
      <c r="A4072">
        <v>4071</v>
      </c>
      <c r="B4072">
        <v>3</v>
      </c>
      <c r="C4072" t="s">
        <v>31</v>
      </c>
      <c r="D4072" t="s">
        <v>33</v>
      </c>
      <c r="E4072">
        <v>5100000</v>
      </c>
      <c r="F4072">
        <v>10300000</v>
      </c>
      <c r="G4072">
        <v>12</v>
      </c>
      <c r="H4072">
        <v>839</v>
      </c>
      <c r="I4072">
        <v>13400000</v>
      </c>
      <c r="J4072">
        <v>5400000</v>
      </c>
      <c r="K4072">
        <v>10700000</v>
      </c>
      <c r="L4072">
        <v>7500000</v>
      </c>
      <c r="M4072" t="s">
        <v>34</v>
      </c>
      <c r="N4072">
        <f t="shared" si="379"/>
        <v>1</v>
      </c>
      <c r="O4072" t="str">
        <f t="shared" si="378"/>
        <v>Excellent</v>
      </c>
      <c r="P4072" t="str">
        <f t="shared" si="380"/>
        <v>High</v>
      </c>
      <c r="Q4072" t="str">
        <f t="shared" si="381"/>
        <v>Low Loan</v>
      </c>
      <c r="R4072">
        <f t="shared" si="382"/>
        <v>37000000</v>
      </c>
      <c r="S4072" t="str">
        <f t="shared" si="383"/>
        <v>Strong</v>
      </c>
    </row>
    <row r="4073" spans="1:19" x14ac:dyDescent="0.25">
      <c r="A4073">
        <v>4072</v>
      </c>
      <c r="B4073">
        <v>0</v>
      </c>
      <c r="C4073" t="s">
        <v>30</v>
      </c>
      <c r="D4073" t="s">
        <v>33</v>
      </c>
      <c r="E4073">
        <v>7000000</v>
      </c>
      <c r="F4073">
        <v>14000000</v>
      </c>
      <c r="G4073">
        <v>4</v>
      </c>
      <c r="H4073">
        <v>702</v>
      </c>
      <c r="I4073">
        <v>9000000</v>
      </c>
      <c r="J4073">
        <v>3100000</v>
      </c>
      <c r="K4073">
        <v>21400000</v>
      </c>
      <c r="L4073">
        <v>7600000</v>
      </c>
      <c r="M4073" t="s">
        <v>34</v>
      </c>
      <c r="N4073">
        <f t="shared" si="379"/>
        <v>1</v>
      </c>
      <c r="O4073" t="str">
        <f t="shared" si="378"/>
        <v>Good</v>
      </c>
      <c r="P4073" t="str">
        <f t="shared" si="380"/>
        <v>High</v>
      </c>
      <c r="Q4073" t="str">
        <f t="shared" si="381"/>
        <v>Low Loan</v>
      </c>
      <c r="R4073">
        <f t="shared" si="382"/>
        <v>41100000</v>
      </c>
      <c r="S4073" t="str">
        <f t="shared" si="383"/>
        <v>Strong</v>
      </c>
    </row>
    <row r="4074" spans="1:19" x14ac:dyDescent="0.25">
      <c r="A4074">
        <v>4073</v>
      </c>
      <c r="B4074">
        <v>3</v>
      </c>
      <c r="C4074" t="s">
        <v>30</v>
      </c>
      <c r="D4074" t="s">
        <v>33</v>
      </c>
      <c r="E4074">
        <v>5300000</v>
      </c>
      <c r="F4074">
        <v>17900000</v>
      </c>
      <c r="G4074">
        <v>2</v>
      </c>
      <c r="H4074">
        <v>580</v>
      </c>
      <c r="I4074">
        <v>10200000</v>
      </c>
      <c r="J4074">
        <v>6400000</v>
      </c>
      <c r="K4074">
        <v>11600000</v>
      </c>
      <c r="L4074">
        <v>3600000</v>
      </c>
      <c r="M4074" t="s">
        <v>34</v>
      </c>
      <c r="N4074">
        <f t="shared" si="379"/>
        <v>1</v>
      </c>
      <c r="O4074" t="str">
        <f t="shared" si="378"/>
        <v>Low</v>
      </c>
      <c r="P4074" t="str">
        <f t="shared" si="380"/>
        <v>High</v>
      </c>
      <c r="Q4074" t="str">
        <f t="shared" si="381"/>
        <v>Low Loan</v>
      </c>
      <c r="R4074">
        <f t="shared" si="382"/>
        <v>31800000</v>
      </c>
      <c r="S4074" t="str">
        <f t="shared" si="383"/>
        <v>Strong</v>
      </c>
    </row>
    <row r="4075" spans="1:19" x14ac:dyDescent="0.25">
      <c r="A4075">
        <v>4074</v>
      </c>
      <c r="B4075">
        <v>3</v>
      </c>
      <c r="C4075" t="s">
        <v>30</v>
      </c>
      <c r="D4075" t="s">
        <v>32</v>
      </c>
      <c r="E4075">
        <v>900000</v>
      </c>
      <c r="F4075">
        <v>2800000</v>
      </c>
      <c r="G4075">
        <v>10</v>
      </c>
      <c r="H4075">
        <v>560</v>
      </c>
      <c r="I4075">
        <v>2700000</v>
      </c>
      <c r="J4075">
        <v>300000</v>
      </c>
      <c r="K4075">
        <v>1900000</v>
      </c>
      <c r="L4075">
        <v>1300000</v>
      </c>
      <c r="M4075" t="s">
        <v>34</v>
      </c>
      <c r="N4075">
        <f t="shared" si="379"/>
        <v>1</v>
      </c>
      <c r="O4075" t="str">
        <f t="shared" si="378"/>
        <v>Low</v>
      </c>
      <c r="P4075" t="str">
        <f t="shared" si="380"/>
        <v>High</v>
      </c>
      <c r="Q4075" t="str">
        <f t="shared" si="381"/>
        <v>Low Loan</v>
      </c>
      <c r="R4075">
        <f t="shared" si="382"/>
        <v>6200000</v>
      </c>
      <c r="S4075" t="str">
        <f t="shared" si="383"/>
        <v>Moderate</v>
      </c>
    </row>
    <row r="4076" spans="1:19" x14ac:dyDescent="0.25">
      <c r="A4076">
        <v>4075</v>
      </c>
      <c r="B4076">
        <v>4</v>
      </c>
      <c r="C4076" t="s">
        <v>31</v>
      </c>
      <c r="D4076" t="s">
        <v>33</v>
      </c>
      <c r="E4076">
        <v>9400000</v>
      </c>
      <c r="F4076">
        <v>25700000</v>
      </c>
      <c r="G4076">
        <v>14</v>
      </c>
      <c r="H4076">
        <v>845</v>
      </c>
      <c r="I4076">
        <v>27300000</v>
      </c>
      <c r="J4076">
        <v>4100000</v>
      </c>
      <c r="K4076">
        <v>26500000</v>
      </c>
      <c r="L4076">
        <v>12200000</v>
      </c>
      <c r="M4076" t="s">
        <v>34</v>
      </c>
      <c r="N4076">
        <f t="shared" si="379"/>
        <v>1</v>
      </c>
      <c r="O4076" t="str">
        <f t="shared" si="378"/>
        <v>Excellent</v>
      </c>
      <c r="P4076" t="str">
        <f t="shared" si="380"/>
        <v>High</v>
      </c>
      <c r="Q4076" t="str">
        <f t="shared" si="381"/>
        <v>High Loan</v>
      </c>
      <c r="R4076">
        <f t="shared" si="382"/>
        <v>70100000</v>
      </c>
      <c r="S4076" t="str">
        <f t="shared" si="383"/>
        <v>Strong</v>
      </c>
    </row>
    <row r="4077" spans="1:19" x14ac:dyDescent="0.25">
      <c r="A4077">
        <v>4076</v>
      </c>
      <c r="B4077">
        <v>4</v>
      </c>
      <c r="C4077" t="s">
        <v>31</v>
      </c>
      <c r="D4077" t="s">
        <v>33</v>
      </c>
      <c r="E4077">
        <v>2600000</v>
      </c>
      <c r="F4077">
        <v>8500000</v>
      </c>
      <c r="G4077">
        <v>4</v>
      </c>
      <c r="H4077">
        <v>392</v>
      </c>
      <c r="I4077">
        <v>5500000</v>
      </c>
      <c r="J4077">
        <v>100000</v>
      </c>
      <c r="K4077">
        <v>8800000</v>
      </c>
      <c r="L4077">
        <v>2900000</v>
      </c>
      <c r="M4077" t="s">
        <v>34</v>
      </c>
      <c r="N4077">
        <f t="shared" si="379"/>
        <v>1</v>
      </c>
      <c r="O4077" t="str">
        <f t="shared" si="378"/>
        <v>Low</v>
      </c>
      <c r="P4077" t="str">
        <f t="shared" si="380"/>
        <v>High</v>
      </c>
      <c r="Q4077" t="str">
        <f t="shared" si="381"/>
        <v>Low Loan</v>
      </c>
      <c r="R4077">
        <f t="shared" si="382"/>
        <v>17300000</v>
      </c>
      <c r="S4077" t="str">
        <f t="shared" si="383"/>
        <v>Strong</v>
      </c>
    </row>
    <row r="4078" spans="1:19" x14ac:dyDescent="0.25">
      <c r="A4078">
        <v>4077</v>
      </c>
      <c r="B4078">
        <v>2</v>
      </c>
      <c r="C4078" t="s">
        <v>30</v>
      </c>
      <c r="D4078" t="s">
        <v>32</v>
      </c>
      <c r="E4078">
        <v>1500000</v>
      </c>
      <c r="F4078">
        <v>4900000</v>
      </c>
      <c r="G4078">
        <v>16</v>
      </c>
      <c r="H4078">
        <v>387</v>
      </c>
      <c r="I4078">
        <v>-100000</v>
      </c>
      <c r="J4078">
        <v>2400000</v>
      </c>
      <c r="K4078">
        <v>3700000</v>
      </c>
      <c r="L4078">
        <v>1300000</v>
      </c>
      <c r="M4078" t="s">
        <v>35</v>
      </c>
      <c r="N4078">
        <f t="shared" si="379"/>
        <v>0</v>
      </c>
      <c r="O4078" t="str">
        <f t="shared" si="378"/>
        <v>Low</v>
      </c>
      <c r="P4078" t="str">
        <f t="shared" si="380"/>
        <v>High</v>
      </c>
      <c r="Q4078" t="str">
        <f t="shared" si="381"/>
        <v>Low Loan</v>
      </c>
      <c r="R4078">
        <f t="shared" si="382"/>
        <v>7300000</v>
      </c>
      <c r="S4078" t="str">
        <f t="shared" si="383"/>
        <v>Moderate</v>
      </c>
    </row>
    <row r="4079" spans="1:19" x14ac:dyDescent="0.25">
      <c r="A4079">
        <v>4078</v>
      </c>
      <c r="B4079">
        <v>1</v>
      </c>
      <c r="C4079" t="s">
        <v>30</v>
      </c>
      <c r="D4079" t="s">
        <v>33</v>
      </c>
      <c r="E4079">
        <v>1800000</v>
      </c>
      <c r="F4079">
        <v>6300000</v>
      </c>
      <c r="G4079">
        <v>12</v>
      </c>
      <c r="H4079">
        <v>749</v>
      </c>
      <c r="I4079">
        <v>4200000</v>
      </c>
      <c r="J4079">
        <v>200000</v>
      </c>
      <c r="K4079">
        <v>3800000</v>
      </c>
      <c r="L4079">
        <v>2700000</v>
      </c>
      <c r="M4079" t="s">
        <v>34</v>
      </c>
      <c r="N4079">
        <f t="shared" si="379"/>
        <v>1</v>
      </c>
      <c r="O4079" t="str">
        <f t="shared" si="378"/>
        <v>Good</v>
      </c>
      <c r="P4079" t="str">
        <f t="shared" si="380"/>
        <v>High</v>
      </c>
      <c r="Q4079" t="str">
        <f t="shared" si="381"/>
        <v>Low Loan</v>
      </c>
      <c r="R4079">
        <f t="shared" si="382"/>
        <v>10900000</v>
      </c>
      <c r="S4079" t="str">
        <f t="shared" si="383"/>
        <v>Strong</v>
      </c>
    </row>
    <row r="4080" spans="1:19" x14ac:dyDescent="0.25">
      <c r="A4080">
        <v>4079</v>
      </c>
      <c r="B4080">
        <v>3</v>
      </c>
      <c r="C4080" t="s">
        <v>30</v>
      </c>
      <c r="D4080" t="s">
        <v>33</v>
      </c>
      <c r="E4080">
        <v>7800000</v>
      </c>
      <c r="F4080">
        <v>20000000</v>
      </c>
      <c r="G4080">
        <v>14</v>
      </c>
      <c r="H4080">
        <v>727</v>
      </c>
      <c r="I4080">
        <v>4600000</v>
      </c>
      <c r="J4080">
        <v>7200000</v>
      </c>
      <c r="K4080">
        <v>17300000</v>
      </c>
      <c r="L4080">
        <v>8600000</v>
      </c>
      <c r="M4080" t="s">
        <v>34</v>
      </c>
      <c r="N4080">
        <f t="shared" si="379"/>
        <v>1</v>
      </c>
      <c r="O4080" t="str">
        <f t="shared" si="378"/>
        <v>Good</v>
      </c>
      <c r="P4080" t="str">
        <f t="shared" si="380"/>
        <v>High</v>
      </c>
      <c r="Q4080" t="str">
        <f t="shared" si="381"/>
        <v>High Loan</v>
      </c>
      <c r="R4080">
        <f t="shared" si="382"/>
        <v>37700000</v>
      </c>
      <c r="S4080" t="str">
        <f t="shared" si="383"/>
        <v>Strong</v>
      </c>
    </row>
    <row r="4081" spans="1:19" x14ac:dyDescent="0.25">
      <c r="A4081">
        <v>4080</v>
      </c>
      <c r="B4081">
        <v>3</v>
      </c>
      <c r="C4081" t="s">
        <v>30</v>
      </c>
      <c r="D4081" t="s">
        <v>33</v>
      </c>
      <c r="E4081">
        <v>2100000</v>
      </c>
      <c r="F4081">
        <v>7400000</v>
      </c>
      <c r="G4081">
        <v>14</v>
      </c>
      <c r="H4081">
        <v>656</v>
      </c>
      <c r="I4081">
        <v>5600000</v>
      </c>
      <c r="J4081">
        <v>400000</v>
      </c>
      <c r="K4081">
        <v>5200000</v>
      </c>
      <c r="L4081">
        <v>2800000</v>
      </c>
      <c r="M4081" t="s">
        <v>34</v>
      </c>
      <c r="N4081">
        <f t="shared" si="379"/>
        <v>1</v>
      </c>
      <c r="O4081" t="str">
        <f t="shared" si="378"/>
        <v>Medium</v>
      </c>
      <c r="P4081" t="str">
        <f t="shared" si="380"/>
        <v>High</v>
      </c>
      <c r="Q4081" t="str">
        <f t="shared" si="381"/>
        <v>Low Loan</v>
      </c>
      <c r="R4081">
        <f t="shared" si="382"/>
        <v>14000000</v>
      </c>
      <c r="S4081" t="str">
        <f t="shared" si="383"/>
        <v>Strong</v>
      </c>
    </row>
    <row r="4082" spans="1:19" x14ac:dyDescent="0.25">
      <c r="A4082">
        <v>4081</v>
      </c>
      <c r="B4082">
        <v>0</v>
      </c>
      <c r="C4082" t="s">
        <v>31</v>
      </c>
      <c r="D4082" t="s">
        <v>33</v>
      </c>
      <c r="E4082">
        <v>8300000</v>
      </c>
      <c r="F4082">
        <v>17500000</v>
      </c>
      <c r="G4082">
        <v>20</v>
      </c>
      <c r="H4082">
        <v>643</v>
      </c>
      <c r="I4082">
        <v>24800000</v>
      </c>
      <c r="J4082">
        <v>8900000</v>
      </c>
      <c r="K4082">
        <v>18800000</v>
      </c>
      <c r="L4082">
        <v>5100000</v>
      </c>
      <c r="M4082" t="s">
        <v>34</v>
      </c>
      <c r="N4082">
        <f t="shared" si="379"/>
        <v>1</v>
      </c>
      <c r="O4082" t="str">
        <f t="shared" si="378"/>
        <v>Low</v>
      </c>
      <c r="P4082" t="str">
        <f t="shared" si="380"/>
        <v>High</v>
      </c>
      <c r="Q4082" t="str">
        <f t="shared" si="381"/>
        <v>Low Loan</v>
      </c>
      <c r="R4082">
        <f t="shared" si="382"/>
        <v>57600000</v>
      </c>
      <c r="S4082" t="str">
        <f t="shared" si="383"/>
        <v>Strong</v>
      </c>
    </row>
    <row r="4083" spans="1:19" x14ac:dyDescent="0.25">
      <c r="A4083">
        <v>4082</v>
      </c>
      <c r="B4083">
        <v>2</v>
      </c>
      <c r="C4083" t="s">
        <v>31</v>
      </c>
      <c r="D4083" t="s">
        <v>33</v>
      </c>
      <c r="E4083">
        <v>4400000</v>
      </c>
      <c r="F4083">
        <v>16800000</v>
      </c>
      <c r="G4083">
        <v>4</v>
      </c>
      <c r="H4083">
        <v>307</v>
      </c>
      <c r="I4083">
        <v>12800000</v>
      </c>
      <c r="J4083">
        <v>7200000</v>
      </c>
      <c r="K4083">
        <v>9700000</v>
      </c>
      <c r="L4083">
        <v>5800000</v>
      </c>
      <c r="M4083" t="s">
        <v>34</v>
      </c>
      <c r="N4083">
        <f t="shared" si="379"/>
        <v>1</v>
      </c>
      <c r="O4083" t="str">
        <f t="shared" si="378"/>
        <v>Low</v>
      </c>
      <c r="P4083" t="str">
        <f t="shared" si="380"/>
        <v>High</v>
      </c>
      <c r="Q4083" t="str">
        <f t="shared" si="381"/>
        <v>Low Loan</v>
      </c>
      <c r="R4083">
        <f t="shared" si="382"/>
        <v>35500000</v>
      </c>
      <c r="S4083" t="str">
        <f t="shared" si="383"/>
        <v>Strong</v>
      </c>
    </row>
    <row r="4084" spans="1:19" x14ac:dyDescent="0.25">
      <c r="A4084">
        <v>4083</v>
      </c>
      <c r="B4084">
        <v>2</v>
      </c>
      <c r="C4084" t="s">
        <v>31</v>
      </c>
      <c r="D4084" t="s">
        <v>32</v>
      </c>
      <c r="E4084">
        <v>2300000</v>
      </c>
      <c r="F4084">
        <v>5000000</v>
      </c>
      <c r="G4084">
        <v>16</v>
      </c>
      <c r="H4084">
        <v>588</v>
      </c>
      <c r="I4084">
        <v>2000000</v>
      </c>
      <c r="J4084">
        <v>3500000</v>
      </c>
      <c r="K4084">
        <v>7000000</v>
      </c>
      <c r="L4084">
        <v>1500000</v>
      </c>
      <c r="M4084" t="s">
        <v>34</v>
      </c>
      <c r="N4084">
        <f t="shared" si="379"/>
        <v>1</v>
      </c>
      <c r="O4084" t="str">
        <f t="shared" si="378"/>
        <v>Low</v>
      </c>
      <c r="P4084" t="str">
        <f t="shared" si="380"/>
        <v>High</v>
      </c>
      <c r="Q4084" t="str">
        <f t="shared" si="381"/>
        <v>Low Loan</v>
      </c>
      <c r="R4084">
        <f t="shared" si="382"/>
        <v>14000000</v>
      </c>
      <c r="S4084" t="str">
        <f t="shared" si="383"/>
        <v>Strong</v>
      </c>
    </row>
    <row r="4085" spans="1:19" x14ac:dyDescent="0.25">
      <c r="A4085">
        <v>4084</v>
      </c>
      <c r="B4085">
        <v>3</v>
      </c>
      <c r="C4085" t="s">
        <v>30</v>
      </c>
      <c r="D4085" t="s">
        <v>33</v>
      </c>
      <c r="E4085">
        <v>7700000</v>
      </c>
      <c r="F4085">
        <v>22300000</v>
      </c>
      <c r="G4085">
        <v>20</v>
      </c>
      <c r="H4085">
        <v>895</v>
      </c>
      <c r="I4085">
        <v>22200000</v>
      </c>
      <c r="J4085">
        <v>13300000</v>
      </c>
      <c r="K4085">
        <v>23900000</v>
      </c>
      <c r="L4085">
        <v>9100000</v>
      </c>
      <c r="M4085" t="s">
        <v>34</v>
      </c>
      <c r="N4085">
        <f t="shared" si="379"/>
        <v>1</v>
      </c>
      <c r="O4085" t="str">
        <f t="shared" si="378"/>
        <v>Excellent</v>
      </c>
      <c r="P4085" t="str">
        <f t="shared" si="380"/>
        <v>High</v>
      </c>
      <c r="Q4085" t="str">
        <f t="shared" si="381"/>
        <v>High Loan</v>
      </c>
      <c r="R4085">
        <f t="shared" si="382"/>
        <v>68500000</v>
      </c>
      <c r="S4085" t="str">
        <f t="shared" si="383"/>
        <v>Strong</v>
      </c>
    </row>
    <row r="4086" spans="1:19" x14ac:dyDescent="0.25">
      <c r="A4086">
        <v>4085</v>
      </c>
      <c r="B4086">
        <v>0</v>
      </c>
      <c r="C4086" t="s">
        <v>31</v>
      </c>
      <c r="D4086" t="s">
        <v>33</v>
      </c>
      <c r="E4086">
        <v>9300000</v>
      </c>
      <c r="F4086">
        <v>29400000</v>
      </c>
      <c r="G4086">
        <v>10</v>
      </c>
      <c r="H4086">
        <v>351</v>
      </c>
      <c r="I4086">
        <v>24200000</v>
      </c>
      <c r="J4086">
        <v>6800000</v>
      </c>
      <c r="K4086">
        <v>35800000</v>
      </c>
      <c r="L4086">
        <v>6100000</v>
      </c>
      <c r="M4086" t="s">
        <v>35</v>
      </c>
      <c r="N4086">
        <f t="shared" si="379"/>
        <v>0</v>
      </c>
      <c r="O4086" t="str">
        <f t="shared" si="378"/>
        <v>Low</v>
      </c>
      <c r="P4086" t="str">
        <f t="shared" si="380"/>
        <v>High</v>
      </c>
      <c r="Q4086" t="str">
        <f t="shared" si="381"/>
        <v>High Loan</v>
      </c>
      <c r="R4086">
        <f t="shared" si="382"/>
        <v>72900000</v>
      </c>
      <c r="S4086" t="str">
        <f t="shared" si="383"/>
        <v>Strong</v>
      </c>
    </row>
    <row r="4087" spans="1:19" x14ac:dyDescent="0.25">
      <c r="A4087">
        <v>4086</v>
      </c>
      <c r="B4087">
        <v>5</v>
      </c>
      <c r="C4087" t="s">
        <v>31</v>
      </c>
      <c r="D4087" t="s">
        <v>32</v>
      </c>
      <c r="E4087">
        <v>5900000</v>
      </c>
      <c r="F4087">
        <v>16400000</v>
      </c>
      <c r="G4087">
        <v>12</v>
      </c>
      <c r="H4087">
        <v>891</v>
      </c>
      <c r="I4087">
        <v>10200000</v>
      </c>
      <c r="J4087">
        <v>10400000</v>
      </c>
      <c r="K4087">
        <v>19600000</v>
      </c>
      <c r="L4087">
        <v>4700000</v>
      </c>
      <c r="M4087" t="s">
        <v>34</v>
      </c>
      <c r="N4087">
        <f t="shared" si="379"/>
        <v>1</v>
      </c>
      <c r="O4087" t="str">
        <f t="shared" si="378"/>
        <v>Excellent</v>
      </c>
      <c r="P4087" t="str">
        <f t="shared" si="380"/>
        <v>High</v>
      </c>
      <c r="Q4087" t="str">
        <f t="shared" si="381"/>
        <v>Low Loan</v>
      </c>
      <c r="R4087">
        <f t="shared" si="382"/>
        <v>44900000</v>
      </c>
      <c r="S4087" t="str">
        <f t="shared" si="383"/>
        <v>Strong</v>
      </c>
    </row>
    <row r="4088" spans="1:19" x14ac:dyDescent="0.25">
      <c r="A4088">
        <v>4087</v>
      </c>
      <c r="B4088">
        <v>5</v>
      </c>
      <c r="C4088" t="s">
        <v>31</v>
      </c>
      <c r="D4088" t="s">
        <v>33</v>
      </c>
      <c r="E4088">
        <v>1900000</v>
      </c>
      <c r="F4088">
        <v>4900000</v>
      </c>
      <c r="G4088">
        <v>4</v>
      </c>
      <c r="H4088">
        <v>442</v>
      </c>
      <c r="I4088">
        <v>3200000</v>
      </c>
      <c r="J4088">
        <v>2100000</v>
      </c>
      <c r="K4088">
        <v>5800000</v>
      </c>
      <c r="L4088">
        <v>900000</v>
      </c>
      <c r="M4088" t="s">
        <v>35</v>
      </c>
      <c r="N4088">
        <f t="shared" si="379"/>
        <v>0</v>
      </c>
      <c r="O4088" t="str">
        <f t="shared" si="378"/>
        <v>Low</v>
      </c>
      <c r="P4088" t="str">
        <f t="shared" si="380"/>
        <v>High</v>
      </c>
      <c r="Q4088" t="str">
        <f t="shared" si="381"/>
        <v>Low Loan</v>
      </c>
      <c r="R4088">
        <f t="shared" si="382"/>
        <v>12000000</v>
      </c>
      <c r="S4088" t="str">
        <f t="shared" si="383"/>
        <v>Strong</v>
      </c>
    </row>
    <row r="4089" spans="1:19" x14ac:dyDescent="0.25">
      <c r="A4089">
        <v>4088</v>
      </c>
      <c r="B4089">
        <v>0</v>
      </c>
      <c r="C4089" t="s">
        <v>31</v>
      </c>
      <c r="D4089" t="s">
        <v>32</v>
      </c>
      <c r="E4089">
        <v>6900000</v>
      </c>
      <c r="F4089">
        <v>19500000</v>
      </c>
      <c r="G4089">
        <v>20</v>
      </c>
      <c r="H4089">
        <v>686</v>
      </c>
      <c r="I4089">
        <v>2300000</v>
      </c>
      <c r="J4089">
        <v>8700000</v>
      </c>
      <c r="K4089">
        <v>16400000</v>
      </c>
      <c r="L4089">
        <v>6200000</v>
      </c>
      <c r="M4089" t="s">
        <v>34</v>
      </c>
      <c r="N4089">
        <f t="shared" si="379"/>
        <v>1</v>
      </c>
      <c r="O4089" t="str">
        <f t="shared" si="378"/>
        <v>Medium</v>
      </c>
      <c r="P4089" t="str">
        <f t="shared" si="380"/>
        <v>High</v>
      </c>
      <c r="Q4089" t="str">
        <f t="shared" si="381"/>
        <v>Low Loan</v>
      </c>
      <c r="R4089">
        <f t="shared" si="382"/>
        <v>33600000</v>
      </c>
      <c r="S4089" t="str">
        <f t="shared" si="383"/>
        <v>Strong</v>
      </c>
    </row>
    <row r="4090" spans="1:19" x14ac:dyDescent="0.25">
      <c r="A4090">
        <v>4089</v>
      </c>
      <c r="B4090">
        <v>4</v>
      </c>
      <c r="C4090" t="s">
        <v>30</v>
      </c>
      <c r="D4090" t="s">
        <v>33</v>
      </c>
      <c r="E4090">
        <v>2100000</v>
      </c>
      <c r="F4090">
        <v>8200000</v>
      </c>
      <c r="G4090">
        <v>20</v>
      </c>
      <c r="H4090">
        <v>432</v>
      </c>
      <c r="I4090">
        <v>6000000</v>
      </c>
      <c r="J4090">
        <v>900000</v>
      </c>
      <c r="K4090">
        <v>5600000</v>
      </c>
      <c r="L4090">
        <v>1000000</v>
      </c>
      <c r="M4090" t="s">
        <v>35</v>
      </c>
      <c r="N4090">
        <f t="shared" si="379"/>
        <v>0</v>
      </c>
      <c r="O4090" t="str">
        <f t="shared" si="378"/>
        <v>Low</v>
      </c>
      <c r="P4090" t="str">
        <f t="shared" si="380"/>
        <v>High</v>
      </c>
      <c r="Q4090" t="str">
        <f t="shared" si="381"/>
        <v>Low Loan</v>
      </c>
      <c r="R4090">
        <f t="shared" si="382"/>
        <v>13500000</v>
      </c>
      <c r="S4090" t="str">
        <f t="shared" si="383"/>
        <v>Strong</v>
      </c>
    </row>
    <row r="4091" spans="1:19" x14ac:dyDescent="0.25">
      <c r="A4091">
        <v>4090</v>
      </c>
      <c r="B4091">
        <v>0</v>
      </c>
      <c r="C4091" t="s">
        <v>31</v>
      </c>
      <c r="D4091" t="s">
        <v>32</v>
      </c>
      <c r="E4091">
        <v>8200000</v>
      </c>
      <c r="F4091">
        <v>20900000</v>
      </c>
      <c r="G4091">
        <v>14</v>
      </c>
      <c r="H4091">
        <v>766</v>
      </c>
      <c r="I4091">
        <v>4400000</v>
      </c>
      <c r="J4091">
        <v>12300000</v>
      </c>
      <c r="K4091">
        <v>18400000</v>
      </c>
      <c r="L4091">
        <v>12100000</v>
      </c>
      <c r="M4091" t="s">
        <v>34</v>
      </c>
      <c r="N4091">
        <f t="shared" si="379"/>
        <v>1</v>
      </c>
      <c r="O4091" t="str">
        <f t="shared" si="378"/>
        <v>Excellent</v>
      </c>
      <c r="P4091" t="str">
        <f t="shared" si="380"/>
        <v>High</v>
      </c>
      <c r="Q4091" t="str">
        <f t="shared" si="381"/>
        <v>High Loan</v>
      </c>
      <c r="R4091">
        <f t="shared" si="382"/>
        <v>47200000</v>
      </c>
      <c r="S4091" t="str">
        <f t="shared" si="383"/>
        <v>Strong</v>
      </c>
    </row>
    <row r="4092" spans="1:19" x14ac:dyDescent="0.25">
      <c r="A4092">
        <v>4091</v>
      </c>
      <c r="B4092">
        <v>4</v>
      </c>
      <c r="C4092" t="s">
        <v>31</v>
      </c>
      <c r="D4092" t="s">
        <v>32</v>
      </c>
      <c r="E4092">
        <v>7700000</v>
      </c>
      <c r="F4092">
        <v>17200000</v>
      </c>
      <c r="G4092">
        <v>6</v>
      </c>
      <c r="H4092">
        <v>561</v>
      </c>
      <c r="I4092">
        <v>6000000</v>
      </c>
      <c r="J4092">
        <v>5000000</v>
      </c>
      <c r="K4092">
        <v>15400000</v>
      </c>
      <c r="L4092">
        <v>6800000</v>
      </c>
      <c r="M4092" t="s">
        <v>34</v>
      </c>
      <c r="N4092">
        <f t="shared" si="379"/>
        <v>1</v>
      </c>
      <c r="O4092" t="str">
        <f t="shared" si="378"/>
        <v>Low</v>
      </c>
      <c r="P4092" t="str">
        <f t="shared" si="380"/>
        <v>High</v>
      </c>
      <c r="Q4092" t="str">
        <f t="shared" si="381"/>
        <v>Low Loan</v>
      </c>
      <c r="R4092">
        <f t="shared" si="382"/>
        <v>33200000</v>
      </c>
      <c r="S4092" t="str">
        <f t="shared" si="383"/>
        <v>Strong</v>
      </c>
    </row>
    <row r="4093" spans="1:19" x14ac:dyDescent="0.25">
      <c r="A4093">
        <v>4092</v>
      </c>
      <c r="B4093">
        <v>5</v>
      </c>
      <c r="C4093" t="s">
        <v>31</v>
      </c>
      <c r="D4093" t="s">
        <v>32</v>
      </c>
      <c r="E4093">
        <v>7700000</v>
      </c>
      <c r="F4093">
        <v>19000000</v>
      </c>
      <c r="G4093">
        <v>2</v>
      </c>
      <c r="H4093">
        <v>539</v>
      </c>
      <c r="I4093">
        <v>4000000</v>
      </c>
      <c r="J4093">
        <v>14500000</v>
      </c>
      <c r="K4093">
        <v>29300000</v>
      </c>
      <c r="L4093">
        <v>4100000</v>
      </c>
      <c r="M4093" t="s">
        <v>35</v>
      </c>
      <c r="N4093">
        <f t="shared" si="379"/>
        <v>0</v>
      </c>
      <c r="O4093" t="str">
        <f t="shared" si="378"/>
        <v>Low</v>
      </c>
      <c r="P4093" t="str">
        <f t="shared" si="380"/>
        <v>High</v>
      </c>
      <c r="Q4093" t="str">
        <f t="shared" si="381"/>
        <v>Low Loan</v>
      </c>
      <c r="R4093">
        <f t="shared" si="382"/>
        <v>51900000</v>
      </c>
      <c r="S4093" t="str">
        <f t="shared" si="383"/>
        <v>Strong</v>
      </c>
    </row>
    <row r="4094" spans="1:19" x14ac:dyDescent="0.25">
      <c r="A4094">
        <v>4093</v>
      </c>
      <c r="B4094">
        <v>1</v>
      </c>
      <c r="C4094" t="s">
        <v>30</v>
      </c>
      <c r="D4094" t="s">
        <v>32</v>
      </c>
      <c r="E4094">
        <v>700000</v>
      </c>
      <c r="F4094">
        <v>1400000</v>
      </c>
      <c r="G4094">
        <v>6</v>
      </c>
      <c r="H4094">
        <v>759</v>
      </c>
      <c r="I4094">
        <v>1000000</v>
      </c>
      <c r="J4094">
        <v>500000</v>
      </c>
      <c r="K4094">
        <v>2600000</v>
      </c>
      <c r="L4094">
        <v>700000</v>
      </c>
      <c r="M4094" t="s">
        <v>34</v>
      </c>
      <c r="N4094">
        <f t="shared" si="379"/>
        <v>1</v>
      </c>
      <c r="O4094" t="str">
        <f t="shared" si="378"/>
        <v>Excellent</v>
      </c>
      <c r="P4094" t="str">
        <f t="shared" si="380"/>
        <v>High</v>
      </c>
      <c r="Q4094" t="str">
        <f t="shared" si="381"/>
        <v>Low Loan</v>
      </c>
      <c r="R4094">
        <f t="shared" si="382"/>
        <v>4800000</v>
      </c>
      <c r="S4094" t="str">
        <f t="shared" si="383"/>
        <v>Weak</v>
      </c>
    </row>
    <row r="4095" spans="1:19" x14ac:dyDescent="0.25">
      <c r="A4095">
        <v>4094</v>
      </c>
      <c r="B4095">
        <v>5</v>
      </c>
      <c r="C4095" t="s">
        <v>30</v>
      </c>
      <c r="D4095" t="s">
        <v>32</v>
      </c>
      <c r="E4095">
        <v>7100000</v>
      </c>
      <c r="F4095">
        <v>18200000</v>
      </c>
      <c r="G4095">
        <v>8</v>
      </c>
      <c r="H4095">
        <v>750</v>
      </c>
      <c r="I4095">
        <v>21000000</v>
      </c>
      <c r="J4095">
        <v>7900000</v>
      </c>
      <c r="K4095">
        <v>20800000</v>
      </c>
      <c r="L4095">
        <v>5300000</v>
      </c>
      <c r="M4095" t="s">
        <v>34</v>
      </c>
      <c r="N4095">
        <f t="shared" si="379"/>
        <v>1</v>
      </c>
      <c r="O4095" t="str">
        <f t="shared" si="378"/>
        <v>Excellent</v>
      </c>
      <c r="P4095" t="str">
        <f t="shared" si="380"/>
        <v>High</v>
      </c>
      <c r="Q4095" t="str">
        <f t="shared" si="381"/>
        <v>Low Loan</v>
      </c>
      <c r="R4095">
        <f t="shared" si="382"/>
        <v>55000000</v>
      </c>
      <c r="S4095" t="str">
        <f t="shared" si="383"/>
        <v>Strong</v>
      </c>
    </row>
    <row r="4096" spans="1:19" x14ac:dyDescent="0.25">
      <c r="A4096">
        <v>4095</v>
      </c>
      <c r="B4096">
        <v>2</v>
      </c>
      <c r="C4096" t="s">
        <v>30</v>
      </c>
      <c r="D4096" t="s">
        <v>32</v>
      </c>
      <c r="E4096">
        <v>3900000</v>
      </c>
      <c r="F4096">
        <v>13600000</v>
      </c>
      <c r="G4096">
        <v>10</v>
      </c>
      <c r="H4096">
        <v>373</v>
      </c>
      <c r="I4096">
        <v>11600000</v>
      </c>
      <c r="J4096">
        <v>1000000</v>
      </c>
      <c r="K4096">
        <v>8400000</v>
      </c>
      <c r="L4096">
        <v>3600000</v>
      </c>
      <c r="M4096" t="s">
        <v>35</v>
      </c>
      <c r="N4096">
        <f t="shared" si="379"/>
        <v>0</v>
      </c>
      <c r="O4096" t="str">
        <f t="shared" si="378"/>
        <v>Low</v>
      </c>
      <c r="P4096" t="str">
        <f t="shared" si="380"/>
        <v>High</v>
      </c>
      <c r="Q4096" t="str">
        <f t="shared" si="381"/>
        <v>Low Loan</v>
      </c>
      <c r="R4096">
        <f t="shared" si="382"/>
        <v>24600000</v>
      </c>
      <c r="S4096" t="str">
        <f t="shared" si="383"/>
        <v>Strong</v>
      </c>
    </row>
    <row r="4097" spans="1:19" x14ac:dyDescent="0.25">
      <c r="A4097">
        <v>4096</v>
      </c>
      <c r="B4097">
        <v>1</v>
      </c>
      <c r="C4097" t="s">
        <v>31</v>
      </c>
      <c r="D4097" t="s">
        <v>33</v>
      </c>
      <c r="E4097">
        <v>5200000</v>
      </c>
      <c r="F4097">
        <v>20500000</v>
      </c>
      <c r="G4097">
        <v>10</v>
      </c>
      <c r="H4097">
        <v>407</v>
      </c>
      <c r="I4097">
        <v>1100000</v>
      </c>
      <c r="J4097">
        <v>3400000</v>
      </c>
      <c r="K4097">
        <v>18200000</v>
      </c>
      <c r="L4097">
        <v>3800000</v>
      </c>
      <c r="M4097" t="s">
        <v>35</v>
      </c>
      <c r="N4097">
        <f t="shared" si="379"/>
        <v>0</v>
      </c>
      <c r="O4097" t="str">
        <f t="shared" si="378"/>
        <v>Low</v>
      </c>
      <c r="P4097" t="str">
        <f t="shared" si="380"/>
        <v>High</v>
      </c>
      <c r="Q4097" t="str">
        <f t="shared" si="381"/>
        <v>High Loan</v>
      </c>
      <c r="R4097">
        <f t="shared" si="382"/>
        <v>26500000</v>
      </c>
      <c r="S4097" t="str">
        <f t="shared" si="383"/>
        <v>Strong</v>
      </c>
    </row>
    <row r="4098" spans="1:19" x14ac:dyDescent="0.25">
      <c r="A4098">
        <v>4097</v>
      </c>
      <c r="B4098">
        <v>4</v>
      </c>
      <c r="C4098" t="s">
        <v>31</v>
      </c>
      <c r="D4098" t="s">
        <v>32</v>
      </c>
      <c r="E4098">
        <v>5500000</v>
      </c>
      <c r="F4098">
        <v>20200000</v>
      </c>
      <c r="G4098">
        <v>14</v>
      </c>
      <c r="H4098">
        <v>611</v>
      </c>
      <c r="I4098">
        <v>13700000</v>
      </c>
      <c r="J4098">
        <v>5700000</v>
      </c>
      <c r="K4098">
        <v>15100000</v>
      </c>
      <c r="L4098">
        <v>7200000</v>
      </c>
      <c r="M4098" t="s">
        <v>34</v>
      </c>
      <c r="N4098">
        <f t="shared" si="379"/>
        <v>1</v>
      </c>
      <c r="O4098" t="str">
        <f t="shared" ref="O4098:O4161" si="384">IF(H4098&lt;650,"Low",
 IF(H4098&lt;700,"Medium",
 IF(H4098&lt;750,"Good","Excellent")))</f>
        <v>Low</v>
      </c>
      <c r="P4098" t="str">
        <f t="shared" si="380"/>
        <v>High</v>
      </c>
      <c r="Q4098" t="str">
        <f t="shared" si="381"/>
        <v>High Loan</v>
      </c>
      <c r="R4098">
        <f t="shared" si="382"/>
        <v>41700000</v>
      </c>
      <c r="S4098" t="str">
        <f t="shared" si="383"/>
        <v>Strong</v>
      </c>
    </row>
    <row r="4099" spans="1:19" x14ac:dyDescent="0.25">
      <c r="A4099">
        <v>4098</v>
      </c>
      <c r="B4099">
        <v>3</v>
      </c>
      <c r="C4099" t="s">
        <v>30</v>
      </c>
      <c r="D4099" t="s">
        <v>32</v>
      </c>
      <c r="E4099">
        <v>2600000</v>
      </c>
      <c r="F4099">
        <v>6300000</v>
      </c>
      <c r="G4099">
        <v>10</v>
      </c>
      <c r="H4099">
        <v>783</v>
      </c>
      <c r="I4099">
        <v>6500000</v>
      </c>
      <c r="J4099">
        <v>2400000</v>
      </c>
      <c r="K4099">
        <v>6500000</v>
      </c>
      <c r="L4099">
        <v>2600000</v>
      </c>
      <c r="M4099" t="s">
        <v>34</v>
      </c>
      <c r="N4099">
        <f t="shared" ref="N4099:N4162" si="385">IF(TRIM(CLEAN(M4099))="Approved",1,0)</f>
        <v>1</v>
      </c>
      <c r="O4099" t="str">
        <f t="shared" si="384"/>
        <v>Excellent</v>
      </c>
      <c r="P4099" t="str">
        <f t="shared" ref="P4099:P4162" si="386">IF(E4099&lt;300000,"Low",
 IF(E4099&lt;700000,"Middle","High"))</f>
        <v>High</v>
      </c>
      <c r="Q4099" t="str">
        <f t="shared" ref="Q4099:Q4162" si="387">IF(F4099&lt;20000000,"Low Loan","High Loan")</f>
        <v>Low Loan</v>
      </c>
      <c r="R4099">
        <f t="shared" ref="R4099:R4162" si="388">I4099+J4099+K4099+L4099</f>
        <v>18000000</v>
      </c>
      <c r="S4099" t="str">
        <f t="shared" ref="S4099:S4162" si="389">IF(R4099&lt;5000000,"Weak",
 IF(R4099&lt;10000000,"Moderate","Strong"))</f>
        <v>Strong</v>
      </c>
    </row>
    <row r="4100" spans="1:19" x14ac:dyDescent="0.25">
      <c r="A4100">
        <v>4099</v>
      </c>
      <c r="B4100">
        <v>0</v>
      </c>
      <c r="C4100" t="s">
        <v>31</v>
      </c>
      <c r="D4100" t="s">
        <v>33</v>
      </c>
      <c r="E4100">
        <v>7300000</v>
      </c>
      <c r="F4100">
        <v>24000000</v>
      </c>
      <c r="G4100">
        <v>18</v>
      </c>
      <c r="H4100">
        <v>651</v>
      </c>
      <c r="I4100">
        <v>16600000</v>
      </c>
      <c r="J4100">
        <v>100000</v>
      </c>
      <c r="K4100">
        <v>19600000</v>
      </c>
      <c r="L4100">
        <v>4500000</v>
      </c>
      <c r="M4100" t="s">
        <v>34</v>
      </c>
      <c r="N4100">
        <f t="shared" si="385"/>
        <v>1</v>
      </c>
      <c r="O4100" t="str">
        <f t="shared" si="384"/>
        <v>Medium</v>
      </c>
      <c r="P4100" t="str">
        <f t="shared" si="386"/>
        <v>High</v>
      </c>
      <c r="Q4100" t="str">
        <f t="shared" si="387"/>
        <v>High Loan</v>
      </c>
      <c r="R4100">
        <f t="shared" si="388"/>
        <v>40800000</v>
      </c>
      <c r="S4100" t="str">
        <f t="shared" si="389"/>
        <v>Strong</v>
      </c>
    </row>
    <row r="4101" spans="1:19" x14ac:dyDescent="0.25">
      <c r="A4101">
        <v>4100</v>
      </c>
      <c r="B4101">
        <v>3</v>
      </c>
      <c r="C4101" t="s">
        <v>30</v>
      </c>
      <c r="D4101" t="s">
        <v>32</v>
      </c>
      <c r="E4101">
        <v>8700000</v>
      </c>
      <c r="F4101">
        <v>31100000</v>
      </c>
      <c r="G4101">
        <v>16</v>
      </c>
      <c r="H4101">
        <v>760</v>
      </c>
      <c r="I4101">
        <v>400000</v>
      </c>
      <c r="J4101">
        <v>1800000</v>
      </c>
      <c r="K4101">
        <v>19300000</v>
      </c>
      <c r="L4101">
        <v>4800000</v>
      </c>
      <c r="M4101" t="s">
        <v>35</v>
      </c>
      <c r="N4101">
        <f t="shared" si="385"/>
        <v>0</v>
      </c>
      <c r="O4101" t="str">
        <f t="shared" si="384"/>
        <v>Excellent</v>
      </c>
      <c r="P4101" t="str">
        <f t="shared" si="386"/>
        <v>High</v>
      </c>
      <c r="Q4101" t="str">
        <f t="shared" si="387"/>
        <v>High Loan</v>
      </c>
      <c r="R4101">
        <f t="shared" si="388"/>
        <v>26300000</v>
      </c>
      <c r="S4101" t="str">
        <f t="shared" si="389"/>
        <v>Strong</v>
      </c>
    </row>
    <row r="4102" spans="1:19" x14ac:dyDescent="0.25">
      <c r="A4102">
        <v>4101</v>
      </c>
      <c r="B4102">
        <v>3</v>
      </c>
      <c r="C4102" t="s">
        <v>30</v>
      </c>
      <c r="D4102" t="s">
        <v>32</v>
      </c>
      <c r="E4102">
        <v>9000000</v>
      </c>
      <c r="F4102">
        <v>22700000</v>
      </c>
      <c r="G4102">
        <v>16</v>
      </c>
      <c r="H4102">
        <v>793</v>
      </c>
      <c r="I4102">
        <v>11700000</v>
      </c>
      <c r="J4102">
        <v>10800000</v>
      </c>
      <c r="K4102">
        <v>35000000</v>
      </c>
      <c r="L4102">
        <v>7000000</v>
      </c>
      <c r="M4102" t="s">
        <v>34</v>
      </c>
      <c r="N4102">
        <f t="shared" si="385"/>
        <v>1</v>
      </c>
      <c r="O4102" t="str">
        <f t="shared" si="384"/>
        <v>Excellent</v>
      </c>
      <c r="P4102" t="str">
        <f t="shared" si="386"/>
        <v>High</v>
      </c>
      <c r="Q4102" t="str">
        <f t="shared" si="387"/>
        <v>High Loan</v>
      </c>
      <c r="R4102">
        <f t="shared" si="388"/>
        <v>64500000</v>
      </c>
      <c r="S4102" t="str">
        <f t="shared" si="389"/>
        <v>Strong</v>
      </c>
    </row>
    <row r="4103" spans="1:19" x14ac:dyDescent="0.25">
      <c r="A4103">
        <v>4102</v>
      </c>
      <c r="B4103">
        <v>4</v>
      </c>
      <c r="C4103" t="s">
        <v>30</v>
      </c>
      <c r="D4103" t="s">
        <v>32</v>
      </c>
      <c r="E4103">
        <v>400000</v>
      </c>
      <c r="F4103">
        <v>800000</v>
      </c>
      <c r="G4103">
        <v>16</v>
      </c>
      <c r="H4103">
        <v>685</v>
      </c>
      <c r="I4103">
        <v>500000</v>
      </c>
      <c r="J4103">
        <v>300000</v>
      </c>
      <c r="K4103">
        <v>1300000</v>
      </c>
      <c r="L4103">
        <v>600000</v>
      </c>
      <c r="M4103" t="s">
        <v>34</v>
      </c>
      <c r="N4103">
        <f t="shared" si="385"/>
        <v>1</v>
      </c>
      <c r="O4103" t="str">
        <f t="shared" si="384"/>
        <v>Medium</v>
      </c>
      <c r="P4103" t="str">
        <f t="shared" si="386"/>
        <v>Middle</v>
      </c>
      <c r="Q4103" t="str">
        <f t="shared" si="387"/>
        <v>Low Loan</v>
      </c>
      <c r="R4103">
        <f t="shared" si="388"/>
        <v>2700000</v>
      </c>
      <c r="S4103" t="str">
        <f t="shared" si="389"/>
        <v>Weak</v>
      </c>
    </row>
    <row r="4104" spans="1:19" x14ac:dyDescent="0.25">
      <c r="A4104">
        <v>4103</v>
      </c>
      <c r="B4104">
        <v>2</v>
      </c>
      <c r="C4104" t="s">
        <v>31</v>
      </c>
      <c r="D4104" t="s">
        <v>33</v>
      </c>
      <c r="E4104">
        <v>3300000</v>
      </c>
      <c r="F4104">
        <v>10700000</v>
      </c>
      <c r="G4104">
        <v>8</v>
      </c>
      <c r="H4104">
        <v>806</v>
      </c>
      <c r="I4104">
        <v>5700000</v>
      </c>
      <c r="J4104">
        <v>600000</v>
      </c>
      <c r="K4104">
        <v>11500000</v>
      </c>
      <c r="L4104">
        <v>4900000</v>
      </c>
      <c r="M4104" t="s">
        <v>34</v>
      </c>
      <c r="N4104">
        <f t="shared" si="385"/>
        <v>1</v>
      </c>
      <c r="O4104" t="str">
        <f t="shared" si="384"/>
        <v>Excellent</v>
      </c>
      <c r="P4104" t="str">
        <f t="shared" si="386"/>
        <v>High</v>
      </c>
      <c r="Q4104" t="str">
        <f t="shared" si="387"/>
        <v>Low Loan</v>
      </c>
      <c r="R4104">
        <f t="shared" si="388"/>
        <v>22700000</v>
      </c>
      <c r="S4104" t="str">
        <f t="shared" si="389"/>
        <v>Strong</v>
      </c>
    </row>
    <row r="4105" spans="1:19" x14ac:dyDescent="0.25">
      <c r="A4105">
        <v>4104</v>
      </c>
      <c r="B4105">
        <v>1</v>
      </c>
      <c r="C4105" t="s">
        <v>31</v>
      </c>
      <c r="D4105" t="s">
        <v>32</v>
      </c>
      <c r="E4105">
        <v>6300000</v>
      </c>
      <c r="F4105">
        <v>17800000</v>
      </c>
      <c r="G4105">
        <v>12</v>
      </c>
      <c r="H4105">
        <v>770</v>
      </c>
      <c r="I4105">
        <v>6000000</v>
      </c>
      <c r="J4105">
        <v>3000000</v>
      </c>
      <c r="K4105">
        <v>17000000</v>
      </c>
      <c r="L4105">
        <v>3200000</v>
      </c>
      <c r="M4105" t="s">
        <v>34</v>
      </c>
      <c r="N4105">
        <f t="shared" si="385"/>
        <v>1</v>
      </c>
      <c r="O4105" t="str">
        <f t="shared" si="384"/>
        <v>Excellent</v>
      </c>
      <c r="P4105" t="str">
        <f t="shared" si="386"/>
        <v>High</v>
      </c>
      <c r="Q4105" t="str">
        <f t="shared" si="387"/>
        <v>Low Loan</v>
      </c>
      <c r="R4105">
        <f t="shared" si="388"/>
        <v>29200000</v>
      </c>
      <c r="S4105" t="str">
        <f t="shared" si="389"/>
        <v>Strong</v>
      </c>
    </row>
    <row r="4106" spans="1:19" x14ac:dyDescent="0.25">
      <c r="A4106">
        <v>4105</v>
      </c>
      <c r="B4106">
        <v>0</v>
      </c>
      <c r="C4106" t="s">
        <v>31</v>
      </c>
      <c r="D4106" t="s">
        <v>32</v>
      </c>
      <c r="E4106">
        <v>7000000</v>
      </c>
      <c r="F4106">
        <v>23600000</v>
      </c>
      <c r="G4106">
        <v>14</v>
      </c>
      <c r="H4106">
        <v>663</v>
      </c>
      <c r="I4106">
        <v>13800000</v>
      </c>
      <c r="J4106">
        <v>9100000</v>
      </c>
      <c r="K4106">
        <v>21300000</v>
      </c>
      <c r="L4106">
        <v>7200000</v>
      </c>
      <c r="M4106" t="s">
        <v>34</v>
      </c>
      <c r="N4106">
        <f t="shared" si="385"/>
        <v>1</v>
      </c>
      <c r="O4106" t="str">
        <f t="shared" si="384"/>
        <v>Medium</v>
      </c>
      <c r="P4106" t="str">
        <f t="shared" si="386"/>
        <v>High</v>
      </c>
      <c r="Q4106" t="str">
        <f t="shared" si="387"/>
        <v>High Loan</v>
      </c>
      <c r="R4106">
        <f t="shared" si="388"/>
        <v>51400000</v>
      </c>
      <c r="S4106" t="str">
        <f t="shared" si="389"/>
        <v>Strong</v>
      </c>
    </row>
    <row r="4107" spans="1:19" x14ac:dyDescent="0.25">
      <c r="A4107">
        <v>4106</v>
      </c>
      <c r="B4107">
        <v>2</v>
      </c>
      <c r="C4107" t="s">
        <v>30</v>
      </c>
      <c r="D4107" t="s">
        <v>33</v>
      </c>
      <c r="E4107">
        <v>2100000</v>
      </c>
      <c r="F4107">
        <v>8100000</v>
      </c>
      <c r="G4107">
        <v>4</v>
      </c>
      <c r="H4107">
        <v>592</v>
      </c>
      <c r="I4107">
        <v>2000000</v>
      </c>
      <c r="J4107">
        <v>2500000</v>
      </c>
      <c r="K4107">
        <v>7900000</v>
      </c>
      <c r="L4107">
        <v>2700000</v>
      </c>
      <c r="M4107" t="s">
        <v>34</v>
      </c>
      <c r="N4107">
        <f t="shared" si="385"/>
        <v>1</v>
      </c>
      <c r="O4107" t="str">
        <f t="shared" si="384"/>
        <v>Low</v>
      </c>
      <c r="P4107" t="str">
        <f t="shared" si="386"/>
        <v>High</v>
      </c>
      <c r="Q4107" t="str">
        <f t="shared" si="387"/>
        <v>Low Loan</v>
      </c>
      <c r="R4107">
        <f t="shared" si="388"/>
        <v>15100000</v>
      </c>
      <c r="S4107" t="str">
        <f t="shared" si="389"/>
        <v>Strong</v>
      </c>
    </row>
    <row r="4108" spans="1:19" x14ac:dyDescent="0.25">
      <c r="A4108">
        <v>4107</v>
      </c>
      <c r="B4108">
        <v>3</v>
      </c>
      <c r="C4108" t="s">
        <v>31</v>
      </c>
      <c r="D4108" t="s">
        <v>32</v>
      </c>
      <c r="E4108">
        <v>7600000</v>
      </c>
      <c r="F4108">
        <v>26300000</v>
      </c>
      <c r="G4108">
        <v>18</v>
      </c>
      <c r="H4108">
        <v>580</v>
      </c>
      <c r="I4108">
        <v>19100000</v>
      </c>
      <c r="J4108">
        <v>14600000</v>
      </c>
      <c r="K4108">
        <v>25500000</v>
      </c>
      <c r="L4108">
        <v>5100000</v>
      </c>
      <c r="M4108" t="s">
        <v>34</v>
      </c>
      <c r="N4108">
        <f t="shared" si="385"/>
        <v>1</v>
      </c>
      <c r="O4108" t="str">
        <f t="shared" si="384"/>
        <v>Low</v>
      </c>
      <c r="P4108" t="str">
        <f t="shared" si="386"/>
        <v>High</v>
      </c>
      <c r="Q4108" t="str">
        <f t="shared" si="387"/>
        <v>High Loan</v>
      </c>
      <c r="R4108">
        <f t="shared" si="388"/>
        <v>64300000</v>
      </c>
      <c r="S4108" t="str">
        <f t="shared" si="389"/>
        <v>Strong</v>
      </c>
    </row>
    <row r="4109" spans="1:19" x14ac:dyDescent="0.25">
      <c r="A4109">
        <v>4108</v>
      </c>
      <c r="B4109">
        <v>1</v>
      </c>
      <c r="C4109" t="s">
        <v>30</v>
      </c>
      <c r="D4109" t="s">
        <v>32</v>
      </c>
      <c r="E4109">
        <v>8200000</v>
      </c>
      <c r="F4109">
        <v>17500000</v>
      </c>
      <c r="G4109">
        <v>4</v>
      </c>
      <c r="H4109">
        <v>609</v>
      </c>
      <c r="I4109">
        <v>4500000</v>
      </c>
      <c r="J4109">
        <v>5600000</v>
      </c>
      <c r="K4109">
        <v>24100000</v>
      </c>
      <c r="L4109">
        <v>7700000</v>
      </c>
      <c r="M4109" t="s">
        <v>34</v>
      </c>
      <c r="N4109">
        <f t="shared" si="385"/>
        <v>1</v>
      </c>
      <c r="O4109" t="str">
        <f t="shared" si="384"/>
        <v>Low</v>
      </c>
      <c r="P4109" t="str">
        <f t="shared" si="386"/>
        <v>High</v>
      </c>
      <c r="Q4109" t="str">
        <f t="shared" si="387"/>
        <v>Low Loan</v>
      </c>
      <c r="R4109">
        <f t="shared" si="388"/>
        <v>41900000</v>
      </c>
      <c r="S4109" t="str">
        <f t="shared" si="389"/>
        <v>Strong</v>
      </c>
    </row>
    <row r="4110" spans="1:19" x14ac:dyDescent="0.25">
      <c r="A4110">
        <v>4109</v>
      </c>
      <c r="B4110">
        <v>3</v>
      </c>
      <c r="C4110" t="s">
        <v>31</v>
      </c>
      <c r="D4110" t="s">
        <v>33</v>
      </c>
      <c r="E4110">
        <v>9200000</v>
      </c>
      <c r="F4110">
        <v>23200000</v>
      </c>
      <c r="G4110">
        <v>8</v>
      </c>
      <c r="H4110">
        <v>380</v>
      </c>
      <c r="I4110">
        <v>13100000</v>
      </c>
      <c r="J4110">
        <v>15500000</v>
      </c>
      <c r="K4110">
        <v>18900000</v>
      </c>
      <c r="L4110">
        <v>6100000</v>
      </c>
      <c r="M4110" t="s">
        <v>35</v>
      </c>
      <c r="N4110">
        <f t="shared" si="385"/>
        <v>0</v>
      </c>
      <c r="O4110" t="str">
        <f t="shared" si="384"/>
        <v>Low</v>
      </c>
      <c r="P4110" t="str">
        <f t="shared" si="386"/>
        <v>High</v>
      </c>
      <c r="Q4110" t="str">
        <f t="shared" si="387"/>
        <v>High Loan</v>
      </c>
      <c r="R4110">
        <f t="shared" si="388"/>
        <v>53600000</v>
      </c>
      <c r="S4110" t="str">
        <f t="shared" si="389"/>
        <v>Strong</v>
      </c>
    </row>
    <row r="4111" spans="1:19" x14ac:dyDescent="0.25">
      <c r="A4111">
        <v>4110</v>
      </c>
      <c r="B4111">
        <v>3</v>
      </c>
      <c r="C4111" t="s">
        <v>30</v>
      </c>
      <c r="D4111" t="s">
        <v>32</v>
      </c>
      <c r="E4111">
        <v>3800000</v>
      </c>
      <c r="F4111">
        <v>12100000</v>
      </c>
      <c r="G4111">
        <v>20</v>
      </c>
      <c r="H4111">
        <v>364</v>
      </c>
      <c r="I4111">
        <v>4100000</v>
      </c>
      <c r="J4111">
        <v>5100000</v>
      </c>
      <c r="K4111">
        <v>11600000</v>
      </c>
      <c r="L4111">
        <v>3000000</v>
      </c>
      <c r="M4111" t="s">
        <v>35</v>
      </c>
      <c r="N4111">
        <f t="shared" si="385"/>
        <v>0</v>
      </c>
      <c r="O4111" t="str">
        <f t="shared" si="384"/>
        <v>Low</v>
      </c>
      <c r="P4111" t="str">
        <f t="shared" si="386"/>
        <v>High</v>
      </c>
      <c r="Q4111" t="str">
        <f t="shared" si="387"/>
        <v>Low Loan</v>
      </c>
      <c r="R4111">
        <f t="shared" si="388"/>
        <v>23800000</v>
      </c>
      <c r="S4111" t="str">
        <f t="shared" si="389"/>
        <v>Strong</v>
      </c>
    </row>
    <row r="4112" spans="1:19" x14ac:dyDescent="0.25">
      <c r="A4112">
        <v>4111</v>
      </c>
      <c r="B4112">
        <v>1</v>
      </c>
      <c r="C4112" t="s">
        <v>30</v>
      </c>
      <c r="D4112" t="s">
        <v>32</v>
      </c>
      <c r="E4112">
        <v>3200000</v>
      </c>
      <c r="F4112">
        <v>8900000</v>
      </c>
      <c r="G4112">
        <v>12</v>
      </c>
      <c r="H4112">
        <v>866</v>
      </c>
      <c r="I4112">
        <v>5100000</v>
      </c>
      <c r="J4112">
        <v>700000</v>
      </c>
      <c r="K4112">
        <v>9900000</v>
      </c>
      <c r="L4112">
        <v>2400000</v>
      </c>
      <c r="M4112" t="s">
        <v>34</v>
      </c>
      <c r="N4112">
        <f t="shared" si="385"/>
        <v>1</v>
      </c>
      <c r="O4112" t="str">
        <f t="shared" si="384"/>
        <v>Excellent</v>
      </c>
      <c r="P4112" t="str">
        <f t="shared" si="386"/>
        <v>High</v>
      </c>
      <c r="Q4112" t="str">
        <f t="shared" si="387"/>
        <v>Low Loan</v>
      </c>
      <c r="R4112">
        <f t="shared" si="388"/>
        <v>18100000</v>
      </c>
      <c r="S4112" t="str">
        <f t="shared" si="389"/>
        <v>Strong</v>
      </c>
    </row>
    <row r="4113" spans="1:19" x14ac:dyDescent="0.25">
      <c r="A4113">
        <v>4112</v>
      </c>
      <c r="B4113">
        <v>4</v>
      </c>
      <c r="C4113" t="s">
        <v>31</v>
      </c>
      <c r="D4113" t="s">
        <v>32</v>
      </c>
      <c r="E4113">
        <v>9700000</v>
      </c>
      <c r="F4113">
        <v>31700000</v>
      </c>
      <c r="G4113">
        <v>10</v>
      </c>
      <c r="H4113">
        <v>342</v>
      </c>
      <c r="I4113">
        <v>700000</v>
      </c>
      <c r="J4113">
        <v>100000</v>
      </c>
      <c r="K4113">
        <v>36700000</v>
      </c>
      <c r="L4113">
        <v>12000000</v>
      </c>
      <c r="M4113" t="s">
        <v>35</v>
      </c>
      <c r="N4113">
        <f t="shared" si="385"/>
        <v>0</v>
      </c>
      <c r="O4113" t="str">
        <f t="shared" si="384"/>
        <v>Low</v>
      </c>
      <c r="P4113" t="str">
        <f t="shared" si="386"/>
        <v>High</v>
      </c>
      <c r="Q4113" t="str">
        <f t="shared" si="387"/>
        <v>High Loan</v>
      </c>
      <c r="R4113">
        <f t="shared" si="388"/>
        <v>49500000</v>
      </c>
      <c r="S4113" t="str">
        <f t="shared" si="389"/>
        <v>Strong</v>
      </c>
    </row>
    <row r="4114" spans="1:19" x14ac:dyDescent="0.25">
      <c r="A4114">
        <v>4113</v>
      </c>
      <c r="B4114">
        <v>5</v>
      </c>
      <c r="C4114" t="s">
        <v>30</v>
      </c>
      <c r="D4114" t="s">
        <v>32</v>
      </c>
      <c r="E4114">
        <v>4700000</v>
      </c>
      <c r="F4114">
        <v>14400000</v>
      </c>
      <c r="G4114">
        <v>16</v>
      </c>
      <c r="H4114">
        <v>884</v>
      </c>
      <c r="I4114">
        <v>9900000</v>
      </c>
      <c r="J4114">
        <v>4400000</v>
      </c>
      <c r="K4114">
        <v>9300000</v>
      </c>
      <c r="L4114">
        <v>3800000</v>
      </c>
      <c r="M4114" t="s">
        <v>34</v>
      </c>
      <c r="N4114">
        <f t="shared" si="385"/>
        <v>1</v>
      </c>
      <c r="O4114" t="str">
        <f t="shared" si="384"/>
        <v>Excellent</v>
      </c>
      <c r="P4114" t="str">
        <f t="shared" si="386"/>
        <v>High</v>
      </c>
      <c r="Q4114" t="str">
        <f t="shared" si="387"/>
        <v>Low Loan</v>
      </c>
      <c r="R4114">
        <f t="shared" si="388"/>
        <v>27400000</v>
      </c>
      <c r="S4114" t="str">
        <f t="shared" si="389"/>
        <v>Strong</v>
      </c>
    </row>
    <row r="4115" spans="1:19" x14ac:dyDescent="0.25">
      <c r="A4115">
        <v>4114</v>
      </c>
      <c r="B4115">
        <v>4</v>
      </c>
      <c r="C4115" t="s">
        <v>30</v>
      </c>
      <c r="D4115" t="s">
        <v>33</v>
      </c>
      <c r="E4115">
        <v>3800000</v>
      </c>
      <c r="F4115">
        <v>12500000</v>
      </c>
      <c r="G4115">
        <v>18</v>
      </c>
      <c r="H4115">
        <v>859</v>
      </c>
      <c r="I4115">
        <v>3900000</v>
      </c>
      <c r="J4115">
        <v>4600000</v>
      </c>
      <c r="K4115">
        <v>8200000</v>
      </c>
      <c r="L4115">
        <v>2700000</v>
      </c>
      <c r="M4115" t="s">
        <v>34</v>
      </c>
      <c r="N4115">
        <f t="shared" si="385"/>
        <v>1</v>
      </c>
      <c r="O4115" t="str">
        <f t="shared" si="384"/>
        <v>Excellent</v>
      </c>
      <c r="P4115" t="str">
        <f t="shared" si="386"/>
        <v>High</v>
      </c>
      <c r="Q4115" t="str">
        <f t="shared" si="387"/>
        <v>Low Loan</v>
      </c>
      <c r="R4115">
        <f t="shared" si="388"/>
        <v>19400000</v>
      </c>
      <c r="S4115" t="str">
        <f t="shared" si="389"/>
        <v>Strong</v>
      </c>
    </row>
    <row r="4116" spans="1:19" x14ac:dyDescent="0.25">
      <c r="A4116">
        <v>4115</v>
      </c>
      <c r="B4116">
        <v>4</v>
      </c>
      <c r="C4116" t="s">
        <v>30</v>
      </c>
      <c r="D4116" t="s">
        <v>32</v>
      </c>
      <c r="E4116">
        <v>400000</v>
      </c>
      <c r="F4116">
        <v>1000000</v>
      </c>
      <c r="G4116">
        <v>20</v>
      </c>
      <c r="H4116">
        <v>692</v>
      </c>
      <c r="I4116">
        <v>500000</v>
      </c>
      <c r="J4116">
        <v>400000</v>
      </c>
      <c r="K4116">
        <v>1600000</v>
      </c>
      <c r="L4116">
        <v>200000</v>
      </c>
      <c r="M4116" t="s">
        <v>34</v>
      </c>
      <c r="N4116">
        <f t="shared" si="385"/>
        <v>1</v>
      </c>
      <c r="O4116" t="str">
        <f t="shared" si="384"/>
        <v>Medium</v>
      </c>
      <c r="P4116" t="str">
        <f t="shared" si="386"/>
        <v>Middle</v>
      </c>
      <c r="Q4116" t="str">
        <f t="shared" si="387"/>
        <v>Low Loan</v>
      </c>
      <c r="R4116">
        <f t="shared" si="388"/>
        <v>2700000</v>
      </c>
      <c r="S4116" t="str">
        <f t="shared" si="389"/>
        <v>Weak</v>
      </c>
    </row>
    <row r="4117" spans="1:19" x14ac:dyDescent="0.25">
      <c r="A4117">
        <v>4116</v>
      </c>
      <c r="B4117">
        <v>4</v>
      </c>
      <c r="C4117" t="s">
        <v>31</v>
      </c>
      <c r="D4117" t="s">
        <v>33</v>
      </c>
      <c r="E4117">
        <v>3200000</v>
      </c>
      <c r="F4117">
        <v>6800000</v>
      </c>
      <c r="G4117">
        <v>16</v>
      </c>
      <c r="H4117">
        <v>675</v>
      </c>
      <c r="I4117">
        <v>8000000</v>
      </c>
      <c r="J4117">
        <v>1900000</v>
      </c>
      <c r="K4117">
        <v>6800000</v>
      </c>
      <c r="L4117">
        <v>4000000</v>
      </c>
      <c r="M4117" t="s">
        <v>34</v>
      </c>
      <c r="N4117">
        <f t="shared" si="385"/>
        <v>1</v>
      </c>
      <c r="O4117" t="str">
        <f t="shared" si="384"/>
        <v>Medium</v>
      </c>
      <c r="P4117" t="str">
        <f t="shared" si="386"/>
        <v>High</v>
      </c>
      <c r="Q4117" t="str">
        <f t="shared" si="387"/>
        <v>Low Loan</v>
      </c>
      <c r="R4117">
        <f t="shared" si="388"/>
        <v>20700000</v>
      </c>
      <c r="S4117" t="str">
        <f t="shared" si="389"/>
        <v>Strong</v>
      </c>
    </row>
    <row r="4118" spans="1:19" x14ac:dyDescent="0.25">
      <c r="A4118">
        <v>4117</v>
      </c>
      <c r="B4118">
        <v>5</v>
      </c>
      <c r="C4118" t="s">
        <v>30</v>
      </c>
      <c r="D4118" t="s">
        <v>33</v>
      </c>
      <c r="E4118">
        <v>3900000</v>
      </c>
      <c r="F4118">
        <v>12700000</v>
      </c>
      <c r="G4118">
        <v>8</v>
      </c>
      <c r="H4118">
        <v>886</v>
      </c>
      <c r="I4118">
        <v>3500000</v>
      </c>
      <c r="J4118">
        <v>5800000</v>
      </c>
      <c r="K4118">
        <v>14900000</v>
      </c>
      <c r="L4118">
        <v>5400000</v>
      </c>
      <c r="M4118" t="s">
        <v>34</v>
      </c>
      <c r="N4118">
        <f t="shared" si="385"/>
        <v>1</v>
      </c>
      <c r="O4118" t="str">
        <f t="shared" si="384"/>
        <v>Excellent</v>
      </c>
      <c r="P4118" t="str">
        <f t="shared" si="386"/>
        <v>High</v>
      </c>
      <c r="Q4118" t="str">
        <f t="shared" si="387"/>
        <v>Low Loan</v>
      </c>
      <c r="R4118">
        <f t="shared" si="388"/>
        <v>29600000</v>
      </c>
      <c r="S4118" t="str">
        <f t="shared" si="389"/>
        <v>Strong</v>
      </c>
    </row>
    <row r="4119" spans="1:19" x14ac:dyDescent="0.25">
      <c r="A4119">
        <v>4118</v>
      </c>
      <c r="B4119">
        <v>1</v>
      </c>
      <c r="C4119" t="s">
        <v>30</v>
      </c>
      <c r="D4119" t="s">
        <v>33</v>
      </c>
      <c r="E4119">
        <v>3500000</v>
      </c>
      <c r="F4119">
        <v>13100000</v>
      </c>
      <c r="G4119">
        <v>10</v>
      </c>
      <c r="H4119">
        <v>477</v>
      </c>
      <c r="I4119">
        <v>3200000</v>
      </c>
      <c r="J4119">
        <v>6200000</v>
      </c>
      <c r="K4119">
        <v>7500000</v>
      </c>
      <c r="L4119">
        <v>3100000</v>
      </c>
      <c r="M4119" t="s">
        <v>35</v>
      </c>
      <c r="N4119">
        <f t="shared" si="385"/>
        <v>0</v>
      </c>
      <c r="O4119" t="str">
        <f t="shared" si="384"/>
        <v>Low</v>
      </c>
      <c r="P4119" t="str">
        <f t="shared" si="386"/>
        <v>High</v>
      </c>
      <c r="Q4119" t="str">
        <f t="shared" si="387"/>
        <v>Low Loan</v>
      </c>
      <c r="R4119">
        <f t="shared" si="388"/>
        <v>20000000</v>
      </c>
      <c r="S4119" t="str">
        <f t="shared" si="389"/>
        <v>Strong</v>
      </c>
    </row>
    <row r="4120" spans="1:19" x14ac:dyDescent="0.25">
      <c r="A4120">
        <v>4119</v>
      </c>
      <c r="B4120">
        <v>2</v>
      </c>
      <c r="C4120" t="s">
        <v>30</v>
      </c>
      <c r="D4120" t="s">
        <v>32</v>
      </c>
      <c r="E4120">
        <v>2200000</v>
      </c>
      <c r="F4120">
        <v>8300000</v>
      </c>
      <c r="G4120">
        <v>6</v>
      </c>
      <c r="H4120">
        <v>596</v>
      </c>
      <c r="I4120">
        <v>4700000</v>
      </c>
      <c r="J4120">
        <v>3000000</v>
      </c>
      <c r="K4120">
        <v>8500000</v>
      </c>
      <c r="L4120">
        <v>1800000</v>
      </c>
      <c r="M4120" t="s">
        <v>34</v>
      </c>
      <c r="N4120">
        <f t="shared" si="385"/>
        <v>1</v>
      </c>
      <c r="O4120" t="str">
        <f t="shared" si="384"/>
        <v>Low</v>
      </c>
      <c r="P4120" t="str">
        <f t="shared" si="386"/>
        <v>High</v>
      </c>
      <c r="Q4120" t="str">
        <f t="shared" si="387"/>
        <v>Low Loan</v>
      </c>
      <c r="R4120">
        <f t="shared" si="388"/>
        <v>18000000</v>
      </c>
      <c r="S4120" t="str">
        <f t="shared" si="389"/>
        <v>Strong</v>
      </c>
    </row>
    <row r="4121" spans="1:19" x14ac:dyDescent="0.25">
      <c r="A4121">
        <v>4120</v>
      </c>
      <c r="B4121">
        <v>4</v>
      </c>
      <c r="C4121" t="s">
        <v>31</v>
      </c>
      <c r="D4121" t="s">
        <v>32</v>
      </c>
      <c r="E4121">
        <v>6400000</v>
      </c>
      <c r="F4121">
        <v>19700000</v>
      </c>
      <c r="G4121">
        <v>20</v>
      </c>
      <c r="H4121">
        <v>400</v>
      </c>
      <c r="I4121">
        <v>2300000</v>
      </c>
      <c r="J4121">
        <v>6100000</v>
      </c>
      <c r="K4121">
        <v>20100000</v>
      </c>
      <c r="L4121">
        <v>6200000</v>
      </c>
      <c r="M4121" t="s">
        <v>35</v>
      </c>
      <c r="N4121">
        <f t="shared" si="385"/>
        <v>0</v>
      </c>
      <c r="O4121" t="str">
        <f t="shared" si="384"/>
        <v>Low</v>
      </c>
      <c r="P4121" t="str">
        <f t="shared" si="386"/>
        <v>High</v>
      </c>
      <c r="Q4121" t="str">
        <f t="shared" si="387"/>
        <v>Low Loan</v>
      </c>
      <c r="R4121">
        <f t="shared" si="388"/>
        <v>34700000</v>
      </c>
      <c r="S4121" t="str">
        <f t="shared" si="389"/>
        <v>Strong</v>
      </c>
    </row>
    <row r="4122" spans="1:19" x14ac:dyDescent="0.25">
      <c r="A4122">
        <v>4121</v>
      </c>
      <c r="B4122">
        <v>3</v>
      </c>
      <c r="C4122" t="s">
        <v>30</v>
      </c>
      <c r="D4122" t="s">
        <v>32</v>
      </c>
      <c r="E4122">
        <v>9100000</v>
      </c>
      <c r="F4122">
        <v>19900000</v>
      </c>
      <c r="G4122">
        <v>2</v>
      </c>
      <c r="H4122">
        <v>711</v>
      </c>
      <c r="I4122">
        <v>2200000</v>
      </c>
      <c r="J4122">
        <v>17900000</v>
      </c>
      <c r="K4122">
        <v>24300000</v>
      </c>
      <c r="L4122">
        <v>13000000</v>
      </c>
      <c r="M4122" t="s">
        <v>34</v>
      </c>
      <c r="N4122">
        <f t="shared" si="385"/>
        <v>1</v>
      </c>
      <c r="O4122" t="str">
        <f t="shared" si="384"/>
        <v>Good</v>
      </c>
      <c r="P4122" t="str">
        <f t="shared" si="386"/>
        <v>High</v>
      </c>
      <c r="Q4122" t="str">
        <f t="shared" si="387"/>
        <v>Low Loan</v>
      </c>
      <c r="R4122">
        <f t="shared" si="388"/>
        <v>57400000</v>
      </c>
      <c r="S4122" t="str">
        <f t="shared" si="389"/>
        <v>Strong</v>
      </c>
    </row>
    <row r="4123" spans="1:19" x14ac:dyDescent="0.25">
      <c r="A4123">
        <v>4122</v>
      </c>
      <c r="B4123">
        <v>0</v>
      </c>
      <c r="C4123" t="s">
        <v>31</v>
      </c>
      <c r="D4123" t="s">
        <v>33</v>
      </c>
      <c r="E4123">
        <v>3300000</v>
      </c>
      <c r="F4123">
        <v>8900000</v>
      </c>
      <c r="G4123">
        <v>2</v>
      </c>
      <c r="H4123">
        <v>418</v>
      </c>
      <c r="I4123">
        <v>4200000</v>
      </c>
      <c r="J4123">
        <v>6000000</v>
      </c>
      <c r="K4123">
        <v>9300000</v>
      </c>
      <c r="L4123">
        <v>3700000</v>
      </c>
      <c r="M4123" t="s">
        <v>35</v>
      </c>
      <c r="N4123">
        <f t="shared" si="385"/>
        <v>0</v>
      </c>
      <c r="O4123" t="str">
        <f t="shared" si="384"/>
        <v>Low</v>
      </c>
      <c r="P4123" t="str">
        <f t="shared" si="386"/>
        <v>High</v>
      </c>
      <c r="Q4123" t="str">
        <f t="shared" si="387"/>
        <v>Low Loan</v>
      </c>
      <c r="R4123">
        <f t="shared" si="388"/>
        <v>23200000</v>
      </c>
      <c r="S4123" t="str">
        <f t="shared" si="389"/>
        <v>Strong</v>
      </c>
    </row>
    <row r="4124" spans="1:19" x14ac:dyDescent="0.25">
      <c r="A4124">
        <v>4123</v>
      </c>
      <c r="B4124">
        <v>3</v>
      </c>
      <c r="C4124" t="s">
        <v>30</v>
      </c>
      <c r="D4124" t="s">
        <v>32</v>
      </c>
      <c r="E4124">
        <v>7800000</v>
      </c>
      <c r="F4124">
        <v>21800000</v>
      </c>
      <c r="G4124">
        <v>8</v>
      </c>
      <c r="H4124">
        <v>517</v>
      </c>
      <c r="I4124">
        <v>7700000</v>
      </c>
      <c r="J4124">
        <v>5100000</v>
      </c>
      <c r="K4124">
        <v>19500000</v>
      </c>
      <c r="L4124">
        <v>9100000</v>
      </c>
      <c r="M4124" t="s">
        <v>35</v>
      </c>
      <c r="N4124">
        <f t="shared" si="385"/>
        <v>0</v>
      </c>
      <c r="O4124" t="str">
        <f t="shared" si="384"/>
        <v>Low</v>
      </c>
      <c r="P4124" t="str">
        <f t="shared" si="386"/>
        <v>High</v>
      </c>
      <c r="Q4124" t="str">
        <f t="shared" si="387"/>
        <v>High Loan</v>
      </c>
      <c r="R4124">
        <f t="shared" si="388"/>
        <v>41400000</v>
      </c>
      <c r="S4124" t="str">
        <f t="shared" si="389"/>
        <v>Strong</v>
      </c>
    </row>
    <row r="4125" spans="1:19" x14ac:dyDescent="0.25">
      <c r="A4125">
        <v>4124</v>
      </c>
      <c r="B4125">
        <v>0</v>
      </c>
      <c r="C4125" t="s">
        <v>31</v>
      </c>
      <c r="D4125" t="s">
        <v>33</v>
      </c>
      <c r="E4125">
        <v>6200000</v>
      </c>
      <c r="F4125">
        <v>16200000</v>
      </c>
      <c r="G4125">
        <v>6</v>
      </c>
      <c r="H4125">
        <v>508</v>
      </c>
      <c r="I4125">
        <v>5600000</v>
      </c>
      <c r="J4125">
        <v>5700000</v>
      </c>
      <c r="K4125">
        <v>21500000</v>
      </c>
      <c r="L4125">
        <v>3600000</v>
      </c>
      <c r="M4125" t="s">
        <v>35</v>
      </c>
      <c r="N4125">
        <f t="shared" si="385"/>
        <v>0</v>
      </c>
      <c r="O4125" t="str">
        <f t="shared" si="384"/>
        <v>Low</v>
      </c>
      <c r="P4125" t="str">
        <f t="shared" si="386"/>
        <v>High</v>
      </c>
      <c r="Q4125" t="str">
        <f t="shared" si="387"/>
        <v>Low Loan</v>
      </c>
      <c r="R4125">
        <f t="shared" si="388"/>
        <v>36400000</v>
      </c>
      <c r="S4125" t="str">
        <f t="shared" si="389"/>
        <v>Strong</v>
      </c>
    </row>
    <row r="4126" spans="1:19" x14ac:dyDescent="0.25">
      <c r="A4126">
        <v>4125</v>
      </c>
      <c r="B4126">
        <v>3</v>
      </c>
      <c r="C4126" t="s">
        <v>31</v>
      </c>
      <c r="D4126" t="s">
        <v>33</v>
      </c>
      <c r="E4126">
        <v>7000000</v>
      </c>
      <c r="F4126">
        <v>26100000</v>
      </c>
      <c r="G4126">
        <v>18</v>
      </c>
      <c r="H4126">
        <v>689</v>
      </c>
      <c r="I4126">
        <v>17200000</v>
      </c>
      <c r="J4126">
        <v>5700000</v>
      </c>
      <c r="K4126">
        <v>20500000</v>
      </c>
      <c r="L4126">
        <v>5900000</v>
      </c>
      <c r="M4126" t="s">
        <v>34</v>
      </c>
      <c r="N4126">
        <f t="shared" si="385"/>
        <v>1</v>
      </c>
      <c r="O4126" t="str">
        <f t="shared" si="384"/>
        <v>Medium</v>
      </c>
      <c r="P4126" t="str">
        <f t="shared" si="386"/>
        <v>High</v>
      </c>
      <c r="Q4126" t="str">
        <f t="shared" si="387"/>
        <v>High Loan</v>
      </c>
      <c r="R4126">
        <f t="shared" si="388"/>
        <v>49300000</v>
      </c>
      <c r="S4126" t="str">
        <f t="shared" si="389"/>
        <v>Strong</v>
      </c>
    </row>
    <row r="4127" spans="1:19" x14ac:dyDescent="0.25">
      <c r="A4127">
        <v>4126</v>
      </c>
      <c r="B4127">
        <v>0</v>
      </c>
      <c r="C4127" t="s">
        <v>30</v>
      </c>
      <c r="D4127" t="s">
        <v>32</v>
      </c>
      <c r="E4127">
        <v>9200000</v>
      </c>
      <c r="F4127">
        <v>28200000</v>
      </c>
      <c r="G4127">
        <v>12</v>
      </c>
      <c r="H4127">
        <v>455</v>
      </c>
      <c r="I4127">
        <v>19200000</v>
      </c>
      <c r="J4127">
        <v>6400000</v>
      </c>
      <c r="K4127">
        <v>34700000</v>
      </c>
      <c r="L4127">
        <v>5900000</v>
      </c>
      <c r="M4127" t="s">
        <v>35</v>
      </c>
      <c r="N4127">
        <f t="shared" si="385"/>
        <v>0</v>
      </c>
      <c r="O4127" t="str">
        <f t="shared" si="384"/>
        <v>Low</v>
      </c>
      <c r="P4127" t="str">
        <f t="shared" si="386"/>
        <v>High</v>
      </c>
      <c r="Q4127" t="str">
        <f t="shared" si="387"/>
        <v>High Loan</v>
      </c>
      <c r="R4127">
        <f t="shared" si="388"/>
        <v>66200000</v>
      </c>
      <c r="S4127" t="str">
        <f t="shared" si="389"/>
        <v>Strong</v>
      </c>
    </row>
    <row r="4128" spans="1:19" x14ac:dyDescent="0.25">
      <c r="A4128">
        <v>4127</v>
      </c>
      <c r="B4128">
        <v>5</v>
      </c>
      <c r="C4128" t="s">
        <v>31</v>
      </c>
      <c r="D4128" t="s">
        <v>33</v>
      </c>
      <c r="E4128">
        <v>7500000</v>
      </c>
      <c r="F4128">
        <v>20800000</v>
      </c>
      <c r="G4128">
        <v>6</v>
      </c>
      <c r="H4128">
        <v>617</v>
      </c>
      <c r="I4128">
        <v>100000</v>
      </c>
      <c r="J4128">
        <v>14200000</v>
      </c>
      <c r="K4128">
        <v>19300000</v>
      </c>
      <c r="L4128">
        <v>8200000</v>
      </c>
      <c r="M4128" t="s">
        <v>34</v>
      </c>
      <c r="N4128">
        <f t="shared" si="385"/>
        <v>1</v>
      </c>
      <c r="O4128" t="str">
        <f t="shared" si="384"/>
        <v>Low</v>
      </c>
      <c r="P4128" t="str">
        <f t="shared" si="386"/>
        <v>High</v>
      </c>
      <c r="Q4128" t="str">
        <f t="shared" si="387"/>
        <v>High Loan</v>
      </c>
      <c r="R4128">
        <f t="shared" si="388"/>
        <v>41800000</v>
      </c>
      <c r="S4128" t="str">
        <f t="shared" si="389"/>
        <v>Strong</v>
      </c>
    </row>
    <row r="4129" spans="1:19" x14ac:dyDescent="0.25">
      <c r="A4129">
        <v>4128</v>
      </c>
      <c r="B4129">
        <v>2</v>
      </c>
      <c r="C4129" t="s">
        <v>30</v>
      </c>
      <c r="D4129" t="s">
        <v>32</v>
      </c>
      <c r="E4129">
        <v>5300000</v>
      </c>
      <c r="F4129">
        <v>13200000</v>
      </c>
      <c r="G4129">
        <v>10</v>
      </c>
      <c r="H4129">
        <v>500</v>
      </c>
      <c r="I4129">
        <v>4700000</v>
      </c>
      <c r="J4129">
        <v>9800000</v>
      </c>
      <c r="K4129">
        <v>20400000</v>
      </c>
      <c r="L4129">
        <v>2900000</v>
      </c>
      <c r="M4129" t="s">
        <v>35</v>
      </c>
      <c r="N4129">
        <f t="shared" si="385"/>
        <v>0</v>
      </c>
      <c r="O4129" t="str">
        <f t="shared" si="384"/>
        <v>Low</v>
      </c>
      <c r="P4129" t="str">
        <f t="shared" si="386"/>
        <v>High</v>
      </c>
      <c r="Q4129" t="str">
        <f t="shared" si="387"/>
        <v>Low Loan</v>
      </c>
      <c r="R4129">
        <f t="shared" si="388"/>
        <v>37800000</v>
      </c>
      <c r="S4129" t="str">
        <f t="shared" si="389"/>
        <v>Strong</v>
      </c>
    </row>
    <row r="4130" spans="1:19" x14ac:dyDescent="0.25">
      <c r="A4130">
        <v>4129</v>
      </c>
      <c r="B4130">
        <v>5</v>
      </c>
      <c r="C4130" t="s">
        <v>31</v>
      </c>
      <c r="D4130" t="s">
        <v>33</v>
      </c>
      <c r="E4130">
        <v>6800000</v>
      </c>
      <c r="F4130">
        <v>22800000</v>
      </c>
      <c r="G4130">
        <v>14</v>
      </c>
      <c r="H4130">
        <v>382</v>
      </c>
      <c r="I4130">
        <v>17600000</v>
      </c>
      <c r="J4130">
        <v>700000</v>
      </c>
      <c r="K4130">
        <v>21700000</v>
      </c>
      <c r="L4130">
        <v>5800000</v>
      </c>
      <c r="M4130" t="s">
        <v>35</v>
      </c>
      <c r="N4130">
        <f t="shared" si="385"/>
        <v>0</v>
      </c>
      <c r="O4130" t="str">
        <f t="shared" si="384"/>
        <v>Low</v>
      </c>
      <c r="P4130" t="str">
        <f t="shared" si="386"/>
        <v>High</v>
      </c>
      <c r="Q4130" t="str">
        <f t="shared" si="387"/>
        <v>High Loan</v>
      </c>
      <c r="R4130">
        <f t="shared" si="388"/>
        <v>45800000</v>
      </c>
      <c r="S4130" t="str">
        <f t="shared" si="389"/>
        <v>Strong</v>
      </c>
    </row>
    <row r="4131" spans="1:19" x14ac:dyDescent="0.25">
      <c r="A4131">
        <v>4130</v>
      </c>
      <c r="B4131">
        <v>1</v>
      </c>
      <c r="C4131" t="s">
        <v>31</v>
      </c>
      <c r="D4131" t="s">
        <v>32</v>
      </c>
      <c r="E4131">
        <v>7900000</v>
      </c>
      <c r="F4131">
        <v>20800000</v>
      </c>
      <c r="G4131">
        <v>18</v>
      </c>
      <c r="H4131">
        <v>538</v>
      </c>
      <c r="I4131">
        <v>10000000</v>
      </c>
      <c r="J4131">
        <v>9700000</v>
      </c>
      <c r="K4131">
        <v>29900000</v>
      </c>
      <c r="L4131">
        <v>10600000</v>
      </c>
      <c r="M4131" t="s">
        <v>35</v>
      </c>
      <c r="N4131">
        <f t="shared" si="385"/>
        <v>0</v>
      </c>
      <c r="O4131" t="str">
        <f t="shared" si="384"/>
        <v>Low</v>
      </c>
      <c r="P4131" t="str">
        <f t="shared" si="386"/>
        <v>High</v>
      </c>
      <c r="Q4131" t="str">
        <f t="shared" si="387"/>
        <v>High Loan</v>
      </c>
      <c r="R4131">
        <f t="shared" si="388"/>
        <v>60200000</v>
      </c>
      <c r="S4131" t="str">
        <f t="shared" si="389"/>
        <v>Strong</v>
      </c>
    </row>
    <row r="4132" spans="1:19" x14ac:dyDescent="0.25">
      <c r="A4132">
        <v>4131</v>
      </c>
      <c r="B4132">
        <v>0</v>
      </c>
      <c r="C4132" t="s">
        <v>31</v>
      </c>
      <c r="D4132" t="s">
        <v>33</v>
      </c>
      <c r="E4132">
        <v>6200000</v>
      </c>
      <c r="F4132">
        <v>14900000</v>
      </c>
      <c r="G4132">
        <v>8</v>
      </c>
      <c r="H4132">
        <v>855</v>
      </c>
      <c r="I4132">
        <v>-100000</v>
      </c>
      <c r="J4132">
        <v>7200000</v>
      </c>
      <c r="K4132">
        <v>14200000</v>
      </c>
      <c r="L4132">
        <v>8200000</v>
      </c>
      <c r="M4132" t="s">
        <v>34</v>
      </c>
      <c r="N4132">
        <f t="shared" si="385"/>
        <v>1</v>
      </c>
      <c r="O4132" t="str">
        <f t="shared" si="384"/>
        <v>Excellent</v>
      </c>
      <c r="P4132" t="str">
        <f t="shared" si="386"/>
        <v>High</v>
      </c>
      <c r="Q4132" t="str">
        <f t="shared" si="387"/>
        <v>Low Loan</v>
      </c>
      <c r="R4132">
        <f t="shared" si="388"/>
        <v>29500000</v>
      </c>
      <c r="S4132" t="str">
        <f t="shared" si="389"/>
        <v>Strong</v>
      </c>
    </row>
    <row r="4133" spans="1:19" x14ac:dyDescent="0.25">
      <c r="A4133">
        <v>4132</v>
      </c>
      <c r="B4133">
        <v>1</v>
      </c>
      <c r="C4133" t="s">
        <v>30</v>
      </c>
      <c r="D4133" t="s">
        <v>32</v>
      </c>
      <c r="E4133">
        <v>1000000</v>
      </c>
      <c r="F4133">
        <v>3000000</v>
      </c>
      <c r="G4133">
        <v>18</v>
      </c>
      <c r="H4133">
        <v>614</v>
      </c>
      <c r="I4133">
        <v>1800000</v>
      </c>
      <c r="J4133">
        <v>1700000</v>
      </c>
      <c r="K4133">
        <v>3700000</v>
      </c>
      <c r="L4133">
        <v>700000</v>
      </c>
      <c r="M4133" t="s">
        <v>34</v>
      </c>
      <c r="N4133">
        <f t="shared" si="385"/>
        <v>1</v>
      </c>
      <c r="O4133" t="str">
        <f t="shared" si="384"/>
        <v>Low</v>
      </c>
      <c r="P4133" t="str">
        <f t="shared" si="386"/>
        <v>High</v>
      </c>
      <c r="Q4133" t="str">
        <f t="shared" si="387"/>
        <v>Low Loan</v>
      </c>
      <c r="R4133">
        <f t="shared" si="388"/>
        <v>7900000</v>
      </c>
      <c r="S4133" t="str">
        <f t="shared" si="389"/>
        <v>Moderate</v>
      </c>
    </row>
    <row r="4134" spans="1:19" x14ac:dyDescent="0.25">
      <c r="A4134">
        <v>4133</v>
      </c>
      <c r="B4134">
        <v>2</v>
      </c>
      <c r="C4134" t="s">
        <v>30</v>
      </c>
      <c r="D4134" t="s">
        <v>33</v>
      </c>
      <c r="E4134">
        <v>7800000</v>
      </c>
      <c r="F4134">
        <v>25400000</v>
      </c>
      <c r="G4134">
        <v>10</v>
      </c>
      <c r="H4134">
        <v>513</v>
      </c>
      <c r="I4134">
        <v>22100000</v>
      </c>
      <c r="J4134">
        <v>600000</v>
      </c>
      <c r="K4134">
        <v>23500000</v>
      </c>
      <c r="L4134">
        <v>9800000</v>
      </c>
      <c r="M4134" t="s">
        <v>35</v>
      </c>
      <c r="N4134">
        <f t="shared" si="385"/>
        <v>0</v>
      </c>
      <c r="O4134" t="str">
        <f t="shared" si="384"/>
        <v>Low</v>
      </c>
      <c r="P4134" t="str">
        <f t="shared" si="386"/>
        <v>High</v>
      </c>
      <c r="Q4134" t="str">
        <f t="shared" si="387"/>
        <v>High Loan</v>
      </c>
      <c r="R4134">
        <f t="shared" si="388"/>
        <v>56000000</v>
      </c>
      <c r="S4134" t="str">
        <f t="shared" si="389"/>
        <v>Strong</v>
      </c>
    </row>
    <row r="4135" spans="1:19" x14ac:dyDescent="0.25">
      <c r="A4135">
        <v>4134</v>
      </c>
      <c r="B4135">
        <v>5</v>
      </c>
      <c r="C4135" t="s">
        <v>30</v>
      </c>
      <c r="D4135" t="s">
        <v>33</v>
      </c>
      <c r="E4135">
        <v>3000000</v>
      </c>
      <c r="F4135">
        <v>8800000</v>
      </c>
      <c r="G4135">
        <v>14</v>
      </c>
      <c r="H4135">
        <v>402</v>
      </c>
      <c r="I4135">
        <v>5600000</v>
      </c>
      <c r="J4135">
        <v>5300000</v>
      </c>
      <c r="K4135">
        <v>8600000</v>
      </c>
      <c r="L4135">
        <v>4200000</v>
      </c>
      <c r="M4135" t="s">
        <v>35</v>
      </c>
      <c r="N4135">
        <f t="shared" si="385"/>
        <v>0</v>
      </c>
      <c r="O4135" t="str">
        <f t="shared" si="384"/>
        <v>Low</v>
      </c>
      <c r="P4135" t="str">
        <f t="shared" si="386"/>
        <v>High</v>
      </c>
      <c r="Q4135" t="str">
        <f t="shared" si="387"/>
        <v>Low Loan</v>
      </c>
      <c r="R4135">
        <f t="shared" si="388"/>
        <v>23700000</v>
      </c>
      <c r="S4135" t="str">
        <f t="shared" si="389"/>
        <v>Strong</v>
      </c>
    </row>
    <row r="4136" spans="1:19" x14ac:dyDescent="0.25">
      <c r="A4136">
        <v>4135</v>
      </c>
      <c r="B4136">
        <v>5</v>
      </c>
      <c r="C4136" t="s">
        <v>30</v>
      </c>
      <c r="D4136" t="s">
        <v>33</v>
      </c>
      <c r="E4136">
        <v>5700000</v>
      </c>
      <c r="F4136">
        <v>15000000</v>
      </c>
      <c r="G4136">
        <v>20</v>
      </c>
      <c r="H4136">
        <v>819</v>
      </c>
      <c r="I4136">
        <v>15500000</v>
      </c>
      <c r="J4136">
        <v>9800000</v>
      </c>
      <c r="K4136">
        <v>14100000</v>
      </c>
      <c r="L4136">
        <v>3400000</v>
      </c>
      <c r="M4136" t="s">
        <v>34</v>
      </c>
      <c r="N4136">
        <f t="shared" si="385"/>
        <v>1</v>
      </c>
      <c r="O4136" t="str">
        <f t="shared" si="384"/>
        <v>Excellent</v>
      </c>
      <c r="P4136" t="str">
        <f t="shared" si="386"/>
        <v>High</v>
      </c>
      <c r="Q4136" t="str">
        <f t="shared" si="387"/>
        <v>Low Loan</v>
      </c>
      <c r="R4136">
        <f t="shared" si="388"/>
        <v>42800000</v>
      </c>
      <c r="S4136" t="str">
        <f t="shared" si="389"/>
        <v>Strong</v>
      </c>
    </row>
    <row r="4137" spans="1:19" x14ac:dyDescent="0.25">
      <c r="A4137">
        <v>4136</v>
      </c>
      <c r="B4137">
        <v>4</v>
      </c>
      <c r="C4137" t="s">
        <v>31</v>
      </c>
      <c r="D4137" t="s">
        <v>32</v>
      </c>
      <c r="E4137">
        <v>6600000</v>
      </c>
      <c r="F4137">
        <v>25400000</v>
      </c>
      <c r="G4137">
        <v>12</v>
      </c>
      <c r="H4137">
        <v>622</v>
      </c>
      <c r="I4137">
        <v>9200000</v>
      </c>
      <c r="J4137">
        <v>3500000</v>
      </c>
      <c r="K4137">
        <v>19900000</v>
      </c>
      <c r="L4137">
        <v>7500000</v>
      </c>
      <c r="M4137" t="s">
        <v>34</v>
      </c>
      <c r="N4137">
        <f t="shared" si="385"/>
        <v>1</v>
      </c>
      <c r="O4137" t="str">
        <f t="shared" si="384"/>
        <v>Low</v>
      </c>
      <c r="P4137" t="str">
        <f t="shared" si="386"/>
        <v>High</v>
      </c>
      <c r="Q4137" t="str">
        <f t="shared" si="387"/>
        <v>High Loan</v>
      </c>
      <c r="R4137">
        <f t="shared" si="388"/>
        <v>40100000</v>
      </c>
      <c r="S4137" t="str">
        <f t="shared" si="389"/>
        <v>Strong</v>
      </c>
    </row>
    <row r="4138" spans="1:19" x14ac:dyDescent="0.25">
      <c r="A4138">
        <v>4137</v>
      </c>
      <c r="B4138">
        <v>4</v>
      </c>
      <c r="C4138" t="s">
        <v>30</v>
      </c>
      <c r="D4138" t="s">
        <v>33</v>
      </c>
      <c r="E4138">
        <v>7100000</v>
      </c>
      <c r="F4138">
        <v>18200000</v>
      </c>
      <c r="G4138">
        <v>4</v>
      </c>
      <c r="H4138">
        <v>790</v>
      </c>
      <c r="I4138">
        <v>2500000</v>
      </c>
      <c r="J4138">
        <v>2200000</v>
      </c>
      <c r="K4138">
        <v>25500000</v>
      </c>
      <c r="L4138">
        <v>9600000</v>
      </c>
      <c r="M4138" t="s">
        <v>34</v>
      </c>
      <c r="N4138">
        <f t="shared" si="385"/>
        <v>1</v>
      </c>
      <c r="O4138" t="str">
        <f t="shared" si="384"/>
        <v>Excellent</v>
      </c>
      <c r="P4138" t="str">
        <f t="shared" si="386"/>
        <v>High</v>
      </c>
      <c r="Q4138" t="str">
        <f t="shared" si="387"/>
        <v>Low Loan</v>
      </c>
      <c r="R4138">
        <f t="shared" si="388"/>
        <v>39800000</v>
      </c>
      <c r="S4138" t="str">
        <f t="shared" si="389"/>
        <v>Strong</v>
      </c>
    </row>
    <row r="4139" spans="1:19" x14ac:dyDescent="0.25">
      <c r="A4139">
        <v>4138</v>
      </c>
      <c r="B4139">
        <v>3</v>
      </c>
      <c r="C4139" t="s">
        <v>30</v>
      </c>
      <c r="D4139" t="s">
        <v>33</v>
      </c>
      <c r="E4139">
        <v>1300000</v>
      </c>
      <c r="F4139">
        <v>4800000</v>
      </c>
      <c r="G4139">
        <v>14</v>
      </c>
      <c r="H4139">
        <v>808</v>
      </c>
      <c r="I4139">
        <v>3100000</v>
      </c>
      <c r="J4139">
        <v>2000000</v>
      </c>
      <c r="K4139">
        <v>5100000</v>
      </c>
      <c r="L4139">
        <v>1500000</v>
      </c>
      <c r="M4139" t="s">
        <v>34</v>
      </c>
      <c r="N4139">
        <f t="shared" si="385"/>
        <v>1</v>
      </c>
      <c r="O4139" t="str">
        <f t="shared" si="384"/>
        <v>Excellent</v>
      </c>
      <c r="P4139" t="str">
        <f t="shared" si="386"/>
        <v>High</v>
      </c>
      <c r="Q4139" t="str">
        <f t="shared" si="387"/>
        <v>Low Loan</v>
      </c>
      <c r="R4139">
        <f t="shared" si="388"/>
        <v>11700000</v>
      </c>
      <c r="S4139" t="str">
        <f t="shared" si="389"/>
        <v>Strong</v>
      </c>
    </row>
    <row r="4140" spans="1:19" x14ac:dyDescent="0.25">
      <c r="A4140">
        <v>4139</v>
      </c>
      <c r="B4140">
        <v>2</v>
      </c>
      <c r="C4140" t="s">
        <v>31</v>
      </c>
      <c r="D4140" t="s">
        <v>32</v>
      </c>
      <c r="E4140">
        <v>5200000</v>
      </c>
      <c r="F4140">
        <v>16800000</v>
      </c>
      <c r="G4140">
        <v>18</v>
      </c>
      <c r="H4140">
        <v>369</v>
      </c>
      <c r="I4140">
        <v>5400000</v>
      </c>
      <c r="J4140">
        <v>8600000</v>
      </c>
      <c r="K4140">
        <v>17000000</v>
      </c>
      <c r="L4140">
        <v>6800000</v>
      </c>
      <c r="M4140" t="s">
        <v>35</v>
      </c>
      <c r="N4140">
        <f t="shared" si="385"/>
        <v>0</v>
      </c>
      <c r="O4140" t="str">
        <f t="shared" si="384"/>
        <v>Low</v>
      </c>
      <c r="P4140" t="str">
        <f t="shared" si="386"/>
        <v>High</v>
      </c>
      <c r="Q4140" t="str">
        <f t="shared" si="387"/>
        <v>Low Loan</v>
      </c>
      <c r="R4140">
        <f t="shared" si="388"/>
        <v>37800000</v>
      </c>
      <c r="S4140" t="str">
        <f t="shared" si="389"/>
        <v>Strong</v>
      </c>
    </row>
    <row r="4141" spans="1:19" x14ac:dyDescent="0.25">
      <c r="A4141">
        <v>4140</v>
      </c>
      <c r="B4141">
        <v>3</v>
      </c>
      <c r="C4141" t="s">
        <v>30</v>
      </c>
      <c r="D4141" t="s">
        <v>32</v>
      </c>
      <c r="E4141">
        <v>5600000</v>
      </c>
      <c r="F4141">
        <v>20300000</v>
      </c>
      <c r="G4141">
        <v>4</v>
      </c>
      <c r="H4141">
        <v>330</v>
      </c>
      <c r="I4141">
        <v>16100000</v>
      </c>
      <c r="J4141">
        <v>5100000</v>
      </c>
      <c r="K4141">
        <v>15300000</v>
      </c>
      <c r="L4141">
        <v>4200000</v>
      </c>
      <c r="M4141" t="s">
        <v>34</v>
      </c>
      <c r="N4141">
        <f t="shared" si="385"/>
        <v>1</v>
      </c>
      <c r="O4141" t="str">
        <f t="shared" si="384"/>
        <v>Low</v>
      </c>
      <c r="P4141" t="str">
        <f t="shared" si="386"/>
        <v>High</v>
      </c>
      <c r="Q4141" t="str">
        <f t="shared" si="387"/>
        <v>High Loan</v>
      </c>
      <c r="R4141">
        <f t="shared" si="388"/>
        <v>40700000</v>
      </c>
      <c r="S4141" t="str">
        <f t="shared" si="389"/>
        <v>Strong</v>
      </c>
    </row>
    <row r="4142" spans="1:19" x14ac:dyDescent="0.25">
      <c r="A4142">
        <v>4141</v>
      </c>
      <c r="B4142">
        <v>2</v>
      </c>
      <c r="C4142" t="s">
        <v>30</v>
      </c>
      <c r="D4142" t="s">
        <v>32</v>
      </c>
      <c r="E4142">
        <v>7100000</v>
      </c>
      <c r="F4142">
        <v>16500000</v>
      </c>
      <c r="G4142">
        <v>14</v>
      </c>
      <c r="H4142">
        <v>857</v>
      </c>
      <c r="I4142">
        <v>3700000</v>
      </c>
      <c r="J4142">
        <v>10700000</v>
      </c>
      <c r="K4142">
        <v>18500000</v>
      </c>
      <c r="L4142">
        <v>8200000</v>
      </c>
      <c r="M4142" t="s">
        <v>34</v>
      </c>
      <c r="N4142">
        <f t="shared" si="385"/>
        <v>1</v>
      </c>
      <c r="O4142" t="str">
        <f t="shared" si="384"/>
        <v>Excellent</v>
      </c>
      <c r="P4142" t="str">
        <f t="shared" si="386"/>
        <v>High</v>
      </c>
      <c r="Q4142" t="str">
        <f t="shared" si="387"/>
        <v>Low Loan</v>
      </c>
      <c r="R4142">
        <f t="shared" si="388"/>
        <v>41100000</v>
      </c>
      <c r="S4142" t="str">
        <f t="shared" si="389"/>
        <v>Strong</v>
      </c>
    </row>
    <row r="4143" spans="1:19" x14ac:dyDescent="0.25">
      <c r="A4143">
        <v>4142</v>
      </c>
      <c r="B4143">
        <v>2</v>
      </c>
      <c r="C4143" t="s">
        <v>30</v>
      </c>
      <c r="D4143" t="s">
        <v>32</v>
      </c>
      <c r="E4143">
        <v>5100000</v>
      </c>
      <c r="F4143">
        <v>19100000</v>
      </c>
      <c r="G4143">
        <v>8</v>
      </c>
      <c r="H4143">
        <v>457</v>
      </c>
      <c r="I4143">
        <v>13200000</v>
      </c>
      <c r="J4143">
        <v>5100000</v>
      </c>
      <c r="K4143">
        <v>16400000</v>
      </c>
      <c r="L4143">
        <v>7600000</v>
      </c>
      <c r="M4143" t="s">
        <v>35</v>
      </c>
      <c r="N4143">
        <f t="shared" si="385"/>
        <v>0</v>
      </c>
      <c r="O4143" t="str">
        <f t="shared" si="384"/>
        <v>Low</v>
      </c>
      <c r="P4143" t="str">
        <f t="shared" si="386"/>
        <v>High</v>
      </c>
      <c r="Q4143" t="str">
        <f t="shared" si="387"/>
        <v>Low Loan</v>
      </c>
      <c r="R4143">
        <f t="shared" si="388"/>
        <v>42300000</v>
      </c>
      <c r="S4143" t="str">
        <f t="shared" si="389"/>
        <v>Strong</v>
      </c>
    </row>
    <row r="4144" spans="1:19" x14ac:dyDescent="0.25">
      <c r="A4144">
        <v>4143</v>
      </c>
      <c r="B4144">
        <v>3</v>
      </c>
      <c r="C4144" t="s">
        <v>31</v>
      </c>
      <c r="D4144" t="s">
        <v>33</v>
      </c>
      <c r="E4144">
        <v>7600000</v>
      </c>
      <c r="F4144">
        <v>29300000</v>
      </c>
      <c r="G4144">
        <v>8</v>
      </c>
      <c r="H4144">
        <v>843</v>
      </c>
      <c r="I4144">
        <v>21500000</v>
      </c>
      <c r="J4144">
        <v>3000000</v>
      </c>
      <c r="K4144">
        <v>22800000</v>
      </c>
      <c r="L4144">
        <v>11200000</v>
      </c>
      <c r="M4144" t="s">
        <v>34</v>
      </c>
      <c r="N4144">
        <f t="shared" si="385"/>
        <v>1</v>
      </c>
      <c r="O4144" t="str">
        <f t="shared" si="384"/>
        <v>Excellent</v>
      </c>
      <c r="P4144" t="str">
        <f t="shared" si="386"/>
        <v>High</v>
      </c>
      <c r="Q4144" t="str">
        <f t="shared" si="387"/>
        <v>High Loan</v>
      </c>
      <c r="R4144">
        <f t="shared" si="388"/>
        <v>58500000</v>
      </c>
      <c r="S4144" t="str">
        <f t="shared" si="389"/>
        <v>Strong</v>
      </c>
    </row>
    <row r="4145" spans="1:19" x14ac:dyDescent="0.25">
      <c r="A4145">
        <v>4144</v>
      </c>
      <c r="B4145">
        <v>0</v>
      </c>
      <c r="C4145" t="s">
        <v>30</v>
      </c>
      <c r="D4145" t="s">
        <v>33</v>
      </c>
      <c r="E4145">
        <v>2500000</v>
      </c>
      <c r="F4145">
        <v>5400000</v>
      </c>
      <c r="G4145">
        <v>6</v>
      </c>
      <c r="H4145">
        <v>463</v>
      </c>
      <c r="I4145">
        <v>1900000</v>
      </c>
      <c r="J4145">
        <v>3500000</v>
      </c>
      <c r="K4145">
        <v>8200000</v>
      </c>
      <c r="L4145">
        <v>1800000</v>
      </c>
      <c r="M4145" t="s">
        <v>35</v>
      </c>
      <c r="N4145">
        <f t="shared" si="385"/>
        <v>0</v>
      </c>
      <c r="O4145" t="str">
        <f t="shared" si="384"/>
        <v>Low</v>
      </c>
      <c r="P4145" t="str">
        <f t="shared" si="386"/>
        <v>High</v>
      </c>
      <c r="Q4145" t="str">
        <f t="shared" si="387"/>
        <v>Low Loan</v>
      </c>
      <c r="R4145">
        <f t="shared" si="388"/>
        <v>15400000</v>
      </c>
      <c r="S4145" t="str">
        <f t="shared" si="389"/>
        <v>Strong</v>
      </c>
    </row>
    <row r="4146" spans="1:19" x14ac:dyDescent="0.25">
      <c r="A4146">
        <v>4145</v>
      </c>
      <c r="B4146">
        <v>3</v>
      </c>
      <c r="C4146" t="s">
        <v>30</v>
      </c>
      <c r="D4146" t="s">
        <v>32</v>
      </c>
      <c r="E4146">
        <v>6900000</v>
      </c>
      <c r="F4146">
        <v>22800000</v>
      </c>
      <c r="G4146">
        <v>16</v>
      </c>
      <c r="H4146">
        <v>582</v>
      </c>
      <c r="I4146">
        <v>17700000</v>
      </c>
      <c r="J4146">
        <v>2200000</v>
      </c>
      <c r="K4146">
        <v>23500000</v>
      </c>
      <c r="L4146">
        <v>4400000</v>
      </c>
      <c r="M4146" t="s">
        <v>34</v>
      </c>
      <c r="N4146">
        <f t="shared" si="385"/>
        <v>1</v>
      </c>
      <c r="O4146" t="str">
        <f t="shared" si="384"/>
        <v>Low</v>
      </c>
      <c r="P4146" t="str">
        <f t="shared" si="386"/>
        <v>High</v>
      </c>
      <c r="Q4146" t="str">
        <f t="shared" si="387"/>
        <v>High Loan</v>
      </c>
      <c r="R4146">
        <f t="shared" si="388"/>
        <v>47800000</v>
      </c>
      <c r="S4146" t="str">
        <f t="shared" si="389"/>
        <v>Strong</v>
      </c>
    </row>
    <row r="4147" spans="1:19" x14ac:dyDescent="0.25">
      <c r="A4147">
        <v>4146</v>
      </c>
      <c r="B4147">
        <v>0</v>
      </c>
      <c r="C4147" t="s">
        <v>30</v>
      </c>
      <c r="D4147" t="s">
        <v>32</v>
      </c>
      <c r="E4147">
        <v>3100000</v>
      </c>
      <c r="F4147">
        <v>6500000</v>
      </c>
      <c r="G4147">
        <v>2</v>
      </c>
      <c r="H4147">
        <v>391</v>
      </c>
      <c r="I4147">
        <v>100000</v>
      </c>
      <c r="J4147">
        <v>3800000</v>
      </c>
      <c r="K4147">
        <v>9900000</v>
      </c>
      <c r="L4147">
        <v>2400000</v>
      </c>
      <c r="M4147" t="s">
        <v>35</v>
      </c>
      <c r="N4147">
        <f t="shared" si="385"/>
        <v>0</v>
      </c>
      <c r="O4147" t="str">
        <f t="shared" si="384"/>
        <v>Low</v>
      </c>
      <c r="P4147" t="str">
        <f t="shared" si="386"/>
        <v>High</v>
      </c>
      <c r="Q4147" t="str">
        <f t="shared" si="387"/>
        <v>Low Loan</v>
      </c>
      <c r="R4147">
        <f t="shared" si="388"/>
        <v>16200000</v>
      </c>
      <c r="S4147" t="str">
        <f t="shared" si="389"/>
        <v>Strong</v>
      </c>
    </row>
    <row r="4148" spans="1:19" x14ac:dyDescent="0.25">
      <c r="A4148">
        <v>4147</v>
      </c>
      <c r="B4148">
        <v>2</v>
      </c>
      <c r="C4148" t="s">
        <v>30</v>
      </c>
      <c r="D4148" t="s">
        <v>33</v>
      </c>
      <c r="E4148">
        <v>9700000</v>
      </c>
      <c r="F4148">
        <v>35100000</v>
      </c>
      <c r="G4148">
        <v>20</v>
      </c>
      <c r="H4148">
        <v>612</v>
      </c>
      <c r="I4148">
        <v>13400000</v>
      </c>
      <c r="J4148">
        <v>13500000</v>
      </c>
      <c r="K4148">
        <v>38200000</v>
      </c>
      <c r="L4148">
        <v>6500000</v>
      </c>
      <c r="M4148" t="s">
        <v>34</v>
      </c>
      <c r="N4148">
        <f t="shared" si="385"/>
        <v>1</v>
      </c>
      <c r="O4148" t="str">
        <f t="shared" si="384"/>
        <v>Low</v>
      </c>
      <c r="P4148" t="str">
        <f t="shared" si="386"/>
        <v>High</v>
      </c>
      <c r="Q4148" t="str">
        <f t="shared" si="387"/>
        <v>High Loan</v>
      </c>
      <c r="R4148">
        <f t="shared" si="388"/>
        <v>71600000</v>
      </c>
      <c r="S4148" t="str">
        <f t="shared" si="389"/>
        <v>Strong</v>
      </c>
    </row>
    <row r="4149" spans="1:19" x14ac:dyDescent="0.25">
      <c r="A4149">
        <v>4148</v>
      </c>
      <c r="B4149">
        <v>0</v>
      </c>
      <c r="C4149" t="s">
        <v>31</v>
      </c>
      <c r="D4149" t="s">
        <v>33</v>
      </c>
      <c r="E4149">
        <v>5800000</v>
      </c>
      <c r="F4149">
        <v>12600000</v>
      </c>
      <c r="G4149">
        <v>2</v>
      </c>
      <c r="H4149">
        <v>859</v>
      </c>
      <c r="I4149">
        <v>13500000</v>
      </c>
      <c r="J4149">
        <v>4700000</v>
      </c>
      <c r="K4149">
        <v>21200000</v>
      </c>
      <c r="L4149">
        <v>4500000</v>
      </c>
      <c r="M4149" t="s">
        <v>34</v>
      </c>
      <c r="N4149">
        <f t="shared" si="385"/>
        <v>1</v>
      </c>
      <c r="O4149" t="str">
        <f t="shared" si="384"/>
        <v>Excellent</v>
      </c>
      <c r="P4149" t="str">
        <f t="shared" si="386"/>
        <v>High</v>
      </c>
      <c r="Q4149" t="str">
        <f t="shared" si="387"/>
        <v>Low Loan</v>
      </c>
      <c r="R4149">
        <f t="shared" si="388"/>
        <v>43900000</v>
      </c>
      <c r="S4149" t="str">
        <f t="shared" si="389"/>
        <v>Strong</v>
      </c>
    </row>
    <row r="4150" spans="1:19" x14ac:dyDescent="0.25">
      <c r="A4150">
        <v>4149</v>
      </c>
      <c r="B4150">
        <v>4</v>
      </c>
      <c r="C4150" t="s">
        <v>31</v>
      </c>
      <c r="D4150" t="s">
        <v>32</v>
      </c>
      <c r="E4150">
        <v>7600000</v>
      </c>
      <c r="F4150">
        <v>18600000</v>
      </c>
      <c r="G4150">
        <v>18</v>
      </c>
      <c r="H4150">
        <v>779</v>
      </c>
      <c r="I4150">
        <v>9100000</v>
      </c>
      <c r="J4150">
        <v>5600000</v>
      </c>
      <c r="K4150">
        <v>15200000</v>
      </c>
      <c r="L4150">
        <v>10000000</v>
      </c>
      <c r="M4150" t="s">
        <v>34</v>
      </c>
      <c r="N4150">
        <f t="shared" si="385"/>
        <v>1</v>
      </c>
      <c r="O4150" t="str">
        <f t="shared" si="384"/>
        <v>Excellent</v>
      </c>
      <c r="P4150" t="str">
        <f t="shared" si="386"/>
        <v>High</v>
      </c>
      <c r="Q4150" t="str">
        <f t="shared" si="387"/>
        <v>Low Loan</v>
      </c>
      <c r="R4150">
        <f t="shared" si="388"/>
        <v>39900000</v>
      </c>
      <c r="S4150" t="str">
        <f t="shared" si="389"/>
        <v>Strong</v>
      </c>
    </row>
    <row r="4151" spans="1:19" x14ac:dyDescent="0.25">
      <c r="A4151">
        <v>4150</v>
      </c>
      <c r="B4151">
        <v>5</v>
      </c>
      <c r="C4151" t="s">
        <v>31</v>
      </c>
      <c r="D4151" t="s">
        <v>32</v>
      </c>
      <c r="E4151">
        <v>700000</v>
      </c>
      <c r="F4151">
        <v>2800000</v>
      </c>
      <c r="G4151">
        <v>2</v>
      </c>
      <c r="H4151">
        <v>561</v>
      </c>
      <c r="I4151">
        <v>900000</v>
      </c>
      <c r="J4151">
        <v>400000</v>
      </c>
      <c r="K4151">
        <v>1900000</v>
      </c>
      <c r="L4151">
        <v>800000</v>
      </c>
      <c r="M4151" t="s">
        <v>34</v>
      </c>
      <c r="N4151">
        <f t="shared" si="385"/>
        <v>1</v>
      </c>
      <c r="O4151" t="str">
        <f t="shared" si="384"/>
        <v>Low</v>
      </c>
      <c r="P4151" t="str">
        <f t="shared" si="386"/>
        <v>High</v>
      </c>
      <c r="Q4151" t="str">
        <f t="shared" si="387"/>
        <v>Low Loan</v>
      </c>
      <c r="R4151">
        <f t="shared" si="388"/>
        <v>4000000</v>
      </c>
      <c r="S4151" t="str">
        <f t="shared" si="389"/>
        <v>Weak</v>
      </c>
    </row>
    <row r="4152" spans="1:19" x14ac:dyDescent="0.25">
      <c r="A4152">
        <v>4151</v>
      </c>
      <c r="B4152">
        <v>3</v>
      </c>
      <c r="C4152" t="s">
        <v>30</v>
      </c>
      <c r="D4152" t="s">
        <v>32</v>
      </c>
      <c r="E4152">
        <v>2300000</v>
      </c>
      <c r="F4152">
        <v>5600000</v>
      </c>
      <c r="G4152">
        <v>18</v>
      </c>
      <c r="H4152">
        <v>420</v>
      </c>
      <c r="I4152">
        <v>1300000</v>
      </c>
      <c r="J4152">
        <v>600000</v>
      </c>
      <c r="K4152">
        <v>6700000</v>
      </c>
      <c r="L4152">
        <v>2100000</v>
      </c>
      <c r="M4152" t="s">
        <v>35</v>
      </c>
      <c r="N4152">
        <f t="shared" si="385"/>
        <v>0</v>
      </c>
      <c r="O4152" t="str">
        <f t="shared" si="384"/>
        <v>Low</v>
      </c>
      <c r="P4152" t="str">
        <f t="shared" si="386"/>
        <v>High</v>
      </c>
      <c r="Q4152" t="str">
        <f t="shared" si="387"/>
        <v>Low Loan</v>
      </c>
      <c r="R4152">
        <f t="shared" si="388"/>
        <v>10700000</v>
      </c>
      <c r="S4152" t="str">
        <f t="shared" si="389"/>
        <v>Strong</v>
      </c>
    </row>
    <row r="4153" spans="1:19" x14ac:dyDescent="0.25">
      <c r="A4153">
        <v>4152</v>
      </c>
      <c r="B4153">
        <v>3</v>
      </c>
      <c r="C4153" t="s">
        <v>31</v>
      </c>
      <c r="D4153" t="s">
        <v>32</v>
      </c>
      <c r="E4153">
        <v>1600000</v>
      </c>
      <c r="F4153">
        <v>3300000</v>
      </c>
      <c r="G4153">
        <v>8</v>
      </c>
      <c r="H4153">
        <v>609</v>
      </c>
      <c r="I4153">
        <v>4700000</v>
      </c>
      <c r="J4153">
        <v>100000</v>
      </c>
      <c r="K4153">
        <v>6000000</v>
      </c>
      <c r="L4153">
        <v>800000</v>
      </c>
      <c r="M4153" t="s">
        <v>34</v>
      </c>
      <c r="N4153">
        <f t="shared" si="385"/>
        <v>1</v>
      </c>
      <c r="O4153" t="str">
        <f t="shared" si="384"/>
        <v>Low</v>
      </c>
      <c r="P4153" t="str">
        <f t="shared" si="386"/>
        <v>High</v>
      </c>
      <c r="Q4153" t="str">
        <f t="shared" si="387"/>
        <v>Low Loan</v>
      </c>
      <c r="R4153">
        <f t="shared" si="388"/>
        <v>11600000</v>
      </c>
      <c r="S4153" t="str">
        <f t="shared" si="389"/>
        <v>Strong</v>
      </c>
    </row>
    <row r="4154" spans="1:19" x14ac:dyDescent="0.25">
      <c r="A4154">
        <v>4153</v>
      </c>
      <c r="B4154">
        <v>4</v>
      </c>
      <c r="C4154" t="s">
        <v>31</v>
      </c>
      <c r="D4154" t="s">
        <v>32</v>
      </c>
      <c r="E4154">
        <v>8100000</v>
      </c>
      <c r="F4154">
        <v>19300000</v>
      </c>
      <c r="G4154">
        <v>14</v>
      </c>
      <c r="H4154">
        <v>821</v>
      </c>
      <c r="I4154">
        <v>16500000</v>
      </c>
      <c r="J4154">
        <v>8500000</v>
      </c>
      <c r="K4154">
        <v>25800000</v>
      </c>
      <c r="L4154">
        <v>8300000</v>
      </c>
      <c r="M4154" t="s">
        <v>34</v>
      </c>
      <c r="N4154">
        <f t="shared" si="385"/>
        <v>1</v>
      </c>
      <c r="O4154" t="str">
        <f t="shared" si="384"/>
        <v>Excellent</v>
      </c>
      <c r="P4154" t="str">
        <f t="shared" si="386"/>
        <v>High</v>
      </c>
      <c r="Q4154" t="str">
        <f t="shared" si="387"/>
        <v>Low Loan</v>
      </c>
      <c r="R4154">
        <f t="shared" si="388"/>
        <v>59100000</v>
      </c>
      <c r="S4154" t="str">
        <f t="shared" si="389"/>
        <v>Strong</v>
      </c>
    </row>
    <row r="4155" spans="1:19" x14ac:dyDescent="0.25">
      <c r="A4155">
        <v>4154</v>
      </c>
      <c r="B4155">
        <v>1</v>
      </c>
      <c r="C4155" t="s">
        <v>30</v>
      </c>
      <c r="D4155" t="s">
        <v>32</v>
      </c>
      <c r="E4155">
        <v>7700000</v>
      </c>
      <c r="F4155">
        <v>17100000</v>
      </c>
      <c r="G4155">
        <v>14</v>
      </c>
      <c r="H4155">
        <v>603</v>
      </c>
      <c r="I4155">
        <v>11100000</v>
      </c>
      <c r="J4155">
        <v>12100000</v>
      </c>
      <c r="K4155">
        <v>30300000</v>
      </c>
      <c r="L4155">
        <v>7100000</v>
      </c>
      <c r="M4155" t="s">
        <v>34</v>
      </c>
      <c r="N4155">
        <f t="shared" si="385"/>
        <v>1</v>
      </c>
      <c r="O4155" t="str">
        <f t="shared" si="384"/>
        <v>Low</v>
      </c>
      <c r="P4155" t="str">
        <f t="shared" si="386"/>
        <v>High</v>
      </c>
      <c r="Q4155" t="str">
        <f t="shared" si="387"/>
        <v>Low Loan</v>
      </c>
      <c r="R4155">
        <f t="shared" si="388"/>
        <v>60600000</v>
      </c>
      <c r="S4155" t="str">
        <f t="shared" si="389"/>
        <v>Strong</v>
      </c>
    </row>
    <row r="4156" spans="1:19" x14ac:dyDescent="0.25">
      <c r="A4156">
        <v>4155</v>
      </c>
      <c r="B4156">
        <v>4</v>
      </c>
      <c r="C4156" t="s">
        <v>30</v>
      </c>
      <c r="D4156" t="s">
        <v>32</v>
      </c>
      <c r="E4156">
        <v>1500000</v>
      </c>
      <c r="F4156">
        <v>3400000</v>
      </c>
      <c r="G4156">
        <v>10</v>
      </c>
      <c r="H4156">
        <v>778</v>
      </c>
      <c r="I4156">
        <v>3800000</v>
      </c>
      <c r="J4156">
        <v>300000</v>
      </c>
      <c r="K4156">
        <v>4000000</v>
      </c>
      <c r="L4156">
        <v>2200000</v>
      </c>
      <c r="M4156" t="s">
        <v>34</v>
      </c>
      <c r="N4156">
        <f t="shared" si="385"/>
        <v>1</v>
      </c>
      <c r="O4156" t="str">
        <f t="shared" si="384"/>
        <v>Excellent</v>
      </c>
      <c r="P4156" t="str">
        <f t="shared" si="386"/>
        <v>High</v>
      </c>
      <c r="Q4156" t="str">
        <f t="shared" si="387"/>
        <v>Low Loan</v>
      </c>
      <c r="R4156">
        <f t="shared" si="388"/>
        <v>10300000</v>
      </c>
      <c r="S4156" t="str">
        <f t="shared" si="389"/>
        <v>Strong</v>
      </c>
    </row>
    <row r="4157" spans="1:19" x14ac:dyDescent="0.25">
      <c r="A4157">
        <v>4156</v>
      </c>
      <c r="B4157">
        <v>3</v>
      </c>
      <c r="C4157" t="s">
        <v>31</v>
      </c>
      <c r="D4157" t="s">
        <v>32</v>
      </c>
      <c r="E4157">
        <v>7400000</v>
      </c>
      <c r="F4157">
        <v>23500000</v>
      </c>
      <c r="G4157">
        <v>2</v>
      </c>
      <c r="H4157">
        <v>460</v>
      </c>
      <c r="I4157">
        <v>20600000</v>
      </c>
      <c r="J4157">
        <v>12200000</v>
      </c>
      <c r="K4157">
        <v>25900000</v>
      </c>
      <c r="L4157">
        <v>9200000</v>
      </c>
      <c r="M4157" t="s">
        <v>34</v>
      </c>
      <c r="N4157">
        <f t="shared" si="385"/>
        <v>1</v>
      </c>
      <c r="O4157" t="str">
        <f t="shared" si="384"/>
        <v>Low</v>
      </c>
      <c r="P4157" t="str">
        <f t="shared" si="386"/>
        <v>High</v>
      </c>
      <c r="Q4157" t="str">
        <f t="shared" si="387"/>
        <v>High Loan</v>
      </c>
      <c r="R4157">
        <f t="shared" si="388"/>
        <v>67900000</v>
      </c>
      <c r="S4157" t="str">
        <f t="shared" si="389"/>
        <v>Strong</v>
      </c>
    </row>
    <row r="4158" spans="1:19" x14ac:dyDescent="0.25">
      <c r="A4158">
        <v>4157</v>
      </c>
      <c r="B4158">
        <v>4</v>
      </c>
      <c r="C4158" t="s">
        <v>31</v>
      </c>
      <c r="D4158" t="s">
        <v>33</v>
      </c>
      <c r="E4158">
        <v>8900000</v>
      </c>
      <c r="F4158">
        <v>27100000</v>
      </c>
      <c r="G4158">
        <v>18</v>
      </c>
      <c r="H4158">
        <v>363</v>
      </c>
      <c r="I4158">
        <v>7800000</v>
      </c>
      <c r="J4158">
        <v>9600000</v>
      </c>
      <c r="K4158">
        <v>25400000</v>
      </c>
      <c r="L4158">
        <v>12700000</v>
      </c>
      <c r="M4158" t="s">
        <v>35</v>
      </c>
      <c r="N4158">
        <f t="shared" si="385"/>
        <v>0</v>
      </c>
      <c r="O4158" t="str">
        <f t="shared" si="384"/>
        <v>Low</v>
      </c>
      <c r="P4158" t="str">
        <f t="shared" si="386"/>
        <v>High</v>
      </c>
      <c r="Q4158" t="str">
        <f t="shared" si="387"/>
        <v>High Loan</v>
      </c>
      <c r="R4158">
        <f t="shared" si="388"/>
        <v>55500000</v>
      </c>
      <c r="S4158" t="str">
        <f t="shared" si="389"/>
        <v>Strong</v>
      </c>
    </row>
    <row r="4159" spans="1:19" x14ac:dyDescent="0.25">
      <c r="A4159">
        <v>4158</v>
      </c>
      <c r="B4159">
        <v>0</v>
      </c>
      <c r="C4159" t="s">
        <v>30</v>
      </c>
      <c r="D4159" t="s">
        <v>32</v>
      </c>
      <c r="E4159">
        <v>2400000</v>
      </c>
      <c r="F4159">
        <v>5300000</v>
      </c>
      <c r="G4159">
        <v>16</v>
      </c>
      <c r="H4159">
        <v>482</v>
      </c>
      <c r="I4159">
        <v>5500000</v>
      </c>
      <c r="J4159">
        <v>4200000</v>
      </c>
      <c r="K4159">
        <v>8400000</v>
      </c>
      <c r="L4159">
        <v>2600000</v>
      </c>
      <c r="M4159" t="s">
        <v>35</v>
      </c>
      <c r="N4159">
        <f t="shared" si="385"/>
        <v>0</v>
      </c>
      <c r="O4159" t="str">
        <f t="shared" si="384"/>
        <v>Low</v>
      </c>
      <c r="P4159" t="str">
        <f t="shared" si="386"/>
        <v>High</v>
      </c>
      <c r="Q4159" t="str">
        <f t="shared" si="387"/>
        <v>Low Loan</v>
      </c>
      <c r="R4159">
        <f t="shared" si="388"/>
        <v>20700000</v>
      </c>
      <c r="S4159" t="str">
        <f t="shared" si="389"/>
        <v>Strong</v>
      </c>
    </row>
    <row r="4160" spans="1:19" x14ac:dyDescent="0.25">
      <c r="A4160">
        <v>4159</v>
      </c>
      <c r="B4160">
        <v>5</v>
      </c>
      <c r="C4160" t="s">
        <v>30</v>
      </c>
      <c r="D4160" t="s">
        <v>32</v>
      </c>
      <c r="E4160">
        <v>5600000</v>
      </c>
      <c r="F4160">
        <v>20300000</v>
      </c>
      <c r="G4160">
        <v>4</v>
      </c>
      <c r="H4160">
        <v>772</v>
      </c>
      <c r="I4160">
        <v>10600000</v>
      </c>
      <c r="J4160">
        <v>6000000</v>
      </c>
      <c r="K4160">
        <v>13600000</v>
      </c>
      <c r="L4160">
        <v>7600000</v>
      </c>
      <c r="M4160" t="s">
        <v>34</v>
      </c>
      <c r="N4160">
        <f t="shared" si="385"/>
        <v>1</v>
      </c>
      <c r="O4160" t="str">
        <f t="shared" si="384"/>
        <v>Excellent</v>
      </c>
      <c r="P4160" t="str">
        <f t="shared" si="386"/>
        <v>High</v>
      </c>
      <c r="Q4160" t="str">
        <f t="shared" si="387"/>
        <v>High Loan</v>
      </c>
      <c r="R4160">
        <f t="shared" si="388"/>
        <v>37800000</v>
      </c>
      <c r="S4160" t="str">
        <f t="shared" si="389"/>
        <v>Strong</v>
      </c>
    </row>
    <row r="4161" spans="1:19" x14ac:dyDescent="0.25">
      <c r="A4161">
        <v>4160</v>
      </c>
      <c r="B4161">
        <v>4</v>
      </c>
      <c r="C4161" t="s">
        <v>30</v>
      </c>
      <c r="D4161" t="s">
        <v>32</v>
      </c>
      <c r="E4161">
        <v>5900000</v>
      </c>
      <c r="F4161">
        <v>14400000</v>
      </c>
      <c r="G4161">
        <v>6</v>
      </c>
      <c r="H4161">
        <v>745</v>
      </c>
      <c r="I4161">
        <v>15300000</v>
      </c>
      <c r="J4161">
        <v>5100000</v>
      </c>
      <c r="K4161">
        <v>16500000</v>
      </c>
      <c r="L4161">
        <v>3000000</v>
      </c>
      <c r="M4161" t="s">
        <v>34</v>
      </c>
      <c r="N4161">
        <f t="shared" si="385"/>
        <v>1</v>
      </c>
      <c r="O4161" t="str">
        <f t="shared" si="384"/>
        <v>Good</v>
      </c>
      <c r="P4161" t="str">
        <f t="shared" si="386"/>
        <v>High</v>
      </c>
      <c r="Q4161" t="str">
        <f t="shared" si="387"/>
        <v>Low Loan</v>
      </c>
      <c r="R4161">
        <f t="shared" si="388"/>
        <v>39900000</v>
      </c>
      <c r="S4161" t="str">
        <f t="shared" si="389"/>
        <v>Strong</v>
      </c>
    </row>
    <row r="4162" spans="1:19" x14ac:dyDescent="0.25">
      <c r="A4162">
        <v>4161</v>
      </c>
      <c r="B4162">
        <v>1</v>
      </c>
      <c r="C4162" t="s">
        <v>30</v>
      </c>
      <c r="D4162" t="s">
        <v>32</v>
      </c>
      <c r="E4162">
        <v>1600000</v>
      </c>
      <c r="F4162">
        <v>3300000</v>
      </c>
      <c r="G4162">
        <v>2</v>
      </c>
      <c r="H4162">
        <v>513</v>
      </c>
      <c r="I4162">
        <v>400000</v>
      </c>
      <c r="J4162">
        <v>1300000</v>
      </c>
      <c r="K4162">
        <v>4600000</v>
      </c>
      <c r="L4162">
        <v>2200000</v>
      </c>
      <c r="M4162" t="s">
        <v>35</v>
      </c>
      <c r="N4162">
        <f t="shared" si="385"/>
        <v>0</v>
      </c>
      <c r="O4162" t="str">
        <f t="shared" ref="O4162:O4225" si="390">IF(H4162&lt;650,"Low",
 IF(H4162&lt;700,"Medium",
 IF(H4162&lt;750,"Good","Excellent")))</f>
        <v>Low</v>
      </c>
      <c r="P4162" t="str">
        <f t="shared" si="386"/>
        <v>High</v>
      </c>
      <c r="Q4162" t="str">
        <f t="shared" si="387"/>
        <v>Low Loan</v>
      </c>
      <c r="R4162">
        <f t="shared" si="388"/>
        <v>8500000</v>
      </c>
      <c r="S4162" t="str">
        <f t="shared" si="389"/>
        <v>Moderate</v>
      </c>
    </row>
    <row r="4163" spans="1:19" x14ac:dyDescent="0.25">
      <c r="A4163">
        <v>4162</v>
      </c>
      <c r="B4163">
        <v>5</v>
      </c>
      <c r="C4163" t="s">
        <v>31</v>
      </c>
      <c r="D4163" t="s">
        <v>32</v>
      </c>
      <c r="E4163">
        <v>1100000</v>
      </c>
      <c r="F4163">
        <v>4000000</v>
      </c>
      <c r="G4163">
        <v>2</v>
      </c>
      <c r="H4163">
        <v>362</v>
      </c>
      <c r="I4163">
        <v>1800000</v>
      </c>
      <c r="J4163">
        <v>1300000</v>
      </c>
      <c r="K4163">
        <v>3500000</v>
      </c>
      <c r="L4163">
        <v>1100000</v>
      </c>
      <c r="M4163" t="s">
        <v>34</v>
      </c>
      <c r="N4163">
        <f t="shared" ref="N4163:N4226" si="391">IF(TRIM(CLEAN(M4163))="Approved",1,0)</f>
        <v>1</v>
      </c>
      <c r="O4163" t="str">
        <f t="shared" si="390"/>
        <v>Low</v>
      </c>
      <c r="P4163" t="str">
        <f t="shared" ref="P4163:P4226" si="392">IF(E4163&lt;300000,"Low",
 IF(E4163&lt;700000,"Middle","High"))</f>
        <v>High</v>
      </c>
      <c r="Q4163" t="str">
        <f t="shared" ref="Q4163:Q4226" si="393">IF(F4163&lt;20000000,"Low Loan","High Loan")</f>
        <v>Low Loan</v>
      </c>
      <c r="R4163">
        <f t="shared" ref="R4163:R4226" si="394">I4163+J4163+K4163+L4163</f>
        <v>7700000</v>
      </c>
      <c r="S4163" t="str">
        <f t="shared" ref="S4163:S4226" si="395">IF(R4163&lt;5000000,"Weak",
 IF(R4163&lt;10000000,"Moderate","Strong"))</f>
        <v>Moderate</v>
      </c>
    </row>
    <row r="4164" spans="1:19" x14ac:dyDescent="0.25">
      <c r="A4164">
        <v>4163</v>
      </c>
      <c r="B4164">
        <v>2</v>
      </c>
      <c r="C4164" t="s">
        <v>30</v>
      </c>
      <c r="D4164" t="s">
        <v>33</v>
      </c>
      <c r="E4164">
        <v>6600000</v>
      </c>
      <c r="F4164">
        <v>25600000</v>
      </c>
      <c r="G4164">
        <v>6</v>
      </c>
      <c r="H4164">
        <v>740</v>
      </c>
      <c r="I4164">
        <v>10900000</v>
      </c>
      <c r="J4164">
        <v>1900000</v>
      </c>
      <c r="K4164">
        <v>18900000</v>
      </c>
      <c r="L4164">
        <v>9200000</v>
      </c>
      <c r="M4164" t="s">
        <v>34</v>
      </c>
      <c r="N4164">
        <f t="shared" si="391"/>
        <v>1</v>
      </c>
      <c r="O4164" t="str">
        <f t="shared" si="390"/>
        <v>Good</v>
      </c>
      <c r="P4164" t="str">
        <f t="shared" si="392"/>
        <v>High</v>
      </c>
      <c r="Q4164" t="str">
        <f t="shared" si="393"/>
        <v>High Loan</v>
      </c>
      <c r="R4164">
        <f t="shared" si="394"/>
        <v>40900000</v>
      </c>
      <c r="S4164" t="str">
        <f t="shared" si="395"/>
        <v>Strong</v>
      </c>
    </row>
    <row r="4165" spans="1:19" x14ac:dyDescent="0.25">
      <c r="A4165">
        <v>4164</v>
      </c>
      <c r="B4165">
        <v>3</v>
      </c>
      <c r="C4165" t="s">
        <v>30</v>
      </c>
      <c r="D4165" t="s">
        <v>32</v>
      </c>
      <c r="E4165">
        <v>8900000</v>
      </c>
      <c r="F4165">
        <v>24400000</v>
      </c>
      <c r="G4165">
        <v>10</v>
      </c>
      <c r="H4165">
        <v>774</v>
      </c>
      <c r="I4165">
        <v>11200000</v>
      </c>
      <c r="J4165">
        <v>6100000</v>
      </c>
      <c r="K4165">
        <v>31400000</v>
      </c>
      <c r="L4165">
        <v>7300000</v>
      </c>
      <c r="M4165" t="s">
        <v>34</v>
      </c>
      <c r="N4165">
        <f t="shared" si="391"/>
        <v>1</v>
      </c>
      <c r="O4165" t="str">
        <f t="shared" si="390"/>
        <v>Excellent</v>
      </c>
      <c r="P4165" t="str">
        <f t="shared" si="392"/>
        <v>High</v>
      </c>
      <c r="Q4165" t="str">
        <f t="shared" si="393"/>
        <v>High Loan</v>
      </c>
      <c r="R4165">
        <f t="shared" si="394"/>
        <v>56000000</v>
      </c>
      <c r="S4165" t="str">
        <f t="shared" si="395"/>
        <v>Strong</v>
      </c>
    </row>
    <row r="4166" spans="1:19" x14ac:dyDescent="0.25">
      <c r="A4166">
        <v>4165</v>
      </c>
      <c r="B4166">
        <v>1</v>
      </c>
      <c r="C4166" t="s">
        <v>30</v>
      </c>
      <c r="D4166" t="s">
        <v>33</v>
      </c>
      <c r="E4166">
        <v>6400000</v>
      </c>
      <c r="F4166">
        <v>16400000</v>
      </c>
      <c r="G4166">
        <v>20</v>
      </c>
      <c r="H4166">
        <v>555</v>
      </c>
      <c r="I4166">
        <v>6000000</v>
      </c>
      <c r="J4166">
        <v>2500000</v>
      </c>
      <c r="K4166">
        <v>20100000</v>
      </c>
      <c r="L4166">
        <v>7400000</v>
      </c>
      <c r="M4166" t="s">
        <v>34</v>
      </c>
      <c r="N4166">
        <f t="shared" si="391"/>
        <v>1</v>
      </c>
      <c r="O4166" t="str">
        <f t="shared" si="390"/>
        <v>Low</v>
      </c>
      <c r="P4166" t="str">
        <f t="shared" si="392"/>
        <v>High</v>
      </c>
      <c r="Q4166" t="str">
        <f t="shared" si="393"/>
        <v>Low Loan</v>
      </c>
      <c r="R4166">
        <f t="shared" si="394"/>
        <v>36000000</v>
      </c>
      <c r="S4166" t="str">
        <f t="shared" si="395"/>
        <v>Strong</v>
      </c>
    </row>
    <row r="4167" spans="1:19" x14ac:dyDescent="0.25">
      <c r="A4167">
        <v>4166</v>
      </c>
      <c r="B4167">
        <v>4</v>
      </c>
      <c r="C4167" t="s">
        <v>31</v>
      </c>
      <c r="D4167" t="s">
        <v>33</v>
      </c>
      <c r="E4167">
        <v>8200000</v>
      </c>
      <c r="F4167">
        <v>17300000</v>
      </c>
      <c r="G4167">
        <v>12</v>
      </c>
      <c r="H4167">
        <v>588</v>
      </c>
      <c r="I4167">
        <v>9700000</v>
      </c>
      <c r="J4167">
        <v>1200000</v>
      </c>
      <c r="K4167">
        <v>20700000</v>
      </c>
      <c r="L4167">
        <v>4800000</v>
      </c>
      <c r="M4167" t="s">
        <v>34</v>
      </c>
      <c r="N4167">
        <f t="shared" si="391"/>
        <v>1</v>
      </c>
      <c r="O4167" t="str">
        <f t="shared" si="390"/>
        <v>Low</v>
      </c>
      <c r="P4167" t="str">
        <f t="shared" si="392"/>
        <v>High</v>
      </c>
      <c r="Q4167" t="str">
        <f t="shared" si="393"/>
        <v>Low Loan</v>
      </c>
      <c r="R4167">
        <f t="shared" si="394"/>
        <v>36400000</v>
      </c>
      <c r="S4167" t="str">
        <f t="shared" si="395"/>
        <v>Strong</v>
      </c>
    </row>
    <row r="4168" spans="1:19" x14ac:dyDescent="0.25">
      <c r="A4168">
        <v>4167</v>
      </c>
      <c r="B4168">
        <v>1</v>
      </c>
      <c r="C4168" t="s">
        <v>30</v>
      </c>
      <c r="D4168" t="s">
        <v>32</v>
      </c>
      <c r="E4168">
        <v>500000</v>
      </c>
      <c r="F4168">
        <v>1300000</v>
      </c>
      <c r="G4168">
        <v>14</v>
      </c>
      <c r="H4168">
        <v>619</v>
      </c>
      <c r="I4168">
        <v>1500000</v>
      </c>
      <c r="J4168">
        <v>100000</v>
      </c>
      <c r="K4168">
        <v>2000000</v>
      </c>
      <c r="L4168">
        <v>500000</v>
      </c>
      <c r="M4168" t="s">
        <v>34</v>
      </c>
      <c r="N4168">
        <f t="shared" si="391"/>
        <v>1</v>
      </c>
      <c r="O4168" t="str">
        <f t="shared" si="390"/>
        <v>Low</v>
      </c>
      <c r="P4168" t="str">
        <f t="shared" si="392"/>
        <v>Middle</v>
      </c>
      <c r="Q4168" t="str">
        <f t="shared" si="393"/>
        <v>Low Loan</v>
      </c>
      <c r="R4168">
        <f t="shared" si="394"/>
        <v>4100000</v>
      </c>
      <c r="S4168" t="str">
        <f t="shared" si="395"/>
        <v>Weak</v>
      </c>
    </row>
    <row r="4169" spans="1:19" x14ac:dyDescent="0.25">
      <c r="A4169">
        <v>4168</v>
      </c>
      <c r="B4169">
        <v>0</v>
      </c>
      <c r="C4169" t="s">
        <v>30</v>
      </c>
      <c r="D4169" t="s">
        <v>32</v>
      </c>
      <c r="E4169">
        <v>9700000</v>
      </c>
      <c r="F4169">
        <v>31600000</v>
      </c>
      <c r="G4169">
        <v>18</v>
      </c>
      <c r="H4169">
        <v>607</v>
      </c>
      <c r="I4169">
        <v>24300000</v>
      </c>
      <c r="J4169">
        <v>7900000</v>
      </c>
      <c r="K4169">
        <v>32400000</v>
      </c>
      <c r="L4169">
        <v>7500000</v>
      </c>
      <c r="M4169" t="s">
        <v>34</v>
      </c>
      <c r="N4169">
        <f t="shared" si="391"/>
        <v>1</v>
      </c>
      <c r="O4169" t="str">
        <f t="shared" si="390"/>
        <v>Low</v>
      </c>
      <c r="P4169" t="str">
        <f t="shared" si="392"/>
        <v>High</v>
      </c>
      <c r="Q4169" t="str">
        <f t="shared" si="393"/>
        <v>High Loan</v>
      </c>
      <c r="R4169">
        <f t="shared" si="394"/>
        <v>72100000</v>
      </c>
      <c r="S4169" t="str">
        <f t="shared" si="395"/>
        <v>Strong</v>
      </c>
    </row>
    <row r="4170" spans="1:19" x14ac:dyDescent="0.25">
      <c r="A4170">
        <v>4169</v>
      </c>
      <c r="B4170">
        <v>3</v>
      </c>
      <c r="C4170" t="s">
        <v>31</v>
      </c>
      <c r="D4170" t="s">
        <v>33</v>
      </c>
      <c r="E4170">
        <v>7100000</v>
      </c>
      <c r="F4170">
        <v>16700000</v>
      </c>
      <c r="G4170">
        <v>4</v>
      </c>
      <c r="H4170">
        <v>435</v>
      </c>
      <c r="I4170">
        <v>1700000</v>
      </c>
      <c r="J4170">
        <v>9600000</v>
      </c>
      <c r="K4170">
        <v>24300000</v>
      </c>
      <c r="L4170">
        <v>6200000</v>
      </c>
      <c r="M4170" t="s">
        <v>35</v>
      </c>
      <c r="N4170">
        <f t="shared" si="391"/>
        <v>0</v>
      </c>
      <c r="O4170" t="str">
        <f t="shared" si="390"/>
        <v>Low</v>
      </c>
      <c r="P4170" t="str">
        <f t="shared" si="392"/>
        <v>High</v>
      </c>
      <c r="Q4170" t="str">
        <f t="shared" si="393"/>
        <v>Low Loan</v>
      </c>
      <c r="R4170">
        <f t="shared" si="394"/>
        <v>41800000</v>
      </c>
      <c r="S4170" t="str">
        <f t="shared" si="395"/>
        <v>Strong</v>
      </c>
    </row>
    <row r="4171" spans="1:19" x14ac:dyDescent="0.25">
      <c r="A4171">
        <v>4170</v>
      </c>
      <c r="B4171">
        <v>4</v>
      </c>
      <c r="C4171" t="s">
        <v>31</v>
      </c>
      <c r="D4171" t="s">
        <v>33</v>
      </c>
      <c r="E4171">
        <v>1400000</v>
      </c>
      <c r="F4171">
        <v>3400000</v>
      </c>
      <c r="G4171">
        <v>14</v>
      </c>
      <c r="H4171">
        <v>835</v>
      </c>
      <c r="I4171">
        <v>3100000</v>
      </c>
      <c r="J4171">
        <v>100000</v>
      </c>
      <c r="K4171">
        <v>4100000</v>
      </c>
      <c r="L4171">
        <v>2100000</v>
      </c>
      <c r="M4171" t="s">
        <v>34</v>
      </c>
      <c r="N4171">
        <f t="shared" si="391"/>
        <v>1</v>
      </c>
      <c r="O4171" t="str">
        <f t="shared" si="390"/>
        <v>Excellent</v>
      </c>
      <c r="P4171" t="str">
        <f t="shared" si="392"/>
        <v>High</v>
      </c>
      <c r="Q4171" t="str">
        <f t="shared" si="393"/>
        <v>Low Loan</v>
      </c>
      <c r="R4171">
        <f t="shared" si="394"/>
        <v>9400000</v>
      </c>
      <c r="S4171" t="str">
        <f t="shared" si="395"/>
        <v>Moderate</v>
      </c>
    </row>
    <row r="4172" spans="1:19" x14ac:dyDescent="0.25">
      <c r="A4172">
        <v>4171</v>
      </c>
      <c r="B4172">
        <v>1</v>
      </c>
      <c r="C4172" t="s">
        <v>31</v>
      </c>
      <c r="D4172" t="s">
        <v>32</v>
      </c>
      <c r="E4172">
        <v>7200000</v>
      </c>
      <c r="F4172">
        <v>28100000</v>
      </c>
      <c r="G4172">
        <v>14</v>
      </c>
      <c r="H4172">
        <v>767</v>
      </c>
      <c r="I4172">
        <v>10000000</v>
      </c>
      <c r="J4172">
        <v>10400000</v>
      </c>
      <c r="K4172">
        <v>27500000</v>
      </c>
      <c r="L4172">
        <v>4000000</v>
      </c>
      <c r="M4172" t="s">
        <v>34</v>
      </c>
      <c r="N4172">
        <f t="shared" si="391"/>
        <v>1</v>
      </c>
      <c r="O4172" t="str">
        <f t="shared" si="390"/>
        <v>Excellent</v>
      </c>
      <c r="P4172" t="str">
        <f t="shared" si="392"/>
        <v>High</v>
      </c>
      <c r="Q4172" t="str">
        <f t="shared" si="393"/>
        <v>High Loan</v>
      </c>
      <c r="R4172">
        <f t="shared" si="394"/>
        <v>51900000</v>
      </c>
      <c r="S4172" t="str">
        <f t="shared" si="395"/>
        <v>Strong</v>
      </c>
    </row>
    <row r="4173" spans="1:19" x14ac:dyDescent="0.25">
      <c r="A4173">
        <v>4172</v>
      </c>
      <c r="B4173">
        <v>1</v>
      </c>
      <c r="C4173" t="s">
        <v>30</v>
      </c>
      <c r="D4173" t="s">
        <v>33</v>
      </c>
      <c r="E4173">
        <v>8400000</v>
      </c>
      <c r="F4173">
        <v>26200000</v>
      </c>
      <c r="G4173">
        <v>14</v>
      </c>
      <c r="H4173">
        <v>643</v>
      </c>
      <c r="I4173">
        <v>19400000</v>
      </c>
      <c r="J4173">
        <v>11500000</v>
      </c>
      <c r="K4173">
        <v>17900000</v>
      </c>
      <c r="L4173">
        <v>6900000</v>
      </c>
      <c r="M4173" t="s">
        <v>34</v>
      </c>
      <c r="N4173">
        <f t="shared" si="391"/>
        <v>1</v>
      </c>
      <c r="O4173" t="str">
        <f t="shared" si="390"/>
        <v>Low</v>
      </c>
      <c r="P4173" t="str">
        <f t="shared" si="392"/>
        <v>High</v>
      </c>
      <c r="Q4173" t="str">
        <f t="shared" si="393"/>
        <v>High Loan</v>
      </c>
      <c r="R4173">
        <f t="shared" si="394"/>
        <v>55700000</v>
      </c>
      <c r="S4173" t="str">
        <f t="shared" si="395"/>
        <v>Strong</v>
      </c>
    </row>
    <row r="4174" spans="1:19" x14ac:dyDescent="0.25">
      <c r="A4174">
        <v>4173</v>
      </c>
      <c r="B4174">
        <v>4</v>
      </c>
      <c r="C4174" t="s">
        <v>31</v>
      </c>
      <c r="D4174" t="s">
        <v>32</v>
      </c>
      <c r="E4174">
        <v>4300000</v>
      </c>
      <c r="F4174">
        <v>13900000</v>
      </c>
      <c r="G4174">
        <v>2</v>
      </c>
      <c r="H4174">
        <v>894</v>
      </c>
      <c r="I4174">
        <v>10100000</v>
      </c>
      <c r="J4174">
        <v>100000</v>
      </c>
      <c r="K4174">
        <v>8600000</v>
      </c>
      <c r="L4174">
        <v>3300000</v>
      </c>
      <c r="M4174" t="s">
        <v>34</v>
      </c>
      <c r="N4174">
        <f t="shared" si="391"/>
        <v>1</v>
      </c>
      <c r="O4174" t="str">
        <f t="shared" si="390"/>
        <v>Excellent</v>
      </c>
      <c r="P4174" t="str">
        <f t="shared" si="392"/>
        <v>High</v>
      </c>
      <c r="Q4174" t="str">
        <f t="shared" si="393"/>
        <v>Low Loan</v>
      </c>
      <c r="R4174">
        <f t="shared" si="394"/>
        <v>22100000</v>
      </c>
      <c r="S4174" t="str">
        <f t="shared" si="395"/>
        <v>Strong</v>
      </c>
    </row>
    <row r="4175" spans="1:19" x14ac:dyDescent="0.25">
      <c r="A4175">
        <v>4174</v>
      </c>
      <c r="B4175">
        <v>0</v>
      </c>
      <c r="C4175" t="s">
        <v>31</v>
      </c>
      <c r="D4175" t="s">
        <v>33</v>
      </c>
      <c r="E4175">
        <v>8800000</v>
      </c>
      <c r="F4175">
        <v>29800000</v>
      </c>
      <c r="G4175">
        <v>8</v>
      </c>
      <c r="H4175">
        <v>343</v>
      </c>
      <c r="I4175">
        <v>20000000</v>
      </c>
      <c r="J4175">
        <v>4900000</v>
      </c>
      <c r="K4175">
        <v>33300000</v>
      </c>
      <c r="L4175">
        <v>12200000</v>
      </c>
      <c r="M4175" t="s">
        <v>35</v>
      </c>
      <c r="N4175">
        <f t="shared" si="391"/>
        <v>0</v>
      </c>
      <c r="O4175" t="str">
        <f t="shared" si="390"/>
        <v>Low</v>
      </c>
      <c r="P4175" t="str">
        <f t="shared" si="392"/>
        <v>High</v>
      </c>
      <c r="Q4175" t="str">
        <f t="shared" si="393"/>
        <v>High Loan</v>
      </c>
      <c r="R4175">
        <f t="shared" si="394"/>
        <v>70400000</v>
      </c>
      <c r="S4175" t="str">
        <f t="shared" si="395"/>
        <v>Strong</v>
      </c>
    </row>
    <row r="4176" spans="1:19" x14ac:dyDescent="0.25">
      <c r="A4176">
        <v>4175</v>
      </c>
      <c r="B4176">
        <v>4</v>
      </c>
      <c r="C4176" t="s">
        <v>31</v>
      </c>
      <c r="D4176" t="s">
        <v>32</v>
      </c>
      <c r="E4176">
        <v>4000000</v>
      </c>
      <c r="F4176">
        <v>15100000</v>
      </c>
      <c r="G4176">
        <v>8</v>
      </c>
      <c r="H4176">
        <v>800</v>
      </c>
      <c r="I4176">
        <v>8700000</v>
      </c>
      <c r="J4176">
        <v>6900000</v>
      </c>
      <c r="K4176">
        <v>12200000</v>
      </c>
      <c r="L4176">
        <v>4400000</v>
      </c>
      <c r="M4176" t="s">
        <v>34</v>
      </c>
      <c r="N4176">
        <f t="shared" si="391"/>
        <v>1</v>
      </c>
      <c r="O4176" t="str">
        <f t="shared" si="390"/>
        <v>Excellent</v>
      </c>
      <c r="P4176" t="str">
        <f t="shared" si="392"/>
        <v>High</v>
      </c>
      <c r="Q4176" t="str">
        <f t="shared" si="393"/>
        <v>Low Loan</v>
      </c>
      <c r="R4176">
        <f t="shared" si="394"/>
        <v>32200000</v>
      </c>
      <c r="S4176" t="str">
        <f t="shared" si="395"/>
        <v>Strong</v>
      </c>
    </row>
    <row r="4177" spans="1:19" x14ac:dyDescent="0.25">
      <c r="A4177">
        <v>4176</v>
      </c>
      <c r="B4177">
        <v>3</v>
      </c>
      <c r="C4177" t="s">
        <v>31</v>
      </c>
      <c r="D4177" t="s">
        <v>33</v>
      </c>
      <c r="E4177">
        <v>6900000</v>
      </c>
      <c r="F4177">
        <v>17900000</v>
      </c>
      <c r="G4177">
        <v>18</v>
      </c>
      <c r="H4177">
        <v>494</v>
      </c>
      <c r="I4177">
        <v>7700000</v>
      </c>
      <c r="J4177">
        <v>11200000</v>
      </c>
      <c r="K4177">
        <v>15400000</v>
      </c>
      <c r="L4177">
        <v>8700000</v>
      </c>
      <c r="M4177" t="s">
        <v>35</v>
      </c>
      <c r="N4177">
        <f t="shared" si="391"/>
        <v>0</v>
      </c>
      <c r="O4177" t="str">
        <f t="shared" si="390"/>
        <v>Low</v>
      </c>
      <c r="P4177" t="str">
        <f t="shared" si="392"/>
        <v>High</v>
      </c>
      <c r="Q4177" t="str">
        <f t="shared" si="393"/>
        <v>Low Loan</v>
      </c>
      <c r="R4177">
        <f t="shared" si="394"/>
        <v>43000000</v>
      </c>
      <c r="S4177" t="str">
        <f t="shared" si="395"/>
        <v>Strong</v>
      </c>
    </row>
    <row r="4178" spans="1:19" x14ac:dyDescent="0.25">
      <c r="A4178">
        <v>4177</v>
      </c>
      <c r="B4178">
        <v>4</v>
      </c>
      <c r="C4178" t="s">
        <v>30</v>
      </c>
      <c r="D4178" t="s">
        <v>32</v>
      </c>
      <c r="E4178">
        <v>9600000</v>
      </c>
      <c r="F4178">
        <v>33000000</v>
      </c>
      <c r="G4178">
        <v>14</v>
      </c>
      <c r="H4178">
        <v>336</v>
      </c>
      <c r="I4178">
        <v>5800000</v>
      </c>
      <c r="J4178">
        <v>8500000</v>
      </c>
      <c r="K4178">
        <v>30100000</v>
      </c>
      <c r="L4178">
        <v>4900000</v>
      </c>
      <c r="M4178" t="s">
        <v>35</v>
      </c>
      <c r="N4178">
        <f t="shared" si="391"/>
        <v>0</v>
      </c>
      <c r="O4178" t="str">
        <f t="shared" si="390"/>
        <v>Low</v>
      </c>
      <c r="P4178" t="str">
        <f t="shared" si="392"/>
        <v>High</v>
      </c>
      <c r="Q4178" t="str">
        <f t="shared" si="393"/>
        <v>High Loan</v>
      </c>
      <c r="R4178">
        <f t="shared" si="394"/>
        <v>49300000</v>
      </c>
      <c r="S4178" t="str">
        <f t="shared" si="395"/>
        <v>Strong</v>
      </c>
    </row>
    <row r="4179" spans="1:19" x14ac:dyDescent="0.25">
      <c r="A4179">
        <v>4178</v>
      </c>
      <c r="B4179">
        <v>2</v>
      </c>
      <c r="C4179" t="s">
        <v>31</v>
      </c>
      <c r="D4179" t="s">
        <v>32</v>
      </c>
      <c r="E4179">
        <v>6900000</v>
      </c>
      <c r="F4179">
        <v>16500000</v>
      </c>
      <c r="G4179">
        <v>16</v>
      </c>
      <c r="H4179">
        <v>785</v>
      </c>
      <c r="I4179">
        <v>19600000</v>
      </c>
      <c r="J4179">
        <v>8600000</v>
      </c>
      <c r="K4179">
        <v>27100000</v>
      </c>
      <c r="L4179">
        <v>3600000</v>
      </c>
      <c r="M4179" t="s">
        <v>34</v>
      </c>
      <c r="N4179">
        <f t="shared" si="391"/>
        <v>1</v>
      </c>
      <c r="O4179" t="str">
        <f t="shared" si="390"/>
        <v>Excellent</v>
      </c>
      <c r="P4179" t="str">
        <f t="shared" si="392"/>
        <v>High</v>
      </c>
      <c r="Q4179" t="str">
        <f t="shared" si="393"/>
        <v>Low Loan</v>
      </c>
      <c r="R4179">
        <f t="shared" si="394"/>
        <v>58900000</v>
      </c>
      <c r="S4179" t="str">
        <f t="shared" si="395"/>
        <v>Strong</v>
      </c>
    </row>
    <row r="4180" spans="1:19" x14ac:dyDescent="0.25">
      <c r="A4180">
        <v>4179</v>
      </c>
      <c r="B4180">
        <v>1</v>
      </c>
      <c r="C4180" t="s">
        <v>31</v>
      </c>
      <c r="D4180" t="s">
        <v>33</v>
      </c>
      <c r="E4180">
        <v>3600000</v>
      </c>
      <c r="F4180">
        <v>13400000</v>
      </c>
      <c r="G4180">
        <v>16</v>
      </c>
      <c r="H4180">
        <v>732</v>
      </c>
      <c r="I4180">
        <v>5200000</v>
      </c>
      <c r="J4180">
        <v>6700000</v>
      </c>
      <c r="K4180">
        <v>7300000</v>
      </c>
      <c r="L4180">
        <v>3300000</v>
      </c>
      <c r="M4180" t="s">
        <v>34</v>
      </c>
      <c r="N4180">
        <f t="shared" si="391"/>
        <v>1</v>
      </c>
      <c r="O4180" t="str">
        <f t="shared" si="390"/>
        <v>Good</v>
      </c>
      <c r="P4180" t="str">
        <f t="shared" si="392"/>
        <v>High</v>
      </c>
      <c r="Q4180" t="str">
        <f t="shared" si="393"/>
        <v>Low Loan</v>
      </c>
      <c r="R4180">
        <f t="shared" si="394"/>
        <v>22500000</v>
      </c>
      <c r="S4180" t="str">
        <f t="shared" si="395"/>
        <v>Strong</v>
      </c>
    </row>
    <row r="4181" spans="1:19" x14ac:dyDescent="0.25">
      <c r="A4181">
        <v>4180</v>
      </c>
      <c r="B4181">
        <v>2</v>
      </c>
      <c r="C4181" t="s">
        <v>31</v>
      </c>
      <c r="D4181" t="s">
        <v>32</v>
      </c>
      <c r="E4181">
        <v>1900000</v>
      </c>
      <c r="F4181">
        <v>4600000</v>
      </c>
      <c r="G4181">
        <v>12</v>
      </c>
      <c r="H4181">
        <v>587</v>
      </c>
      <c r="I4181">
        <v>3000000</v>
      </c>
      <c r="J4181">
        <v>1300000</v>
      </c>
      <c r="K4181">
        <v>4800000</v>
      </c>
      <c r="L4181">
        <v>1100000</v>
      </c>
      <c r="M4181" t="s">
        <v>34</v>
      </c>
      <c r="N4181">
        <f t="shared" si="391"/>
        <v>1</v>
      </c>
      <c r="O4181" t="str">
        <f t="shared" si="390"/>
        <v>Low</v>
      </c>
      <c r="P4181" t="str">
        <f t="shared" si="392"/>
        <v>High</v>
      </c>
      <c r="Q4181" t="str">
        <f t="shared" si="393"/>
        <v>Low Loan</v>
      </c>
      <c r="R4181">
        <f t="shared" si="394"/>
        <v>10200000</v>
      </c>
      <c r="S4181" t="str">
        <f t="shared" si="395"/>
        <v>Strong</v>
      </c>
    </row>
    <row r="4182" spans="1:19" x14ac:dyDescent="0.25">
      <c r="A4182">
        <v>4181</v>
      </c>
      <c r="B4182">
        <v>3</v>
      </c>
      <c r="C4182" t="s">
        <v>31</v>
      </c>
      <c r="D4182" t="s">
        <v>33</v>
      </c>
      <c r="E4182">
        <v>9700000</v>
      </c>
      <c r="F4182">
        <v>30800000</v>
      </c>
      <c r="G4182">
        <v>18</v>
      </c>
      <c r="H4182">
        <v>471</v>
      </c>
      <c r="I4182">
        <v>12700000</v>
      </c>
      <c r="J4182">
        <v>3800000</v>
      </c>
      <c r="K4182">
        <v>37300000</v>
      </c>
      <c r="L4182">
        <v>10400000</v>
      </c>
      <c r="M4182" t="s">
        <v>35</v>
      </c>
      <c r="N4182">
        <f t="shared" si="391"/>
        <v>0</v>
      </c>
      <c r="O4182" t="str">
        <f t="shared" si="390"/>
        <v>Low</v>
      </c>
      <c r="P4182" t="str">
        <f t="shared" si="392"/>
        <v>High</v>
      </c>
      <c r="Q4182" t="str">
        <f t="shared" si="393"/>
        <v>High Loan</v>
      </c>
      <c r="R4182">
        <f t="shared" si="394"/>
        <v>64200000</v>
      </c>
      <c r="S4182" t="str">
        <f t="shared" si="395"/>
        <v>Strong</v>
      </c>
    </row>
    <row r="4183" spans="1:19" x14ac:dyDescent="0.25">
      <c r="A4183">
        <v>4182</v>
      </c>
      <c r="B4183">
        <v>2</v>
      </c>
      <c r="C4183" t="s">
        <v>31</v>
      </c>
      <c r="D4183" t="s">
        <v>32</v>
      </c>
      <c r="E4183">
        <v>1200000</v>
      </c>
      <c r="F4183">
        <v>4100000</v>
      </c>
      <c r="G4183">
        <v>8</v>
      </c>
      <c r="H4183">
        <v>497</v>
      </c>
      <c r="I4183">
        <v>2700000</v>
      </c>
      <c r="J4183">
        <v>700000</v>
      </c>
      <c r="K4183">
        <v>3700000</v>
      </c>
      <c r="L4183">
        <v>1300000</v>
      </c>
      <c r="M4183" t="s">
        <v>35</v>
      </c>
      <c r="N4183">
        <f t="shared" si="391"/>
        <v>0</v>
      </c>
      <c r="O4183" t="str">
        <f t="shared" si="390"/>
        <v>Low</v>
      </c>
      <c r="P4183" t="str">
        <f t="shared" si="392"/>
        <v>High</v>
      </c>
      <c r="Q4183" t="str">
        <f t="shared" si="393"/>
        <v>Low Loan</v>
      </c>
      <c r="R4183">
        <f t="shared" si="394"/>
        <v>8400000</v>
      </c>
      <c r="S4183" t="str">
        <f t="shared" si="395"/>
        <v>Moderate</v>
      </c>
    </row>
    <row r="4184" spans="1:19" x14ac:dyDescent="0.25">
      <c r="A4184">
        <v>4183</v>
      </c>
      <c r="B4184">
        <v>1</v>
      </c>
      <c r="C4184" t="s">
        <v>31</v>
      </c>
      <c r="D4184" t="s">
        <v>32</v>
      </c>
      <c r="E4184">
        <v>400000</v>
      </c>
      <c r="F4184">
        <v>1600000</v>
      </c>
      <c r="G4184">
        <v>16</v>
      </c>
      <c r="H4184">
        <v>784</v>
      </c>
      <c r="I4184">
        <v>800000</v>
      </c>
      <c r="J4184">
        <v>700000</v>
      </c>
      <c r="K4184">
        <v>700000</v>
      </c>
      <c r="L4184">
        <v>100000</v>
      </c>
      <c r="M4184" t="s">
        <v>34</v>
      </c>
      <c r="N4184">
        <f t="shared" si="391"/>
        <v>1</v>
      </c>
      <c r="O4184" t="str">
        <f t="shared" si="390"/>
        <v>Excellent</v>
      </c>
      <c r="P4184" t="str">
        <f t="shared" si="392"/>
        <v>Middle</v>
      </c>
      <c r="Q4184" t="str">
        <f t="shared" si="393"/>
        <v>Low Loan</v>
      </c>
      <c r="R4184">
        <f t="shared" si="394"/>
        <v>2300000</v>
      </c>
      <c r="S4184" t="str">
        <f t="shared" si="395"/>
        <v>Weak</v>
      </c>
    </row>
    <row r="4185" spans="1:19" x14ac:dyDescent="0.25">
      <c r="A4185">
        <v>4184</v>
      </c>
      <c r="B4185">
        <v>2</v>
      </c>
      <c r="C4185" t="s">
        <v>30</v>
      </c>
      <c r="D4185" t="s">
        <v>32</v>
      </c>
      <c r="E4185">
        <v>6600000</v>
      </c>
      <c r="F4185">
        <v>21500000</v>
      </c>
      <c r="G4185">
        <v>18</v>
      </c>
      <c r="H4185">
        <v>471</v>
      </c>
      <c r="I4185">
        <v>13700000</v>
      </c>
      <c r="J4185">
        <v>9800000</v>
      </c>
      <c r="K4185">
        <v>17100000</v>
      </c>
      <c r="L4185">
        <v>4800000</v>
      </c>
      <c r="M4185" t="s">
        <v>35</v>
      </c>
      <c r="N4185">
        <f t="shared" si="391"/>
        <v>0</v>
      </c>
      <c r="O4185" t="str">
        <f t="shared" si="390"/>
        <v>Low</v>
      </c>
      <c r="P4185" t="str">
        <f t="shared" si="392"/>
        <v>High</v>
      </c>
      <c r="Q4185" t="str">
        <f t="shared" si="393"/>
        <v>High Loan</v>
      </c>
      <c r="R4185">
        <f t="shared" si="394"/>
        <v>45400000</v>
      </c>
      <c r="S4185" t="str">
        <f t="shared" si="395"/>
        <v>Strong</v>
      </c>
    </row>
    <row r="4186" spans="1:19" x14ac:dyDescent="0.25">
      <c r="A4186">
        <v>4185</v>
      </c>
      <c r="B4186">
        <v>2</v>
      </c>
      <c r="C4186" t="s">
        <v>30</v>
      </c>
      <c r="D4186" t="s">
        <v>32</v>
      </c>
      <c r="E4186">
        <v>1500000</v>
      </c>
      <c r="F4186">
        <v>3300000</v>
      </c>
      <c r="G4186">
        <v>4</v>
      </c>
      <c r="H4186">
        <v>763</v>
      </c>
      <c r="I4186">
        <v>300000</v>
      </c>
      <c r="J4186">
        <v>1200000</v>
      </c>
      <c r="K4186">
        <v>5400000</v>
      </c>
      <c r="L4186">
        <v>700000</v>
      </c>
      <c r="M4186" t="s">
        <v>34</v>
      </c>
      <c r="N4186">
        <f t="shared" si="391"/>
        <v>1</v>
      </c>
      <c r="O4186" t="str">
        <f t="shared" si="390"/>
        <v>Excellent</v>
      </c>
      <c r="P4186" t="str">
        <f t="shared" si="392"/>
        <v>High</v>
      </c>
      <c r="Q4186" t="str">
        <f t="shared" si="393"/>
        <v>Low Loan</v>
      </c>
      <c r="R4186">
        <f t="shared" si="394"/>
        <v>7600000</v>
      </c>
      <c r="S4186" t="str">
        <f t="shared" si="395"/>
        <v>Moderate</v>
      </c>
    </row>
    <row r="4187" spans="1:19" x14ac:dyDescent="0.25">
      <c r="A4187">
        <v>4186</v>
      </c>
      <c r="B4187">
        <v>4</v>
      </c>
      <c r="C4187" t="s">
        <v>31</v>
      </c>
      <c r="D4187" t="s">
        <v>32</v>
      </c>
      <c r="E4187">
        <v>3500000</v>
      </c>
      <c r="F4187">
        <v>9500000</v>
      </c>
      <c r="G4187">
        <v>2</v>
      </c>
      <c r="H4187">
        <v>655</v>
      </c>
      <c r="I4187">
        <v>9900000</v>
      </c>
      <c r="J4187">
        <v>6600000</v>
      </c>
      <c r="K4187">
        <v>9400000</v>
      </c>
      <c r="L4187">
        <v>3100000</v>
      </c>
      <c r="M4187" t="s">
        <v>34</v>
      </c>
      <c r="N4187">
        <f t="shared" si="391"/>
        <v>1</v>
      </c>
      <c r="O4187" t="str">
        <f t="shared" si="390"/>
        <v>Medium</v>
      </c>
      <c r="P4187" t="str">
        <f t="shared" si="392"/>
        <v>High</v>
      </c>
      <c r="Q4187" t="str">
        <f t="shared" si="393"/>
        <v>Low Loan</v>
      </c>
      <c r="R4187">
        <f t="shared" si="394"/>
        <v>29000000</v>
      </c>
      <c r="S4187" t="str">
        <f t="shared" si="395"/>
        <v>Strong</v>
      </c>
    </row>
    <row r="4188" spans="1:19" x14ac:dyDescent="0.25">
      <c r="A4188">
        <v>4187</v>
      </c>
      <c r="B4188">
        <v>3</v>
      </c>
      <c r="C4188" t="s">
        <v>31</v>
      </c>
      <c r="D4188" t="s">
        <v>33</v>
      </c>
      <c r="E4188">
        <v>4000000</v>
      </c>
      <c r="F4188">
        <v>8600000</v>
      </c>
      <c r="G4188">
        <v>4</v>
      </c>
      <c r="H4188">
        <v>667</v>
      </c>
      <c r="I4188">
        <v>11500000</v>
      </c>
      <c r="J4188">
        <v>6300000</v>
      </c>
      <c r="K4188">
        <v>15300000</v>
      </c>
      <c r="L4188">
        <v>3500000</v>
      </c>
      <c r="M4188" t="s">
        <v>34</v>
      </c>
      <c r="N4188">
        <f t="shared" si="391"/>
        <v>1</v>
      </c>
      <c r="O4188" t="str">
        <f t="shared" si="390"/>
        <v>Medium</v>
      </c>
      <c r="P4188" t="str">
        <f t="shared" si="392"/>
        <v>High</v>
      </c>
      <c r="Q4188" t="str">
        <f t="shared" si="393"/>
        <v>Low Loan</v>
      </c>
      <c r="R4188">
        <f t="shared" si="394"/>
        <v>36600000</v>
      </c>
      <c r="S4188" t="str">
        <f t="shared" si="395"/>
        <v>Strong</v>
      </c>
    </row>
    <row r="4189" spans="1:19" x14ac:dyDescent="0.25">
      <c r="A4189">
        <v>4188</v>
      </c>
      <c r="B4189">
        <v>3</v>
      </c>
      <c r="C4189" t="s">
        <v>31</v>
      </c>
      <c r="D4189" t="s">
        <v>32</v>
      </c>
      <c r="E4189">
        <v>4100000</v>
      </c>
      <c r="F4189">
        <v>14100000</v>
      </c>
      <c r="G4189">
        <v>8</v>
      </c>
      <c r="H4189">
        <v>367</v>
      </c>
      <c r="I4189">
        <v>900000</v>
      </c>
      <c r="J4189">
        <v>800000</v>
      </c>
      <c r="K4189">
        <v>8900000</v>
      </c>
      <c r="L4189">
        <v>5300000</v>
      </c>
      <c r="M4189" t="s">
        <v>35</v>
      </c>
      <c r="N4189">
        <f t="shared" si="391"/>
        <v>0</v>
      </c>
      <c r="O4189" t="str">
        <f t="shared" si="390"/>
        <v>Low</v>
      </c>
      <c r="P4189" t="str">
        <f t="shared" si="392"/>
        <v>High</v>
      </c>
      <c r="Q4189" t="str">
        <f t="shared" si="393"/>
        <v>Low Loan</v>
      </c>
      <c r="R4189">
        <f t="shared" si="394"/>
        <v>15900000</v>
      </c>
      <c r="S4189" t="str">
        <f t="shared" si="395"/>
        <v>Strong</v>
      </c>
    </row>
    <row r="4190" spans="1:19" x14ac:dyDescent="0.25">
      <c r="A4190">
        <v>4189</v>
      </c>
      <c r="B4190">
        <v>4</v>
      </c>
      <c r="C4190" t="s">
        <v>30</v>
      </c>
      <c r="D4190" t="s">
        <v>32</v>
      </c>
      <c r="E4190">
        <v>5800000</v>
      </c>
      <c r="F4190">
        <v>18500000</v>
      </c>
      <c r="G4190">
        <v>16</v>
      </c>
      <c r="H4190">
        <v>436</v>
      </c>
      <c r="I4190">
        <v>1400000</v>
      </c>
      <c r="J4190">
        <v>5500000</v>
      </c>
      <c r="K4190">
        <v>17100000</v>
      </c>
      <c r="L4190">
        <v>6500000</v>
      </c>
      <c r="M4190" t="s">
        <v>35</v>
      </c>
      <c r="N4190">
        <f t="shared" si="391"/>
        <v>0</v>
      </c>
      <c r="O4190" t="str">
        <f t="shared" si="390"/>
        <v>Low</v>
      </c>
      <c r="P4190" t="str">
        <f t="shared" si="392"/>
        <v>High</v>
      </c>
      <c r="Q4190" t="str">
        <f t="shared" si="393"/>
        <v>Low Loan</v>
      </c>
      <c r="R4190">
        <f t="shared" si="394"/>
        <v>30500000</v>
      </c>
      <c r="S4190" t="str">
        <f t="shared" si="395"/>
        <v>Strong</v>
      </c>
    </row>
    <row r="4191" spans="1:19" x14ac:dyDescent="0.25">
      <c r="A4191">
        <v>4190</v>
      </c>
      <c r="B4191">
        <v>4</v>
      </c>
      <c r="C4191" t="s">
        <v>30</v>
      </c>
      <c r="D4191" t="s">
        <v>33</v>
      </c>
      <c r="E4191">
        <v>8600000</v>
      </c>
      <c r="F4191">
        <v>23300000</v>
      </c>
      <c r="G4191">
        <v>12</v>
      </c>
      <c r="H4191">
        <v>785</v>
      </c>
      <c r="I4191">
        <v>18800000</v>
      </c>
      <c r="J4191">
        <v>3800000</v>
      </c>
      <c r="K4191">
        <v>23500000</v>
      </c>
      <c r="L4191">
        <v>4500000</v>
      </c>
      <c r="M4191" t="s">
        <v>34</v>
      </c>
      <c r="N4191">
        <f t="shared" si="391"/>
        <v>1</v>
      </c>
      <c r="O4191" t="str">
        <f t="shared" si="390"/>
        <v>Excellent</v>
      </c>
      <c r="P4191" t="str">
        <f t="shared" si="392"/>
        <v>High</v>
      </c>
      <c r="Q4191" t="str">
        <f t="shared" si="393"/>
        <v>High Loan</v>
      </c>
      <c r="R4191">
        <f t="shared" si="394"/>
        <v>50600000</v>
      </c>
      <c r="S4191" t="str">
        <f t="shared" si="395"/>
        <v>Strong</v>
      </c>
    </row>
    <row r="4192" spans="1:19" x14ac:dyDescent="0.25">
      <c r="A4192">
        <v>4191</v>
      </c>
      <c r="B4192">
        <v>2</v>
      </c>
      <c r="C4192" t="s">
        <v>30</v>
      </c>
      <c r="D4192" t="s">
        <v>32</v>
      </c>
      <c r="E4192">
        <v>4500000</v>
      </c>
      <c r="F4192">
        <v>11400000</v>
      </c>
      <c r="G4192">
        <v>10</v>
      </c>
      <c r="H4192">
        <v>388</v>
      </c>
      <c r="I4192">
        <v>11600000</v>
      </c>
      <c r="J4192">
        <v>3000000</v>
      </c>
      <c r="K4192">
        <v>14300000</v>
      </c>
      <c r="L4192">
        <v>2900000</v>
      </c>
      <c r="M4192" t="s">
        <v>35</v>
      </c>
      <c r="N4192">
        <f t="shared" si="391"/>
        <v>0</v>
      </c>
      <c r="O4192" t="str">
        <f t="shared" si="390"/>
        <v>Low</v>
      </c>
      <c r="P4192" t="str">
        <f t="shared" si="392"/>
        <v>High</v>
      </c>
      <c r="Q4192" t="str">
        <f t="shared" si="393"/>
        <v>Low Loan</v>
      </c>
      <c r="R4192">
        <f t="shared" si="394"/>
        <v>31800000</v>
      </c>
      <c r="S4192" t="str">
        <f t="shared" si="395"/>
        <v>Strong</v>
      </c>
    </row>
    <row r="4193" spans="1:19" x14ac:dyDescent="0.25">
      <c r="A4193">
        <v>4192</v>
      </c>
      <c r="B4193">
        <v>2</v>
      </c>
      <c r="C4193" t="s">
        <v>30</v>
      </c>
      <c r="D4193" t="s">
        <v>33</v>
      </c>
      <c r="E4193">
        <v>9900000</v>
      </c>
      <c r="F4193">
        <v>37300000</v>
      </c>
      <c r="G4193">
        <v>8</v>
      </c>
      <c r="H4193">
        <v>385</v>
      </c>
      <c r="I4193">
        <v>600000</v>
      </c>
      <c r="J4193">
        <v>900000</v>
      </c>
      <c r="K4193">
        <v>27400000</v>
      </c>
      <c r="L4193">
        <v>14200000</v>
      </c>
      <c r="M4193" t="s">
        <v>35</v>
      </c>
      <c r="N4193">
        <f t="shared" si="391"/>
        <v>0</v>
      </c>
      <c r="O4193" t="str">
        <f t="shared" si="390"/>
        <v>Low</v>
      </c>
      <c r="P4193" t="str">
        <f t="shared" si="392"/>
        <v>High</v>
      </c>
      <c r="Q4193" t="str">
        <f t="shared" si="393"/>
        <v>High Loan</v>
      </c>
      <c r="R4193">
        <f t="shared" si="394"/>
        <v>43100000</v>
      </c>
      <c r="S4193" t="str">
        <f t="shared" si="395"/>
        <v>Strong</v>
      </c>
    </row>
    <row r="4194" spans="1:19" x14ac:dyDescent="0.25">
      <c r="A4194">
        <v>4193</v>
      </c>
      <c r="B4194">
        <v>1</v>
      </c>
      <c r="C4194" t="s">
        <v>31</v>
      </c>
      <c r="D4194" t="s">
        <v>33</v>
      </c>
      <c r="E4194">
        <v>3200000</v>
      </c>
      <c r="F4194">
        <v>8100000</v>
      </c>
      <c r="G4194">
        <v>10</v>
      </c>
      <c r="H4194">
        <v>670</v>
      </c>
      <c r="I4194">
        <v>9100000</v>
      </c>
      <c r="J4194">
        <v>3800000</v>
      </c>
      <c r="K4194">
        <v>9200000</v>
      </c>
      <c r="L4194">
        <v>1900000</v>
      </c>
      <c r="M4194" t="s">
        <v>34</v>
      </c>
      <c r="N4194">
        <f t="shared" si="391"/>
        <v>1</v>
      </c>
      <c r="O4194" t="str">
        <f t="shared" si="390"/>
        <v>Medium</v>
      </c>
      <c r="P4194" t="str">
        <f t="shared" si="392"/>
        <v>High</v>
      </c>
      <c r="Q4194" t="str">
        <f t="shared" si="393"/>
        <v>Low Loan</v>
      </c>
      <c r="R4194">
        <f t="shared" si="394"/>
        <v>24000000</v>
      </c>
      <c r="S4194" t="str">
        <f t="shared" si="395"/>
        <v>Strong</v>
      </c>
    </row>
    <row r="4195" spans="1:19" x14ac:dyDescent="0.25">
      <c r="A4195">
        <v>4194</v>
      </c>
      <c r="B4195">
        <v>5</v>
      </c>
      <c r="C4195" t="s">
        <v>30</v>
      </c>
      <c r="D4195" t="s">
        <v>33</v>
      </c>
      <c r="E4195">
        <v>8900000</v>
      </c>
      <c r="F4195">
        <v>19100000</v>
      </c>
      <c r="G4195">
        <v>20</v>
      </c>
      <c r="H4195">
        <v>329</v>
      </c>
      <c r="I4195">
        <v>13300000</v>
      </c>
      <c r="J4195">
        <v>11400000</v>
      </c>
      <c r="K4195">
        <v>29500000</v>
      </c>
      <c r="L4195">
        <v>10000000</v>
      </c>
      <c r="M4195" t="s">
        <v>35</v>
      </c>
      <c r="N4195">
        <f t="shared" si="391"/>
        <v>0</v>
      </c>
      <c r="O4195" t="str">
        <f t="shared" si="390"/>
        <v>Low</v>
      </c>
      <c r="P4195" t="str">
        <f t="shared" si="392"/>
        <v>High</v>
      </c>
      <c r="Q4195" t="str">
        <f t="shared" si="393"/>
        <v>Low Loan</v>
      </c>
      <c r="R4195">
        <f t="shared" si="394"/>
        <v>64200000</v>
      </c>
      <c r="S4195" t="str">
        <f t="shared" si="395"/>
        <v>Strong</v>
      </c>
    </row>
    <row r="4196" spans="1:19" x14ac:dyDescent="0.25">
      <c r="A4196">
        <v>4195</v>
      </c>
      <c r="B4196">
        <v>5</v>
      </c>
      <c r="C4196" t="s">
        <v>31</v>
      </c>
      <c r="D4196" t="s">
        <v>33</v>
      </c>
      <c r="E4196">
        <v>2100000</v>
      </c>
      <c r="F4196">
        <v>4900000</v>
      </c>
      <c r="G4196">
        <v>12</v>
      </c>
      <c r="H4196">
        <v>651</v>
      </c>
      <c r="I4196">
        <v>2500000</v>
      </c>
      <c r="J4196">
        <v>2100000</v>
      </c>
      <c r="K4196">
        <v>6100000</v>
      </c>
      <c r="L4196">
        <v>1800000</v>
      </c>
      <c r="M4196" t="s">
        <v>34</v>
      </c>
      <c r="N4196">
        <f t="shared" si="391"/>
        <v>1</v>
      </c>
      <c r="O4196" t="str">
        <f t="shared" si="390"/>
        <v>Medium</v>
      </c>
      <c r="P4196" t="str">
        <f t="shared" si="392"/>
        <v>High</v>
      </c>
      <c r="Q4196" t="str">
        <f t="shared" si="393"/>
        <v>Low Loan</v>
      </c>
      <c r="R4196">
        <f t="shared" si="394"/>
        <v>12500000</v>
      </c>
      <c r="S4196" t="str">
        <f t="shared" si="395"/>
        <v>Strong</v>
      </c>
    </row>
    <row r="4197" spans="1:19" x14ac:dyDescent="0.25">
      <c r="A4197">
        <v>4196</v>
      </c>
      <c r="B4197">
        <v>1</v>
      </c>
      <c r="C4197" t="s">
        <v>30</v>
      </c>
      <c r="D4197" t="s">
        <v>32</v>
      </c>
      <c r="E4197">
        <v>7100000</v>
      </c>
      <c r="F4197">
        <v>26000000</v>
      </c>
      <c r="G4197">
        <v>16</v>
      </c>
      <c r="H4197">
        <v>727</v>
      </c>
      <c r="I4197">
        <v>4300000</v>
      </c>
      <c r="J4197">
        <v>9500000</v>
      </c>
      <c r="K4197">
        <v>18900000</v>
      </c>
      <c r="L4197">
        <v>8900000</v>
      </c>
      <c r="M4197" t="s">
        <v>34</v>
      </c>
      <c r="N4197">
        <f t="shared" si="391"/>
        <v>1</v>
      </c>
      <c r="O4197" t="str">
        <f t="shared" si="390"/>
        <v>Good</v>
      </c>
      <c r="P4197" t="str">
        <f t="shared" si="392"/>
        <v>High</v>
      </c>
      <c r="Q4197" t="str">
        <f t="shared" si="393"/>
        <v>High Loan</v>
      </c>
      <c r="R4197">
        <f t="shared" si="394"/>
        <v>41600000</v>
      </c>
      <c r="S4197" t="str">
        <f t="shared" si="395"/>
        <v>Strong</v>
      </c>
    </row>
    <row r="4198" spans="1:19" x14ac:dyDescent="0.25">
      <c r="A4198">
        <v>4197</v>
      </c>
      <c r="B4198">
        <v>2</v>
      </c>
      <c r="C4198" t="s">
        <v>30</v>
      </c>
      <c r="D4198" t="s">
        <v>33</v>
      </c>
      <c r="E4198">
        <v>7800000</v>
      </c>
      <c r="F4198">
        <v>28900000</v>
      </c>
      <c r="G4198">
        <v>14</v>
      </c>
      <c r="H4198">
        <v>646</v>
      </c>
      <c r="I4198">
        <v>1800000</v>
      </c>
      <c r="J4198">
        <v>1800000</v>
      </c>
      <c r="K4198">
        <v>17700000</v>
      </c>
      <c r="L4198">
        <v>11000000</v>
      </c>
      <c r="M4198" t="s">
        <v>34</v>
      </c>
      <c r="N4198">
        <f t="shared" si="391"/>
        <v>1</v>
      </c>
      <c r="O4198" t="str">
        <f t="shared" si="390"/>
        <v>Low</v>
      </c>
      <c r="P4198" t="str">
        <f t="shared" si="392"/>
        <v>High</v>
      </c>
      <c r="Q4198" t="str">
        <f t="shared" si="393"/>
        <v>High Loan</v>
      </c>
      <c r="R4198">
        <f t="shared" si="394"/>
        <v>32300000</v>
      </c>
      <c r="S4198" t="str">
        <f t="shared" si="395"/>
        <v>Strong</v>
      </c>
    </row>
    <row r="4199" spans="1:19" x14ac:dyDescent="0.25">
      <c r="A4199">
        <v>4198</v>
      </c>
      <c r="B4199">
        <v>3</v>
      </c>
      <c r="C4199" t="s">
        <v>31</v>
      </c>
      <c r="D4199" t="s">
        <v>33</v>
      </c>
      <c r="E4199">
        <v>8600000</v>
      </c>
      <c r="F4199">
        <v>23200000</v>
      </c>
      <c r="G4199">
        <v>12</v>
      </c>
      <c r="H4199">
        <v>894</v>
      </c>
      <c r="I4199">
        <v>22100000</v>
      </c>
      <c r="J4199">
        <v>13900000</v>
      </c>
      <c r="K4199">
        <v>29200000</v>
      </c>
      <c r="L4199">
        <v>4500000</v>
      </c>
      <c r="M4199" t="s">
        <v>34</v>
      </c>
      <c r="N4199">
        <f t="shared" si="391"/>
        <v>1</v>
      </c>
      <c r="O4199" t="str">
        <f t="shared" si="390"/>
        <v>Excellent</v>
      </c>
      <c r="P4199" t="str">
        <f t="shared" si="392"/>
        <v>High</v>
      </c>
      <c r="Q4199" t="str">
        <f t="shared" si="393"/>
        <v>High Loan</v>
      </c>
      <c r="R4199">
        <f t="shared" si="394"/>
        <v>69700000</v>
      </c>
      <c r="S4199" t="str">
        <f t="shared" si="395"/>
        <v>Strong</v>
      </c>
    </row>
    <row r="4200" spans="1:19" x14ac:dyDescent="0.25">
      <c r="A4200">
        <v>4199</v>
      </c>
      <c r="B4200">
        <v>3</v>
      </c>
      <c r="C4200" t="s">
        <v>30</v>
      </c>
      <c r="D4200" t="s">
        <v>33</v>
      </c>
      <c r="E4200">
        <v>5100000</v>
      </c>
      <c r="F4200">
        <v>17000000</v>
      </c>
      <c r="G4200">
        <v>10</v>
      </c>
      <c r="H4200">
        <v>477</v>
      </c>
      <c r="I4200">
        <v>1700000</v>
      </c>
      <c r="J4200">
        <v>3300000</v>
      </c>
      <c r="K4200">
        <v>13700000</v>
      </c>
      <c r="L4200">
        <v>6300000</v>
      </c>
      <c r="M4200" t="s">
        <v>35</v>
      </c>
      <c r="N4200">
        <f t="shared" si="391"/>
        <v>0</v>
      </c>
      <c r="O4200" t="str">
        <f t="shared" si="390"/>
        <v>Low</v>
      </c>
      <c r="P4200" t="str">
        <f t="shared" si="392"/>
        <v>High</v>
      </c>
      <c r="Q4200" t="str">
        <f t="shared" si="393"/>
        <v>Low Loan</v>
      </c>
      <c r="R4200">
        <f t="shared" si="394"/>
        <v>25000000</v>
      </c>
      <c r="S4200" t="str">
        <f t="shared" si="395"/>
        <v>Strong</v>
      </c>
    </row>
    <row r="4201" spans="1:19" x14ac:dyDescent="0.25">
      <c r="A4201">
        <v>4200</v>
      </c>
      <c r="B4201">
        <v>5</v>
      </c>
      <c r="C4201" t="s">
        <v>31</v>
      </c>
      <c r="D4201" t="s">
        <v>32</v>
      </c>
      <c r="E4201">
        <v>600000</v>
      </c>
      <c r="F4201">
        <v>2000000</v>
      </c>
      <c r="G4201">
        <v>20</v>
      </c>
      <c r="H4201">
        <v>811</v>
      </c>
      <c r="I4201">
        <v>300000</v>
      </c>
      <c r="J4201">
        <v>400000</v>
      </c>
      <c r="K4201">
        <v>1900000</v>
      </c>
      <c r="L4201">
        <v>600000</v>
      </c>
      <c r="M4201" t="s">
        <v>34</v>
      </c>
      <c r="N4201">
        <f t="shared" si="391"/>
        <v>1</v>
      </c>
      <c r="O4201" t="str">
        <f t="shared" si="390"/>
        <v>Excellent</v>
      </c>
      <c r="P4201" t="str">
        <f t="shared" si="392"/>
        <v>Middle</v>
      </c>
      <c r="Q4201" t="str">
        <f t="shared" si="393"/>
        <v>Low Loan</v>
      </c>
      <c r="R4201">
        <f t="shared" si="394"/>
        <v>3200000</v>
      </c>
      <c r="S4201" t="str">
        <f t="shared" si="395"/>
        <v>Weak</v>
      </c>
    </row>
    <row r="4202" spans="1:19" x14ac:dyDescent="0.25">
      <c r="A4202">
        <v>4201</v>
      </c>
      <c r="B4202">
        <v>0</v>
      </c>
      <c r="C4202" t="s">
        <v>30</v>
      </c>
      <c r="D4202" t="s">
        <v>33</v>
      </c>
      <c r="E4202">
        <v>6600000</v>
      </c>
      <c r="F4202">
        <v>21200000</v>
      </c>
      <c r="G4202">
        <v>18</v>
      </c>
      <c r="H4202">
        <v>377</v>
      </c>
      <c r="I4202">
        <v>1000000</v>
      </c>
      <c r="J4202">
        <v>9600000</v>
      </c>
      <c r="K4202">
        <v>14800000</v>
      </c>
      <c r="L4202">
        <v>9500000</v>
      </c>
      <c r="M4202" t="s">
        <v>35</v>
      </c>
      <c r="N4202">
        <f t="shared" si="391"/>
        <v>0</v>
      </c>
      <c r="O4202" t="str">
        <f t="shared" si="390"/>
        <v>Low</v>
      </c>
      <c r="P4202" t="str">
        <f t="shared" si="392"/>
        <v>High</v>
      </c>
      <c r="Q4202" t="str">
        <f t="shared" si="393"/>
        <v>High Loan</v>
      </c>
      <c r="R4202">
        <f t="shared" si="394"/>
        <v>34900000</v>
      </c>
      <c r="S4202" t="str">
        <f t="shared" si="395"/>
        <v>Strong</v>
      </c>
    </row>
    <row r="4203" spans="1:19" x14ac:dyDescent="0.25">
      <c r="A4203">
        <v>4202</v>
      </c>
      <c r="B4203">
        <v>0</v>
      </c>
      <c r="C4203" t="s">
        <v>31</v>
      </c>
      <c r="D4203" t="s">
        <v>33</v>
      </c>
      <c r="E4203">
        <v>4700000</v>
      </c>
      <c r="F4203">
        <v>17000000</v>
      </c>
      <c r="G4203">
        <v>18</v>
      </c>
      <c r="H4203">
        <v>802</v>
      </c>
      <c r="I4203">
        <v>3600000</v>
      </c>
      <c r="J4203">
        <v>1600000</v>
      </c>
      <c r="K4203">
        <v>17800000</v>
      </c>
      <c r="L4203">
        <v>2700000</v>
      </c>
      <c r="M4203" t="s">
        <v>34</v>
      </c>
      <c r="N4203">
        <f t="shared" si="391"/>
        <v>1</v>
      </c>
      <c r="O4203" t="str">
        <f t="shared" si="390"/>
        <v>Excellent</v>
      </c>
      <c r="P4203" t="str">
        <f t="shared" si="392"/>
        <v>High</v>
      </c>
      <c r="Q4203" t="str">
        <f t="shared" si="393"/>
        <v>Low Loan</v>
      </c>
      <c r="R4203">
        <f t="shared" si="394"/>
        <v>25700000</v>
      </c>
      <c r="S4203" t="str">
        <f t="shared" si="395"/>
        <v>Strong</v>
      </c>
    </row>
    <row r="4204" spans="1:19" x14ac:dyDescent="0.25">
      <c r="A4204">
        <v>4203</v>
      </c>
      <c r="B4204">
        <v>2</v>
      </c>
      <c r="C4204" t="s">
        <v>30</v>
      </c>
      <c r="D4204" t="s">
        <v>33</v>
      </c>
      <c r="E4204">
        <v>7700000</v>
      </c>
      <c r="F4204">
        <v>19700000</v>
      </c>
      <c r="G4204">
        <v>14</v>
      </c>
      <c r="H4204">
        <v>885</v>
      </c>
      <c r="I4204">
        <v>19900000</v>
      </c>
      <c r="J4204">
        <v>14600000</v>
      </c>
      <c r="K4204">
        <v>22000000</v>
      </c>
      <c r="L4204">
        <v>8000000</v>
      </c>
      <c r="M4204" t="s">
        <v>34</v>
      </c>
      <c r="N4204">
        <f t="shared" si="391"/>
        <v>1</v>
      </c>
      <c r="O4204" t="str">
        <f t="shared" si="390"/>
        <v>Excellent</v>
      </c>
      <c r="P4204" t="str">
        <f t="shared" si="392"/>
        <v>High</v>
      </c>
      <c r="Q4204" t="str">
        <f t="shared" si="393"/>
        <v>Low Loan</v>
      </c>
      <c r="R4204">
        <f t="shared" si="394"/>
        <v>64500000</v>
      </c>
      <c r="S4204" t="str">
        <f t="shared" si="395"/>
        <v>Strong</v>
      </c>
    </row>
    <row r="4205" spans="1:19" x14ac:dyDescent="0.25">
      <c r="A4205">
        <v>4204</v>
      </c>
      <c r="B4205">
        <v>4</v>
      </c>
      <c r="C4205" t="s">
        <v>30</v>
      </c>
      <c r="D4205" t="s">
        <v>33</v>
      </c>
      <c r="E4205">
        <v>6400000</v>
      </c>
      <c r="F4205">
        <v>21900000</v>
      </c>
      <c r="G4205">
        <v>6</v>
      </c>
      <c r="H4205">
        <v>437</v>
      </c>
      <c r="I4205">
        <v>7000000</v>
      </c>
      <c r="J4205">
        <v>10000000</v>
      </c>
      <c r="K4205">
        <v>24600000</v>
      </c>
      <c r="L4205">
        <v>4100000</v>
      </c>
      <c r="M4205" t="s">
        <v>35</v>
      </c>
      <c r="N4205">
        <f t="shared" si="391"/>
        <v>0</v>
      </c>
      <c r="O4205" t="str">
        <f t="shared" si="390"/>
        <v>Low</v>
      </c>
      <c r="P4205" t="str">
        <f t="shared" si="392"/>
        <v>High</v>
      </c>
      <c r="Q4205" t="str">
        <f t="shared" si="393"/>
        <v>High Loan</v>
      </c>
      <c r="R4205">
        <f t="shared" si="394"/>
        <v>45700000</v>
      </c>
      <c r="S4205" t="str">
        <f t="shared" si="395"/>
        <v>Strong</v>
      </c>
    </row>
    <row r="4206" spans="1:19" x14ac:dyDescent="0.25">
      <c r="A4206">
        <v>4205</v>
      </c>
      <c r="B4206">
        <v>2</v>
      </c>
      <c r="C4206" t="s">
        <v>30</v>
      </c>
      <c r="D4206" t="s">
        <v>32</v>
      </c>
      <c r="E4206">
        <v>1100000</v>
      </c>
      <c r="F4206">
        <v>2500000</v>
      </c>
      <c r="G4206">
        <v>20</v>
      </c>
      <c r="H4206">
        <v>615</v>
      </c>
      <c r="I4206">
        <v>2800000</v>
      </c>
      <c r="J4206">
        <v>1700000</v>
      </c>
      <c r="K4206">
        <v>2300000</v>
      </c>
      <c r="L4206">
        <v>1300000</v>
      </c>
      <c r="M4206" t="s">
        <v>34</v>
      </c>
      <c r="N4206">
        <f t="shared" si="391"/>
        <v>1</v>
      </c>
      <c r="O4206" t="str">
        <f t="shared" si="390"/>
        <v>Low</v>
      </c>
      <c r="P4206" t="str">
        <f t="shared" si="392"/>
        <v>High</v>
      </c>
      <c r="Q4206" t="str">
        <f t="shared" si="393"/>
        <v>Low Loan</v>
      </c>
      <c r="R4206">
        <f t="shared" si="394"/>
        <v>8100000</v>
      </c>
      <c r="S4206" t="str">
        <f t="shared" si="395"/>
        <v>Moderate</v>
      </c>
    </row>
    <row r="4207" spans="1:19" x14ac:dyDescent="0.25">
      <c r="A4207">
        <v>4206</v>
      </c>
      <c r="B4207">
        <v>2</v>
      </c>
      <c r="C4207" t="s">
        <v>31</v>
      </c>
      <c r="D4207" t="s">
        <v>32</v>
      </c>
      <c r="E4207">
        <v>8900000</v>
      </c>
      <c r="F4207">
        <v>17800000</v>
      </c>
      <c r="G4207">
        <v>20</v>
      </c>
      <c r="H4207">
        <v>603</v>
      </c>
      <c r="I4207">
        <v>3300000</v>
      </c>
      <c r="J4207">
        <v>17600000</v>
      </c>
      <c r="K4207">
        <v>29000000</v>
      </c>
      <c r="L4207">
        <v>13100000</v>
      </c>
      <c r="M4207" t="s">
        <v>34</v>
      </c>
      <c r="N4207">
        <f t="shared" si="391"/>
        <v>1</v>
      </c>
      <c r="O4207" t="str">
        <f t="shared" si="390"/>
        <v>Low</v>
      </c>
      <c r="P4207" t="str">
        <f t="shared" si="392"/>
        <v>High</v>
      </c>
      <c r="Q4207" t="str">
        <f t="shared" si="393"/>
        <v>Low Loan</v>
      </c>
      <c r="R4207">
        <f t="shared" si="394"/>
        <v>63000000</v>
      </c>
      <c r="S4207" t="str">
        <f t="shared" si="395"/>
        <v>Strong</v>
      </c>
    </row>
    <row r="4208" spans="1:19" x14ac:dyDescent="0.25">
      <c r="A4208">
        <v>4207</v>
      </c>
      <c r="B4208">
        <v>0</v>
      </c>
      <c r="C4208" t="s">
        <v>31</v>
      </c>
      <c r="D4208" t="s">
        <v>33</v>
      </c>
      <c r="E4208">
        <v>2100000</v>
      </c>
      <c r="F4208">
        <v>8300000</v>
      </c>
      <c r="G4208">
        <v>20</v>
      </c>
      <c r="H4208">
        <v>765</v>
      </c>
      <c r="I4208">
        <v>-100000</v>
      </c>
      <c r="J4208">
        <v>3600000</v>
      </c>
      <c r="K4208">
        <v>7700000</v>
      </c>
      <c r="L4208">
        <v>2100000</v>
      </c>
      <c r="M4208" t="s">
        <v>34</v>
      </c>
      <c r="N4208">
        <f t="shared" si="391"/>
        <v>1</v>
      </c>
      <c r="O4208" t="str">
        <f t="shared" si="390"/>
        <v>Excellent</v>
      </c>
      <c r="P4208" t="str">
        <f t="shared" si="392"/>
        <v>High</v>
      </c>
      <c r="Q4208" t="str">
        <f t="shared" si="393"/>
        <v>Low Loan</v>
      </c>
      <c r="R4208">
        <f t="shared" si="394"/>
        <v>13300000</v>
      </c>
      <c r="S4208" t="str">
        <f t="shared" si="395"/>
        <v>Strong</v>
      </c>
    </row>
    <row r="4209" spans="1:19" x14ac:dyDescent="0.25">
      <c r="A4209">
        <v>4208</v>
      </c>
      <c r="B4209">
        <v>4</v>
      </c>
      <c r="C4209" t="s">
        <v>31</v>
      </c>
      <c r="D4209" t="s">
        <v>33</v>
      </c>
      <c r="E4209">
        <v>2300000</v>
      </c>
      <c r="F4209">
        <v>5800000</v>
      </c>
      <c r="G4209">
        <v>8</v>
      </c>
      <c r="H4209">
        <v>469</v>
      </c>
      <c r="I4209">
        <v>6100000</v>
      </c>
      <c r="J4209">
        <v>4200000</v>
      </c>
      <c r="K4209">
        <v>7900000</v>
      </c>
      <c r="L4209">
        <v>2400000</v>
      </c>
      <c r="M4209" t="s">
        <v>35</v>
      </c>
      <c r="N4209">
        <f t="shared" si="391"/>
        <v>0</v>
      </c>
      <c r="O4209" t="str">
        <f t="shared" si="390"/>
        <v>Low</v>
      </c>
      <c r="P4209" t="str">
        <f t="shared" si="392"/>
        <v>High</v>
      </c>
      <c r="Q4209" t="str">
        <f t="shared" si="393"/>
        <v>Low Loan</v>
      </c>
      <c r="R4209">
        <f t="shared" si="394"/>
        <v>20600000</v>
      </c>
      <c r="S4209" t="str">
        <f t="shared" si="395"/>
        <v>Strong</v>
      </c>
    </row>
    <row r="4210" spans="1:19" x14ac:dyDescent="0.25">
      <c r="A4210">
        <v>4209</v>
      </c>
      <c r="B4210">
        <v>3</v>
      </c>
      <c r="C4210" t="s">
        <v>30</v>
      </c>
      <c r="D4210" t="s">
        <v>32</v>
      </c>
      <c r="E4210">
        <v>8300000</v>
      </c>
      <c r="F4210">
        <v>17700000</v>
      </c>
      <c r="G4210">
        <v>16</v>
      </c>
      <c r="H4210">
        <v>848</v>
      </c>
      <c r="I4210">
        <v>10500000</v>
      </c>
      <c r="J4210">
        <v>1100000</v>
      </c>
      <c r="K4210">
        <v>18700000</v>
      </c>
      <c r="L4210">
        <v>5900000</v>
      </c>
      <c r="M4210" t="s">
        <v>34</v>
      </c>
      <c r="N4210">
        <f t="shared" si="391"/>
        <v>1</v>
      </c>
      <c r="O4210" t="str">
        <f t="shared" si="390"/>
        <v>Excellent</v>
      </c>
      <c r="P4210" t="str">
        <f t="shared" si="392"/>
        <v>High</v>
      </c>
      <c r="Q4210" t="str">
        <f t="shared" si="393"/>
        <v>Low Loan</v>
      </c>
      <c r="R4210">
        <f t="shared" si="394"/>
        <v>36200000</v>
      </c>
      <c r="S4210" t="str">
        <f t="shared" si="395"/>
        <v>Strong</v>
      </c>
    </row>
    <row r="4211" spans="1:19" x14ac:dyDescent="0.25">
      <c r="A4211">
        <v>4210</v>
      </c>
      <c r="B4211">
        <v>4</v>
      </c>
      <c r="C4211" t="s">
        <v>30</v>
      </c>
      <c r="D4211" t="s">
        <v>32</v>
      </c>
      <c r="E4211">
        <v>900000</v>
      </c>
      <c r="F4211">
        <v>2700000</v>
      </c>
      <c r="G4211">
        <v>20</v>
      </c>
      <c r="H4211">
        <v>327</v>
      </c>
      <c r="I4211">
        <v>400000</v>
      </c>
      <c r="J4211">
        <v>1200000</v>
      </c>
      <c r="K4211">
        <v>2200000</v>
      </c>
      <c r="L4211">
        <v>1200000</v>
      </c>
      <c r="M4211" t="s">
        <v>35</v>
      </c>
      <c r="N4211">
        <f t="shared" si="391"/>
        <v>0</v>
      </c>
      <c r="O4211" t="str">
        <f t="shared" si="390"/>
        <v>Low</v>
      </c>
      <c r="P4211" t="str">
        <f t="shared" si="392"/>
        <v>High</v>
      </c>
      <c r="Q4211" t="str">
        <f t="shared" si="393"/>
        <v>Low Loan</v>
      </c>
      <c r="R4211">
        <f t="shared" si="394"/>
        <v>5000000</v>
      </c>
      <c r="S4211" t="str">
        <f t="shared" si="395"/>
        <v>Moderate</v>
      </c>
    </row>
    <row r="4212" spans="1:19" x14ac:dyDescent="0.25">
      <c r="A4212">
        <v>4211</v>
      </c>
      <c r="B4212">
        <v>3</v>
      </c>
      <c r="C4212" t="s">
        <v>31</v>
      </c>
      <c r="D4212" t="s">
        <v>33</v>
      </c>
      <c r="E4212">
        <v>9200000</v>
      </c>
      <c r="F4212">
        <v>35000000</v>
      </c>
      <c r="G4212">
        <v>4</v>
      </c>
      <c r="H4212">
        <v>716</v>
      </c>
      <c r="I4212">
        <v>1100000</v>
      </c>
      <c r="J4212">
        <v>10200000</v>
      </c>
      <c r="K4212">
        <v>33600000</v>
      </c>
      <c r="L4212">
        <v>11400000</v>
      </c>
      <c r="M4212" t="s">
        <v>34</v>
      </c>
      <c r="N4212">
        <f t="shared" si="391"/>
        <v>1</v>
      </c>
      <c r="O4212" t="str">
        <f t="shared" si="390"/>
        <v>Good</v>
      </c>
      <c r="P4212" t="str">
        <f t="shared" si="392"/>
        <v>High</v>
      </c>
      <c r="Q4212" t="str">
        <f t="shared" si="393"/>
        <v>High Loan</v>
      </c>
      <c r="R4212">
        <f t="shared" si="394"/>
        <v>56300000</v>
      </c>
      <c r="S4212" t="str">
        <f t="shared" si="395"/>
        <v>Strong</v>
      </c>
    </row>
    <row r="4213" spans="1:19" x14ac:dyDescent="0.25">
      <c r="A4213">
        <v>4212</v>
      </c>
      <c r="B4213">
        <v>3</v>
      </c>
      <c r="C4213" t="s">
        <v>30</v>
      </c>
      <c r="D4213" t="s">
        <v>32</v>
      </c>
      <c r="E4213">
        <v>9800000</v>
      </c>
      <c r="F4213">
        <v>28300000</v>
      </c>
      <c r="G4213">
        <v>2</v>
      </c>
      <c r="H4213">
        <v>715</v>
      </c>
      <c r="I4213">
        <v>19500000</v>
      </c>
      <c r="J4213">
        <v>9600000</v>
      </c>
      <c r="K4213">
        <v>28800000</v>
      </c>
      <c r="L4213">
        <v>9200000</v>
      </c>
      <c r="M4213" t="s">
        <v>34</v>
      </c>
      <c r="N4213">
        <f t="shared" si="391"/>
        <v>1</v>
      </c>
      <c r="O4213" t="str">
        <f t="shared" si="390"/>
        <v>Good</v>
      </c>
      <c r="P4213" t="str">
        <f t="shared" si="392"/>
        <v>High</v>
      </c>
      <c r="Q4213" t="str">
        <f t="shared" si="393"/>
        <v>High Loan</v>
      </c>
      <c r="R4213">
        <f t="shared" si="394"/>
        <v>67100000</v>
      </c>
      <c r="S4213" t="str">
        <f t="shared" si="395"/>
        <v>Strong</v>
      </c>
    </row>
    <row r="4214" spans="1:19" x14ac:dyDescent="0.25">
      <c r="A4214">
        <v>4213</v>
      </c>
      <c r="B4214">
        <v>0</v>
      </c>
      <c r="C4214" t="s">
        <v>31</v>
      </c>
      <c r="D4214" t="s">
        <v>32</v>
      </c>
      <c r="E4214">
        <v>200000</v>
      </c>
      <c r="F4214">
        <v>600000</v>
      </c>
      <c r="G4214">
        <v>12</v>
      </c>
      <c r="H4214">
        <v>683</v>
      </c>
      <c r="I4214">
        <v>400000</v>
      </c>
      <c r="J4214">
        <v>200000</v>
      </c>
      <c r="K4214">
        <v>400000</v>
      </c>
      <c r="L4214">
        <v>0</v>
      </c>
      <c r="M4214" t="s">
        <v>34</v>
      </c>
      <c r="N4214">
        <f t="shared" si="391"/>
        <v>1</v>
      </c>
      <c r="O4214" t="str">
        <f t="shared" si="390"/>
        <v>Medium</v>
      </c>
      <c r="P4214" t="str">
        <f t="shared" si="392"/>
        <v>Low</v>
      </c>
      <c r="Q4214" t="str">
        <f t="shared" si="393"/>
        <v>Low Loan</v>
      </c>
      <c r="R4214">
        <f t="shared" si="394"/>
        <v>1000000</v>
      </c>
      <c r="S4214" t="str">
        <f t="shared" si="395"/>
        <v>Weak</v>
      </c>
    </row>
    <row r="4215" spans="1:19" x14ac:dyDescent="0.25">
      <c r="A4215">
        <v>4214</v>
      </c>
      <c r="B4215">
        <v>2</v>
      </c>
      <c r="C4215" t="s">
        <v>31</v>
      </c>
      <c r="D4215" t="s">
        <v>33</v>
      </c>
      <c r="E4215">
        <v>3200000</v>
      </c>
      <c r="F4215">
        <v>9700000</v>
      </c>
      <c r="G4215">
        <v>6</v>
      </c>
      <c r="H4215">
        <v>737</v>
      </c>
      <c r="I4215">
        <v>7300000</v>
      </c>
      <c r="J4215">
        <v>3500000</v>
      </c>
      <c r="K4215">
        <v>9700000</v>
      </c>
      <c r="L4215">
        <v>2600000</v>
      </c>
      <c r="M4215" t="s">
        <v>34</v>
      </c>
      <c r="N4215">
        <f t="shared" si="391"/>
        <v>1</v>
      </c>
      <c r="O4215" t="str">
        <f t="shared" si="390"/>
        <v>Good</v>
      </c>
      <c r="P4215" t="str">
        <f t="shared" si="392"/>
        <v>High</v>
      </c>
      <c r="Q4215" t="str">
        <f t="shared" si="393"/>
        <v>Low Loan</v>
      </c>
      <c r="R4215">
        <f t="shared" si="394"/>
        <v>23100000</v>
      </c>
      <c r="S4215" t="str">
        <f t="shared" si="395"/>
        <v>Strong</v>
      </c>
    </row>
    <row r="4216" spans="1:19" x14ac:dyDescent="0.25">
      <c r="A4216">
        <v>4215</v>
      </c>
      <c r="B4216">
        <v>5</v>
      </c>
      <c r="C4216" t="s">
        <v>31</v>
      </c>
      <c r="D4216" t="s">
        <v>32</v>
      </c>
      <c r="E4216">
        <v>7800000</v>
      </c>
      <c r="F4216">
        <v>27000000</v>
      </c>
      <c r="G4216">
        <v>6</v>
      </c>
      <c r="H4216">
        <v>728</v>
      </c>
      <c r="I4216">
        <v>4400000</v>
      </c>
      <c r="J4216">
        <v>13100000</v>
      </c>
      <c r="K4216">
        <v>18500000</v>
      </c>
      <c r="L4216">
        <v>7400000</v>
      </c>
      <c r="M4216" t="s">
        <v>34</v>
      </c>
      <c r="N4216">
        <f t="shared" si="391"/>
        <v>1</v>
      </c>
      <c r="O4216" t="str">
        <f t="shared" si="390"/>
        <v>Good</v>
      </c>
      <c r="P4216" t="str">
        <f t="shared" si="392"/>
        <v>High</v>
      </c>
      <c r="Q4216" t="str">
        <f t="shared" si="393"/>
        <v>High Loan</v>
      </c>
      <c r="R4216">
        <f t="shared" si="394"/>
        <v>43400000</v>
      </c>
      <c r="S4216" t="str">
        <f t="shared" si="395"/>
        <v>Strong</v>
      </c>
    </row>
    <row r="4217" spans="1:19" x14ac:dyDescent="0.25">
      <c r="A4217">
        <v>4216</v>
      </c>
      <c r="B4217">
        <v>1</v>
      </c>
      <c r="C4217" t="s">
        <v>30</v>
      </c>
      <c r="D4217" t="s">
        <v>32</v>
      </c>
      <c r="E4217">
        <v>8300000</v>
      </c>
      <c r="F4217">
        <v>30000000</v>
      </c>
      <c r="G4217">
        <v>18</v>
      </c>
      <c r="H4217">
        <v>350</v>
      </c>
      <c r="I4217">
        <v>12800000</v>
      </c>
      <c r="J4217">
        <v>10800000</v>
      </c>
      <c r="K4217">
        <v>23800000</v>
      </c>
      <c r="L4217">
        <v>9400000</v>
      </c>
      <c r="M4217" t="s">
        <v>35</v>
      </c>
      <c r="N4217">
        <f t="shared" si="391"/>
        <v>0</v>
      </c>
      <c r="O4217" t="str">
        <f t="shared" si="390"/>
        <v>Low</v>
      </c>
      <c r="P4217" t="str">
        <f t="shared" si="392"/>
        <v>High</v>
      </c>
      <c r="Q4217" t="str">
        <f t="shared" si="393"/>
        <v>High Loan</v>
      </c>
      <c r="R4217">
        <f t="shared" si="394"/>
        <v>56800000</v>
      </c>
      <c r="S4217" t="str">
        <f t="shared" si="395"/>
        <v>Strong</v>
      </c>
    </row>
    <row r="4218" spans="1:19" x14ac:dyDescent="0.25">
      <c r="A4218">
        <v>4217</v>
      </c>
      <c r="B4218">
        <v>1</v>
      </c>
      <c r="C4218" t="s">
        <v>30</v>
      </c>
      <c r="D4218" t="s">
        <v>33</v>
      </c>
      <c r="E4218">
        <v>2100000</v>
      </c>
      <c r="F4218">
        <v>5200000</v>
      </c>
      <c r="G4218">
        <v>14</v>
      </c>
      <c r="H4218">
        <v>802</v>
      </c>
      <c r="I4218">
        <v>100000</v>
      </c>
      <c r="J4218">
        <v>600000</v>
      </c>
      <c r="K4218">
        <v>6400000</v>
      </c>
      <c r="L4218">
        <v>2500000</v>
      </c>
      <c r="M4218" t="s">
        <v>34</v>
      </c>
      <c r="N4218">
        <f t="shared" si="391"/>
        <v>1</v>
      </c>
      <c r="O4218" t="str">
        <f t="shared" si="390"/>
        <v>Excellent</v>
      </c>
      <c r="P4218" t="str">
        <f t="shared" si="392"/>
        <v>High</v>
      </c>
      <c r="Q4218" t="str">
        <f t="shared" si="393"/>
        <v>Low Loan</v>
      </c>
      <c r="R4218">
        <f t="shared" si="394"/>
        <v>9600000</v>
      </c>
      <c r="S4218" t="str">
        <f t="shared" si="395"/>
        <v>Moderate</v>
      </c>
    </row>
    <row r="4219" spans="1:19" x14ac:dyDescent="0.25">
      <c r="A4219">
        <v>4218</v>
      </c>
      <c r="B4219">
        <v>5</v>
      </c>
      <c r="C4219" t="s">
        <v>31</v>
      </c>
      <c r="D4219" t="s">
        <v>33</v>
      </c>
      <c r="E4219">
        <v>400000</v>
      </c>
      <c r="F4219">
        <v>1400000</v>
      </c>
      <c r="G4219">
        <v>4</v>
      </c>
      <c r="H4219">
        <v>483</v>
      </c>
      <c r="I4219">
        <v>1100000</v>
      </c>
      <c r="J4219">
        <v>700000</v>
      </c>
      <c r="K4219">
        <v>800000</v>
      </c>
      <c r="L4219">
        <v>100000</v>
      </c>
      <c r="M4219" t="s">
        <v>34</v>
      </c>
      <c r="N4219">
        <f t="shared" si="391"/>
        <v>1</v>
      </c>
      <c r="O4219" t="str">
        <f t="shared" si="390"/>
        <v>Low</v>
      </c>
      <c r="P4219" t="str">
        <f t="shared" si="392"/>
        <v>Middle</v>
      </c>
      <c r="Q4219" t="str">
        <f t="shared" si="393"/>
        <v>Low Loan</v>
      </c>
      <c r="R4219">
        <f t="shared" si="394"/>
        <v>2700000</v>
      </c>
      <c r="S4219" t="str">
        <f t="shared" si="395"/>
        <v>Weak</v>
      </c>
    </row>
    <row r="4220" spans="1:19" x14ac:dyDescent="0.25">
      <c r="A4220">
        <v>4219</v>
      </c>
      <c r="B4220">
        <v>3</v>
      </c>
      <c r="C4220" t="s">
        <v>30</v>
      </c>
      <c r="D4220" t="s">
        <v>33</v>
      </c>
      <c r="E4220">
        <v>7700000</v>
      </c>
      <c r="F4220">
        <v>21800000</v>
      </c>
      <c r="G4220">
        <v>18</v>
      </c>
      <c r="H4220">
        <v>684</v>
      </c>
      <c r="I4220">
        <v>100000</v>
      </c>
      <c r="J4220">
        <v>600000</v>
      </c>
      <c r="K4220">
        <v>15600000</v>
      </c>
      <c r="L4220">
        <v>5500000</v>
      </c>
      <c r="M4220" t="s">
        <v>34</v>
      </c>
      <c r="N4220">
        <f t="shared" si="391"/>
        <v>1</v>
      </c>
      <c r="O4220" t="str">
        <f t="shared" si="390"/>
        <v>Medium</v>
      </c>
      <c r="P4220" t="str">
        <f t="shared" si="392"/>
        <v>High</v>
      </c>
      <c r="Q4220" t="str">
        <f t="shared" si="393"/>
        <v>High Loan</v>
      </c>
      <c r="R4220">
        <f t="shared" si="394"/>
        <v>21800000</v>
      </c>
      <c r="S4220" t="str">
        <f t="shared" si="395"/>
        <v>Strong</v>
      </c>
    </row>
    <row r="4221" spans="1:19" x14ac:dyDescent="0.25">
      <c r="A4221">
        <v>4220</v>
      </c>
      <c r="B4221">
        <v>4</v>
      </c>
      <c r="C4221" t="s">
        <v>30</v>
      </c>
      <c r="D4221" t="s">
        <v>33</v>
      </c>
      <c r="E4221">
        <v>5600000</v>
      </c>
      <c r="F4221">
        <v>16500000</v>
      </c>
      <c r="G4221">
        <v>20</v>
      </c>
      <c r="H4221">
        <v>692</v>
      </c>
      <c r="I4221">
        <v>14500000</v>
      </c>
      <c r="J4221">
        <v>7800000</v>
      </c>
      <c r="K4221">
        <v>18000000</v>
      </c>
      <c r="L4221">
        <v>7400000</v>
      </c>
      <c r="M4221" t="s">
        <v>34</v>
      </c>
      <c r="N4221">
        <f t="shared" si="391"/>
        <v>1</v>
      </c>
      <c r="O4221" t="str">
        <f t="shared" si="390"/>
        <v>Medium</v>
      </c>
      <c r="P4221" t="str">
        <f t="shared" si="392"/>
        <v>High</v>
      </c>
      <c r="Q4221" t="str">
        <f t="shared" si="393"/>
        <v>Low Loan</v>
      </c>
      <c r="R4221">
        <f t="shared" si="394"/>
        <v>47700000</v>
      </c>
      <c r="S4221" t="str">
        <f t="shared" si="395"/>
        <v>Strong</v>
      </c>
    </row>
    <row r="4222" spans="1:19" x14ac:dyDescent="0.25">
      <c r="A4222">
        <v>4221</v>
      </c>
      <c r="B4222">
        <v>0</v>
      </c>
      <c r="C4222" t="s">
        <v>30</v>
      </c>
      <c r="D4222" t="s">
        <v>32</v>
      </c>
      <c r="E4222">
        <v>8400000</v>
      </c>
      <c r="F4222">
        <v>31000000</v>
      </c>
      <c r="G4222">
        <v>4</v>
      </c>
      <c r="H4222">
        <v>783</v>
      </c>
      <c r="I4222">
        <v>19000000</v>
      </c>
      <c r="J4222">
        <v>13300000</v>
      </c>
      <c r="K4222">
        <v>30600000</v>
      </c>
      <c r="L4222">
        <v>6900000</v>
      </c>
      <c r="M4222" t="s">
        <v>34</v>
      </c>
      <c r="N4222">
        <f t="shared" si="391"/>
        <v>1</v>
      </c>
      <c r="O4222" t="str">
        <f t="shared" si="390"/>
        <v>Excellent</v>
      </c>
      <c r="P4222" t="str">
        <f t="shared" si="392"/>
        <v>High</v>
      </c>
      <c r="Q4222" t="str">
        <f t="shared" si="393"/>
        <v>High Loan</v>
      </c>
      <c r="R4222">
        <f t="shared" si="394"/>
        <v>69800000</v>
      </c>
      <c r="S4222" t="str">
        <f t="shared" si="395"/>
        <v>Strong</v>
      </c>
    </row>
    <row r="4223" spans="1:19" x14ac:dyDescent="0.25">
      <c r="A4223">
        <v>4222</v>
      </c>
      <c r="B4223">
        <v>3</v>
      </c>
      <c r="C4223" t="s">
        <v>30</v>
      </c>
      <c r="D4223" t="s">
        <v>33</v>
      </c>
      <c r="E4223">
        <v>1300000</v>
      </c>
      <c r="F4223">
        <v>4300000</v>
      </c>
      <c r="G4223">
        <v>18</v>
      </c>
      <c r="H4223">
        <v>412</v>
      </c>
      <c r="I4223">
        <v>600000</v>
      </c>
      <c r="J4223">
        <v>900000</v>
      </c>
      <c r="K4223">
        <v>5200000</v>
      </c>
      <c r="L4223">
        <v>1200000</v>
      </c>
      <c r="M4223" t="s">
        <v>35</v>
      </c>
      <c r="N4223">
        <f t="shared" si="391"/>
        <v>0</v>
      </c>
      <c r="O4223" t="str">
        <f t="shared" si="390"/>
        <v>Low</v>
      </c>
      <c r="P4223" t="str">
        <f t="shared" si="392"/>
        <v>High</v>
      </c>
      <c r="Q4223" t="str">
        <f t="shared" si="393"/>
        <v>Low Loan</v>
      </c>
      <c r="R4223">
        <f t="shared" si="394"/>
        <v>7900000</v>
      </c>
      <c r="S4223" t="str">
        <f t="shared" si="395"/>
        <v>Moderate</v>
      </c>
    </row>
    <row r="4224" spans="1:19" x14ac:dyDescent="0.25">
      <c r="A4224">
        <v>4223</v>
      </c>
      <c r="B4224">
        <v>0</v>
      </c>
      <c r="C4224" t="s">
        <v>31</v>
      </c>
      <c r="D4224" t="s">
        <v>32</v>
      </c>
      <c r="E4224">
        <v>8700000</v>
      </c>
      <c r="F4224">
        <v>30200000</v>
      </c>
      <c r="G4224">
        <v>10</v>
      </c>
      <c r="H4224">
        <v>447</v>
      </c>
      <c r="I4224">
        <v>14200000</v>
      </c>
      <c r="J4224">
        <v>14800000</v>
      </c>
      <c r="K4224">
        <v>28200000</v>
      </c>
      <c r="L4224">
        <v>6100000</v>
      </c>
      <c r="M4224" t="s">
        <v>35</v>
      </c>
      <c r="N4224">
        <f t="shared" si="391"/>
        <v>0</v>
      </c>
      <c r="O4224" t="str">
        <f t="shared" si="390"/>
        <v>Low</v>
      </c>
      <c r="P4224" t="str">
        <f t="shared" si="392"/>
        <v>High</v>
      </c>
      <c r="Q4224" t="str">
        <f t="shared" si="393"/>
        <v>High Loan</v>
      </c>
      <c r="R4224">
        <f t="shared" si="394"/>
        <v>63300000</v>
      </c>
      <c r="S4224" t="str">
        <f t="shared" si="395"/>
        <v>Strong</v>
      </c>
    </row>
    <row r="4225" spans="1:19" x14ac:dyDescent="0.25">
      <c r="A4225">
        <v>4224</v>
      </c>
      <c r="B4225">
        <v>0</v>
      </c>
      <c r="C4225" t="s">
        <v>31</v>
      </c>
      <c r="D4225" t="s">
        <v>32</v>
      </c>
      <c r="E4225">
        <v>2700000</v>
      </c>
      <c r="F4225">
        <v>8400000</v>
      </c>
      <c r="G4225">
        <v>14</v>
      </c>
      <c r="H4225">
        <v>610</v>
      </c>
      <c r="I4225">
        <v>900000</v>
      </c>
      <c r="J4225">
        <v>1900000</v>
      </c>
      <c r="K4225">
        <v>6100000</v>
      </c>
      <c r="L4225">
        <v>2800000</v>
      </c>
      <c r="M4225" t="s">
        <v>34</v>
      </c>
      <c r="N4225">
        <f t="shared" si="391"/>
        <v>1</v>
      </c>
      <c r="O4225" t="str">
        <f t="shared" si="390"/>
        <v>Low</v>
      </c>
      <c r="P4225" t="str">
        <f t="shared" si="392"/>
        <v>High</v>
      </c>
      <c r="Q4225" t="str">
        <f t="shared" si="393"/>
        <v>Low Loan</v>
      </c>
      <c r="R4225">
        <f t="shared" si="394"/>
        <v>11700000</v>
      </c>
      <c r="S4225" t="str">
        <f t="shared" si="395"/>
        <v>Strong</v>
      </c>
    </row>
    <row r="4226" spans="1:19" x14ac:dyDescent="0.25">
      <c r="A4226">
        <v>4225</v>
      </c>
      <c r="B4226">
        <v>5</v>
      </c>
      <c r="C4226" t="s">
        <v>30</v>
      </c>
      <c r="D4226" t="s">
        <v>33</v>
      </c>
      <c r="E4226">
        <v>800000</v>
      </c>
      <c r="F4226">
        <v>1800000</v>
      </c>
      <c r="G4226">
        <v>8</v>
      </c>
      <c r="H4226">
        <v>881</v>
      </c>
      <c r="I4226">
        <v>300000</v>
      </c>
      <c r="J4226">
        <v>1100000</v>
      </c>
      <c r="K4226">
        <v>2600000</v>
      </c>
      <c r="L4226">
        <v>400000</v>
      </c>
      <c r="M4226" t="s">
        <v>34</v>
      </c>
      <c r="N4226">
        <f t="shared" si="391"/>
        <v>1</v>
      </c>
      <c r="O4226" t="str">
        <f t="shared" ref="O4226:O4270" si="396">IF(H4226&lt;650,"Low",
 IF(H4226&lt;700,"Medium",
 IF(H4226&lt;750,"Good","Excellent")))</f>
        <v>Excellent</v>
      </c>
      <c r="P4226" t="str">
        <f t="shared" si="392"/>
        <v>High</v>
      </c>
      <c r="Q4226" t="str">
        <f t="shared" si="393"/>
        <v>Low Loan</v>
      </c>
      <c r="R4226">
        <f t="shared" si="394"/>
        <v>4400000</v>
      </c>
      <c r="S4226" t="str">
        <f t="shared" si="395"/>
        <v>Weak</v>
      </c>
    </row>
    <row r="4227" spans="1:19" x14ac:dyDescent="0.25">
      <c r="A4227">
        <v>4226</v>
      </c>
      <c r="B4227">
        <v>5</v>
      </c>
      <c r="C4227" t="s">
        <v>30</v>
      </c>
      <c r="D4227" t="s">
        <v>33</v>
      </c>
      <c r="E4227">
        <v>3800000</v>
      </c>
      <c r="F4227">
        <v>10300000</v>
      </c>
      <c r="G4227">
        <v>16</v>
      </c>
      <c r="H4227">
        <v>606</v>
      </c>
      <c r="I4227">
        <v>7700000</v>
      </c>
      <c r="J4227">
        <v>1900000</v>
      </c>
      <c r="K4227">
        <v>9900000</v>
      </c>
      <c r="L4227">
        <v>2700000</v>
      </c>
      <c r="M4227" t="s">
        <v>34</v>
      </c>
      <c r="N4227">
        <f t="shared" ref="N4227:N4270" si="397">IF(TRIM(CLEAN(M4227))="Approved",1,0)</f>
        <v>1</v>
      </c>
      <c r="O4227" t="str">
        <f t="shared" si="396"/>
        <v>Low</v>
      </c>
      <c r="P4227" t="str">
        <f t="shared" ref="P4227:P4270" si="398">IF(E4227&lt;300000,"Low",
 IF(E4227&lt;700000,"Middle","High"))</f>
        <v>High</v>
      </c>
      <c r="Q4227" t="str">
        <f t="shared" ref="Q4227:Q4270" si="399">IF(F4227&lt;20000000,"Low Loan","High Loan")</f>
        <v>Low Loan</v>
      </c>
      <c r="R4227">
        <f t="shared" ref="R4227:R4270" si="400">I4227+J4227+K4227+L4227</f>
        <v>22200000</v>
      </c>
      <c r="S4227" t="str">
        <f t="shared" ref="S4227:S4270" si="401">IF(R4227&lt;5000000,"Weak",
 IF(R4227&lt;10000000,"Moderate","Strong"))</f>
        <v>Strong</v>
      </c>
    </row>
    <row r="4228" spans="1:19" x14ac:dyDescent="0.25">
      <c r="A4228">
        <v>4227</v>
      </c>
      <c r="B4228">
        <v>5</v>
      </c>
      <c r="C4228" t="s">
        <v>30</v>
      </c>
      <c r="D4228" t="s">
        <v>33</v>
      </c>
      <c r="E4228">
        <v>700000</v>
      </c>
      <c r="F4228">
        <v>2600000</v>
      </c>
      <c r="G4228">
        <v>2</v>
      </c>
      <c r="H4228">
        <v>869</v>
      </c>
      <c r="I4228">
        <v>1100000</v>
      </c>
      <c r="J4228">
        <v>500000</v>
      </c>
      <c r="K4228">
        <v>1400000</v>
      </c>
      <c r="L4228">
        <v>500000</v>
      </c>
      <c r="M4228" t="s">
        <v>34</v>
      </c>
      <c r="N4228">
        <f t="shared" si="397"/>
        <v>1</v>
      </c>
      <c r="O4228" t="str">
        <f t="shared" si="396"/>
        <v>Excellent</v>
      </c>
      <c r="P4228" t="str">
        <f t="shared" si="398"/>
        <v>High</v>
      </c>
      <c r="Q4228" t="str">
        <f t="shared" si="399"/>
        <v>Low Loan</v>
      </c>
      <c r="R4228">
        <f t="shared" si="400"/>
        <v>3500000</v>
      </c>
      <c r="S4228" t="str">
        <f t="shared" si="401"/>
        <v>Weak</v>
      </c>
    </row>
    <row r="4229" spans="1:19" x14ac:dyDescent="0.25">
      <c r="A4229">
        <v>4228</v>
      </c>
      <c r="B4229">
        <v>4</v>
      </c>
      <c r="C4229" t="s">
        <v>30</v>
      </c>
      <c r="D4229" t="s">
        <v>33</v>
      </c>
      <c r="E4229">
        <v>400000</v>
      </c>
      <c r="F4229">
        <v>1400000</v>
      </c>
      <c r="G4229">
        <v>2</v>
      </c>
      <c r="H4229">
        <v>496</v>
      </c>
      <c r="I4229">
        <v>400000</v>
      </c>
      <c r="J4229">
        <v>200000</v>
      </c>
      <c r="K4229">
        <v>1100000</v>
      </c>
      <c r="L4229">
        <v>400000</v>
      </c>
      <c r="M4229" t="s">
        <v>34</v>
      </c>
      <c r="N4229">
        <f t="shared" si="397"/>
        <v>1</v>
      </c>
      <c r="O4229" t="str">
        <f t="shared" si="396"/>
        <v>Low</v>
      </c>
      <c r="P4229" t="str">
        <f t="shared" si="398"/>
        <v>Middle</v>
      </c>
      <c r="Q4229" t="str">
        <f t="shared" si="399"/>
        <v>Low Loan</v>
      </c>
      <c r="R4229">
        <f t="shared" si="400"/>
        <v>2100000</v>
      </c>
      <c r="S4229" t="str">
        <f t="shared" si="401"/>
        <v>Weak</v>
      </c>
    </row>
    <row r="4230" spans="1:19" x14ac:dyDescent="0.25">
      <c r="A4230">
        <v>4229</v>
      </c>
      <c r="B4230">
        <v>1</v>
      </c>
      <c r="C4230" t="s">
        <v>30</v>
      </c>
      <c r="D4230" t="s">
        <v>33</v>
      </c>
      <c r="E4230">
        <v>3200000</v>
      </c>
      <c r="F4230">
        <v>9300000</v>
      </c>
      <c r="G4230">
        <v>6</v>
      </c>
      <c r="H4230">
        <v>483</v>
      </c>
      <c r="I4230">
        <v>6700000</v>
      </c>
      <c r="J4230">
        <v>1900000</v>
      </c>
      <c r="K4230">
        <v>7800000</v>
      </c>
      <c r="L4230">
        <v>3600000</v>
      </c>
      <c r="M4230" t="s">
        <v>35</v>
      </c>
      <c r="N4230">
        <f t="shared" si="397"/>
        <v>0</v>
      </c>
      <c r="O4230" t="str">
        <f t="shared" si="396"/>
        <v>Low</v>
      </c>
      <c r="P4230" t="str">
        <f t="shared" si="398"/>
        <v>High</v>
      </c>
      <c r="Q4230" t="str">
        <f t="shared" si="399"/>
        <v>Low Loan</v>
      </c>
      <c r="R4230">
        <f t="shared" si="400"/>
        <v>20000000</v>
      </c>
      <c r="S4230" t="str">
        <f t="shared" si="401"/>
        <v>Strong</v>
      </c>
    </row>
    <row r="4231" spans="1:19" x14ac:dyDescent="0.25">
      <c r="A4231">
        <v>4230</v>
      </c>
      <c r="B4231">
        <v>3</v>
      </c>
      <c r="C4231" t="s">
        <v>30</v>
      </c>
      <c r="D4231" t="s">
        <v>32</v>
      </c>
      <c r="E4231">
        <v>7500000</v>
      </c>
      <c r="F4231">
        <v>22200000</v>
      </c>
      <c r="G4231">
        <v>8</v>
      </c>
      <c r="H4231">
        <v>741</v>
      </c>
      <c r="I4231">
        <v>6600000</v>
      </c>
      <c r="J4231">
        <v>6900000</v>
      </c>
      <c r="K4231">
        <v>17600000</v>
      </c>
      <c r="L4231">
        <v>11000000</v>
      </c>
      <c r="M4231" t="s">
        <v>34</v>
      </c>
      <c r="N4231">
        <f t="shared" si="397"/>
        <v>1</v>
      </c>
      <c r="O4231" t="str">
        <f t="shared" si="396"/>
        <v>Good</v>
      </c>
      <c r="P4231" t="str">
        <f t="shared" si="398"/>
        <v>High</v>
      </c>
      <c r="Q4231" t="str">
        <f t="shared" si="399"/>
        <v>High Loan</v>
      </c>
      <c r="R4231">
        <f t="shared" si="400"/>
        <v>42100000</v>
      </c>
      <c r="S4231" t="str">
        <f t="shared" si="401"/>
        <v>Strong</v>
      </c>
    </row>
    <row r="4232" spans="1:19" x14ac:dyDescent="0.25">
      <c r="A4232">
        <v>4231</v>
      </c>
      <c r="B4232">
        <v>2</v>
      </c>
      <c r="C4232" t="s">
        <v>31</v>
      </c>
      <c r="D4232" t="s">
        <v>32</v>
      </c>
      <c r="E4232">
        <v>3700000</v>
      </c>
      <c r="F4232">
        <v>13500000</v>
      </c>
      <c r="G4232">
        <v>4</v>
      </c>
      <c r="H4232">
        <v>820</v>
      </c>
      <c r="I4232">
        <v>4700000</v>
      </c>
      <c r="J4232">
        <v>1600000</v>
      </c>
      <c r="K4232">
        <v>14000000</v>
      </c>
      <c r="L4232">
        <v>5300000</v>
      </c>
      <c r="M4232" t="s">
        <v>34</v>
      </c>
      <c r="N4232">
        <f t="shared" si="397"/>
        <v>1</v>
      </c>
      <c r="O4232" t="str">
        <f t="shared" si="396"/>
        <v>Excellent</v>
      </c>
      <c r="P4232" t="str">
        <f t="shared" si="398"/>
        <v>High</v>
      </c>
      <c r="Q4232" t="str">
        <f t="shared" si="399"/>
        <v>Low Loan</v>
      </c>
      <c r="R4232">
        <f t="shared" si="400"/>
        <v>25600000</v>
      </c>
      <c r="S4232" t="str">
        <f t="shared" si="401"/>
        <v>Strong</v>
      </c>
    </row>
    <row r="4233" spans="1:19" x14ac:dyDescent="0.25">
      <c r="A4233">
        <v>4232</v>
      </c>
      <c r="B4233">
        <v>5</v>
      </c>
      <c r="C4233" t="s">
        <v>30</v>
      </c>
      <c r="D4233" t="s">
        <v>32</v>
      </c>
      <c r="E4233">
        <v>3300000</v>
      </c>
      <c r="F4233">
        <v>9100000</v>
      </c>
      <c r="G4233">
        <v>18</v>
      </c>
      <c r="H4233">
        <v>697</v>
      </c>
      <c r="I4233">
        <v>8800000</v>
      </c>
      <c r="J4233">
        <v>1800000</v>
      </c>
      <c r="K4233">
        <v>11300000</v>
      </c>
      <c r="L4233">
        <v>2600000</v>
      </c>
      <c r="M4233" t="s">
        <v>34</v>
      </c>
      <c r="N4233">
        <f t="shared" si="397"/>
        <v>1</v>
      </c>
      <c r="O4233" t="str">
        <f t="shared" si="396"/>
        <v>Medium</v>
      </c>
      <c r="P4233" t="str">
        <f t="shared" si="398"/>
        <v>High</v>
      </c>
      <c r="Q4233" t="str">
        <f t="shared" si="399"/>
        <v>Low Loan</v>
      </c>
      <c r="R4233">
        <f t="shared" si="400"/>
        <v>24500000</v>
      </c>
      <c r="S4233" t="str">
        <f t="shared" si="401"/>
        <v>Strong</v>
      </c>
    </row>
    <row r="4234" spans="1:19" x14ac:dyDescent="0.25">
      <c r="A4234">
        <v>4233</v>
      </c>
      <c r="B4234">
        <v>1</v>
      </c>
      <c r="C4234" t="s">
        <v>30</v>
      </c>
      <c r="D4234" t="s">
        <v>33</v>
      </c>
      <c r="E4234">
        <v>200000</v>
      </c>
      <c r="F4234">
        <v>500000</v>
      </c>
      <c r="G4234">
        <v>20</v>
      </c>
      <c r="H4234">
        <v>713</v>
      </c>
      <c r="I4234">
        <v>0</v>
      </c>
      <c r="J4234">
        <v>200000</v>
      </c>
      <c r="K4234">
        <v>500000</v>
      </c>
      <c r="L4234">
        <v>100000</v>
      </c>
      <c r="M4234" t="s">
        <v>34</v>
      </c>
      <c r="N4234">
        <f t="shared" si="397"/>
        <v>1</v>
      </c>
      <c r="O4234" t="str">
        <f t="shared" si="396"/>
        <v>Good</v>
      </c>
      <c r="P4234" t="str">
        <f t="shared" si="398"/>
        <v>Low</v>
      </c>
      <c r="Q4234" t="str">
        <f t="shared" si="399"/>
        <v>Low Loan</v>
      </c>
      <c r="R4234">
        <f t="shared" si="400"/>
        <v>800000</v>
      </c>
      <c r="S4234" t="str">
        <f t="shared" si="401"/>
        <v>Weak</v>
      </c>
    </row>
    <row r="4235" spans="1:19" x14ac:dyDescent="0.25">
      <c r="A4235">
        <v>4234</v>
      </c>
      <c r="B4235">
        <v>1</v>
      </c>
      <c r="C4235" t="s">
        <v>31</v>
      </c>
      <c r="D4235" t="s">
        <v>32</v>
      </c>
      <c r="E4235">
        <v>7100000</v>
      </c>
      <c r="F4235">
        <v>17000000</v>
      </c>
      <c r="G4235">
        <v>6</v>
      </c>
      <c r="H4235">
        <v>754</v>
      </c>
      <c r="I4235">
        <v>1100000</v>
      </c>
      <c r="J4235">
        <v>500000</v>
      </c>
      <c r="K4235">
        <v>27000000</v>
      </c>
      <c r="L4235">
        <v>6800000</v>
      </c>
      <c r="M4235" t="s">
        <v>34</v>
      </c>
      <c r="N4235">
        <f t="shared" si="397"/>
        <v>1</v>
      </c>
      <c r="O4235" t="str">
        <f t="shared" si="396"/>
        <v>Excellent</v>
      </c>
      <c r="P4235" t="str">
        <f t="shared" si="398"/>
        <v>High</v>
      </c>
      <c r="Q4235" t="str">
        <f t="shared" si="399"/>
        <v>Low Loan</v>
      </c>
      <c r="R4235">
        <f t="shared" si="400"/>
        <v>35400000</v>
      </c>
      <c r="S4235" t="str">
        <f t="shared" si="401"/>
        <v>Strong</v>
      </c>
    </row>
    <row r="4236" spans="1:19" x14ac:dyDescent="0.25">
      <c r="A4236">
        <v>4235</v>
      </c>
      <c r="B4236">
        <v>3</v>
      </c>
      <c r="C4236" t="s">
        <v>31</v>
      </c>
      <c r="D4236" t="s">
        <v>33</v>
      </c>
      <c r="E4236">
        <v>1500000</v>
      </c>
      <c r="F4236">
        <v>5100000</v>
      </c>
      <c r="G4236">
        <v>14</v>
      </c>
      <c r="H4236">
        <v>837</v>
      </c>
      <c r="I4236">
        <v>4100000</v>
      </c>
      <c r="J4236">
        <v>1000000</v>
      </c>
      <c r="K4236">
        <v>3300000</v>
      </c>
      <c r="L4236">
        <v>1400000</v>
      </c>
      <c r="M4236" t="s">
        <v>34</v>
      </c>
      <c r="N4236">
        <f t="shared" si="397"/>
        <v>1</v>
      </c>
      <c r="O4236" t="str">
        <f t="shared" si="396"/>
        <v>Excellent</v>
      </c>
      <c r="P4236" t="str">
        <f t="shared" si="398"/>
        <v>High</v>
      </c>
      <c r="Q4236" t="str">
        <f t="shared" si="399"/>
        <v>Low Loan</v>
      </c>
      <c r="R4236">
        <f t="shared" si="400"/>
        <v>9800000</v>
      </c>
      <c r="S4236" t="str">
        <f t="shared" si="401"/>
        <v>Moderate</v>
      </c>
    </row>
    <row r="4237" spans="1:19" x14ac:dyDescent="0.25">
      <c r="A4237">
        <v>4236</v>
      </c>
      <c r="B4237">
        <v>0</v>
      </c>
      <c r="C4237" t="s">
        <v>31</v>
      </c>
      <c r="D4237" t="s">
        <v>32</v>
      </c>
      <c r="E4237">
        <v>3000000</v>
      </c>
      <c r="F4237">
        <v>6500000</v>
      </c>
      <c r="G4237">
        <v>2</v>
      </c>
      <c r="H4237">
        <v>691</v>
      </c>
      <c r="I4237">
        <v>7800000</v>
      </c>
      <c r="J4237">
        <v>4500000</v>
      </c>
      <c r="K4237">
        <v>8900000</v>
      </c>
      <c r="L4237">
        <v>2500000</v>
      </c>
      <c r="M4237" t="s">
        <v>34</v>
      </c>
      <c r="N4237">
        <f t="shared" si="397"/>
        <v>1</v>
      </c>
      <c r="O4237" t="str">
        <f t="shared" si="396"/>
        <v>Medium</v>
      </c>
      <c r="P4237" t="str">
        <f t="shared" si="398"/>
        <v>High</v>
      </c>
      <c r="Q4237" t="str">
        <f t="shared" si="399"/>
        <v>Low Loan</v>
      </c>
      <c r="R4237">
        <f t="shared" si="400"/>
        <v>23700000</v>
      </c>
      <c r="S4237" t="str">
        <f t="shared" si="401"/>
        <v>Strong</v>
      </c>
    </row>
    <row r="4238" spans="1:19" x14ac:dyDescent="0.25">
      <c r="A4238">
        <v>4237</v>
      </c>
      <c r="B4238">
        <v>3</v>
      </c>
      <c r="C4238" t="s">
        <v>30</v>
      </c>
      <c r="D4238" t="s">
        <v>33</v>
      </c>
      <c r="E4238">
        <v>1900000</v>
      </c>
      <c r="F4238">
        <v>5300000</v>
      </c>
      <c r="G4238">
        <v>12</v>
      </c>
      <c r="H4238">
        <v>436</v>
      </c>
      <c r="I4238">
        <v>2300000</v>
      </c>
      <c r="J4238">
        <v>3500000</v>
      </c>
      <c r="K4238">
        <v>5000000</v>
      </c>
      <c r="L4238">
        <v>2600000</v>
      </c>
      <c r="M4238" t="s">
        <v>35</v>
      </c>
      <c r="N4238">
        <f t="shared" si="397"/>
        <v>0</v>
      </c>
      <c r="O4238" t="str">
        <f t="shared" si="396"/>
        <v>Low</v>
      </c>
      <c r="P4238" t="str">
        <f t="shared" si="398"/>
        <v>High</v>
      </c>
      <c r="Q4238" t="str">
        <f t="shared" si="399"/>
        <v>Low Loan</v>
      </c>
      <c r="R4238">
        <f t="shared" si="400"/>
        <v>13400000</v>
      </c>
      <c r="S4238" t="str">
        <f t="shared" si="401"/>
        <v>Strong</v>
      </c>
    </row>
    <row r="4239" spans="1:19" x14ac:dyDescent="0.25">
      <c r="A4239">
        <v>4238</v>
      </c>
      <c r="B4239">
        <v>0</v>
      </c>
      <c r="C4239" t="s">
        <v>31</v>
      </c>
      <c r="D4239" t="s">
        <v>32</v>
      </c>
      <c r="E4239">
        <v>9100000</v>
      </c>
      <c r="F4239">
        <v>30100000</v>
      </c>
      <c r="G4239">
        <v>8</v>
      </c>
      <c r="H4239">
        <v>322</v>
      </c>
      <c r="I4239">
        <v>26200000</v>
      </c>
      <c r="J4239">
        <v>9500000</v>
      </c>
      <c r="K4239">
        <v>18800000</v>
      </c>
      <c r="L4239">
        <v>5900000</v>
      </c>
      <c r="M4239" t="s">
        <v>35</v>
      </c>
      <c r="N4239">
        <f t="shared" si="397"/>
        <v>0</v>
      </c>
      <c r="O4239" t="str">
        <f t="shared" si="396"/>
        <v>Low</v>
      </c>
      <c r="P4239" t="str">
        <f t="shared" si="398"/>
        <v>High</v>
      </c>
      <c r="Q4239" t="str">
        <f t="shared" si="399"/>
        <v>High Loan</v>
      </c>
      <c r="R4239">
        <f t="shared" si="400"/>
        <v>60400000</v>
      </c>
      <c r="S4239" t="str">
        <f t="shared" si="401"/>
        <v>Strong</v>
      </c>
    </row>
    <row r="4240" spans="1:19" x14ac:dyDescent="0.25">
      <c r="A4240">
        <v>4239</v>
      </c>
      <c r="B4240">
        <v>0</v>
      </c>
      <c r="C4240" t="s">
        <v>31</v>
      </c>
      <c r="D4240" t="s">
        <v>32</v>
      </c>
      <c r="E4240">
        <v>2200000</v>
      </c>
      <c r="F4240">
        <v>7500000</v>
      </c>
      <c r="G4240">
        <v>2</v>
      </c>
      <c r="H4240">
        <v>333</v>
      </c>
      <c r="I4240">
        <v>3400000</v>
      </c>
      <c r="J4240">
        <v>600000</v>
      </c>
      <c r="K4240">
        <v>6200000</v>
      </c>
      <c r="L4240">
        <v>1500000</v>
      </c>
      <c r="M4240" t="s">
        <v>34</v>
      </c>
      <c r="N4240">
        <f t="shared" si="397"/>
        <v>1</v>
      </c>
      <c r="O4240" t="str">
        <f t="shared" si="396"/>
        <v>Low</v>
      </c>
      <c r="P4240" t="str">
        <f t="shared" si="398"/>
        <v>High</v>
      </c>
      <c r="Q4240" t="str">
        <f t="shared" si="399"/>
        <v>Low Loan</v>
      </c>
      <c r="R4240">
        <f t="shared" si="400"/>
        <v>11700000</v>
      </c>
      <c r="S4240" t="str">
        <f t="shared" si="401"/>
        <v>Strong</v>
      </c>
    </row>
    <row r="4241" spans="1:19" x14ac:dyDescent="0.25">
      <c r="A4241">
        <v>4240</v>
      </c>
      <c r="B4241">
        <v>0</v>
      </c>
      <c r="C4241" t="s">
        <v>31</v>
      </c>
      <c r="D4241" t="s">
        <v>33</v>
      </c>
      <c r="E4241">
        <v>8400000</v>
      </c>
      <c r="F4241">
        <v>23000000</v>
      </c>
      <c r="G4241">
        <v>14</v>
      </c>
      <c r="H4241">
        <v>455</v>
      </c>
      <c r="I4241">
        <v>400000</v>
      </c>
      <c r="J4241">
        <v>13400000</v>
      </c>
      <c r="K4241">
        <v>29800000</v>
      </c>
      <c r="L4241">
        <v>9400000</v>
      </c>
      <c r="M4241" t="s">
        <v>35</v>
      </c>
      <c r="N4241">
        <f t="shared" si="397"/>
        <v>0</v>
      </c>
      <c r="O4241" t="str">
        <f t="shared" si="396"/>
        <v>Low</v>
      </c>
      <c r="P4241" t="str">
        <f t="shared" si="398"/>
        <v>High</v>
      </c>
      <c r="Q4241" t="str">
        <f t="shared" si="399"/>
        <v>High Loan</v>
      </c>
      <c r="R4241">
        <f t="shared" si="400"/>
        <v>53000000</v>
      </c>
      <c r="S4241" t="str">
        <f t="shared" si="401"/>
        <v>Strong</v>
      </c>
    </row>
    <row r="4242" spans="1:19" x14ac:dyDescent="0.25">
      <c r="A4242">
        <v>4241</v>
      </c>
      <c r="B4242">
        <v>1</v>
      </c>
      <c r="C4242" t="s">
        <v>30</v>
      </c>
      <c r="D4242" t="s">
        <v>33</v>
      </c>
      <c r="E4242">
        <v>400000</v>
      </c>
      <c r="F4242">
        <v>700000</v>
      </c>
      <c r="G4242">
        <v>10</v>
      </c>
      <c r="H4242">
        <v>787</v>
      </c>
      <c r="I4242">
        <v>1000000</v>
      </c>
      <c r="J4242">
        <v>200000</v>
      </c>
      <c r="K4242">
        <v>1600000</v>
      </c>
      <c r="L4242">
        <v>500000</v>
      </c>
      <c r="M4242" t="s">
        <v>34</v>
      </c>
      <c r="N4242">
        <f t="shared" si="397"/>
        <v>1</v>
      </c>
      <c r="O4242" t="str">
        <f t="shared" si="396"/>
        <v>Excellent</v>
      </c>
      <c r="P4242" t="str">
        <f t="shared" si="398"/>
        <v>Middle</v>
      </c>
      <c r="Q4242" t="str">
        <f t="shared" si="399"/>
        <v>Low Loan</v>
      </c>
      <c r="R4242">
        <f t="shared" si="400"/>
        <v>3300000</v>
      </c>
      <c r="S4242" t="str">
        <f t="shared" si="401"/>
        <v>Weak</v>
      </c>
    </row>
    <row r="4243" spans="1:19" x14ac:dyDescent="0.25">
      <c r="A4243">
        <v>4242</v>
      </c>
      <c r="B4243">
        <v>2</v>
      </c>
      <c r="C4243" t="s">
        <v>30</v>
      </c>
      <c r="D4243" t="s">
        <v>33</v>
      </c>
      <c r="E4243">
        <v>5600000</v>
      </c>
      <c r="F4243">
        <v>15800000</v>
      </c>
      <c r="G4243">
        <v>16</v>
      </c>
      <c r="H4243">
        <v>748</v>
      </c>
      <c r="I4243">
        <v>10300000</v>
      </c>
      <c r="J4243">
        <v>100000</v>
      </c>
      <c r="K4243">
        <v>21700000</v>
      </c>
      <c r="L4243">
        <v>6300000</v>
      </c>
      <c r="M4243" t="s">
        <v>34</v>
      </c>
      <c r="N4243">
        <f t="shared" si="397"/>
        <v>1</v>
      </c>
      <c r="O4243" t="str">
        <f t="shared" si="396"/>
        <v>Good</v>
      </c>
      <c r="P4243" t="str">
        <f t="shared" si="398"/>
        <v>High</v>
      </c>
      <c r="Q4243" t="str">
        <f t="shared" si="399"/>
        <v>Low Loan</v>
      </c>
      <c r="R4243">
        <f t="shared" si="400"/>
        <v>38400000</v>
      </c>
      <c r="S4243" t="str">
        <f t="shared" si="401"/>
        <v>Strong</v>
      </c>
    </row>
    <row r="4244" spans="1:19" x14ac:dyDescent="0.25">
      <c r="A4244">
        <v>4243</v>
      </c>
      <c r="B4244">
        <v>5</v>
      </c>
      <c r="C4244" t="s">
        <v>31</v>
      </c>
      <c r="D4244" t="s">
        <v>33</v>
      </c>
      <c r="E4244">
        <v>8200000</v>
      </c>
      <c r="F4244">
        <v>27100000</v>
      </c>
      <c r="G4244">
        <v>4</v>
      </c>
      <c r="H4244">
        <v>643</v>
      </c>
      <c r="I4244">
        <v>15400000</v>
      </c>
      <c r="J4244">
        <v>7700000</v>
      </c>
      <c r="K4244">
        <v>21300000</v>
      </c>
      <c r="L4244">
        <v>4100000</v>
      </c>
      <c r="M4244" t="s">
        <v>34</v>
      </c>
      <c r="N4244">
        <f t="shared" si="397"/>
        <v>1</v>
      </c>
      <c r="O4244" t="str">
        <f t="shared" si="396"/>
        <v>Low</v>
      </c>
      <c r="P4244" t="str">
        <f t="shared" si="398"/>
        <v>High</v>
      </c>
      <c r="Q4244" t="str">
        <f t="shared" si="399"/>
        <v>High Loan</v>
      </c>
      <c r="R4244">
        <f t="shared" si="400"/>
        <v>48500000</v>
      </c>
      <c r="S4244" t="str">
        <f t="shared" si="401"/>
        <v>Strong</v>
      </c>
    </row>
    <row r="4245" spans="1:19" x14ac:dyDescent="0.25">
      <c r="A4245">
        <v>4244</v>
      </c>
      <c r="B4245">
        <v>0</v>
      </c>
      <c r="C4245" t="s">
        <v>31</v>
      </c>
      <c r="D4245" t="s">
        <v>33</v>
      </c>
      <c r="E4245">
        <v>1600000</v>
      </c>
      <c r="F4245">
        <v>3400000</v>
      </c>
      <c r="G4245">
        <v>8</v>
      </c>
      <c r="H4245">
        <v>867</v>
      </c>
      <c r="I4245">
        <v>-100000</v>
      </c>
      <c r="J4245">
        <v>2700000</v>
      </c>
      <c r="K4245">
        <v>4300000</v>
      </c>
      <c r="L4245">
        <v>1300000</v>
      </c>
      <c r="M4245" t="s">
        <v>34</v>
      </c>
      <c r="N4245">
        <f t="shared" si="397"/>
        <v>1</v>
      </c>
      <c r="O4245" t="str">
        <f t="shared" si="396"/>
        <v>Excellent</v>
      </c>
      <c r="P4245" t="str">
        <f t="shared" si="398"/>
        <v>High</v>
      </c>
      <c r="Q4245" t="str">
        <f t="shared" si="399"/>
        <v>Low Loan</v>
      </c>
      <c r="R4245">
        <f t="shared" si="400"/>
        <v>8200000</v>
      </c>
      <c r="S4245" t="str">
        <f t="shared" si="401"/>
        <v>Moderate</v>
      </c>
    </row>
    <row r="4246" spans="1:19" x14ac:dyDescent="0.25">
      <c r="A4246">
        <v>4245</v>
      </c>
      <c r="B4246">
        <v>3</v>
      </c>
      <c r="C4246" t="s">
        <v>31</v>
      </c>
      <c r="D4246" t="s">
        <v>32</v>
      </c>
      <c r="E4246">
        <v>1800000</v>
      </c>
      <c r="F4246">
        <v>5600000</v>
      </c>
      <c r="G4246">
        <v>20</v>
      </c>
      <c r="H4246">
        <v>860</v>
      </c>
      <c r="I4246">
        <v>1900000</v>
      </c>
      <c r="J4246">
        <v>1700000</v>
      </c>
      <c r="K4246">
        <v>4300000</v>
      </c>
      <c r="L4246">
        <v>900000</v>
      </c>
      <c r="M4246" t="s">
        <v>34</v>
      </c>
      <c r="N4246">
        <f t="shared" si="397"/>
        <v>1</v>
      </c>
      <c r="O4246" t="str">
        <f t="shared" si="396"/>
        <v>Excellent</v>
      </c>
      <c r="P4246" t="str">
        <f t="shared" si="398"/>
        <v>High</v>
      </c>
      <c r="Q4246" t="str">
        <f t="shared" si="399"/>
        <v>Low Loan</v>
      </c>
      <c r="R4246">
        <f t="shared" si="400"/>
        <v>8800000</v>
      </c>
      <c r="S4246" t="str">
        <f t="shared" si="401"/>
        <v>Moderate</v>
      </c>
    </row>
    <row r="4247" spans="1:19" x14ac:dyDescent="0.25">
      <c r="A4247">
        <v>4246</v>
      </c>
      <c r="B4247">
        <v>5</v>
      </c>
      <c r="C4247" t="s">
        <v>31</v>
      </c>
      <c r="D4247" t="s">
        <v>33</v>
      </c>
      <c r="E4247">
        <v>6500000</v>
      </c>
      <c r="F4247">
        <v>23900000</v>
      </c>
      <c r="G4247">
        <v>2</v>
      </c>
      <c r="H4247">
        <v>507</v>
      </c>
      <c r="I4247">
        <v>500000</v>
      </c>
      <c r="J4247">
        <v>10200000</v>
      </c>
      <c r="K4247">
        <v>15900000</v>
      </c>
      <c r="L4247">
        <v>8000000</v>
      </c>
      <c r="M4247" t="s">
        <v>34</v>
      </c>
      <c r="N4247">
        <f t="shared" si="397"/>
        <v>1</v>
      </c>
      <c r="O4247" t="str">
        <f t="shared" si="396"/>
        <v>Low</v>
      </c>
      <c r="P4247" t="str">
        <f t="shared" si="398"/>
        <v>High</v>
      </c>
      <c r="Q4247" t="str">
        <f t="shared" si="399"/>
        <v>High Loan</v>
      </c>
      <c r="R4247">
        <f t="shared" si="400"/>
        <v>34600000</v>
      </c>
      <c r="S4247" t="str">
        <f t="shared" si="401"/>
        <v>Strong</v>
      </c>
    </row>
    <row r="4248" spans="1:19" x14ac:dyDescent="0.25">
      <c r="A4248">
        <v>4247</v>
      </c>
      <c r="B4248">
        <v>1</v>
      </c>
      <c r="C4248" t="s">
        <v>30</v>
      </c>
      <c r="D4248" t="s">
        <v>33</v>
      </c>
      <c r="E4248">
        <v>3100000</v>
      </c>
      <c r="F4248">
        <v>11500000</v>
      </c>
      <c r="G4248">
        <v>4</v>
      </c>
      <c r="H4248">
        <v>871</v>
      </c>
      <c r="I4248">
        <v>1500000</v>
      </c>
      <c r="J4248">
        <v>2400000</v>
      </c>
      <c r="K4248">
        <v>7100000</v>
      </c>
      <c r="L4248">
        <v>3600000</v>
      </c>
      <c r="M4248" t="s">
        <v>34</v>
      </c>
      <c r="N4248">
        <f t="shared" si="397"/>
        <v>1</v>
      </c>
      <c r="O4248" t="str">
        <f t="shared" si="396"/>
        <v>Excellent</v>
      </c>
      <c r="P4248" t="str">
        <f t="shared" si="398"/>
        <v>High</v>
      </c>
      <c r="Q4248" t="str">
        <f t="shared" si="399"/>
        <v>Low Loan</v>
      </c>
      <c r="R4248">
        <f t="shared" si="400"/>
        <v>14600000</v>
      </c>
      <c r="S4248" t="str">
        <f t="shared" si="401"/>
        <v>Strong</v>
      </c>
    </row>
    <row r="4249" spans="1:19" x14ac:dyDescent="0.25">
      <c r="A4249">
        <v>4248</v>
      </c>
      <c r="B4249">
        <v>3</v>
      </c>
      <c r="C4249" t="s">
        <v>31</v>
      </c>
      <c r="D4249" t="s">
        <v>32</v>
      </c>
      <c r="E4249">
        <v>3100000</v>
      </c>
      <c r="F4249">
        <v>9800000</v>
      </c>
      <c r="G4249">
        <v>12</v>
      </c>
      <c r="H4249">
        <v>820</v>
      </c>
      <c r="I4249">
        <v>6400000</v>
      </c>
      <c r="J4249">
        <v>5200000</v>
      </c>
      <c r="K4249">
        <v>10900000</v>
      </c>
      <c r="L4249">
        <v>4400000</v>
      </c>
      <c r="M4249" t="s">
        <v>34</v>
      </c>
      <c r="N4249">
        <f t="shared" si="397"/>
        <v>1</v>
      </c>
      <c r="O4249" t="str">
        <f t="shared" si="396"/>
        <v>Excellent</v>
      </c>
      <c r="P4249" t="str">
        <f t="shared" si="398"/>
        <v>High</v>
      </c>
      <c r="Q4249" t="str">
        <f t="shared" si="399"/>
        <v>Low Loan</v>
      </c>
      <c r="R4249">
        <f t="shared" si="400"/>
        <v>26900000</v>
      </c>
      <c r="S4249" t="str">
        <f t="shared" si="401"/>
        <v>Strong</v>
      </c>
    </row>
    <row r="4250" spans="1:19" x14ac:dyDescent="0.25">
      <c r="A4250">
        <v>4249</v>
      </c>
      <c r="B4250">
        <v>4</v>
      </c>
      <c r="C4250" t="s">
        <v>30</v>
      </c>
      <c r="D4250" t="s">
        <v>33</v>
      </c>
      <c r="E4250">
        <v>5300000</v>
      </c>
      <c r="F4250">
        <v>14500000</v>
      </c>
      <c r="G4250">
        <v>4</v>
      </c>
      <c r="H4250">
        <v>352</v>
      </c>
      <c r="I4250">
        <v>12600000</v>
      </c>
      <c r="J4250">
        <v>4900000</v>
      </c>
      <c r="K4250">
        <v>10500000</v>
      </c>
      <c r="L4250">
        <v>3500000</v>
      </c>
      <c r="M4250" t="s">
        <v>35</v>
      </c>
      <c r="N4250">
        <f t="shared" si="397"/>
        <v>0</v>
      </c>
      <c r="O4250" t="str">
        <f t="shared" si="396"/>
        <v>Low</v>
      </c>
      <c r="P4250" t="str">
        <f t="shared" si="398"/>
        <v>High</v>
      </c>
      <c r="Q4250" t="str">
        <f t="shared" si="399"/>
        <v>Low Loan</v>
      </c>
      <c r="R4250">
        <f t="shared" si="400"/>
        <v>31500000</v>
      </c>
      <c r="S4250" t="str">
        <f t="shared" si="401"/>
        <v>Strong</v>
      </c>
    </row>
    <row r="4251" spans="1:19" x14ac:dyDescent="0.25">
      <c r="A4251">
        <v>4250</v>
      </c>
      <c r="B4251">
        <v>4</v>
      </c>
      <c r="C4251" t="s">
        <v>30</v>
      </c>
      <c r="D4251" t="s">
        <v>32</v>
      </c>
      <c r="E4251">
        <v>1100000</v>
      </c>
      <c r="F4251">
        <v>4000000</v>
      </c>
      <c r="G4251">
        <v>14</v>
      </c>
      <c r="H4251">
        <v>887</v>
      </c>
      <c r="I4251">
        <v>2400000</v>
      </c>
      <c r="J4251">
        <v>1500000</v>
      </c>
      <c r="K4251">
        <v>4200000</v>
      </c>
      <c r="L4251">
        <v>1600000</v>
      </c>
      <c r="M4251" t="s">
        <v>34</v>
      </c>
      <c r="N4251">
        <f t="shared" si="397"/>
        <v>1</v>
      </c>
      <c r="O4251" t="str">
        <f t="shared" si="396"/>
        <v>Excellent</v>
      </c>
      <c r="P4251" t="str">
        <f t="shared" si="398"/>
        <v>High</v>
      </c>
      <c r="Q4251" t="str">
        <f t="shared" si="399"/>
        <v>Low Loan</v>
      </c>
      <c r="R4251">
        <f t="shared" si="400"/>
        <v>9700000</v>
      </c>
      <c r="S4251" t="str">
        <f t="shared" si="401"/>
        <v>Moderate</v>
      </c>
    </row>
    <row r="4252" spans="1:19" x14ac:dyDescent="0.25">
      <c r="A4252">
        <v>4251</v>
      </c>
      <c r="B4252">
        <v>1</v>
      </c>
      <c r="C4252" t="s">
        <v>30</v>
      </c>
      <c r="D4252" t="s">
        <v>33</v>
      </c>
      <c r="E4252">
        <v>6000000</v>
      </c>
      <c r="F4252">
        <v>13400000</v>
      </c>
      <c r="G4252">
        <v>12</v>
      </c>
      <c r="H4252">
        <v>731</v>
      </c>
      <c r="I4252">
        <v>1300000</v>
      </c>
      <c r="J4252">
        <v>4300000</v>
      </c>
      <c r="K4252">
        <v>21300000</v>
      </c>
      <c r="L4252">
        <v>6900000</v>
      </c>
      <c r="M4252" t="s">
        <v>34</v>
      </c>
      <c r="N4252">
        <f t="shared" si="397"/>
        <v>1</v>
      </c>
      <c r="O4252" t="str">
        <f t="shared" si="396"/>
        <v>Good</v>
      </c>
      <c r="P4252" t="str">
        <f t="shared" si="398"/>
        <v>High</v>
      </c>
      <c r="Q4252" t="str">
        <f t="shared" si="399"/>
        <v>Low Loan</v>
      </c>
      <c r="R4252">
        <f t="shared" si="400"/>
        <v>33800000</v>
      </c>
      <c r="S4252" t="str">
        <f t="shared" si="401"/>
        <v>Strong</v>
      </c>
    </row>
    <row r="4253" spans="1:19" x14ac:dyDescent="0.25">
      <c r="A4253">
        <v>4252</v>
      </c>
      <c r="B4253">
        <v>0</v>
      </c>
      <c r="C4253" t="s">
        <v>30</v>
      </c>
      <c r="D4253" t="s">
        <v>33</v>
      </c>
      <c r="E4253">
        <v>6100000</v>
      </c>
      <c r="F4253">
        <v>14600000</v>
      </c>
      <c r="G4253">
        <v>18</v>
      </c>
      <c r="H4253">
        <v>645</v>
      </c>
      <c r="I4253">
        <v>14500000</v>
      </c>
      <c r="J4253">
        <v>200000</v>
      </c>
      <c r="K4253">
        <v>23000000</v>
      </c>
      <c r="L4253">
        <v>4600000</v>
      </c>
      <c r="M4253" t="s">
        <v>34</v>
      </c>
      <c r="N4253">
        <f t="shared" si="397"/>
        <v>1</v>
      </c>
      <c r="O4253" t="str">
        <f t="shared" si="396"/>
        <v>Low</v>
      </c>
      <c r="P4253" t="str">
        <f t="shared" si="398"/>
        <v>High</v>
      </c>
      <c r="Q4253" t="str">
        <f t="shared" si="399"/>
        <v>Low Loan</v>
      </c>
      <c r="R4253">
        <f t="shared" si="400"/>
        <v>42300000</v>
      </c>
      <c r="S4253" t="str">
        <f t="shared" si="401"/>
        <v>Strong</v>
      </c>
    </row>
    <row r="4254" spans="1:19" x14ac:dyDescent="0.25">
      <c r="A4254">
        <v>4253</v>
      </c>
      <c r="B4254">
        <v>3</v>
      </c>
      <c r="C4254" t="s">
        <v>31</v>
      </c>
      <c r="D4254" t="s">
        <v>32</v>
      </c>
      <c r="E4254">
        <v>4100000</v>
      </c>
      <c r="F4254">
        <v>14100000</v>
      </c>
      <c r="G4254">
        <v>10</v>
      </c>
      <c r="H4254">
        <v>300</v>
      </c>
      <c r="I4254">
        <v>7600000</v>
      </c>
      <c r="J4254">
        <v>2100000</v>
      </c>
      <c r="K4254">
        <v>8400000</v>
      </c>
      <c r="L4254">
        <v>2200000</v>
      </c>
      <c r="M4254" t="s">
        <v>35</v>
      </c>
      <c r="N4254">
        <f t="shared" si="397"/>
        <v>0</v>
      </c>
      <c r="O4254" t="str">
        <f t="shared" si="396"/>
        <v>Low</v>
      </c>
      <c r="P4254" t="str">
        <f t="shared" si="398"/>
        <v>High</v>
      </c>
      <c r="Q4254" t="str">
        <f t="shared" si="399"/>
        <v>Low Loan</v>
      </c>
      <c r="R4254">
        <f t="shared" si="400"/>
        <v>20300000</v>
      </c>
      <c r="S4254" t="str">
        <f t="shared" si="401"/>
        <v>Strong</v>
      </c>
    </row>
    <row r="4255" spans="1:19" x14ac:dyDescent="0.25">
      <c r="A4255">
        <v>4254</v>
      </c>
      <c r="B4255">
        <v>5</v>
      </c>
      <c r="C4255" t="s">
        <v>30</v>
      </c>
      <c r="D4255" t="s">
        <v>33</v>
      </c>
      <c r="E4255">
        <v>7000000</v>
      </c>
      <c r="F4255">
        <v>26200000</v>
      </c>
      <c r="G4255">
        <v>12</v>
      </c>
      <c r="H4255">
        <v>896</v>
      </c>
      <c r="I4255">
        <v>13100000</v>
      </c>
      <c r="J4255">
        <v>6600000</v>
      </c>
      <c r="K4255">
        <v>23600000</v>
      </c>
      <c r="L4255">
        <v>5700000</v>
      </c>
      <c r="M4255" t="s">
        <v>34</v>
      </c>
      <c r="N4255">
        <f t="shared" si="397"/>
        <v>1</v>
      </c>
      <c r="O4255" t="str">
        <f t="shared" si="396"/>
        <v>Excellent</v>
      </c>
      <c r="P4255" t="str">
        <f t="shared" si="398"/>
        <v>High</v>
      </c>
      <c r="Q4255" t="str">
        <f t="shared" si="399"/>
        <v>High Loan</v>
      </c>
      <c r="R4255">
        <f t="shared" si="400"/>
        <v>49000000</v>
      </c>
      <c r="S4255" t="str">
        <f t="shared" si="401"/>
        <v>Strong</v>
      </c>
    </row>
    <row r="4256" spans="1:19" x14ac:dyDescent="0.25">
      <c r="A4256">
        <v>4255</v>
      </c>
      <c r="B4256">
        <v>0</v>
      </c>
      <c r="C4256" t="s">
        <v>31</v>
      </c>
      <c r="D4256" t="s">
        <v>33</v>
      </c>
      <c r="E4256">
        <v>8900000</v>
      </c>
      <c r="F4256">
        <v>27700000</v>
      </c>
      <c r="G4256">
        <v>6</v>
      </c>
      <c r="H4256">
        <v>372</v>
      </c>
      <c r="I4256">
        <v>18200000</v>
      </c>
      <c r="J4256">
        <v>14900000</v>
      </c>
      <c r="K4256">
        <v>33700000</v>
      </c>
      <c r="L4256">
        <v>6100000</v>
      </c>
      <c r="M4256" t="s">
        <v>35</v>
      </c>
      <c r="N4256">
        <f t="shared" si="397"/>
        <v>0</v>
      </c>
      <c r="O4256" t="str">
        <f t="shared" si="396"/>
        <v>Low</v>
      </c>
      <c r="P4256" t="str">
        <f t="shared" si="398"/>
        <v>High</v>
      </c>
      <c r="Q4256" t="str">
        <f t="shared" si="399"/>
        <v>High Loan</v>
      </c>
      <c r="R4256">
        <f t="shared" si="400"/>
        <v>72900000</v>
      </c>
      <c r="S4256" t="str">
        <f t="shared" si="401"/>
        <v>Strong</v>
      </c>
    </row>
    <row r="4257" spans="1:19" x14ac:dyDescent="0.25">
      <c r="A4257">
        <v>4256</v>
      </c>
      <c r="B4257">
        <v>4</v>
      </c>
      <c r="C4257" t="s">
        <v>30</v>
      </c>
      <c r="D4257" t="s">
        <v>32</v>
      </c>
      <c r="E4257">
        <v>4800000</v>
      </c>
      <c r="F4257">
        <v>12000000</v>
      </c>
      <c r="G4257">
        <v>6</v>
      </c>
      <c r="H4257">
        <v>441</v>
      </c>
      <c r="I4257">
        <v>8400000</v>
      </c>
      <c r="J4257">
        <v>1300000</v>
      </c>
      <c r="K4257">
        <v>18200000</v>
      </c>
      <c r="L4257">
        <v>3200000</v>
      </c>
      <c r="M4257" t="s">
        <v>35</v>
      </c>
      <c r="N4257">
        <f t="shared" si="397"/>
        <v>0</v>
      </c>
      <c r="O4257" t="str">
        <f t="shared" si="396"/>
        <v>Low</v>
      </c>
      <c r="P4257" t="str">
        <f t="shared" si="398"/>
        <v>High</v>
      </c>
      <c r="Q4257" t="str">
        <f t="shared" si="399"/>
        <v>Low Loan</v>
      </c>
      <c r="R4257">
        <f t="shared" si="400"/>
        <v>31100000</v>
      </c>
      <c r="S4257" t="str">
        <f t="shared" si="401"/>
        <v>Strong</v>
      </c>
    </row>
    <row r="4258" spans="1:19" x14ac:dyDescent="0.25">
      <c r="A4258">
        <v>4257</v>
      </c>
      <c r="B4258">
        <v>3</v>
      </c>
      <c r="C4258" t="s">
        <v>30</v>
      </c>
      <c r="D4258" t="s">
        <v>33</v>
      </c>
      <c r="E4258">
        <v>7400000</v>
      </c>
      <c r="F4258">
        <v>18300000</v>
      </c>
      <c r="G4258">
        <v>4</v>
      </c>
      <c r="H4258">
        <v>348</v>
      </c>
      <c r="I4258">
        <v>14300000</v>
      </c>
      <c r="J4258">
        <v>12600000</v>
      </c>
      <c r="K4258">
        <v>17900000</v>
      </c>
      <c r="L4258">
        <v>9800000</v>
      </c>
      <c r="M4258" t="s">
        <v>35</v>
      </c>
      <c r="N4258">
        <f t="shared" si="397"/>
        <v>0</v>
      </c>
      <c r="O4258" t="str">
        <f t="shared" si="396"/>
        <v>Low</v>
      </c>
      <c r="P4258" t="str">
        <f t="shared" si="398"/>
        <v>High</v>
      </c>
      <c r="Q4258" t="str">
        <f t="shared" si="399"/>
        <v>Low Loan</v>
      </c>
      <c r="R4258">
        <f t="shared" si="400"/>
        <v>54600000</v>
      </c>
      <c r="S4258" t="str">
        <f t="shared" si="401"/>
        <v>Strong</v>
      </c>
    </row>
    <row r="4259" spans="1:19" x14ac:dyDescent="0.25">
      <c r="A4259">
        <v>4258</v>
      </c>
      <c r="B4259">
        <v>0</v>
      </c>
      <c r="C4259" t="s">
        <v>30</v>
      </c>
      <c r="D4259" t="s">
        <v>32</v>
      </c>
      <c r="E4259">
        <v>9700000</v>
      </c>
      <c r="F4259">
        <v>27500000</v>
      </c>
      <c r="G4259">
        <v>18</v>
      </c>
      <c r="H4259">
        <v>343</v>
      </c>
      <c r="I4259">
        <v>13400000</v>
      </c>
      <c r="J4259">
        <v>16500000</v>
      </c>
      <c r="K4259">
        <v>20000000</v>
      </c>
      <c r="L4259">
        <v>8200000</v>
      </c>
      <c r="M4259" t="s">
        <v>35</v>
      </c>
      <c r="N4259">
        <f t="shared" si="397"/>
        <v>0</v>
      </c>
      <c r="O4259" t="str">
        <f t="shared" si="396"/>
        <v>Low</v>
      </c>
      <c r="P4259" t="str">
        <f t="shared" si="398"/>
        <v>High</v>
      </c>
      <c r="Q4259" t="str">
        <f t="shared" si="399"/>
        <v>High Loan</v>
      </c>
      <c r="R4259">
        <f t="shared" si="400"/>
        <v>58100000</v>
      </c>
      <c r="S4259" t="str">
        <f t="shared" si="401"/>
        <v>Strong</v>
      </c>
    </row>
    <row r="4260" spans="1:19" x14ac:dyDescent="0.25">
      <c r="A4260">
        <v>4259</v>
      </c>
      <c r="B4260">
        <v>5</v>
      </c>
      <c r="C4260" t="s">
        <v>30</v>
      </c>
      <c r="D4260" t="s">
        <v>33</v>
      </c>
      <c r="E4260">
        <v>9700000</v>
      </c>
      <c r="F4260">
        <v>22600000</v>
      </c>
      <c r="G4260">
        <v>16</v>
      </c>
      <c r="H4260">
        <v>346</v>
      </c>
      <c r="I4260">
        <v>23500000</v>
      </c>
      <c r="J4260">
        <v>12900000</v>
      </c>
      <c r="K4260">
        <v>26800000</v>
      </c>
      <c r="L4260">
        <v>13000000</v>
      </c>
      <c r="M4260" t="s">
        <v>35</v>
      </c>
      <c r="N4260">
        <f t="shared" si="397"/>
        <v>0</v>
      </c>
      <c r="O4260" t="str">
        <f t="shared" si="396"/>
        <v>Low</v>
      </c>
      <c r="P4260" t="str">
        <f t="shared" si="398"/>
        <v>High</v>
      </c>
      <c r="Q4260" t="str">
        <f t="shared" si="399"/>
        <v>High Loan</v>
      </c>
      <c r="R4260">
        <f t="shared" si="400"/>
        <v>76200000</v>
      </c>
      <c r="S4260" t="str">
        <f t="shared" si="401"/>
        <v>Strong</v>
      </c>
    </row>
    <row r="4261" spans="1:19" x14ac:dyDescent="0.25">
      <c r="A4261">
        <v>4260</v>
      </c>
      <c r="B4261">
        <v>0</v>
      </c>
      <c r="C4261" t="s">
        <v>31</v>
      </c>
      <c r="D4261" t="s">
        <v>33</v>
      </c>
      <c r="E4261">
        <v>4500000</v>
      </c>
      <c r="F4261">
        <v>11500000</v>
      </c>
      <c r="G4261">
        <v>14</v>
      </c>
      <c r="H4261">
        <v>509</v>
      </c>
      <c r="I4261">
        <v>13400000</v>
      </c>
      <c r="J4261">
        <v>2300000</v>
      </c>
      <c r="K4261">
        <v>15400000</v>
      </c>
      <c r="L4261">
        <v>5900000</v>
      </c>
      <c r="M4261" t="s">
        <v>35</v>
      </c>
      <c r="N4261">
        <f t="shared" si="397"/>
        <v>0</v>
      </c>
      <c r="O4261" t="str">
        <f t="shared" si="396"/>
        <v>Low</v>
      </c>
      <c r="P4261" t="str">
        <f t="shared" si="398"/>
        <v>High</v>
      </c>
      <c r="Q4261" t="str">
        <f t="shared" si="399"/>
        <v>Low Loan</v>
      </c>
      <c r="R4261">
        <f t="shared" si="400"/>
        <v>37000000</v>
      </c>
      <c r="S4261" t="str">
        <f t="shared" si="401"/>
        <v>Strong</v>
      </c>
    </row>
    <row r="4262" spans="1:19" x14ac:dyDescent="0.25">
      <c r="A4262">
        <v>4261</v>
      </c>
      <c r="B4262">
        <v>5</v>
      </c>
      <c r="C4262" t="s">
        <v>30</v>
      </c>
      <c r="D4262" t="s">
        <v>32</v>
      </c>
      <c r="E4262">
        <v>8800000</v>
      </c>
      <c r="F4262">
        <v>29300000</v>
      </c>
      <c r="G4262">
        <v>10</v>
      </c>
      <c r="H4262">
        <v>560</v>
      </c>
      <c r="I4262">
        <v>16800000</v>
      </c>
      <c r="J4262">
        <v>13900000</v>
      </c>
      <c r="K4262">
        <v>31100000</v>
      </c>
      <c r="L4262">
        <v>9900000</v>
      </c>
      <c r="M4262" t="s">
        <v>34</v>
      </c>
      <c r="N4262">
        <f t="shared" si="397"/>
        <v>1</v>
      </c>
      <c r="O4262" t="str">
        <f t="shared" si="396"/>
        <v>Low</v>
      </c>
      <c r="P4262" t="str">
        <f t="shared" si="398"/>
        <v>High</v>
      </c>
      <c r="Q4262" t="str">
        <f t="shared" si="399"/>
        <v>High Loan</v>
      </c>
      <c r="R4262">
        <f t="shared" si="400"/>
        <v>71700000</v>
      </c>
      <c r="S4262" t="str">
        <f t="shared" si="401"/>
        <v>Strong</v>
      </c>
    </row>
    <row r="4263" spans="1:19" x14ac:dyDescent="0.25">
      <c r="A4263">
        <v>4262</v>
      </c>
      <c r="B4263">
        <v>3</v>
      </c>
      <c r="C4263" t="s">
        <v>30</v>
      </c>
      <c r="D4263" t="s">
        <v>33</v>
      </c>
      <c r="E4263">
        <v>3000000</v>
      </c>
      <c r="F4263">
        <v>7500000</v>
      </c>
      <c r="G4263">
        <v>6</v>
      </c>
      <c r="H4263">
        <v>881</v>
      </c>
      <c r="I4263">
        <v>1400000</v>
      </c>
      <c r="J4263">
        <v>4500000</v>
      </c>
      <c r="K4263">
        <v>6100000</v>
      </c>
      <c r="L4263">
        <v>2300000</v>
      </c>
      <c r="M4263" t="s">
        <v>34</v>
      </c>
      <c r="N4263">
        <f t="shared" si="397"/>
        <v>1</v>
      </c>
      <c r="O4263" t="str">
        <f t="shared" si="396"/>
        <v>Excellent</v>
      </c>
      <c r="P4263" t="str">
        <f t="shared" si="398"/>
        <v>High</v>
      </c>
      <c r="Q4263" t="str">
        <f t="shared" si="399"/>
        <v>Low Loan</v>
      </c>
      <c r="R4263">
        <f t="shared" si="400"/>
        <v>14300000</v>
      </c>
      <c r="S4263" t="str">
        <f t="shared" si="401"/>
        <v>Strong</v>
      </c>
    </row>
    <row r="4264" spans="1:19" x14ac:dyDescent="0.25">
      <c r="A4264">
        <v>4263</v>
      </c>
      <c r="B4264">
        <v>5</v>
      </c>
      <c r="C4264" t="s">
        <v>30</v>
      </c>
      <c r="D4264" t="s">
        <v>32</v>
      </c>
      <c r="E4264">
        <v>1300000</v>
      </c>
      <c r="F4264">
        <v>3000000</v>
      </c>
      <c r="G4264">
        <v>20</v>
      </c>
      <c r="H4264">
        <v>540</v>
      </c>
      <c r="I4264">
        <v>1000000</v>
      </c>
      <c r="J4264">
        <v>2300000</v>
      </c>
      <c r="K4264">
        <v>3200000</v>
      </c>
      <c r="L4264">
        <v>1900000</v>
      </c>
      <c r="M4264" t="s">
        <v>35</v>
      </c>
      <c r="N4264">
        <f t="shared" si="397"/>
        <v>0</v>
      </c>
      <c r="O4264" t="str">
        <f t="shared" si="396"/>
        <v>Low</v>
      </c>
      <c r="P4264" t="str">
        <f t="shared" si="398"/>
        <v>High</v>
      </c>
      <c r="Q4264" t="str">
        <f t="shared" si="399"/>
        <v>Low Loan</v>
      </c>
      <c r="R4264">
        <f t="shared" si="400"/>
        <v>8400000</v>
      </c>
      <c r="S4264" t="str">
        <f t="shared" si="401"/>
        <v>Moderate</v>
      </c>
    </row>
    <row r="4265" spans="1:19" x14ac:dyDescent="0.25">
      <c r="A4265">
        <v>4264</v>
      </c>
      <c r="B4265">
        <v>3</v>
      </c>
      <c r="C4265" t="s">
        <v>30</v>
      </c>
      <c r="D4265" t="s">
        <v>32</v>
      </c>
      <c r="E4265">
        <v>5000000</v>
      </c>
      <c r="F4265">
        <v>12700000</v>
      </c>
      <c r="G4265">
        <v>14</v>
      </c>
      <c r="H4265">
        <v>865</v>
      </c>
      <c r="I4265">
        <v>4700000</v>
      </c>
      <c r="J4265">
        <v>8100000</v>
      </c>
      <c r="K4265">
        <v>19500000</v>
      </c>
      <c r="L4265">
        <v>6300000</v>
      </c>
      <c r="M4265" t="s">
        <v>34</v>
      </c>
      <c r="N4265">
        <f t="shared" si="397"/>
        <v>1</v>
      </c>
      <c r="O4265" t="str">
        <f t="shared" si="396"/>
        <v>Excellent</v>
      </c>
      <c r="P4265" t="str">
        <f t="shared" si="398"/>
        <v>High</v>
      </c>
      <c r="Q4265" t="str">
        <f t="shared" si="399"/>
        <v>Low Loan</v>
      </c>
      <c r="R4265">
        <f t="shared" si="400"/>
        <v>38600000</v>
      </c>
      <c r="S4265" t="str">
        <f t="shared" si="401"/>
        <v>Strong</v>
      </c>
    </row>
    <row r="4266" spans="1:19" x14ac:dyDescent="0.25">
      <c r="A4266">
        <v>4265</v>
      </c>
      <c r="B4266">
        <v>5</v>
      </c>
      <c r="C4266" t="s">
        <v>30</v>
      </c>
      <c r="D4266" t="s">
        <v>33</v>
      </c>
      <c r="E4266">
        <v>1000000</v>
      </c>
      <c r="F4266">
        <v>2300000</v>
      </c>
      <c r="G4266">
        <v>12</v>
      </c>
      <c r="H4266">
        <v>317</v>
      </c>
      <c r="I4266">
        <v>2800000</v>
      </c>
      <c r="J4266">
        <v>500000</v>
      </c>
      <c r="K4266">
        <v>3300000</v>
      </c>
      <c r="L4266">
        <v>800000</v>
      </c>
      <c r="M4266" t="s">
        <v>35</v>
      </c>
      <c r="N4266">
        <f t="shared" si="397"/>
        <v>0</v>
      </c>
      <c r="O4266" t="str">
        <f t="shared" si="396"/>
        <v>Low</v>
      </c>
      <c r="P4266" t="str">
        <f t="shared" si="398"/>
        <v>High</v>
      </c>
      <c r="Q4266" t="str">
        <f t="shared" si="399"/>
        <v>Low Loan</v>
      </c>
      <c r="R4266">
        <f t="shared" si="400"/>
        <v>7400000</v>
      </c>
      <c r="S4266" t="str">
        <f t="shared" si="401"/>
        <v>Moderate</v>
      </c>
    </row>
    <row r="4267" spans="1:19" x14ac:dyDescent="0.25">
      <c r="A4267">
        <v>4266</v>
      </c>
      <c r="B4267">
        <v>0</v>
      </c>
      <c r="C4267" t="s">
        <v>31</v>
      </c>
      <c r="D4267" t="s">
        <v>33</v>
      </c>
      <c r="E4267">
        <v>3300000</v>
      </c>
      <c r="F4267">
        <v>11300000</v>
      </c>
      <c r="G4267">
        <v>20</v>
      </c>
      <c r="H4267">
        <v>559</v>
      </c>
      <c r="I4267">
        <v>4200000</v>
      </c>
      <c r="J4267">
        <v>2900000</v>
      </c>
      <c r="K4267">
        <v>11000000</v>
      </c>
      <c r="L4267">
        <v>1900000</v>
      </c>
      <c r="M4267" t="s">
        <v>34</v>
      </c>
      <c r="N4267">
        <f t="shared" si="397"/>
        <v>1</v>
      </c>
      <c r="O4267" t="str">
        <f t="shared" si="396"/>
        <v>Low</v>
      </c>
      <c r="P4267" t="str">
        <f t="shared" si="398"/>
        <v>High</v>
      </c>
      <c r="Q4267" t="str">
        <f t="shared" si="399"/>
        <v>Low Loan</v>
      </c>
      <c r="R4267">
        <f t="shared" si="400"/>
        <v>20000000</v>
      </c>
      <c r="S4267" t="str">
        <f t="shared" si="401"/>
        <v>Strong</v>
      </c>
    </row>
    <row r="4268" spans="1:19" x14ac:dyDescent="0.25">
      <c r="A4268">
        <v>4267</v>
      </c>
      <c r="B4268">
        <v>2</v>
      </c>
      <c r="C4268" t="s">
        <v>31</v>
      </c>
      <c r="D4268" t="s">
        <v>32</v>
      </c>
      <c r="E4268">
        <v>6500000</v>
      </c>
      <c r="F4268">
        <v>23900000</v>
      </c>
      <c r="G4268">
        <v>18</v>
      </c>
      <c r="H4268">
        <v>457</v>
      </c>
      <c r="I4268">
        <v>1200000</v>
      </c>
      <c r="J4268">
        <v>12400000</v>
      </c>
      <c r="K4268">
        <v>18100000</v>
      </c>
      <c r="L4268">
        <v>7300000</v>
      </c>
      <c r="M4268" t="s">
        <v>35</v>
      </c>
      <c r="N4268">
        <f t="shared" si="397"/>
        <v>0</v>
      </c>
      <c r="O4268" t="str">
        <f t="shared" si="396"/>
        <v>Low</v>
      </c>
      <c r="P4268" t="str">
        <f t="shared" si="398"/>
        <v>High</v>
      </c>
      <c r="Q4268" t="str">
        <f t="shared" si="399"/>
        <v>High Loan</v>
      </c>
      <c r="R4268">
        <f t="shared" si="400"/>
        <v>39000000</v>
      </c>
      <c r="S4268" t="str">
        <f t="shared" si="401"/>
        <v>Strong</v>
      </c>
    </row>
    <row r="4269" spans="1:19" x14ac:dyDescent="0.25">
      <c r="A4269">
        <v>4268</v>
      </c>
      <c r="B4269">
        <v>1</v>
      </c>
      <c r="C4269" t="s">
        <v>31</v>
      </c>
      <c r="D4269" t="s">
        <v>32</v>
      </c>
      <c r="E4269">
        <v>4100000</v>
      </c>
      <c r="F4269">
        <v>12800000</v>
      </c>
      <c r="G4269">
        <v>8</v>
      </c>
      <c r="H4269">
        <v>780</v>
      </c>
      <c r="I4269">
        <v>8200000</v>
      </c>
      <c r="J4269">
        <v>700000</v>
      </c>
      <c r="K4269">
        <v>14100000</v>
      </c>
      <c r="L4269">
        <v>5800000</v>
      </c>
      <c r="M4269" t="s">
        <v>34</v>
      </c>
      <c r="N4269">
        <f t="shared" si="397"/>
        <v>1</v>
      </c>
      <c r="O4269" t="str">
        <f t="shared" si="396"/>
        <v>Excellent</v>
      </c>
      <c r="P4269" t="str">
        <f t="shared" si="398"/>
        <v>High</v>
      </c>
      <c r="Q4269" t="str">
        <f t="shared" si="399"/>
        <v>Low Loan</v>
      </c>
      <c r="R4269">
        <f t="shared" si="400"/>
        <v>28800000</v>
      </c>
      <c r="S4269" t="str">
        <f t="shared" si="401"/>
        <v>Strong</v>
      </c>
    </row>
    <row r="4270" spans="1:19" x14ac:dyDescent="0.25">
      <c r="A4270">
        <v>4269</v>
      </c>
      <c r="B4270">
        <v>1</v>
      </c>
      <c r="C4270" t="s">
        <v>30</v>
      </c>
      <c r="D4270" t="s">
        <v>32</v>
      </c>
      <c r="E4270">
        <v>9200000</v>
      </c>
      <c r="F4270">
        <v>29700000</v>
      </c>
      <c r="G4270">
        <v>10</v>
      </c>
      <c r="H4270">
        <v>607</v>
      </c>
      <c r="I4270">
        <v>17800000</v>
      </c>
      <c r="J4270">
        <v>11800000</v>
      </c>
      <c r="K4270">
        <v>35700000</v>
      </c>
      <c r="L4270">
        <v>12000000</v>
      </c>
      <c r="M4270" t="s">
        <v>34</v>
      </c>
      <c r="N4270">
        <f t="shared" si="397"/>
        <v>1</v>
      </c>
      <c r="O4270" t="str">
        <f t="shared" si="396"/>
        <v>Low</v>
      </c>
      <c r="P4270" t="str">
        <f t="shared" si="398"/>
        <v>High</v>
      </c>
      <c r="Q4270" t="str">
        <f t="shared" si="399"/>
        <v>High Loan</v>
      </c>
      <c r="R4270">
        <f t="shared" si="400"/>
        <v>77300000</v>
      </c>
      <c r="S4270" t="str">
        <f t="shared" si="401"/>
        <v>Strong</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showGridLines="0" tabSelected="1" zoomScale="88" zoomScaleNormal="100" workbookViewId="0">
      <selection activeCell="P5" sqref="P5"/>
    </sheetView>
  </sheetViews>
  <sheetFormatPr defaultRowHeight="15" x14ac:dyDescent="0.25"/>
  <cols>
    <col min="2" max="2" width="21.42578125" bestFit="1" customWidth="1"/>
    <col min="4" max="4" width="14.42578125" bestFit="1" customWidth="1"/>
    <col min="5" max="5" width="14.28515625" bestFit="1" customWidth="1"/>
    <col min="7" max="7" width="12.85546875" bestFit="1" customWidth="1"/>
    <col min="9" max="9" width="18.28515625" bestFit="1" customWidth="1"/>
    <col min="12" max="12" width="34.140625" bestFit="1" customWidth="1"/>
  </cols>
  <sheetData>
    <row r="1" spans="1:12" x14ac:dyDescent="0.25">
      <c r="A1" s="13"/>
      <c r="B1" s="13"/>
      <c r="C1" s="13"/>
      <c r="D1" s="13"/>
      <c r="E1" s="13"/>
    </row>
    <row r="2" spans="1:12" x14ac:dyDescent="0.25">
      <c r="A2" s="13"/>
      <c r="B2" s="13"/>
      <c r="C2" s="13"/>
      <c r="D2" s="13"/>
      <c r="E2" s="13"/>
    </row>
    <row r="3" spans="1:12" x14ac:dyDescent="0.25">
      <c r="A3" s="13"/>
      <c r="B3" s="6"/>
      <c r="C3" s="13"/>
      <c r="D3" s="6"/>
      <c r="E3" s="6" t="s">
        <v>44</v>
      </c>
      <c r="G3" s="9"/>
      <c r="I3" s="9"/>
      <c r="L3" s="9"/>
    </row>
    <row r="4" spans="1:12" ht="36" x14ac:dyDescent="0.55000000000000004">
      <c r="A4" s="13"/>
      <c r="B4" s="7"/>
      <c r="C4" s="13"/>
      <c r="D4" s="7"/>
      <c r="E4" s="7"/>
      <c r="G4" s="8"/>
      <c r="I4" s="10"/>
      <c r="L4" s="11"/>
    </row>
    <row r="5" spans="1:12" x14ac:dyDescent="0.25">
      <c r="A5" s="13"/>
      <c r="B5" s="13"/>
      <c r="C5" s="13"/>
      <c r="D5" s="13"/>
      <c r="E5"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BH25"/>
  <sheetViews>
    <sheetView zoomScale="53" zoomScaleNormal="40" workbookViewId="0">
      <selection activeCell="K24" sqref="K24"/>
    </sheetView>
  </sheetViews>
  <sheetFormatPr defaultRowHeight="15" x14ac:dyDescent="0.25"/>
  <cols>
    <col min="3" max="3" width="20.5703125" bestFit="1" customWidth="1"/>
    <col min="4" max="4" width="23.28515625" bestFit="1" customWidth="1"/>
    <col min="5" max="5" width="34.7109375" bestFit="1" customWidth="1"/>
    <col min="16" max="16" width="20.5703125" bestFit="1" customWidth="1"/>
    <col min="17" max="17" width="29.28515625" bestFit="1" customWidth="1"/>
    <col min="31" max="31" width="20.5703125" customWidth="1"/>
    <col min="32" max="32" width="29.28515625" customWidth="1"/>
    <col min="35" max="35" width="20.5703125" customWidth="1"/>
    <col min="36" max="36" width="34.7109375" bestFit="1" customWidth="1"/>
    <col min="46" max="46" width="20.5703125" bestFit="1" customWidth="1"/>
    <col min="47" max="47" width="23.28515625" bestFit="1" customWidth="1"/>
    <col min="48" max="48" width="34.7109375" bestFit="1" customWidth="1"/>
    <col min="54" max="54" width="20.5703125" bestFit="1" customWidth="1"/>
    <col min="55" max="55" width="34.7109375" bestFit="1" customWidth="1"/>
    <col min="59" max="59" width="20.5703125" bestFit="1" customWidth="1"/>
    <col min="60" max="60" width="29.28515625" customWidth="1"/>
  </cols>
  <sheetData>
    <row r="4" spans="3:60" x14ac:dyDescent="0.25">
      <c r="C4" s="3" t="s">
        <v>18</v>
      </c>
      <c r="D4" t="s">
        <v>40</v>
      </c>
      <c r="E4" t="s">
        <v>41</v>
      </c>
      <c r="P4" s="3" t="s">
        <v>18</v>
      </c>
      <c r="Q4" t="s">
        <v>36</v>
      </c>
      <c r="AI4" s="3" t="s">
        <v>18</v>
      </c>
      <c r="AJ4" t="s">
        <v>41</v>
      </c>
    </row>
    <row r="5" spans="3:60" x14ac:dyDescent="0.25">
      <c r="C5" s="4" t="s">
        <v>30</v>
      </c>
      <c r="D5" s="1">
        <v>2144</v>
      </c>
      <c r="E5" s="2">
        <v>0.62453358208955223</v>
      </c>
      <c r="P5" s="4" t="s">
        <v>32</v>
      </c>
      <c r="Q5" s="1">
        <v>1318</v>
      </c>
      <c r="AE5" s="3" t="s">
        <v>18</v>
      </c>
      <c r="AF5" t="s">
        <v>36</v>
      </c>
      <c r="AI5" s="4" t="s">
        <v>20</v>
      </c>
      <c r="AJ5" s="2">
        <v>0.99431818181818177</v>
      </c>
    </row>
    <row r="6" spans="3:60" x14ac:dyDescent="0.25">
      <c r="C6" s="4" t="s">
        <v>31</v>
      </c>
      <c r="D6" s="1">
        <v>2125</v>
      </c>
      <c r="E6" s="2">
        <v>0.619764705882353</v>
      </c>
      <c r="P6" s="4" t="s">
        <v>33</v>
      </c>
      <c r="Q6" s="1">
        <v>1338</v>
      </c>
      <c r="AE6" s="4" t="s">
        <v>20</v>
      </c>
      <c r="AF6" s="1">
        <v>1050</v>
      </c>
      <c r="AI6" s="4" t="s">
        <v>21</v>
      </c>
      <c r="AJ6" s="2">
        <v>0.99732620320855614</v>
      </c>
    </row>
    <row r="7" spans="3:60" x14ac:dyDescent="0.25">
      <c r="C7" s="4" t="s">
        <v>19</v>
      </c>
      <c r="D7" s="1">
        <v>4269</v>
      </c>
      <c r="E7" s="2">
        <v>0.62215975638322796</v>
      </c>
      <c r="P7" s="4" t="s">
        <v>19</v>
      </c>
      <c r="Q7" s="1">
        <v>2656</v>
      </c>
      <c r="AE7" s="4" t="s">
        <v>21</v>
      </c>
      <c r="AF7" s="1">
        <v>373</v>
      </c>
      <c r="AI7" s="4" t="s">
        <v>22</v>
      </c>
      <c r="AJ7" s="2">
        <v>0.35089141004862234</v>
      </c>
    </row>
    <row r="8" spans="3:60" x14ac:dyDescent="0.25">
      <c r="AE8" s="4" t="s">
        <v>22</v>
      </c>
      <c r="AF8" s="1">
        <v>866</v>
      </c>
      <c r="AI8" s="4" t="s">
        <v>23</v>
      </c>
      <c r="AJ8" s="2">
        <v>0.98921832884097038</v>
      </c>
      <c r="AT8" s="3" t="s">
        <v>18</v>
      </c>
      <c r="AU8" t="s">
        <v>40</v>
      </c>
      <c r="AV8" s="2" t="s">
        <v>41</v>
      </c>
      <c r="BB8" s="3" t="s">
        <v>18</v>
      </c>
      <c r="BC8" s="2" t="s">
        <v>41</v>
      </c>
    </row>
    <row r="9" spans="3:60" x14ac:dyDescent="0.25">
      <c r="AE9" s="4" t="s">
        <v>23</v>
      </c>
      <c r="AF9" s="1">
        <v>367</v>
      </c>
      <c r="AI9" s="4" t="s">
        <v>19</v>
      </c>
      <c r="AJ9" s="2">
        <v>0.62215975638322796</v>
      </c>
      <c r="AT9" s="4" t="s">
        <v>37</v>
      </c>
      <c r="AU9" s="1">
        <v>350</v>
      </c>
      <c r="AV9" s="2">
        <v>0.60285714285714287</v>
      </c>
      <c r="BB9" s="4" t="s">
        <v>20</v>
      </c>
      <c r="BC9" s="2">
        <v>0.99431818181818177</v>
      </c>
    </row>
    <row r="10" spans="3:60" x14ac:dyDescent="0.25">
      <c r="AE10" s="4" t="s">
        <v>19</v>
      </c>
      <c r="AF10" s="1">
        <v>2656</v>
      </c>
      <c r="AT10" s="4" t="s">
        <v>38</v>
      </c>
      <c r="AU10" s="1">
        <v>3626</v>
      </c>
      <c r="AV10" s="2">
        <v>0.62217319360176504</v>
      </c>
      <c r="BB10" s="5" t="s">
        <v>42</v>
      </c>
      <c r="BC10" s="2">
        <v>0.99494949494949492</v>
      </c>
    </row>
    <row r="11" spans="3:60" x14ac:dyDescent="0.25">
      <c r="AT11" s="4" t="s">
        <v>39</v>
      </c>
      <c r="AU11" s="1">
        <v>293</v>
      </c>
      <c r="AV11" s="2">
        <v>0.6450511945392492</v>
      </c>
      <c r="BB11" s="5" t="s">
        <v>22</v>
      </c>
      <c r="BC11" s="2">
        <v>0.90909090909090906</v>
      </c>
    </row>
    <row r="12" spans="3:60" x14ac:dyDescent="0.25">
      <c r="AT12" s="4" t="s">
        <v>19</v>
      </c>
      <c r="AU12" s="1">
        <v>4269</v>
      </c>
      <c r="AV12" s="2">
        <v>0.62215975638322796</v>
      </c>
      <c r="BB12" s="5" t="s">
        <v>43</v>
      </c>
      <c r="BC12" s="2">
        <v>1</v>
      </c>
      <c r="BG12" s="3" t="s">
        <v>18</v>
      </c>
      <c r="BH12" t="s">
        <v>36</v>
      </c>
    </row>
    <row r="13" spans="3:60" x14ac:dyDescent="0.25">
      <c r="BB13" s="4" t="s">
        <v>21</v>
      </c>
      <c r="BC13" s="2">
        <v>0.99732620320855614</v>
      </c>
      <c r="BG13" s="4" t="s">
        <v>42</v>
      </c>
      <c r="BH13" s="1">
        <v>2515</v>
      </c>
    </row>
    <row r="14" spans="3:60" x14ac:dyDescent="0.25">
      <c r="BB14" s="5" t="s">
        <v>42</v>
      </c>
      <c r="BC14" s="2">
        <v>1</v>
      </c>
      <c r="BG14" s="4" t="s">
        <v>22</v>
      </c>
      <c r="BH14" s="1">
        <v>29</v>
      </c>
    </row>
    <row r="15" spans="3:60" x14ac:dyDescent="0.25">
      <c r="BB15" s="5" t="s">
        <v>22</v>
      </c>
      <c r="BC15" s="2">
        <v>1</v>
      </c>
      <c r="BG15" s="4" t="s">
        <v>43</v>
      </c>
      <c r="BH15" s="1">
        <v>112</v>
      </c>
    </row>
    <row r="16" spans="3:60" x14ac:dyDescent="0.25">
      <c r="BB16" s="5" t="s">
        <v>43</v>
      </c>
      <c r="BC16" s="2">
        <v>0.875</v>
      </c>
      <c r="BG16" s="4" t="s">
        <v>19</v>
      </c>
      <c r="BH16" s="1">
        <v>2656</v>
      </c>
    </row>
    <row r="17" spans="54:55" x14ac:dyDescent="0.25">
      <c r="BB17" s="4" t="s">
        <v>22</v>
      </c>
      <c r="BC17" s="2">
        <v>0.35089141004862234</v>
      </c>
    </row>
    <row r="18" spans="54:55" x14ac:dyDescent="0.25">
      <c r="BB18" s="5" t="s">
        <v>42</v>
      </c>
      <c r="BC18" s="2">
        <v>0.35012809564474806</v>
      </c>
    </row>
    <row r="19" spans="54:55" x14ac:dyDescent="0.25">
      <c r="BB19" s="5" t="s">
        <v>22</v>
      </c>
      <c r="BC19" s="2">
        <v>0.42857142857142855</v>
      </c>
    </row>
    <row r="20" spans="54:55" x14ac:dyDescent="0.25">
      <c r="BB20" s="5" t="s">
        <v>43</v>
      </c>
      <c r="BC20" s="2">
        <v>0.35238095238095241</v>
      </c>
    </row>
    <row r="21" spans="54:55" x14ac:dyDescent="0.25">
      <c r="BB21" s="4" t="s">
        <v>23</v>
      </c>
      <c r="BC21" s="2">
        <v>0.98921832884097038</v>
      </c>
    </row>
    <row r="22" spans="54:55" x14ac:dyDescent="0.25">
      <c r="BB22" s="5" t="s">
        <v>42</v>
      </c>
      <c r="BC22" s="2">
        <v>0.9887323943661972</v>
      </c>
    </row>
    <row r="23" spans="54:55" x14ac:dyDescent="0.25">
      <c r="BB23" s="5" t="s">
        <v>22</v>
      </c>
      <c r="BC23" s="2">
        <v>1</v>
      </c>
    </row>
    <row r="24" spans="54:55" x14ac:dyDescent="0.25">
      <c r="BB24" s="5" t="s">
        <v>43</v>
      </c>
      <c r="BC24" s="2">
        <v>1</v>
      </c>
    </row>
    <row r="25" spans="54:55" x14ac:dyDescent="0.25">
      <c r="BB25" s="4" t="s">
        <v>19</v>
      </c>
      <c r="BC25" s="2">
        <v>0.62215975638322796</v>
      </c>
    </row>
  </sheetData>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loan_approval_dataset</vt:lpstr>
      <vt:lpstr>Dashboard</vt:lpstr>
      <vt:lpstr>Approval Rate by Education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momina ramzaan</dc:creator>
  <cp:lastModifiedBy>momina ramzaan</cp:lastModifiedBy>
  <dcterms:created xsi:type="dcterms:W3CDTF">2026-02-05T18:14:13Z</dcterms:created>
  <dcterms:modified xsi:type="dcterms:W3CDTF">2026-02-20T15:59:19Z</dcterms:modified>
</cp:coreProperties>
</file>